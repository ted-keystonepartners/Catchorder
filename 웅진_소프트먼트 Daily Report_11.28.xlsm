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ate1904="1" codeName="현재_통합_문서" hidePivotFieldList="1" defaultThemeVersion="124226"/>
  <bookViews>
    <workbookView xWindow="12615" yWindow="-135" windowWidth="2505" windowHeight="7830" tabRatio="954"/>
  </bookViews>
  <sheets>
    <sheet name="MAIN" sheetId="26" r:id="rId1"/>
    <sheet name="11월 현황 (누적)" sheetId="65" r:id="rId2"/>
    <sheet name="10월 현황 (누적)" sheetId="10" r:id="rId3"/>
    <sheet name="인원현황" sheetId="33" state="hidden" r:id="rId4"/>
    <sheet name="11월 설치완료 및 Issue" sheetId="8" r:id="rId5"/>
    <sheet name="→백데이터)" sheetId="58" r:id="rId6"/>
    <sheet name="Sheet3" sheetId="64" state="hidden" r:id="rId7"/>
    <sheet name="아웃바운드" sheetId="57" r:id="rId8"/>
    <sheet name="인바운드" sheetId="56" r:id="rId9"/>
    <sheet name="클레임(관리자접수분)" sheetId="7" state="hidden" r:id="rId10"/>
    <sheet name="근무일수" sheetId="15" state="hidden" r:id="rId11"/>
    <sheet name="Sheet1" sheetId="59" state="hidden" r:id="rId12"/>
    <sheet name="Sheet2" sheetId="63" state="hidden"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1" hidden="1">#REF!</definedName>
    <definedName name="_xlnm._FilterDatabase" localSheetId="7" hidden="1">아웃바운드!$A$2:$N$1114</definedName>
    <definedName name="_xlnm._FilterDatabase" localSheetId="8" hidden="1">인바운드!$A$2:$N$55</definedName>
    <definedName name="_xlnm._FilterDatabase" localSheetId="3" hidden="1">인원현황!#REF!</definedName>
    <definedName name="_xlnm._FilterDatabase" hidden="1">#REF!</definedName>
    <definedName name="_Key1" localSheetId="1" hidden="1">#REF!</definedName>
    <definedName name="_Key1" hidden="1">#REF!</definedName>
    <definedName name="_Order1" hidden="1">255</definedName>
    <definedName name="_Order2" hidden="1">255</definedName>
    <definedName name="_Sort" localSheetId="1" hidden="1">#REF!</definedName>
    <definedName name="_Sort" hidden="1">#REF!</definedName>
    <definedName name="brand" localSheetId="1">#REF!</definedName>
    <definedName name="brand">#REF!</definedName>
    <definedName name="DATA1" localSheetId="1">[1]Sheet1!#REF!</definedName>
    <definedName name="DATA1">[1]Sheet1!#REF!</definedName>
    <definedName name="DATA10" localSheetId="1">[1]Sheet1!#REF!</definedName>
    <definedName name="DATA10">[1]Sheet1!#REF!</definedName>
    <definedName name="DATA11" localSheetId="1">[1]Sheet1!#REF!</definedName>
    <definedName name="DATA11">[1]Sheet1!#REF!</definedName>
    <definedName name="DATA12" localSheetId="1">[1]Sheet1!#REF!</definedName>
    <definedName name="DATA12">[1]Sheet1!#REF!</definedName>
    <definedName name="DATA13" localSheetId="1">[2]원본데이터!#REF!</definedName>
    <definedName name="DATA13">[2]원본데이터!#REF!</definedName>
    <definedName name="DATA14" localSheetId="1">[1]Sheet1!#REF!</definedName>
    <definedName name="DATA14">[1]Sheet1!#REF!</definedName>
    <definedName name="DATA16" localSheetId="1">[1]Sheet1!#REF!</definedName>
    <definedName name="DATA16">[1]Sheet1!#REF!</definedName>
    <definedName name="DATA17" localSheetId="1">[1]Sheet1!#REF!</definedName>
    <definedName name="DATA17">[1]Sheet1!#REF!</definedName>
    <definedName name="DATA18" localSheetId="1">[2]원본데이터!#REF!</definedName>
    <definedName name="DATA18">[2]원본데이터!#REF!</definedName>
    <definedName name="DATA19" localSheetId="1">[2]원본데이터!#REF!</definedName>
    <definedName name="DATA19">[2]원본데이터!#REF!</definedName>
    <definedName name="DATA2" localSheetId="1">#REF!</definedName>
    <definedName name="DATA2">#REF!</definedName>
    <definedName name="DATA25" localSheetId="1">#REF!</definedName>
    <definedName name="DATA25">#REF!</definedName>
    <definedName name="DATA3" localSheetId="1">#REF!</definedName>
    <definedName name="DATA3">#REF!</definedName>
    <definedName name="DATA4" localSheetId="1">#REF!</definedName>
    <definedName name="DATA4">#REF!</definedName>
    <definedName name="DATA5" localSheetId="1">[1]Sheet1!#REF!</definedName>
    <definedName name="DATA5">[1]Sheet1!#REF!</definedName>
    <definedName name="DATA6" localSheetId="1">[2]원본데이터!#REF!</definedName>
    <definedName name="DATA6">[2]원본데이터!#REF!</definedName>
    <definedName name="DATA7" localSheetId="1">#REF!</definedName>
    <definedName name="DATA7">#REF!</definedName>
    <definedName name="DATA8" localSheetId="1">[2]원본데이터!#REF!</definedName>
    <definedName name="DATA8">[2]원본데이터!#REF!</definedName>
    <definedName name="DATA9" localSheetId="1">[1]Sheet1!#REF!</definedName>
    <definedName name="DATA9">[1]Sheet1!#REF!</definedName>
    <definedName name="_xlnm.Database" localSheetId="1">#REF!</definedName>
    <definedName name="_xlnm.Database">#REF!</definedName>
    <definedName name="Excel_BuiltIn__FilterDatabase_3" localSheetId="1">'[3]Monthly Agent Report'!#REF!</definedName>
    <definedName name="Excel_BuiltIn__FilterDatabase_3">'[3]Monthly Agent Report'!#REF!</definedName>
    <definedName name="IT" localSheetId="1">[4]SSC사업본부!#REF!</definedName>
    <definedName name="IT">[4]SSC사업본부!#REF!</definedName>
    <definedName name="IT서비스팀" localSheetId="1">[4]SSC사업본부!#REF!</definedName>
    <definedName name="IT서비스팀">[4]SSC사업본부!#REF!</definedName>
    <definedName name="Pack" localSheetId="1">#REF!</definedName>
    <definedName name="Pack">#REF!</definedName>
    <definedName name="Package" localSheetId="1">#REF!</definedName>
    <definedName name="Package">#REF!</definedName>
    <definedName name="_xlnm.Print_Area" localSheetId="1">#REF!</definedName>
    <definedName name="_xlnm.Print_Area">#REF!</definedName>
    <definedName name="_xlnm.Print_Titles" localSheetId="1">#REF!</definedName>
    <definedName name="_xlnm.Print_Titles">#REF!</definedName>
    <definedName name="TEST0" localSheetId="1">#REF!</definedName>
    <definedName name="TEST0">#REF!</definedName>
    <definedName name="TESTHKEY" localSheetId="1">#REF!</definedName>
    <definedName name="TESTHKEY">#REF!</definedName>
    <definedName name="TESTKEYS" localSheetId="1">#REF!</definedName>
    <definedName name="TESTKEYS">#REF!</definedName>
    <definedName name="TESTVKEY" localSheetId="1">#REF!</definedName>
    <definedName name="TESTVKEY">#REF!</definedName>
    <definedName name="Val.in_RC">[5]전사공통비!$C$2:$C$827</definedName>
    <definedName name="구분">[6]명단!$E$2:$E$2648</definedName>
    <definedName name="기공" localSheetId="1" hidden="1">'[7](실사조정)총괄'!#REF!</definedName>
    <definedName name="기공" hidden="1">'[7](실사조정)총괄'!#REF!</definedName>
    <definedName name="기본2" localSheetId="1" hidden="1">#REF!</definedName>
    <definedName name="기본2" hidden="1">#REF!</definedName>
    <definedName name="ㄴㄴㄴ" localSheetId="1" hidden="1">#REF!</definedName>
    <definedName name="ㄴㄴㄴ" hidden="1">#REF!</definedName>
    <definedName name="ㄴㅇㄴ" localSheetId="1">#REF!</definedName>
    <definedName name="ㄴㅇㄴ">#REF!</definedName>
    <definedName name="대분류" comment="대분류">[8]유효성검사!$A$2:$A$12</definedName>
    <definedName name="ㅁ1" localSheetId="1">#REF!</definedName>
    <definedName name="ㅁ1">#REF!</definedName>
    <definedName name="ㅁㅁㅁ" localSheetId="1">#REF!</definedName>
    <definedName name="ㅁㅁㅁ">#REF!</definedName>
    <definedName name="ㅇㅇ" localSheetId="1">#REF!</definedName>
    <definedName name="ㅇㅇ">#REF!</definedName>
    <definedName name="ㅇㅇㅇ" localSheetId="1">[1]Sheet1!#REF!</definedName>
    <definedName name="ㅇㅇㅇ">[1]Sheet1!#REF!</definedName>
    <definedName name="원가요소">[5]전사공통비!$D$2:$D$827</definedName>
    <definedName name="조별유형" localSheetId="1" hidden="1">#REF!</definedName>
    <definedName name="조별유형" hidden="1">#REF!</definedName>
    <definedName name="직급">[6]명단!$D$2:$D$2648</definedName>
    <definedName name="추공내역서" localSheetId="1" hidden="1">#REF!</definedName>
    <definedName name="추공내역서" hidden="1">#REF!</definedName>
    <definedName name="ㅋㅋ" localSheetId="1">#REF!</definedName>
    <definedName name="ㅋㅋ">#REF!</definedName>
    <definedName name="코스트센터">[6]명단!$B$2:$B$2648</definedName>
    <definedName name="ㅌㅇㅇ" localSheetId="1">#REF!</definedName>
    <definedName name="ㅌㅇㅇ">#REF!</definedName>
    <definedName name="프프프프" localSheetId="1">[1]Sheet1!#REF!</definedName>
    <definedName name="프프프프">[1]Sheet1!#REF!</definedName>
    <definedName name="ㅎㅇㄹ" localSheetId="1">#REF!</definedName>
    <definedName name="ㅎㅇㄹ">#REF!</definedName>
    <definedName name="ㅡ48" localSheetId="1">#REF!</definedName>
    <definedName name="ㅡ48">#REF!</definedName>
  </definedNames>
  <calcPr calcId="145621"/>
  <fileRecoveryPr autoRecover="0"/>
</workbook>
</file>

<file path=xl/calcChain.xml><?xml version="1.0" encoding="utf-8"?>
<calcChain xmlns="http://schemas.openxmlformats.org/spreadsheetml/2006/main">
  <c r="H66" i="65" l="1"/>
  <c r="H65" i="65"/>
  <c r="H59" i="65"/>
  <c r="H53" i="65"/>
  <c r="H47" i="65"/>
  <c r="G47" i="65"/>
  <c r="G53" i="65"/>
  <c r="G65" i="65"/>
  <c r="F65" i="65"/>
  <c r="E65" i="65"/>
  <c r="D65" i="65"/>
  <c r="D32" i="65"/>
  <c r="E32" i="65"/>
  <c r="J32" i="65"/>
  <c r="K32" i="65"/>
  <c r="L32" i="65"/>
  <c r="M32" i="65"/>
  <c r="N32" i="65"/>
  <c r="O32" i="65"/>
  <c r="P32" i="65"/>
  <c r="A1" i="57"/>
  <c r="A1" i="56"/>
  <c r="G59" i="65" l="1"/>
  <c r="G66" i="65" s="1"/>
  <c r="F59" i="65"/>
  <c r="E59" i="65"/>
  <c r="D59" i="65"/>
  <c r="J26" i="65"/>
  <c r="P26" i="65"/>
  <c r="O26" i="65"/>
  <c r="N26" i="65"/>
  <c r="M26" i="65"/>
  <c r="L26" i="65"/>
  <c r="K26" i="65"/>
  <c r="E26" i="65"/>
  <c r="D26" i="65"/>
  <c r="D25" i="26" l="1"/>
  <c r="E25" i="26"/>
  <c r="G25" i="26"/>
  <c r="H25" i="26"/>
  <c r="I25" i="26"/>
  <c r="J25" i="26"/>
  <c r="K25" i="26"/>
  <c r="L25" i="26"/>
  <c r="M25" i="26"/>
  <c r="N25" i="26"/>
  <c r="B32" i="26"/>
  <c r="B36" i="26"/>
  <c r="U32" i="65" l="1"/>
  <c r="U31" i="65"/>
  <c r="U30" i="65"/>
  <c r="U29" i="65"/>
  <c r="U28" i="65"/>
  <c r="D17" i="26"/>
  <c r="E17" i="26"/>
  <c r="F53" i="65" l="1"/>
  <c r="E53" i="65"/>
  <c r="D53" i="65"/>
  <c r="N20" i="65"/>
  <c r="O20" i="65"/>
  <c r="P20" i="65"/>
  <c r="M20" i="65"/>
  <c r="L20" i="65"/>
  <c r="K20" i="65"/>
  <c r="J20" i="65"/>
  <c r="E20" i="65"/>
  <c r="D20" i="65"/>
  <c r="E47" i="65" l="1"/>
  <c r="E66" i="65" s="1"/>
  <c r="F47" i="65"/>
  <c r="F66" i="65" s="1"/>
  <c r="D47" i="65"/>
  <c r="D66" i="65" s="1"/>
  <c r="J14" i="65"/>
  <c r="J33" i="65" s="1"/>
  <c r="N14" i="65"/>
  <c r="O14" i="65"/>
  <c r="O33" i="65" s="1"/>
  <c r="P14" i="65"/>
  <c r="P33" i="65" s="1"/>
  <c r="M14" i="65"/>
  <c r="L14" i="65"/>
  <c r="L33" i="65" s="1"/>
  <c r="K14" i="65"/>
  <c r="K33" i="65" s="1"/>
  <c r="H14" i="65"/>
  <c r="I14" i="65"/>
  <c r="G14" i="65"/>
  <c r="E14" i="65"/>
  <c r="E33" i="65" s="1"/>
  <c r="F14" i="65"/>
  <c r="D14" i="65"/>
  <c r="D33" i="65" s="1"/>
  <c r="N33" i="65" l="1"/>
  <c r="M33" i="65"/>
  <c r="T34" i="65"/>
  <c r="S34" i="65"/>
  <c r="L34" i="65"/>
  <c r="K34" i="65"/>
  <c r="H34" i="65"/>
  <c r="F34" i="65"/>
  <c r="U33" i="65"/>
  <c r="U27" i="65"/>
  <c r="U26" i="65"/>
  <c r="U25" i="65"/>
  <c r="U24" i="65"/>
  <c r="U23" i="65"/>
  <c r="U22" i="65"/>
  <c r="U21" i="65"/>
  <c r="U20" i="65"/>
  <c r="U19" i="65"/>
  <c r="U18" i="65"/>
  <c r="U17" i="65"/>
  <c r="U16" i="65"/>
  <c r="U15" i="65"/>
  <c r="U14" i="65"/>
  <c r="U13" i="65"/>
  <c r="U12" i="65"/>
  <c r="P34" i="65"/>
  <c r="E34" i="65"/>
  <c r="U11" i="65"/>
  <c r="U10" i="65"/>
  <c r="U9" i="65"/>
  <c r="U34" i="65" l="1"/>
  <c r="I34" i="65"/>
  <c r="O34" i="65"/>
  <c r="N34" i="65"/>
  <c r="D34" i="65"/>
  <c r="G34" i="65" s="1"/>
  <c r="J34" i="65"/>
  <c r="M34" i="65"/>
  <c r="E49" i="10"/>
  <c r="F49" i="10"/>
  <c r="G49" i="10"/>
  <c r="D49" i="10"/>
  <c r="H48" i="10"/>
  <c r="H47" i="10"/>
  <c r="P18" i="10"/>
  <c r="O18" i="10"/>
  <c r="N18" i="10"/>
  <c r="M18" i="10"/>
  <c r="J18" i="10"/>
  <c r="E18" i="10"/>
  <c r="F18" i="10"/>
  <c r="D18" i="10"/>
  <c r="H46" i="10" l="1"/>
  <c r="H49" i="10" s="1"/>
  <c r="H41" i="10" l="1"/>
  <c r="H42" i="10"/>
  <c r="H40" i="10"/>
  <c r="H43" i="10" s="1"/>
  <c r="H50" i="10" s="1"/>
  <c r="E43" i="10"/>
  <c r="E50" i="10" s="1"/>
  <c r="F43" i="10"/>
  <c r="F50" i="10" s="1"/>
  <c r="G43" i="10"/>
  <c r="G50" i="10" s="1"/>
  <c r="D43" i="10"/>
  <c r="D50" i="10" s="1"/>
  <c r="P12" i="10"/>
  <c r="P19" i="10" s="1"/>
  <c r="O12" i="10"/>
  <c r="O19" i="10" s="1"/>
  <c r="N12" i="10"/>
  <c r="N19" i="10" s="1"/>
  <c r="M12" i="10"/>
  <c r="M19" i="10" s="1"/>
  <c r="J12" i="10"/>
  <c r="H12" i="10"/>
  <c r="G11" i="10"/>
  <c r="F12" i="10"/>
  <c r="E12" i="10"/>
  <c r="D12" i="10"/>
  <c r="G10" i="10"/>
  <c r="F17" i="26"/>
  <c r="E32" i="10" l="1"/>
  <c r="E19" i="10"/>
  <c r="F32" i="10"/>
  <c r="F19" i="10"/>
  <c r="J32" i="10"/>
  <c r="J19" i="10"/>
  <c r="D32" i="10"/>
  <c r="D19" i="10"/>
  <c r="G12" i="10"/>
  <c r="M17" i="26"/>
  <c r="J17" i="26" l="1"/>
  <c r="C15" i="26" l="1"/>
  <c r="AL10" i="33" l="1"/>
  <c r="AK10" i="33"/>
  <c r="AJ10" i="33"/>
  <c r="AI10" i="33"/>
  <c r="AH10" i="33"/>
  <c r="AG10" i="33"/>
  <c r="AF10" i="33"/>
  <c r="AE10" i="33"/>
  <c r="AD10" i="33"/>
  <c r="AC10" i="33"/>
  <c r="AB10" i="33"/>
  <c r="AA10" i="33"/>
  <c r="Z10" i="33"/>
  <c r="Y10" i="33"/>
  <c r="X10" i="33"/>
  <c r="W10" i="33"/>
  <c r="V10" i="33"/>
  <c r="U10" i="33"/>
  <c r="T10" i="33"/>
  <c r="S10" i="33"/>
  <c r="R10" i="33"/>
  <c r="Q10" i="33"/>
  <c r="P10" i="33"/>
  <c r="O10" i="33"/>
  <c r="N10" i="33"/>
  <c r="M10" i="33"/>
  <c r="L10" i="33"/>
  <c r="K10" i="33"/>
  <c r="J10" i="33"/>
  <c r="I10" i="33"/>
  <c r="H10" i="33"/>
  <c r="AZ9" i="33"/>
  <c r="AY9" i="33"/>
  <c r="AX9" i="33"/>
  <c r="AW9" i="33"/>
  <c r="AV9" i="33"/>
  <c r="AU9" i="33"/>
  <c r="AT9" i="33"/>
  <c r="AS9" i="33"/>
  <c r="AR9" i="33"/>
  <c r="AQ9" i="33"/>
  <c r="AP9" i="33"/>
  <c r="AO9" i="33"/>
  <c r="AN9" i="33"/>
  <c r="AZ8" i="33"/>
  <c r="AY8" i="33"/>
  <c r="AX8" i="33"/>
  <c r="AW8" i="33"/>
  <c r="AV8" i="33"/>
  <c r="AU8" i="33"/>
  <c r="AT8" i="33"/>
  <c r="AS8" i="33"/>
  <c r="AR8" i="33"/>
  <c r="AQ8" i="33"/>
  <c r="AP8" i="33"/>
  <c r="AO8" i="33"/>
  <c r="AN8" i="33"/>
  <c r="AZ7" i="33"/>
  <c r="AY7" i="33"/>
  <c r="AX7" i="33"/>
  <c r="AW7" i="33"/>
  <c r="AV7" i="33"/>
  <c r="AU7" i="33"/>
  <c r="AT7" i="33"/>
  <c r="AS7" i="33"/>
  <c r="AR7" i="33"/>
  <c r="AQ7" i="33"/>
  <c r="AP7" i="33"/>
  <c r="AO7" i="33"/>
  <c r="AN7" i="33"/>
  <c r="AZ6" i="33"/>
  <c r="AY6" i="33"/>
  <c r="AX6" i="33"/>
  <c r="AW6" i="33"/>
  <c r="AV6" i="33"/>
  <c r="AU6" i="33"/>
  <c r="AT6" i="33"/>
  <c r="AS6" i="33"/>
  <c r="AR6" i="33"/>
  <c r="AQ6" i="33"/>
  <c r="AP6" i="33"/>
  <c r="AO6" i="33"/>
  <c r="AN6" i="33"/>
  <c r="BA9" i="33" l="1"/>
  <c r="AN10" i="33"/>
  <c r="AV10" i="33"/>
  <c r="AR10" i="33"/>
  <c r="AT10" i="33"/>
  <c r="AX10" i="33"/>
  <c r="AO10" i="33"/>
  <c r="AS10" i="33"/>
  <c r="AW10" i="33"/>
  <c r="AZ10" i="33"/>
  <c r="BA7" i="33"/>
  <c r="AQ10" i="33"/>
  <c r="AU10" i="33"/>
  <c r="AY10" i="33"/>
  <c r="AP10" i="33"/>
  <c r="BA8" i="33"/>
  <c r="BA6" i="33"/>
  <c r="BA10" i="33" l="1"/>
  <c r="S34" i="26" l="1"/>
  <c r="H32" i="10" l="1"/>
  <c r="P32" i="10" l="1"/>
  <c r="O32" i="10"/>
  <c r="N32" i="10"/>
  <c r="M32" i="10"/>
  <c r="L32" i="10"/>
  <c r="K32" i="10"/>
  <c r="G32" i="10"/>
  <c r="I32" i="10" l="1"/>
  <c r="B23" i="26" l="1"/>
  <c r="B14" i="26"/>
  <c r="O17" i="26" l="1"/>
  <c r="L17" i="26"/>
  <c r="K17" i="26"/>
  <c r="U31" i="10" l="1"/>
  <c r="U30" i="10"/>
  <c r="U29" i="10"/>
  <c r="U28" i="10"/>
  <c r="U27" i="10"/>
  <c r="U26" i="10"/>
  <c r="U25" i="10"/>
  <c r="U24" i="10"/>
  <c r="U23" i="10"/>
  <c r="U22" i="10"/>
  <c r="U21" i="10"/>
  <c r="U20" i="10"/>
  <c r="U19" i="10"/>
  <c r="U18" i="10"/>
  <c r="U17" i="10"/>
  <c r="U16" i="10"/>
  <c r="U15" i="10"/>
  <c r="U14" i="10"/>
  <c r="U13" i="10"/>
  <c r="U12" i="10"/>
  <c r="U11" i="10"/>
  <c r="U10" i="10"/>
  <c r="U9" i="10"/>
  <c r="T32" i="10"/>
  <c r="S32" i="10"/>
  <c r="U32" i="10" l="1"/>
  <c r="H17" i="26" l="1"/>
  <c r="I17" i="26" l="1"/>
  <c r="G17" i="26"/>
</calcChain>
</file>

<file path=xl/sharedStrings.xml><?xml version="1.0" encoding="utf-8"?>
<sst xmlns="http://schemas.openxmlformats.org/spreadsheetml/2006/main" count="15309" uniqueCount="4366">
  <si>
    <t>IN Call</t>
    <phoneticPr fontId="19" type="noConversion"/>
  </si>
  <si>
    <t>Out Call</t>
    <phoneticPr fontId="19" type="noConversion"/>
  </si>
  <si>
    <t>금</t>
  </si>
  <si>
    <t>토</t>
  </si>
  <si>
    <t>일</t>
  </si>
  <si>
    <t>진행일</t>
    <phoneticPr fontId="19" type="noConversion"/>
  </si>
  <si>
    <t>진행일</t>
    <phoneticPr fontId="135" type="noConversion"/>
  </si>
  <si>
    <t>교육</t>
  </si>
  <si>
    <t>휴무</t>
  </si>
  <si>
    <t>TO</t>
  </si>
  <si>
    <t>재직인원</t>
  </si>
  <si>
    <t>출근인원</t>
  </si>
  <si>
    <t>인 력 현 황</t>
  </si>
  <si>
    <t>결근</t>
  </si>
  <si>
    <t>병가</t>
  </si>
  <si>
    <t>지각</t>
  </si>
  <si>
    <t>조퇴</t>
  </si>
  <si>
    <t>대휴</t>
  </si>
  <si>
    <t>경조</t>
  </si>
  <si>
    <t>연차</t>
  </si>
  <si>
    <t>당직</t>
  </si>
  <si>
    <t>관리자</t>
  </si>
  <si>
    <t>총인원</t>
  </si>
  <si>
    <t>구   분</t>
  </si>
  <si>
    <t>IN Call</t>
  </si>
  <si>
    <t>Out Call</t>
  </si>
  <si>
    <t>전일대비</t>
  </si>
  <si>
    <t>날짜</t>
  </si>
  <si>
    <t>출근</t>
  </si>
  <si>
    <t>반차</t>
  </si>
  <si>
    <t>결연</t>
  </si>
  <si>
    <t>결반</t>
  </si>
  <si>
    <t>외출</t>
  </si>
  <si>
    <t>입문</t>
  </si>
  <si>
    <t>훈련</t>
  </si>
  <si>
    <t>병가(유)</t>
  </si>
  <si>
    <t>병가(무)</t>
  </si>
  <si>
    <t>출산</t>
  </si>
  <si>
    <t>육아</t>
  </si>
  <si>
    <t>인입호</t>
    <phoneticPr fontId="19" type="noConversion"/>
  </si>
  <si>
    <t>응대호</t>
    <phoneticPr fontId="19" type="noConversion"/>
  </si>
  <si>
    <t>응대율</t>
    <phoneticPr fontId="19" type="noConversion"/>
  </si>
  <si>
    <t>서비스레벨</t>
    <phoneticPr fontId="19" type="noConversion"/>
  </si>
  <si>
    <t>09-18</t>
  </si>
  <si>
    <t>반차</t>
    <phoneticPr fontId="19" type="noConversion"/>
  </si>
  <si>
    <t>화</t>
  </si>
  <si>
    <t>수</t>
  </si>
  <si>
    <t>목</t>
  </si>
  <si>
    <t>월</t>
  </si>
  <si>
    <t>서비스레벨</t>
    <phoneticPr fontId="19" type="noConversion"/>
  </si>
  <si>
    <t>응대율</t>
    <phoneticPr fontId="19" type="noConversion"/>
  </si>
  <si>
    <t>응대호</t>
    <phoneticPr fontId="19" type="noConversion"/>
  </si>
  <si>
    <t>인입호</t>
    <phoneticPr fontId="19" type="noConversion"/>
  </si>
  <si>
    <t>비고</t>
    <phoneticPr fontId="19" type="noConversion"/>
  </si>
  <si>
    <t>근무인력</t>
    <phoneticPr fontId="19" type="noConversion"/>
  </si>
  <si>
    <t xml:space="preserve">&lt;근태코드&gt; </t>
    <phoneticPr fontId="19" type="noConversion"/>
  </si>
  <si>
    <t>◀</t>
    <phoneticPr fontId="19" type="noConversion"/>
  </si>
  <si>
    <t>옆의 셀을 복사하여 사용하세요~</t>
    <phoneticPr fontId="19" type="noConversion"/>
  </si>
  <si>
    <t>응대호</t>
    <phoneticPr fontId="19" type="noConversion"/>
  </si>
  <si>
    <t xml:space="preserve">통화시간 </t>
    <phoneticPr fontId="19" type="noConversion"/>
  </si>
  <si>
    <t>응대호</t>
    <phoneticPr fontId="19" type="noConversion"/>
  </si>
  <si>
    <t>통화시간</t>
    <phoneticPr fontId="19" type="noConversion"/>
  </si>
  <si>
    <t>아웃호</t>
    <phoneticPr fontId="19" type="noConversion"/>
  </si>
  <si>
    <t>응대호</t>
    <phoneticPr fontId="19" type="noConversion"/>
  </si>
  <si>
    <t>통화시간</t>
    <phoneticPr fontId="19" type="noConversion"/>
  </si>
  <si>
    <t>통화시간</t>
    <phoneticPr fontId="19" type="noConversion"/>
  </si>
  <si>
    <t>아웃호</t>
    <phoneticPr fontId="19" type="noConversion"/>
  </si>
  <si>
    <t>전일</t>
    <phoneticPr fontId="19" type="noConversion"/>
  </si>
  <si>
    <t>행 레이블</t>
  </si>
  <si>
    <t>&lt;숨김&gt;</t>
    <phoneticPr fontId="19" type="noConversion"/>
  </si>
  <si>
    <t>요일</t>
    <phoneticPr fontId="19" type="noConversion"/>
  </si>
  <si>
    <t>인입</t>
  </si>
  <si>
    <t>응답</t>
  </si>
  <si>
    <t>응답률</t>
  </si>
  <si>
    <t>포기</t>
  </si>
  <si>
    <t>포기률</t>
  </si>
  <si>
    <t>O/B콜수</t>
  </si>
  <si>
    <t>O/B비율 (%)</t>
  </si>
  <si>
    <t>I/B통화시간</t>
  </si>
  <si>
    <t>O/B통화시간</t>
  </si>
  <si>
    <t>합계 : 인입</t>
  </si>
  <si>
    <t>I/B</t>
  </si>
  <si>
    <t>O/B</t>
  </si>
  <si>
    <t>서비스레벨</t>
  </si>
  <si>
    <t>투입인력</t>
  </si>
  <si>
    <t>CPD</t>
  </si>
  <si>
    <t>인별평균</t>
  </si>
  <si>
    <t>(I/B+O/B)</t>
  </si>
  <si>
    <t>(I/B+O/B)-인별평균</t>
  </si>
  <si>
    <t>합계 : 응답</t>
  </si>
  <si>
    <t xml:space="preserve">                                                                                                                                                                                                                                                                                                                                                                                                                                                                                                                                                                                                                                                                                                                                                                                                                                                                                                                                                                                                                                                                                                                                                                                                                                                                                                                                                                                                                                                                                                                                                                                                                                                                                                                                                                                                                                                                                                                                                                                                                                                                                                                                                                                                                                                                                                                                                                                                                                                                                                                                                                                                                                                                                                                 </t>
    <phoneticPr fontId="19" type="noConversion"/>
  </si>
  <si>
    <t>츨근인력</t>
    <phoneticPr fontId="19" type="noConversion"/>
  </si>
  <si>
    <t>주간</t>
  </si>
  <si>
    <t>경조</t>
    <phoneticPr fontId="19" type="noConversion"/>
  </si>
  <si>
    <t xml:space="preserve">  </t>
    <phoneticPr fontId="19" type="noConversion"/>
  </si>
  <si>
    <t>김지혜</t>
  </si>
  <si>
    <t>웅진</t>
  </si>
  <si>
    <t>응답율</t>
    <phoneticPr fontId="77" type="noConversion"/>
  </si>
  <si>
    <t>포기호</t>
    <phoneticPr fontId="77" type="noConversion"/>
  </si>
  <si>
    <t>포기호</t>
    <phoneticPr fontId="19" type="noConversion"/>
  </si>
  <si>
    <t>포기율</t>
    <phoneticPr fontId="19" type="noConversion"/>
  </si>
  <si>
    <t>포기율</t>
    <phoneticPr fontId="77" type="noConversion"/>
  </si>
  <si>
    <t>,</t>
    <phoneticPr fontId="19" type="noConversion"/>
  </si>
  <si>
    <t xml:space="preserve">구분 </t>
    <phoneticPr fontId="19" type="noConversion"/>
  </si>
  <si>
    <t xml:space="preserve">전산 관련 </t>
    <phoneticPr fontId="19" type="noConversion"/>
  </si>
  <si>
    <t>비고</t>
    <phoneticPr fontId="19" type="noConversion"/>
  </si>
  <si>
    <t xml:space="preserve">세부 내용 </t>
    <phoneticPr fontId="19" type="noConversion"/>
  </si>
  <si>
    <t xml:space="preserve">  </t>
    <phoneticPr fontId="19" type="noConversion"/>
  </si>
  <si>
    <t>2020-01-06</t>
  </si>
  <si>
    <t>시간</t>
  </si>
  <si>
    <t xml:space="preserve">  </t>
    <phoneticPr fontId="19" type="noConversion"/>
  </si>
  <si>
    <t xml:space="preserve">    </t>
    <phoneticPr fontId="19" type="noConversion"/>
  </si>
  <si>
    <t xml:space="preserve">현장 관련 </t>
    <phoneticPr fontId="19" type="noConversion"/>
  </si>
  <si>
    <t>구분</t>
    <phoneticPr fontId="20" type="noConversion"/>
  </si>
  <si>
    <t>파트</t>
    <phoneticPr fontId="20" type="noConversion"/>
  </si>
  <si>
    <t>근무조</t>
    <phoneticPr fontId="20" type="noConversion"/>
  </si>
  <si>
    <t>근무시간</t>
    <phoneticPr fontId="20" type="noConversion"/>
  </si>
  <si>
    <t>성명</t>
    <phoneticPr fontId="20" type="noConversion"/>
  </si>
  <si>
    <t>입사일</t>
    <phoneticPr fontId="20" type="noConversion"/>
  </si>
  <si>
    <t>근태내역</t>
    <phoneticPr fontId="20" type="noConversion"/>
  </si>
  <si>
    <t>휴무</t>
    <phoneticPr fontId="19" type="noConversion"/>
  </si>
  <si>
    <t>연차
반차</t>
    <phoneticPr fontId="19" type="noConversion"/>
  </si>
  <si>
    <t>결연
결반</t>
    <phoneticPr fontId="19" type="noConversion"/>
  </si>
  <si>
    <t>결근</t>
    <phoneticPr fontId="19" type="noConversion"/>
  </si>
  <si>
    <t>지각
조퇴
외출</t>
    <phoneticPr fontId="19" type="noConversion"/>
  </si>
  <si>
    <t>교육
훈련</t>
    <phoneticPr fontId="19" type="noConversion"/>
  </si>
  <si>
    <t>경조</t>
    <phoneticPr fontId="19" type="noConversion"/>
  </si>
  <si>
    <t>병가
(유)
(무)</t>
    <phoneticPr fontId="19" type="noConversion"/>
  </si>
  <si>
    <t>출산
육아</t>
    <phoneticPr fontId="19" type="noConversion"/>
  </si>
  <si>
    <t>소계</t>
    <phoneticPr fontId="20" type="noConversion"/>
  </si>
  <si>
    <t>웅진</t>
    <phoneticPr fontId="19" type="noConversion"/>
  </si>
  <si>
    <t>1. 없음</t>
    <phoneticPr fontId="19" type="noConversion"/>
  </si>
  <si>
    <t>연차</t>
    <phoneticPr fontId="19" type="noConversion"/>
  </si>
  <si>
    <t>훈련</t>
    <phoneticPr fontId="19" type="noConversion"/>
  </si>
  <si>
    <t>목</t>
    <phoneticPr fontId="19" type="noConversion"/>
  </si>
  <si>
    <t>금</t>
    <phoneticPr fontId="19" type="noConversion"/>
  </si>
  <si>
    <t xml:space="preserve">0. 특이사항 </t>
    <phoneticPr fontId="19" type="noConversion"/>
  </si>
  <si>
    <t>1. EV링크 서버다운으로 회원가입 시 인증번호 전송안됨 - 카드사용 가능 등 안내 내용 공유</t>
    <phoneticPr fontId="19" type="noConversion"/>
  </si>
  <si>
    <t>소프트먼트 Daily Report</t>
    <phoneticPr fontId="19" type="noConversion"/>
  </si>
  <si>
    <t>등록일자</t>
  </si>
  <si>
    <t>등록시간</t>
  </si>
  <si>
    <t>통화시간(초)</t>
  </si>
  <si>
    <t>통화일자</t>
  </si>
  <si>
    <t>I/OUT</t>
  </si>
  <si>
    <t>고객명</t>
  </si>
  <si>
    <t>대유형</t>
  </si>
  <si>
    <t>중유형</t>
  </si>
  <si>
    <t>소유형</t>
  </si>
  <si>
    <t>상담사</t>
  </si>
  <si>
    <t>상담사 센터</t>
  </si>
  <si>
    <t>상담 내용</t>
  </si>
  <si>
    <t>20251027</t>
  </si>
  <si>
    <t>103657</t>
  </si>
  <si>
    <t>20251027102158</t>
  </si>
  <si>
    <t>아웃바운드</t>
  </si>
  <si>
    <t>김숙성 대흥본점</t>
  </si>
  <si>
    <t/>
  </si>
  <si>
    <t>캐치테이블</t>
  </si>
  <si>
    <t>기본정보수집</t>
  </si>
  <si>
    <t>포스대리점 정보 (대리점명/담당자/연락처)</t>
  </si>
  <si>
    <t>박미선</t>
  </si>
  <si>
    <t>동대문센터</t>
  </si>
  <si>
    <t>캐치테이블파트</t>
  </si>
  <si>
    <t>점주 통화완료
사업자번호 업데이트 완료
현재 매장에 없어 오후3시30분~4시사이 재통화예정</t>
  </si>
  <si>
    <t>102217</t>
  </si>
  <si>
    <t>20251027100045</t>
  </si>
  <si>
    <t>판교장어사랑 판교역점</t>
  </si>
  <si>
    <t>01033595455</t>
  </si>
  <si>
    <t>사업자등록증 (매장주소/사업자등록번호/매장주소)</t>
  </si>
  <si>
    <t>이재연</t>
  </si>
  <si>
    <t>10/27 10:13 
점주 통화완료
사업자번호 10/28 확인가능
포스는 10/30~31 승인예정
10/30 재통화예정</t>
  </si>
  <si>
    <t>101207</t>
  </si>
  <si>
    <t>20251027095344</t>
  </si>
  <si>
    <t>김숙성 신용산점</t>
  </si>
  <si>
    <t>01020987029</t>
  </si>
  <si>
    <t>2025-10-27 10:05
점주 통화완료
사업자, 대리점정보, OS 확인 및 업데이트 완료
메뉴 이메일 발송요청
11월 중순 내 서비스도입가능 안내</t>
  </si>
  <si>
    <t>고객CS접수</t>
  </si>
  <si>
    <t>100219</t>
  </si>
  <si>
    <t>20251027095025</t>
  </si>
  <si>
    <t>아웃했으나 음성이 들리지 않아 종료됨</t>
  </si>
  <si>
    <t>104210</t>
  </si>
  <si>
    <t>20251027102225</t>
  </si>
  <si>
    <t>김숙성 합정역점</t>
  </si>
  <si>
    <t>01068640762</t>
  </si>
  <si>
    <t>10/27 10:33
대표님 통화완료
포스 대표번호 11:30 확인가능, 재통화예정
사업자번호 확인 및 업데이트 완료</t>
  </si>
  <si>
    <t>20251024</t>
  </si>
  <si>
    <t>174052</t>
  </si>
  <si>
    <t>20251024172525</t>
  </si>
  <si>
    <t>인바운드</t>
  </si>
  <si>
    <t>육화식당</t>
  </si>
  <si>
    <t>01051057551</t>
  </si>
  <si>
    <t>메뉴정보 (메뉴판/메뉴 이미지)</t>
  </si>
  <si>
    <t>영문 메뉴판 요청
- AI 번역으로 오역 있을 수 있음 안내 → 괜찮으시다함
수정 가능여부 문의하시어 메뉴얼 내 확인가능, 영문명 추후 수정 가능 안내
월요일 셋팅후 16시 이후 연락드리기로함</t>
  </si>
  <si>
    <t>165929</t>
  </si>
  <si>
    <t>20251024164448</t>
  </si>
  <si>
    <t>온천집 익선점</t>
  </si>
  <si>
    <t>010-2364-4674</t>
  </si>
  <si>
    <t>원격지원</t>
  </si>
  <si>
    <t>프로그램설치</t>
  </si>
  <si>
    <t>10/24 16:28 
설치완료
정상연동완료</t>
  </si>
  <si>
    <t>165138</t>
  </si>
  <si>
    <t>20251024161751</t>
  </si>
  <si>
    <t>10/24 16:28 
설치완료
정상연동완료
10/24 16:47 
설치후 ob시 부재</t>
  </si>
  <si>
    <t>164903</t>
  </si>
  <si>
    <t>20251024162448</t>
  </si>
  <si>
    <t>선셋무드</t>
  </si>
  <si>
    <t>01089588768</t>
  </si>
  <si>
    <t>태블릿에 포스가 설치되어있어 진행 어려움 
확인후 재아웃 예정
------
안드로이드 태블릿 포스 사용으로 설치 불가 안내
대표님께서 PC로 포스 변경하시게되면 연락주신다고 하심</t>
  </si>
  <si>
    <t>155039</t>
  </si>
  <si>
    <t>20251024153412</t>
  </si>
  <si>
    <t>오케이포스</t>
  </si>
  <si>
    <t>01071908794</t>
  </si>
  <si>
    <t>* 가능시 연동 정보 (본부코드/매장코드/ASP 계정정보)</t>
  </si>
  <si>
    <t>꽃돌이네 담당자 통화
KIS OK
ASP ID = 매장코드 : k64664(식당)/ k64672(정육)
비번 = 01345</t>
  </si>
  <si>
    <t>153622</t>
  </si>
  <si>
    <t>20251024152450</t>
  </si>
  <si>
    <t>꽃돌이네</t>
  </si>
  <si>
    <t>01095679412</t>
  </si>
  <si>
    <t>포스와동일하게 메뉴진행맞는지 확인차 아웃- 맞음
원격진행시 재연락 안내후 종료</t>
  </si>
  <si>
    <t>153236</t>
  </si>
  <si>
    <t>20251024151814</t>
  </si>
  <si>
    <t>점주님통화
키스오케이 010-7190-8794
메뉴판사진관련 네이버상 보여지는 메뉴로 등록여쭤보니 확인후 전화주신다며 종료</t>
  </si>
  <si>
    <t>151613</t>
  </si>
  <si>
    <t>20251024150333</t>
  </si>
  <si>
    <t>원픽(본점)</t>
  </si>
  <si>
    <t>010-5195-2924</t>
  </si>
  <si>
    <t>10/24 15:03 
설치완료
정상연동완료</t>
  </si>
  <si>
    <t>145535</t>
  </si>
  <si>
    <t>20251024144056</t>
  </si>
  <si>
    <t>굿갓레스토랑 회기점</t>
  </si>
  <si>
    <t>010-6776-8459</t>
  </si>
  <si>
    <t>10/24 14:30
대표님 외부, 직원분 통화 010-6776-8459   
10/24 14:35
설치완료</t>
  </si>
  <si>
    <t>144534</t>
  </si>
  <si>
    <t>20251024143246</t>
  </si>
  <si>
    <t>원픽</t>
  </si>
  <si>
    <t>01046988803</t>
  </si>
  <si>
    <t>원격설치완료후 안내
예비용테이블도 사용원함</t>
  </si>
  <si>
    <t>144207</t>
  </si>
  <si>
    <t>20251024141518</t>
  </si>
  <si>
    <t>원픽 익선점</t>
  </si>
  <si>
    <t>원픽익선점
원격진행
설치완료후 재전화예정</t>
  </si>
  <si>
    <t>143129</t>
  </si>
  <si>
    <t>20251024141930</t>
  </si>
  <si>
    <t>010-3748-2497</t>
  </si>
  <si>
    <t>대표님 외부, 직원 통화요청 010-6776-8459</t>
  </si>
  <si>
    <t>133621</t>
  </si>
  <si>
    <t>20251024132210</t>
  </si>
  <si>
    <t>플랫오</t>
  </si>
  <si>
    <t>02-6949-0299</t>
  </si>
  <si>
    <t>10/24 13:35 재연락시 대표님 부재, 매장오시면 고객센터로 연락주시기로 함</t>
  </si>
  <si>
    <t>111401</t>
  </si>
  <si>
    <t>20251024105404</t>
  </si>
  <si>
    <t>성수터전</t>
  </si>
  <si>
    <t>01032893999</t>
  </si>
  <si>
    <t>대표자 통화완료
사업자번호, 대리점연락처 확인 및 업데이트 완료
QR 키트 시안 전송요청</t>
  </si>
  <si>
    <t>110006</t>
  </si>
  <si>
    <t>20251024104606</t>
  </si>
  <si>
    <t>고방채 동여의도 본점</t>
  </si>
  <si>
    <t>01046744152</t>
  </si>
  <si>
    <t>대표님 통화완료
매장 특성상 손님께 직접 주문을 받아야하는 시스템으로 QR오더 사용 어렵다고 하심
접수 취소 요청</t>
  </si>
  <si>
    <t>105741</t>
  </si>
  <si>
    <t>20251024104508</t>
  </si>
  <si>
    <t>매장 통화연결
현재 대표님 부재중으로 13시 이후 통화요청 - 재연락 예정</t>
  </si>
  <si>
    <t>105436</t>
  </si>
  <si>
    <t>20251024104353</t>
  </si>
  <si>
    <t>0269490299</t>
  </si>
  <si>
    <t>재연락예정</t>
  </si>
  <si>
    <t>104841</t>
  </si>
  <si>
    <t>20251024103532</t>
  </si>
  <si>
    <t>마싯내</t>
  </si>
  <si>
    <t>01036073979</t>
  </si>
  <si>
    <t>대표자 통화완료
추가적으로 도입여부 더 고민해보시겠다고 함
추후 다시 연락 예정</t>
  </si>
  <si>
    <t>20251023</t>
  </si>
  <si>
    <t>163529</t>
  </si>
  <si>
    <t>20251023161411</t>
  </si>
  <si>
    <t>지오아이엔씨</t>
  </si>
  <si>
    <t>15881126</t>
  </si>
  <si>
    <t>굿갓레스토랑 회기점 포스정보 확인
이지포스가 아닌 오케이포스
ID : k73019
PW : 00427
매장코드: k73019</t>
  </si>
  <si>
    <t>162002</t>
  </si>
  <si>
    <t>20251023155832</t>
  </si>
  <si>
    <t>굿갓레스토랑 본점</t>
  </si>
  <si>
    <t>01086916860</t>
  </si>
  <si>
    <t>포스 연동 불가</t>
  </si>
  <si>
    <t>포스정보 상이하여 연동불가로 대리점에 재확인후 다시 연락드릴예졍</t>
  </si>
  <si>
    <t>161925</t>
  </si>
  <si>
    <t>20251023160301</t>
  </si>
  <si>
    <t>01037482497</t>
  </si>
  <si>
    <t>사업자번호: 1594900427
포스담당자연락처 확인불가 대표번호만 확인 : 1588-1126
정보등록후 재연락 안내</t>
  </si>
  <si>
    <t>153011</t>
  </si>
  <si>
    <t>20251023151658</t>
  </si>
  <si>
    <t>굿갓레스토랑 성수역점</t>
  </si>
  <si>
    <t>업데이트후 원격 정상확인</t>
  </si>
  <si>
    <t>152625</t>
  </si>
  <si>
    <t>20251023151215</t>
  </si>
  <si>
    <t>오더 업데이트후 연락요청하셔서 전화주신건
업데이트후 재연락예정</t>
  </si>
  <si>
    <t>151939</t>
  </si>
  <si>
    <t>20251023150612</t>
  </si>
  <si>
    <t>겟스크린미 원격프로그램 상시용</t>
  </si>
  <si>
    <t>포스 재부팅후 연락요청하셔서 전화주심</t>
  </si>
  <si>
    <t>151043</t>
  </si>
  <si>
    <t>20251023145814</t>
  </si>
  <si>
    <t>01051952924</t>
  </si>
  <si>
    <t>- 싯가 상품 등록안됨 안내 
 - 메인메뉴만 등록요청하심
(포스정보 기존 확인완료)</t>
  </si>
  <si>
    <t>145951</t>
  </si>
  <si>
    <t>20251023144646</t>
  </si>
  <si>
    <t>고담</t>
  </si>
  <si>
    <t>01034818841</t>
  </si>
  <si>
    <t>010-5918-7096 포스대리점</t>
  </si>
  <si>
    <t>144147</t>
  </si>
  <si>
    <t>20251023142751</t>
  </si>
  <si>
    <t>호남집</t>
  </si>
  <si>
    <t>01091880242</t>
  </si>
  <si>
    <t>설치완료 
단 연동 정상적으로 이루어지지않음
키트 받으시고 다시한번 원격 진행 시 재연동 진행 예정</t>
  </si>
  <si>
    <t>140621</t>
  </si>
  <si>
    <t>20251023135458</t>
  </si>
  <si>
    <t>01091880242 해당번호로 연락요청</t>
  </si>
  <si>
    <t>131052</t>
  </si>
  <si>
    <t>20251023125348</t>
  </si>
  <si>
    <t>트라고 마곡점</t>
  </si>
  <si>
    <t>01094057847</t>
  </si>
  <si>
    <t>이전 상담완료후 부재중 확인되어 연락주심
- 발신오류 안내 / 사과말씀드리고 필요시 재연락드림 안내</t>
  </si>
  <si>
    <t>20251022</t>
  </si>
  <si>
    <t>152025</t>
  </si>
  <si>
    <t>20251022150609</t>
  </si>
  <si>
    <t>류센소</t>
  </si>
  <si>
    <t>01085786326</t>
  </si>
  <si>
    <t>캐치테이블 에이전트 프로그램</t>
  </si>
  <si>
    <t>프로그램 설치</t>
  </si>
  <si>
    <t>연락처</t>
    <phoneticPr fontId="19" type="noConversion"/>
  </si>
  <si>
    <t>근무 스케줄  - 25년 10월</t>
    <phoneticPr fontId="20" type="noConversion"/>
  </si>
  <si>
    <t>금</t>
    <phoneticPr fontId="19" type="noConversion"/>
  </si>
  <si>
    <t>매니저</t>
    <phoneticPr fontId="19" type="noConversion"/>
  </si>
  <si>
    <t>[웅진] 10월 현황 (누적)</t>
    <phoneticPr fontId="135" type="noConversion"/>
  </si>
  <si>
    <t xml:space="preserve">총계 (전체) </t>
    <phoneticPr fontId="19" type="noConversion"/>
  </si>
  <si>
    <t>박미선</t>
    <phoneticPr fontId="19" type="noConversion"/>
  </si>
  <si>
    <t>이재연</t>
    <phoneticPr fontId="19" type="noConversion"/>
  </si>
  <si>
    <t>소프트먼트</t>
    <phoneticPr fontId="19" type="noConversion"/>
  </si>
  <si>
    <t>소계 - 소프트먼트 파트 (3명)</t>
    <phoneticPr fontId="20" type="noConversion"/>
  </si>
  <si>
    <t>수</t>
    <phoneticPr fontId="77" type="noConversion"/>
  </si>
  <si>
    <t>목</t>
    <phoneticPr fontId="77" type="noConversion"/>
  </si>
  <si>
    <t>통화시간</t>
    <phoneticPr fontId="19" type="noConversion"/>
  </si>
  <si>
    <t>금</t>
    <phoneticPr fontId="77" type="noConversion"/>
  </si>
  <si>
    <t>소계</t>
    <phoneticPr fontId="77" type="noConversion"/>
  </si>
  <si>
    <t>4주차 소계</t>
    <phoneticPr fontId="77" type="noConversion"/>
  </si>
  <si>
    <t>누계</t>
    <phoneticPr fontId="135" type="noConversion"/>
  </si>
  <si>
    <t>1. 10월 인/아웃 현황 (누적)</t>
    <phoneticPr fontId="77" type="noConversion"/>
  </si>
  <si>
    <t>2. 상담유형별 인입 현황 (누적)</t>
    <phoneticPr fontId="77" type="noConversion"/>
  </si>
  <si>
    <t>원격</t>
    <phoneticPr fontId="77" type="noConversion"/>
  </si>
  <si>
    <t>정보확인</t>
    <phoneticPr fontId="77" type="noConversion"/>
  </si>
  <si>
    <t>처리현황 (전체)</t>
    <phoneticPr fontId="77" type="noConversion"/>
  </si>
  <si>
    <t>사용안내</t>
    <phoneticPr fontId="77" type="noConversion"/>
  </si>
  <si>
    <t>기타</t>
    <phoneticPr fontId="77" type="noConversion"/>
  </si>
  <si>
    <t>O/B 진행 현황</t>
    <phoneticPr fontId="19" type="noConversion"/>
  </si>
  <si>
    <t>O/B 진행 현황</t>
    <phoneticPr fontId="77" type="noConversion"/>
  </si>
  <si>
    <t>175934</t>
  </si>
  <si>
    <t>20251027174011</t>
  </si>
  <si>
    <t>뚝방뚱돼지</t>
  </si>
  <si>
    <t>01041888786</t>
  </si>
  <si>
    <t>10/27 17:50
대표님 통화완료
T오더로 잘못알고 신청 / T오더 계약사항 확인 후 연락준다고하심</t>
  </si>
  <si>
    <t>173938</t>
  </si>
  <si>
    <t>20251027172307</t>
  </si>
  <si>
    <t>성수AGU</t>
  </si>
  <si>
    <t>18002236</t>
  </si>
  <si>
    <t>오케이포스 대표번호 통화 
KIS OK 확인 
담당자 확인후 김지혜 파트장님 연락처로 문자 회신 주신다함</t>
  </si>
  <si>
    <t>20251027171136</t>
  </si>
  <si>
    <t>01072276740</t>
  </si>
  <si>
    <t>10/27 17:20
1층,2층 사업자번호, 대리점정보, OS 확인
메뉴 메일발송 요청시 익일 담당자가 매장에와서 직접 확인하기로 했다함
1층 사업자번호: 207-06-95565 / 2층 사업자번호: 763-45-00932
오케이포스 대표번호 1800-2236</t>
  </si>
  <si>
    <t>172350</t>
  </si>
  <si>
    <t>20251027171007</t>
  </si>
  <si>
    <t>16884899</t>
  </si>
  <si>
    <t>포토이태원정보확인차 아웃
정보확인후 안내하겠다며 종료</t>
  </si>
  <si>
    <t>171648</t>
  </si>
  <si>
    <t>20251027165438</t>
  </si>
  <si>
    <t>FOTO Itaewon</t>
  </si>
  <si>
    <t>01063089090</t>
  </si>
  <si>
    <t>대표 통화완료
사업자번호 확인및 업데이트완료
WINDOW OS 확인 및 업데이트 완료
포스사 대표번호 확인 - 전화예정</t>
  </si>
  <si>
    <t>170856</t>
  </si>
  <si>
    <t>20251027165448</t>
  </si>
  <si>
    <t>10/27 17:05 
전화연결실패로 재연락예정</t>
  </si>
  <si>
    <t>163309</t>
  </si>
  <si>
    <t>20251027162142</t>
  </si>
  <si>
    <t>양식문화</t>
  </si>
  <si>
    <t>01088728151</t>
  </si>
  <si>
    <t>조금전 원격진행함 / 담당자 재연락요청
팀즈 전달 완료</t>
  </si>
  <si>
    <t>161727</t>
  </si>
  <si>
    <t>20251027160148</t>
  </si>
  <si>
    <t>10/27 16:10
대표님 통화완료
현재 외부임. 17:20 재연락요청</t>
  </si>
  <si>
    <t>160938</t>
  </si>
  <si>
    <t>20251027155002</t>
  </si>
  <si>
    <t>김숙성 이태원점</t>
  </si>
  <si>
    <t>01027966817</t>
  </si>
  <si>
    <t>포스 프로그램 정보 및 윈도우 OS 버전 (오케이/이지포스)</t>
  </si>
  <si>
    <t>정보확인/ 파트장님 메일발송요청 전달후 처리 완료</t>
  </si>
  <si>
    <t>160004</t>
  </si>
  <si>
    <t>20251027154810</t>
  </si>
  <si>
    <t>영문메뉴판 적용 후 수정방법 안내요청으로 전화드림
금일 출근안하심 / 익일 16시 재연락 요청</t>
  </si>
  <si>
    <t>155118</t>
  </si>
  <si>
    <t>20251027153425</t>
  </si>
  <si>
    <t>01052382779</t>
  </si>
  <si>
    <t>포스 전화번호,  os확인
영어메뉴판 요청
11월중순가능하며 메뉴판 전체사진 메일발송요청 안내</t>
  </si>
  <si>
    <t>152932</t>
  </si>
  <si>
    <t>20251027151720</t>
  </si>
  <si>
    <t>궁전갈비</t>
  </si>
  <si>
    <t>01084713759</t>
  </si>
  <si>
    <t>10/27 15:30 
대표님 통화완료
11/5 재연락요청</t>
  </si>
  <si>
    <t>150337</t>
  </si>
  <si>
    <t>20251027144935</t>
  </si>
  <si>
    <t>호낙가 본점</t>
  </si>
  <si>
    <t>01039019014</t>
  </si>
  <si>
    <t>10/27 15:00
대표님 통화
내부적으로 인사문제 및 변경건들이 많아서 당장 도입 어렵다고하심
11월쯤 재연락요청</t>
  </si>
  <si>
    <t>143346</t>
  </si>
  <si>
    <t>20251027142049</t>
  </si>
  <si>
    <t>김숙성 검단신도시점</t>
  </si>
  <si>
    <t>01028906560</t>
  </si>
  <si>
    <t>10/27 14:30 
2차: 통화연결실패  
재연락 예정</t>
  </si>
  <si>
    <t>140309</t>
  </si>
  <si>
    <t>20251027135131</t>
  </si>
  <si>
    <t>김숙성 하남미사점</t>
  </si>
  <si>
    <t>01024279185</t>
  </si>
  <si>
    <t>10/27 14:00 
- 통화연결 실패 (재시도예정)</t>
  </si>
  <si>
    <t>134137</t>
  </si>
  <si>
    <t>20251027132259</t>
  </si>
  <si>
    <t>10/27 13:30 
통화연결 실패 (재시도 예정)</t>
  </si>
  <si>
    <t>131322</t>
  </si>
  <si>
    <t>20251027125125</t>
  </si>
  <si>
    <t>통화연결실패</t>
  </si>
  <si>
    <t>130933</t>
  </si>
  <si>
    <t>20251027124935</t>
  </si>
  <si>
    <t>김숙성 마포역점</t>
  </si>
  <si>
    <t>01076968970</t>
  </si>
  <si>
    <t>김숙성 마포역점
10/27 13:00
- 대표님 통화완료
- 바쁘다고하시며 포스 담당자 연락처, 사업자번호, 메뉴 이메일로 회신해주신다함.
- 테이블에 QR 부착할곳 없다시며 벽에 부착 원하심
- 11월 중순 내 서비스 도입가능 안내</t>
  </si>
  <si>
    <t>113543</t>
  </si>
  <si>
    <t>20251027112012</t>
  </si>
  <si>
    <t>10/27  11:30
점주 재통화완료
대리점 정보, OS 확인
메뉴 이메일 발송요청
11월 중순 내 서비스 도입가능 안내</t>
  </si>
  <si>
    <t>111008</t>
  </si>
  <si>
    <t>20251027105244</t>
  </si>
  <si>
    <t>신수로</t>
  </si>
  <si>
    <t>01088053054</t>
  </si>
  <si>
    <t>관리자 통화완료
사업자, 대리점정보, OS 확인 및 업데이트 완료
메뉴 이메일 발송요청
11월 중순 내 서비스도입가능 안내</t>
  </si>
  <si>
    <t>월</t>
    <phoneticPr fontId="77" type="noConversion"/>
  </si>
  <si>
    <t>기타</t>
    <phoneticPr fontId="77" type="noConversion"/>
  </si>
  <si>
    <t>화</t>
    <phoneticPr fontId="77" type="noConversion"/>
  </si>
  <si>
    <t>20251028</t>
  </si>
  <si>
    <t>172119</t>
  </si>
  <si>
    <t>20251028170730</t>
  </si>
  <si>
    <t>블루메쯔 노들섬점</t>
  </si>
  <si>
    <t>01094040636</t>
  </si>
  <si>
    <t>다른매장 관리중이라 내일 오후 3시 재통화 예정</t>
  </si>
  <si>
    <t>172042</t>
  </si>
  <si>
    <t>20251028170802</t>
  </si>
  <si>
    <t>2025-10-28 17:19 
통화 연결 실패 (재시도 예정)</t>
  </si>
  <si>
    <t>171153</t>
  </si>
  <si>
    <t>20251028165957</t>
  </si>
  <si>
    <t>이치고(ICHIGO)</t>
  </si>
  <si>
    <t>01088640149</t>
  </si>
  <si>
    <t>2025-10-28 17:11 
통화 연결 실패 (재연락 예정)</t>
  </si>
  <si>
    <t>170736</t>
  </si>
  <si>
    <t>20251028165617</t>
  </si>
  <si>
    <t>김숙성 진천혁신도시점</t>
  </si>
  <si>
    <t>01029400276</t>
  </si>
  <si>
    <t>2025-10-28 17:07
통화연결 실패 (2회) → 재시도 예정</t>
  </si>
  <si>
    <t>170322</t>
  </si>
  <si>
    <t>20251028165156</t>
  </si>
  <si>
    <t>나인피스그릴</t>
  </si>
  <si>
    <t>01088042521</t>
  </si>
  <si>
    <t>통화연결 실패 (5회) → 재시도 예정</t>
  </si>
  <si>
    <t>170100</t>
  </si>
  <si>
    <t>20251028164912</t>
  </si>
  <si>
    <t>청담무신</t>
  </si>
  <si>
    <t>01051780514</t>
  </si>
  <si>
    <t>내일 재통화 요청</t>
  </si>
  <si>
    <t>165803</t>
  </si>
  <si>
    <t>20251028164256</t>
  </si>
  <si>
    <t>2025-10-28 16:50
대표님 통화
계약사항 문의하시어 2년 약정 , 1년 무료 체험 , 테이블당 이용료  3,000원 안내시 무료인줄 알았고 현재 테이크오더 사용중이라 이용 불필요하다고하심</t>
  </si>
  <si>
    <t>165355</t>
  </si>
  <si>
    <t>20251028164034</t>
  </si>
  <si>
    <t>하이브(오픈예정매장)</t>
  </si>
  <si>
    <t>01091711751</t>
  </si>
  <si>
    <t>외부에 있어 내일 오전 10시쯤 재통화요청
포스는 윈도우기반 사용예정</t>
  </si>
  <si>
    <t>164318</t>
  </si>
  <si>
    <t>20251028162848</t>
  </si>
  <si>
    <t>기타문의</t>
  </si>
  <si>
    <t>고객이 QR오더 찍으면 언어설정이 안되는건지 문의
답변: 핸드폰 설정언어에 따라 다르나 진행할수 있음, 중국어 번역은 요청한상태</t>
  </si>
  <si>
    <t>163548</t>
  </si>
  <si>
    <t>20251028162202</t>
  </si>
  <si>
    <t>후스테이블</t>
  </si>
  <si>
    <t>01088215061</t>
  </si>
  <si>
    <t>알려주신 포스 계정 오류로 문자요청함</t>
  </si>
  <si>
    <t>163324</t>
  </si>
  <si>
    <t>20251028162038</t>
  </si>
  <si>
    <t>한티옥 방이점</t>
  </si>
  <si>
    <t>01023819041</t>
  </si>
  <si>
    <t>금일 매장에 없어 내일 동일시간 재통화요청</t>
  </si>
  <si>
    <t>161557</t>
  </si>
  <si>
    <t>20251028160232</t>
  </si>
  <si>
    <t>영문메뉴 도입 후 수정 방법 등 상세안내
- 일본어 / 중국어 추가도입 요청
- 전달 예정, 완료되면 문자발송 예정</t>
  </si>
  <si>
    <t>161548</t>
  </si>
  <si>
    <t>20251028160418</t>
  </si>
  <si>
    <t>통화 연결 실패 (재연락 예정)</t>
  </si>
  <si>
    <t>161256</t>
  </si>
  <si>
    <t>20251028154428</t>
  </si>
  <si>
    <t>이태원화로</t>
  </si>
  <si>
    <t>01028709499</t>
  </si>
  <si>
    <t>2025-10-28 15:55
대표님 통화완료
사업자등록번호, OS 확인 및 업데이트 완료
포스정보는 10/29 (수) 16시이후 확인가능 → 재통화예정
메뉴 이메일로 발송요청함</t>
  </si>
  <si>
    <t>161022</t>
  </si>
  <si>
    <t>20251028154632</t>
  </si>
  <si>
    <t>성수</t>
  </si>
  <si>
    <t>성수AGU 2층설치</t>
  </si>
  <si>
    <t>155545</t>
  </si>
  <si>
    <t>20251028152937</t>
  </si>
  <si>
    <t>1층설치</t>
  </si>
  <si>
    <t>155345</t>
  </si>
  <si>
    <t>20251028153217</t>
  </si>
  <si>
    <t>2025-10-28 15:45 
대표님 통화완료
사업자 등록 번호 확인 및 업데이트 완료
포스는 10/29 설치예정으로 10/30정도면 승인될것 같다고하심 
메뉴정보 메일발송 요청함</t>
  </si>
  <si>
    <t>153513</t>
  </si>
  <si>
    <t>20251028152313</t>
  </si>
  <si>
    <t>관리자사이트(ASP) 
아이디 : s25575
패스워드 : s25575!</t>
  </si>
  <si>
    <t>153153</t>
  </si>
  <si>
    <t>20251028152028</t>
  </si>
  <si>
    <t>대표님 통화
15:35 통화요청</t>
  </si>
  <si>
    <t>152832</t>
  </si>
  <si>
    <t>20251028151207</t>
  </si>
  <si>
    <t>호박꽃마차 석촌호수점</t>
  </si>
  <si>
    <t>01022231171</t>
  </si>
  <si>
    <t>대표 통화완료
정보확인후 업데이트 완료</t>
  </si>
  <si>
    <t>152416</t>
  </si>
  <si>
    <t>20251028151138</t>
  </si>
  <si>
    <t>아직 대리점 담당자로부터 계정정보 문자 미수신
15:35 재연락드림 안내</t>
  </si>
  <si>
    <t>152137</t>
  </si>
  <si>
    <t>20251028151035</t>
  </si>
  <si>
    <t>김숙성 성내성</t>
  </si>
  <si>
    <t>01035640726</t>
  </si>
  <si>
    <t>잘못아웃콜 나감 한시간뒤 재통화예정</t>
  </si>
  <si>
    <t>151826</t>
  </si>
  <si>
    <t>20251028150547</t>
  </si>
  <si>
    <t>관리자사이트 계정 정보 확인위해 대리점 담당자와 직접 통화요청 / 수긍 
재연락드리겠다 함</t>
  </si>
  <si>
    <t>151515</t>
  </si>
  <si>
    <t>20251028145659</t>
  </si>
  <si>
    <t>01086865103</t>
  </si>
  <si>
    <t>포스 담당자 통화 010-8686-5103
개인정보로 인해 로그인 계정 안내 어렵다고함
대표님이 직접 요청하시도록 안내요청하심</t>
  </si>
  <si>
    <t>150448</t>
  </si>
  <si>
    <t>20251028145344</t>
  </si>
  <si>
    <t>김숙성 성내점</t>
  </si>
  <si>
    <t>한시간뒤 재통화요청</t>
  </si>
  <si>
    <t>145801</t>
  </si>
  <si>
    <t>20251028144642</t>
  </si>
  <si>
    <t>오케이포스 담당자 통화
통화중으로 5~10분후 재연락요청</t>
  </si>
  <si>
    <t>145612</t>
  </si>
  <si>
    <t>20251028143908</t>
  </si>
  <si>
    <t>대표님 통화완료
사업자번호, 대리점정보, OS 확인 → 업데이트 완료
메뉴 이메일 발송요청
대리점 담당자 확인 010-8686-5103</t>
  </si>
  <si>
    <t>144431</t>
  </si>
  <si>
    <t>20251028142822</t>
  </si>
  <si>
    <t>주생주막 테크노밸리점</t>
  </si>
  <si>
    <t>01050323449</t>
  </si>
  <si>
    <t>2025-10-28 14:00
원격 연결완료하였으나 설치 오류
닷넷 설치 등 시도하였으나 지속 오류로 설치불가
대표님께 양해구하고 익일 (10/29) 13:30~14:00 연락예정</t>
  </si>
  <si>
    <t>140020</t>
  </si>
  <si>
    <t>20251028134942</t>
  </si>
  <si>
    <t>통화중</t>
  </si>
  <si>
    <t>134019</t>
  </si>
  <si>
    <t>20251028132747</t>
  </si>
  <si>
    <t>2025-10-28 13:40
3차 통화 연결 실패 (재시도 예정)</t>
  </si>
  <si>
    <t>101525</t>
  </si>
  <si>
    <t>20251028095049</t>
  </si>
  <si>
    <t>나이스페이</t>
  </si>
  <si>
    <t>오케이포스사 FOTO Itaewon 아이디,패스워드, 매장코드확인</t>
  </si>
  <si>
    <t>173202</t>
  </si>
  <si>
    <t>100446</t>
  </si>
  <si>
    <t>20251027095215</t>
  </si>
  <si>
    <t>01044451355</t>
  </si>
  <si>
    <t>테스트콜</t>
  </si>
  <si>
    <t>100313</t>
  </si>
  <si>
    <t>20251027095249</t>
  </si>
  <si>
    <t>테스트</t>
  </si>
  <si>
    <t>20251029</t>
  </si>
  <si>
    <t>174711</t>
  </si>
  <si>
    <t>20251029173022</t>
  </si>
  <si>
    <t>15443640</t>
  </si>
  <si>
    <t>담당자 확인후 연락주기로함</t>
  </si>
  <si>
    <t>173956</t>
  </si>
  <si>
    <t>20251029172802</t>
  </si>
  <si>
    <t>한길비스트로</t>
  </si>
  <si>
    <t>01079231821</t>
  </si>
  <si>
    <t>포스 담당자 번호 재확인차 아웃
1688-9772 → 1544-3640</t>
  </si>
  <si>
    <t>173554</t>
  </si>
  <si>
    <t>20251029172205</t>
  </si>
  <si>
    <t>나인정보통신</t>
  </si>
  <si>
    <t>16889772</t>
  </si>
  <si>
    <t>한길비스트로 가맹매장이 아니라고 확인됨</t>
  </si>
  <si>
    <t>172900</t>
  </si>
  <si>
    <t>20251029171512</t>
  </si>
  <si>
    <t>포스사 대표번호, 사업자번호, os기반 확인</t>
  </si>
  <si>
    <t>172437</t>
  </si>
  <si>
    <t>20251029171251</t>
  </si>
  <si>
    <t>스무스서울 (Smoothseoul)</t>
  </si>
  <si>
    <t>01066435033</t>
  </si>
  <si>
    <t>포스 담당자 통화
계정 확인하여 파트장님 휴대폰으로 발송 예정</t>
  </si>
  <si>
    <t>172015</t>
  </si>
  <si>
    <t>20251029170055</t>
  </si>
  <si>
    <t>01077503547</t>
  </si>
  <si>
    <t>2025-10-29 17:10
매장 관리자님 통화완료
사업자번호, 포스 담당자 정보(010-6643-5033), OS 확인
메뉴 이메일 발송요청</t>
  </si>
  <si>
    <t>170635</t>
  </si>
  <si>
    <t>20251029164925</t>
  </si>
  <si>
    <t>01077378944</t>
  </si>
  <si>
    <t>2025-10-29 17:00 포스 담당자 통화
오케이포스로 기재되어있었으나 유니온포스로 확인됨
 ASP  계정 문의시 확인후 대표님께 문자 발송하겠다함</t>
  </si>
  <si>
    <t>170546</t>
  </si>
  <si>
    <t>20251029165123</t>
  </si>
  <si>
    <t>나이스정보통신</t>
  </si>
  <si>
    <t>15772287</t>
  </si>
  <si>
    <t>오케이포스 아웃
푸른밤한남 정보확인차 아웃 문자발송한다고 해서 번호 안내후 종료</t>
  </si>
  <si>
    <t>165913</t>
  </si>
  <si>
    <t>20251029164541</t>
  </si>
  <si>
    <t>푸른밤한남</t>
  </si>
  <si>
    <t>01045933769</t>
  </si>
  <si>
    <t>포스 대표번호, 사업자 번호확인</t>
  </si>
  <si>
    <t>165212</t>
  </si>
  <si>
    <t>20251029163053</t>
  </si>
  <si>
    <t>01067804127</t>
  </si>
  <si>
    <t>이태원화로 매니저님  010-6780-4127 통화
POS 프로그램 IMU 포스로 확인
이지포스, 오케이포스 사용 시 정상연동 가능안내
대표님께 전달 후 추후 연락주기로함</t>
  </si>
  <si>
    <t>165133</t>
  </si>
  <si>
    <t>20251029163532</t>
  </si>
  <si>
    <t>0226532655</t>
  </si>
  <si>
    <t>다움223.1 정보확인차 아웃
담당자 외근으로 익일 연락주기로함</t>
  </si>
  <si>
    <t>164229</t>
  </si>
  <si>
    <t>20251029163101</t>
  </si>
  <si>
    <t>다움 223.1</t>
  </si>
  <si>
    <t>01086186008</t>
  </si>
  <si>
    <t>메뉴판 전체사진 요청 안내</t>
  </si>
  <si>
    <t>163953</t>
  </si>
  <si>
    <t>20251029162831</t>
  </si>
  <si>
    <t>포스정보 문의시  010-6780-4127 포스 담당자와 통화하여 확인요청하심</t>
  </si>
  <si>
    <t>163703</t>
  </si>
  <si>
    <t>20251029162402</t>
  </si>
  <si>
    <t>다움</t>
  </si>
  <si>
    <t>포스 전화번호와 사업자번호확인</t>
  </si>
  <si>
    <t>163039</t>
  </si>
  <si>
    <t>20251029161247</t>
  </si>
  <si>
    <t>태초갈비(서교점)</t>
  </si>
  <si>
    <t>01066805408</t>
  </si>
  <si>
    <t>2025-10-29 16:10
설치완료
정상연동완료</t>
  </si>
  <si>
    <t>162931</t>
  </si>
  <si>
    <t>20251029161348</t>
  </si>
  <si>
    <t>AI음성봇</t>
  </si>
  <si>
    <t>음성봇  인입
QR오더 사용중- 조건을 듣고싶다고함
파트장님 전달 완료</t>
  </si>
  <si>
    <t>162000</t>
  </si>
  <si>
    <t>20251029160739</t>
  </si>
  <si>
    <t>01030334014</t>
  </si>
  <si>
    <t>부재중 아웃
운영매장은 배달 전문으로 QR오더 사용필요 없음</t>
  </si>
  <si>
    <t>160909</t>
  </si>
  <si>
    <t>20251029155233</t>
  </si>
  <si>
    <t>지난주 포스업체쪽에서 정보가 잘못넘어와 오류가 뜬다고해서 새로운정보확인후 연락주기로했으나 아직 연락받지 못하여 통화요청하심-담당자 전달완료</t>
  </si>
  <si>
    <t>160848</t>
  </si>
  <si>
    <t>20251029155440</t>
  </si>
  <si>
    <t>봉추찜닭 잠실새내점</t>
  </si>
  <si>
    <t>01048998402</t>
  </si>
  <si>
    <t>원격설치 완료
QR키트 받으신 후 사용법 안내 예정 / 대표번호로 연락주기로하심</t>
  </si>
  <si>
    <t>160420</t>
  </si>
  <si>
    <t>20251029154521</t>
  </si>
  <si>
    <t>봉추찜닭 (잠실새내점)</t>
  </si>
  <si>
    <t>1차 프로그램 설치안내</t>
  </si>
  <si>
    <t>160216</t>
  </si>
  <si>
    <t>20251029155000</t>
  </si>
  <si>
    <t>2025-10-29 16:00
통화 연결 실패 (재연락 예정)</t>
  </si>
  <si>
    <t>155252</t>
  </si>
  <si>
    <t>20251029153555</t>
  </si>
  <si>
    <t>시절우연 청담</t>
  </si>
  <si>
    <t>01086058067</t>
  </si>
  <si>
    <t>매니저 통화완료
포스 담당자 확인후 업데이트 예정</t>
  </si>
  <si>
    <t>155132</t>
  </si>
  <si>
    <t>20251029153918</t>
  </si>
  <si>
    <t>포스가 맞지않는다고 하며 새로 해야한다고 금일 연락받으셨다고함
확인 후 연락드리기로하고 종료</t>
  </si>
  <si>
    <t>154319</t>
  </si>
  <si>
    <t>20251029153131</t>
  </si>
  <si>
    <t>외부에 있어 매장에 있을 16:30분경  재통화요청</t>
  </si>
  <si>
    <t>153354</t>
  </si>
  <si>
    <t>20251029152020</t>
  </si>
  <si>
    <t>이지포스</t>
  </si>
  <si>
    <t>15440171</t>
  </si>
  <si>
    <t>바로 확인은 어려움 확인후 전화주신다고함</t>
  </si>
  <si>
    <t>153302</t>
  </si>
  <si>
    <t>20251029152120</t>
  </si>
  <si>
    <t>2025-10-29 15:33
통화 연결 실패 (재연락 예정)</t>
  </si>
  <si>
    <t>152954</t>
  </si>
  <si>
    <t>20251029151856</t>
  </si>
  <si>
    <t>01075021195</t>
  </si>
  <si>
    <t>대표번호로 전화하라고하심 1544-0171</t>
  </si>
  <si>
    <t>152853</t>
  </si>
  <si>
    <t>20251029151748</t>
  </si>
  <si>
    <t>2025-10-29 15:28 
통화 연결 실패 (재연락 예정)</t>
  </si>
  <si>
    <t>152718</t>
  </si>
  <si>
    <t>20251029151332</t>
  </si>
  <si>
    <t>사업자번호확인, 포스 담당자 번호확인</t>
  </si>
  <si>
    <t>152215</t>
  </si>
  <si>
    <t>20251029145340</t>
  </si>
  <si>
    <t>2025-10-29 15:00
대표님 통화완료
 어떤 시스템인지 문의하시어 QR을 거치 또는 부착해드리고 고객이 직접 주문하시는 방식임 안내시 직원이 직접 주문을 받아서 필요없다심. 1년 무상이용 안내드렸으나 테이블8개라 궂이 필요 없을것 같다고하심. 광고도 조금 해준다고했고 예약만 받는걸로 알고 있었다며 이용거부</t>
  </si>
  <si>
    <t>151351</t>
  </si>
  <si>
    <t>20251029145557</t>
  </si>
  <si>
    <t>하이브</t>
  </si>
  <si>
    <t>하이브 매장 말고 새로 오픈예정인 곳이라고 설명란에 기재되어있으나, 대표님과 재통화해본 결과 하이브 매장에 적용을 원하시는 것으로 확인됨
이브 매장은 아임유포스를 사용중이며, 오케이포스나 이지포스 사용 시 연동 가능 안내렸으나 기존 포스 사용원함
변경 고려해보실 수 있도록 추후연락드릴지 안내하였으나 변경 의사없다함</t>
  </si>
  <si>
    <t>151328</t>
  </si>
  <si>
    <t>20251029145757</t>
  </si>
  <si>
    <t>0222070707</t>
  </si>
  <si>
    <t>하누소 인사점 정보확인
아이디,패스워드,매장코드,본부코드 확인
아이디 확인시 사업자번호와 동일하다고 전달주심</t>
  </si>
  <si>
    <t>150608</t>
  </si>
  <si>
    <t>20251029145137</t>
  </si>
  <si>
    <t>하누소인사점확인차 아웃
인사점점주님과통화후 전화주신다고함</t>
  </si>
  <si>
    <t>145813</t>
  </si>
  <si>
    <t>20251029143852</t>
  </si>
  <si>
    <t>하누소 인사점</t>
  </si>
  <si>
    <t>01044006964</t>
  </si>
  <si>
    <t>담당자 전화번호 확인/ 사업자 번호 문의했으나 말씀없이 해당번호로 전달받았다고하면 알려줄거라하시며 종료</t>
  </si>
  <si>
    <t>144716</t>
  </si>
  <si>
    <t>20251029143337</t>
  </si>
  <si>
    <t>01046109004</t>
  </si>
  <si>
    <t>매장 대표자(담당자) 성함 및 연락처</t>
  </si>
  <si>
    <t>음성봇 확인차 아웃하심
어떤 업무인지 안내했더니 본인은 해당 테이블 오더관련 업무를 하고 있지 않다고함</t>
  </si>
  <si>
    <t>143751</t>
  </si>
  <si>
    <t>20251029142347</t>
  </si>
  <si>
    <t>포스 담당자 확인 / 메뉴 발송할 메일은 전달 받았다고하심</t>
  </si>
  <si>
    <t>140415</t>
  </si>
  <si>
    <t>20251029135256</t>
  </si>
  <si>
    <t>2025-10-29 14:00 
통화 연결 실패 (재연락 예정)</t>
  </si>
  <si>
    <t>140109</t>
  </si>
  <si>
    <t>20251029134931</t>
  </si>
  <si>
    <t>30분후 재통화요청</t>
  </si>
  <si>
    <t>132028</t>
  </si>
  <si>
    <t>20251029130144</t>
  </si>
  <si>
    <t>2025-10-29 13:12
대표님 통화완료
사업자등록번호, OS 확인 및 업데이트 완료
포스 담당자 연락처 16시쯤 확인가능 → 재연락 예정
계정 정보 확인 예정</t>
  </si>
  <si>
    <t>130819</t>
  </si>
  <si>
    <t>20251029125723</t>
  </si>
  <si>
    <t>2025-10-29 13:08
통화 연결 실패 (재시도 예정)</t>
  </si>
  <si>
    <t>130801</t>
  </si>
  <si>
    <t>20251029124954</t>
  </si>
  <si>
    <t>하이브포스담당자</t>
  </si>
  <si>
    <t>01093751061</t>
  </si>
  <si>
    <t>하이브 포스 담당자 아웃
이지,오케이 사용이 아닌 아임유솔루션을 사용하고있음
정확한 정보확인이 어려움</t>
  </si>
  <si>
    <t>130428</t>
  </si>
  <si>
    <t>20251029125156</t>
  </si>
  <si>
    <t>2025-10-29 13:02
통화 연결 실패 (재연락 예정)</t>
  </si>
  <si>
    <t>113107</t>
  </si>
  <si>
    <t>20251029111610</t>
  </si>
  <si>
    <t>0222023979</t>
  </si>
  <si>
    <t>프로그램설치는 되었으나 연동확인 안되서 본사확인-익일재시도하신다고 확인됨</t>
  </si>
  <si>
    <t>110420</t>
  </si>
  <si>
    <t>20251029101935</t>
  </si>
  <si>
    <t>원격진행중 느려서 재진행 안내예정</t>
  </si>
  <si>
    <t>102242</t>
  </si>
  <si>
    <t>20251029101022</t>
  </si>
  <si>
    <t>하이브 포스 담당자 아웃했으나 확인후 연락준다고함</t>
  </si>
  <si>
    <t>101306</t>
  </si>
  <si>
    <t>20251029100007</t>
  </si>
  <si>
    <t>사업자번호확인-대리점연락처확인/ 어떤포스인진 확인어려움</t>
  </si>
  <si>
    <t>100055</t>
  </si>
  <si>
    <t>20251029094948</t>
  </si>
  <si>
    <t>10분뒤 재통화 요청</t>
  </si>
  <si>
    <t>주문 미수신</t>
  </si>
  <si>
    <t>102913</t>
  </si>
  <si>
    <t>20251022101757</t>
  </si>
  <si>
    <t>01042211188</t>
  </si>
  <si>
    <t>수</t>
    <phoneticPr fontId="77" type="noConversion"/>
  </si>
  <si>
    <t>수</t>
    <phoneticPr fontId="77" type="noConversion"/>
  </si>
  <si>
    <t>20251031</t>
  </si>
  <si>
    <t>174929</t>
  </si>
  <si>
    <t>20251031174519</t>
  </si>
  <si>
    <t>01026982094</t>
  </si>
  <si>
    <t>성수터전 포스담당자
ID : sz58681
PW : 02522
매장코드 : 3000000058681</t>
  </si>
  <si>
    <t>172702</t>
  </si>
  <si>
    <t>20251031172623</t>
  </si>
  <si>
    <t>아고야</t>
  </si>
  <si>
    <t>18004846</t>
  </si>
  <si>
    <t>포스대리점 부재2</t>
  </si>
  <si>
    <t>170145</t>
  </si>
  <si>
    <t>20251031170006</t>
  </si>
  <si>
    <t>07086572576</t>
  </si>
  <si>
    <t>오케이포스 아웃
성수터전 정보확인차 아웃했으나 담당자 회신하기로함</t>
  </si>
  <si>
    <t>165718</t>
  </si>
  <si>
    <t>20251031165439</t>
  </si>
  <si>
    <t>포스에 키보드+마우스 연결안된 상태 / 가상키보드 안내드렸으나 거부
키보드+마우스 연결 어려우신지 재차 확인요청하였으나 어렵다하시며 방문해서 설치해준다고 전달 받았다 하심. 방문설치 가능여부 확인 후 재연락 예정</t>
  </si>
  <si>
    <t>165349</t>
  </si>
  <si>
    <t>20251031164750</t>
  </si>
  <si>
    <t>윈도우 기반. 인터넷 사용 가능하나 마우스와 키보드 없고 가상 키보드 이용 방법 모름. 직접와서 설치해주는줄 알았다시며 거듭 와서 해줄수는 없는지 문의하심</t>
  </si>
  <si>
    <t>164829</t>
  </si>
  <si>
    <t>20251031164654</t>
  </si>
  <si>
    <t>한길비스트로(합정)</t>
  </si>
  <si>
    <t>설치완료 안내</t>
  </si>
  <si>
    <t>164347</t>
  </si>
  <si>
    <t>20251031163236</t>
  </si>
  <si>
    <t>원격설치 진행</t>
  </si>
  <si>
    <t>164138</t>
  </si>
  <si>
    <t>20251031164049</t>
  </si>
  <si>
    <t>포스 대리점 : 부재</t>
  </si>
  <si>
    <t>163935</t>
  </si>
  <si>
    <t>20251031163553</t>
  </si>
  <si>
    <t>01047881432</t>
  </si>
  <si>
    <t>사업자, os, 대리점 대표번호 확인</t>
  </si>
  <si>
    <t>163100</t>
  </si>
  <si>
    <t>20251031163028</t>
  </si>
  <si>
    <t>부재</t>
  </si>
  <si>
    <t>162055</t>
  </si>
  <si>
    <t>20251031161852</t>
  </si>
  <si>
    <t>피공일</t>
  </si>
  <si>
    <t>01066163667</t>
  </si>
  <si>
    <t>매장에 없어 월요일(3일) 13시경 재통화 요청</t>
  </si>
  <si>
    <t>161518</t>
  </si>
  <si>
    <t>20251031161252</t>
  </si>
  <si>
    <t>160725</t>
  </si>
  <si>
    <t>20251031160002</t>
  </si>
  <si>
    <t>원격설치 아웃</t>
  </si>
  <si>
    <t>160408</t>
  </si>
  <si>
    <t>20251031160331</t>
  </si>
  <si>
    <t>대표님 외부임. 16:30 재연락요청</t>
  </si>
  <si>
    <t>154938</t>
  </si>
  <si>
    <t>20251031154616</t>
  </si>
  <si>
    <t>설치 완료후 안내</t>
  </si>
  <si>
    <t>154508</t>
  </si>
  <si>
    <t>20251031153005</t>
  </si>
  <si>
    <t>블루메</t>
  </si>
  <si>
    <t>설치</t>
  </si>
  <si>
    <t>153638</t>
  </si>
  <si>
    <t>20251031152306</t>
  </si>
  <si>
    <t>023968995</t>
  </si>
  <si>
    <t>설치완료/정상연동완료</t>
  </si>
  <si>
    <t>151626</t>
  </si>
  <si>
    <t>20251031151357</t>
  </si>
  <si>
    <t>코네[kone]</t>
  </si>
  <si>
    <t>01050595040</t>
  </si>
  <si>
    <t>포스 정보확인차 담당자 아웃
비슷한걸 사용하고 있다며 대표와 통화후 회신하기로함</t>
  </si>
  <si>
    <t>151126</t>
  </si>
  <si>
    <t>20251031150628</t>
  </si>
  <si>
    <t>01043170772</t>
  </si>
  <si>
    <t>포스담당자, 사업자 번호, os확인</t>
  </si>
  <si>
    <t>150409</t>
  </si>
  <si>
    <t>20251031145716</t>
  </si>
  <si>
    <t>미미본관</t>
  </si>
  <si>
    <t>01081569391</t>
  </si>
  <si>
    <t>미미본관 포스 담당자 아웃
정보확인후 업데이트 완료</t>
  </si>
  <si>
    <t>145551</t>
  </si>
  <si>
    <t>20251031145336</t>
  </si>
  <si>
    <t>01053125566</t>
  </si>
  <si>
    <t>사업자번호,포스담당자 확인</t>
  </si>
  <si>
    <t>144545</t>
  </si>
  <si>
    <t>20251031144407</t>
  </si>
  <si>
    <t>오스테리아 에덴</t>
  </si>
  <si>
    <t>01047091076</t>
  </si>
  <si>
    <t>포스 담당자 통화 / 포스 관리자 계정 확인함</t>
  </si>
  <si>
    <t>144201</t>
  </si>
  <si>
    <t>20251031142453</t>
  </si>
  <si>
    <t>01029163273</t>
  </si>
  <si>
    <t>대표님 통화완료
포스담당자 확인, 사업자 번호, OS확인 및 업데이트
메뉴 → 이메일로 회신주신다함 + 문자전송함
빠른 진행원한다고 하심</t>
  </si>
  <si>
    <t>141656</t>
  </si>
  <si>
    <t>20251031140501</t>
  </si>
  <si>
    <t>유니온포스</t>
  </si>
  <si>
    <t>김숙성 이태원점 411-85-24626
김숙성 신용산점 692-85-02707
김숙성 대흥본점 636-85-02240
김숙성 합정역점 138-85-33458
신수로 536-85-01280
청담무신 7288703197
김숙성 진천혁시도시점 3273601470
포스정보확인차 요청 문자로 회신요청</t>
  </si>
  <si>
    <t>135133</t>
  </si>
  <si>
    <t>20251031134838</t>
  </si>
  <si>
    <t>김숙성 진천혁신도시점 정보확인차 아웃 - 담당자 회신주기로함
정보확인 한번에 전달가능하다고함, 정리후 아웃예정</t>
  </si>
  <si>
    <t>134727</t>
  </si>
  <si>
    <t>20251031134713</t>
  </si>
  <si>
    <t>김숙성 진천혁신도시점 정보확인차 아웃-연결직후 끊김</t>
  </si>
  <si>
    <t>134628</t>
  </si>
  <si>
    <t>20251031134113</t>
  </si>
  <si>
    <t>포스 대리점 통화
담당자 확인후 대표번호로 연락주기로 함</t>
  </si>
  <si>
    <t>134543</t>
  </si>
  <si>
    <t>20251031133330</t>
  </si>
  <si>
    <t>청담무신 정보확인차 아웃- 담당자 회신주기로함</t>
  </si>
  <si>
    <t>131129</t>
  </si>
  <si>
    <t>20251031130922</t>
  </si>
  <si>
    <t>포스정보 확인차 아웃
상담전 010-9817-5895로 정보 보내셨다고함</t>
  </si>
  <si>
    <t>130824</t>
  </si>
  <si>
    <t>20251031130746</t>
  </si>
  <si>
    <t>통화 연결 실패 (재연락 예정) + 문자전송함</t>
  </si>
  <si>
    <t>114301</t>
  </si>
  <si>
    <t>20251031114107</t>
  </si>
  <si>
    <t>신안가옥</t>
  </si>
  <si>
    <t>01082004231</t>
  </si>
  <si>
    <t>114000</t>
  </si>
  <si>
    <t>20251031113002</t>
  </si>
  <si>
    <t>원격진행</t>
  </si>
  <si>
    <t>20251030</t>
  </si>
  <si>
    <t>171240</t>
  </si>
  <si>
    <t>20251030165349</t>
  </si>
  <si>
    <t>니쿠사카바</t>
  </si>
  <si>
    <t>01089712148</t>
  </si>
  <si>
    <t>미니 포스 안드로이드 기반 사용중. 변경 예정에 있다시며 변경후 대표번호로 연락주시기로함</t>
  </si>
  <si>
    <t>170305</t>
  </si>
  <si>
    <t>20251030164656</t>
  </si>
  <si>
    <t>대표님 통화 완료
사업자번호,OS정보확인후 업데이트 완료
유니온포스 11월 중순 도입가능 안내</t>
  </si>
  <si>
    <t>165746</t>
  </si>
  <si>
    <t>20251030164020</t>
  </si>
  <si>
    <t>2025-10-30 16:35
설치완료
정상연동완료</t>
  </si>
  <si>
    <t>163219</t>
  </si>
  <si>
    <t>20251030162121</t>
  </si>
  <si>
    <t>20분뒤 재통화요청</t>
  </si>
  <si>
    <t>160051</t>
  </si>
  <si>
    <t>20251030153803</t>
  </si>
  <si>
    <t>01092653167</t>
  </si>
  <si>
    <t>2025-10-30 15:55
대표님 통화연결 완료 (6회차 연결시도)
QR시안 별도 요청하였으나 확답없이 계속 지연되고 있는중, 해당 부분 확답을 받은 이후 다음단계 진행하겠다고 하심</t>
  </si>
  <si>
    <t>154123</t>
  </si>
  <si>
    <t>20251030152444</t>
  </si>
  <si>
    <t>스시사카바</t>
  </si>
  <si>
    <t>01084339053</t>
  </si>
  <si>
    <t>2025-10-30 15:30
010-8433-9053 대표님 부재 (재연락 예정)</t>
  </si>
  <si>
    <t>153414</t>
  </si>
  <si>
    <t>20251030152235</t>
  </si>
  <si>
    <t>대표님 010-8433-9053 통화요청</t>
  </si>
  <si>
    <t>152126</t>
  </si>
  <si>
    <t>20251030150934</t>
  </si>
  <si>
    <t>그로어스 (연희)</t>
  </si>
  <si>
    <t>01076022307</t>
  </si>
  <si>
    <t>매니저 통화
정상연동안내</t>
  </si>
  <si>
    <t>151719</t>
  </si>
  <si>
    <t>20251030145142</t>
  </si>
  <si>
    <t>그로어스</t>
  </si>
  <si>
    <t>완료</t>
  </si>
  <si>
    <t>150114</t>
  </si>
  <si>
    <t>20251030144955</t>
  </si>
  <si>
    <t>01082906140</t>
  </si>
  <si>
    <t>대표님</t>
  </si>
  <si>
    <t>145523</t>
  </si>
  <si>
    <t>20251030144350</t>
  </si>
  <si>
    <t>2025-10-30 14:50
통화 연결 실패 (재연락 예정)</t>
  </si>
  <si>
    <t>144320</t>
  </si>
  <si>
    <t>20251030142748</t>
  </si>
  <si>
    <t>2025-10-30 14:35
통화 연결 실패 (재연락 예정)</t>
  </si>
  <si>
    <t>142822</t>
  </si>
  <si>
    <t>20251030141047</t>
  </si>
  <si>
    <t>정상설치 안내/ 대표번호 발송요청하셔서 발송</t>
  </si>
  <si>
    <t>142014</t>
  </si>
  <si>
    <t>20251030134933</t>
  </si>
  <si>
    <t>설치진행</t>
  </si>
  <si>
    <t>100844</t>
  </si>
  <si>
    <t>20251030095433</t>
  </si>
  <si>
    <t>시절우연</t>
  </si>
  <si>
    <t>매니저통화
포스정보확인후 회신요청
이메일받지 못해서 재발송 안내</t>
  </si>
  <si>
    <t>094951</t>
  </si>
  <si>
    <t>20251030093642</t>
  </si>
  <si>
    <t>오케이포스 통화- 회신주기로함</t>
  </si>
  <si>
    <t>094406</t>
  </si>
  <si>
    <t>20251030093039</t>
  </si>
  <si>
    <t>16705677</t>
  </si>
  <si>
    <t>오케이포스사 전화통화
매장에서 전화하면 알려준다고함</t>
  </si>
  <si>
    <t>093721</t>
  </si>
  <si>
    <t>20251030092613</t>
  </si>
  <si>
    <t>01073032242</t>
  </si>
  <si>
    <t>매장코드 : 124634 확인</t>
  </si>
  <si>
    <t>092234</t>
  </si>
  <si>
    <t>20251030090702</t>
  </si>
  <si>
    <t>블루메쯔 노들섬점 정보확인 
콜센터번호가 없는번호라고 뜸
전화받은 상담사는 안내 불가
대표번호 1833-8570 안내</t>
  </si>
  <si>
    <t>090917</t>
  </si>
  <si>
    <t>20251030085852</t>
  </si>
  <si>
    <t>test</t>
  </si>
  <si>
    <t>이평기</t>
  </si>
  <si>
    <t>서울센터</t>
  </si>
  <si>
    <t>인바운드파트</t>
  </si>
  <si>
    <t>173700</t>
  </si>
  <si>
    <t>20251031173304</t>
  </si>
  <si>
    <t>이테이블</t>
  </si>
  <si>
    <t>점포명 문의시 점포는 아니라며 이테이블이라는곳이다. 
직원에게 케치테이블에서 연락달라고 전달받고 연락주셨다함.</t>
  </si>
  <si>
    <t>141818</t>
  </si>
  <si>
    <t>20251031141524</t>
  </si>
  <si>
    <t>0218002236</t>
  </si>
  <si>
    <t>포스 계정정보 알려주심. 업데이트 완료</t>
  </si>
  <si>
    <t>092109</t>
  </si>
  <si>
    <t>20251031091816</t>
  </si>
  <si>
    <t>메뉴판 이메일 전송완료
추후 진행상황여부 회신 바람
원격날짜는 미정</t>
  </si>
  <si>
    <t>093212</t>
  </si>
  <si>
    <t>20251030091738</t>
  </si>
  <si>
    <t>태영js 포스 담당자 인입  
ID : 2528100968
PW : bayern1001
본부코드 : 000</t>
  </si>
  <si>
    <t>115336</t>
  </si>
  <si>
    <t>20251023114129</t>
  </si>
  <si>
    <t>확인불가</t>
  </si>
  <si>
    <t>고객 단선</t>
  </si>
  <si>
    <t>목</t>
    <phoneticPr fontId="77" type="noConversion"/>
  </si>
  <si>
    <t>금</t>
    <phoneticPr fontId="77" type="noConversion"/>
  </si>
  <si>
    <t>5주차 소계</t>
    <phoneticPr fontId="77" type="noConversion"/>
  </si>
  <si>
    <t>10월 누계</t>
    <phoneticPr fontId="77" type="noConversion"/>
  </si>
  <si>
    <t>목</t>
    <phoneticPr fontId="77" type="noConversion"/>
  </si>
  <si>
    <t>월</t>
    <phoneticPr fontId="19" type="noConversion"/>
  </si>
  <si>
    <t>20251103</t>
  </si>
  <si>
    <t>172354</t>
  </si>
  <si>
    <t>20251103172342</t>
  </si>
  <si>
    <t>캐치테이블 음성봇</t>
  </si>
  <si>
    <t>0315021958</t>
  </si>
  <si>
    <t>172140</t>
  </si>
  <si>
    <t>20251103172116</t>
  </si>
  <si>
    <t>0314109980</t>
  </si>
  <si>
    <t>내일 사장님 오시면 그때 재연락 요청</t>
  </si>
  <si>
    <t>171905</t>
  </si>
  <si>
    <t>20251103171859</t>
  </si>
  <si>
    <t>음성봇</t>
  </si>
  <si>
    <t>0314055958</t>
  </si>
  <si>
    <t>희망한적 없음</t>
  </si>
  <si>
    <t>171610</t>
  </si>
  <si>
    <t>20251103171603</t>
  </si>
  <si>
    <t>0314018444</t>
  </si>
  <si>
    <t>연결직후 끊음</t>
  </si>
  <si>
    <t>170439</t>
  </si>
  <si>
    <t>20251103170201</t>
  </si>
  <si>
    <t>오케이포스 확인</t>
  </si>
  <si>
    <t>170102</t>
  </si>
  <si>
    <t>20251103170005</t>
  </si>
  <si>
    <t>정글통신- 4번으로 했더니 3번눌러서 정보확인하라고함</t>
  </si>
  <si>
    <t>163127</t>
  </si>
  <si>
    <t>20251103162958</t>
  </si>
  <si>
    <t>당산계단집</t>
  </si>
  <si>
    <t>0261010491</t>
  </si>
  <si>
    <t>매직포스라고함 확인후 연락주기로함</t>
  </si>
  <si>
    <t>162855</t>
  </si>
  <si>
    <t>20251103162648</t>
  </si>
  <si>
    <t>01030943548</t>
  </si>
  <si>
    <t>02-6101-0491 포스 대리점 번호 확인</t>
  </si>
  <si>
    <t>162529</t>
  </si>
  <si>
    <t>20251103162320</t>
  </si>
  <si>
    <t>당산계단집 오케이포스 사용 아님</t>
  </si>
  <si>
    <t>161514</t>
  </si>
  <si>
    <t>20251103161449</t>
  </si>
  <si>
    <t>01085678597</t>
  </si>
  <si>
    <t>부재중 전화보고 연락주심 - 현재 매장 운영안함</t>
  </si>
  <si>
    <t>161501</t>
  </si>
  <si>
    <t>20251103161024</t>
  </si>
  <si>
    <t>대표님 통화 완료</t>
  </si>
  <si>
    <t>154845</t>
  </si>
  <si>
    <t>20251103154815</t>
  </si>
  <si>
    <t>01033096970</t>
  </si>
  <si>
    <t>손님이 있어 내일 직접 전화주신다고함 대표번호 문자 발송</t>
  </si>
  <si>
    <t>154702</t>
  </si>
  <si>
    <t>20251103154552</t>
  </si>
  <si>
    <t>음성봇 고객</t>
  </si>
  <si>
    <t>153254</t>
  </si>
  <si>
    <t>20251103152939</t>
  </si>
  <si>
    <t>뉴오더클럽 한남</t>
  </si>
  <si>
    <t>01093637263</t>
  </si>
  <si>
    <t>설치완료</t>
  </si>
  <si>
    <t>151916</t>
  </si>
  <si>
    <t>20251103145014</t>
  </si>
  <si>
    <t>뉴오더클럽</t>
  </si>
  <si>
    <t>이지헬프 설치</t>
  </si>
  <si>
    <t>144236</t>
  </si>
  <si>
    <t>20251103144239</t>
  </si>
  <si>
    <t>뉴오더</t>
  </si>
  <si>
    <t>5분뒤</t>
  </si>
  <si>
    <t>134026</t>
  </si>
  <si>
    <t>20251103133951</t>
  </si>
  <si>
    <t>매니저 아웃
한시간뒤 재통화 요청</t>
  </si>
  <si>
    <t>133843</t>
  </si>
  <si>
    <t>20251103133658</t>
  </si>
  <si>
    <t>01034745701</t>
  </si>
  <si>
    <t>010-9363-7263 매니저 통화 요청</t>
  </si>
  <si>
    <t>133316</t>
  </si>
  <si>
    <t>20251103133306</t>
  </si>
  <si>
    <t>통화 넘김</t>
  </si>
  <si>
    <t>132807</t>
  </si>
  <si>
    <t>20251103132613</t>
  </si>
  <si>
    <t>김막회 본점</t>
  </si>
  <si>
    <t>김막회 본점 대표님 통화
010-7919-5311 매니저 통화 요청</t>
  </si>
  <si>
    <t>132227</t>
  </si>
  <si>
    <t>20251103132102</t>
  </si>
  <si>
    <t>01041695305</t>
  </si>
  <si>
    <t>피공일 포스 담당자
대표자와 통화후 회신한다고함</t>
  </si>
  <si>
    <t>131934</t>
  </si>
  <si>
    <t>20251103131542</t>
  </si>
  <si>
    <t>사업자번호, 대리점 연락처 확인</t>
  </si>
  <si>
    <t>091314</t>
  </si>
  <si>
    <t>20251103091214</t>
  </si>
  <si>
    <t>정글통신
부재</t>
  </si>
  <si>
    <t>164013</t>
  </si>
  <si>
    <t>20251103163643</t>
  </si>
  <si>
    <t>0261010490</t>
  </si>
  <si>
    <t>IN
매직포스 아이디 패스워드 확인</t>
  </si>
  <si>
    <t>162127</t>
  </si>
  <si>
    <t>20251103161824</t>
  </si>
  <si>
    <t>01062921615</t>
  </si>
  <si>
    <t>IN캐치테이블 음성봇</t>
  </si>
  <si>
    <t>1. 11월 인/아웃 현황 (누적)</t>
    <phoneticPr fontId="77" type="noConversion"/>
  </si>
  <si>
    <t>[웅진] 11월 현황 (누적)</t>
    <phoneticPr fontId="135" type="noConversion"/>
  </si>
  <si>
    <t>20251104</t>
  </si>
  <si>
    <t>171048</t>
  </si>
  <si>
    <t>20251104170407</t>
  </si>
  <si>
    <t>피공</t>
  </si>
  <si>
    <t>164933</t>
  </si>
  <si>
    <t>162336</t>
  </si>
  <si>
    <t>20251104162207</t>
  </si>
  <si>
    <t>드포레 와인다이닝(용산)</t>
  </si>
  <si>
    <t>01056246614</t>
  </si>
  <si>
    <t>162008</t>
  </si>
  <si>
    <t>20251104161417</t>
  </si>
  <si>
    <t>010-9031-0863</t>
  </si>
  <si>
    <t>160913</t>
  </si>
  <si>
    <t>20251104160926</t>
  </si>
  <si>
    <t>160749</t>
  </si>
  <si>
    <t>20251104160625</t>
  </si>
  <si>
    <t>160515</t>
  </si>
  <si>
    <t>20251104160433</t>
  </si>
  <si>
    <t>154216</t>
  </si>
  <si>
    <t>20251104153835</t>
  </si>
  <si>
    <t>153700</t>
  </si>
  <si>
    <t>20251104153613</t>
  </si>
  <si>
    <t>01090310863</t>
  </si>
  <si>
    <t>151212</t>
  </si>
  <si>
    <t>20251104151144</t>
  </si>
  <si>
    <t>143706</t>
  </si>
  <si>
    <t>20251104143209</t>
  </si>
  <si>
    <t>초원양꼬치 신음점</t>
  </si>
  <si>
    <t>01083503881</t>
  </si>
  <si>
    <t>01079195311</t>
  </si>
  <si>
    <t>111512</t>
  </si>
  <si>
    <t>20251104105919</t>
  </si>
  <si>
    <t>111232</t>
  </si>
  <si>
    <t>20251104111148</t>
  </si>
  <si>
    <t>110419</t>
  </si>
  <si>
    <t>20251104110119</t>
  </si>
  <si>
    <t>01064228874</t>
  </si>
  <si>
    <t>포스 대리점
정보문자로 회신한다고함</t>
  </si>
  <si>
    <t>외부라 ASP정보 확인어려움.  사무실 들어가면 확인후 금일 또는 익일 문자 회신주기로 함</t>
  </si>
  <si>
    <t>대표님 통화
사업자번호, 대리점정보, OS 확인 및 업데이트완료
메뉴 이메일 발송요청</t>
  </si>
  <si>
    <t>뚜레쥬르, 필요없다고하심</t>
  </si>
  <si>
    <t>16:02 그냥 끊음 &gt; 바로 재전시 부재</t>
  </si>
  <si>
    <t>이용 원치 않는다고하시며 추후 필요시 직접 연락주신다 함</t>
  </si>
  <si>
    <t>2025-11-04 15:35 
통화 연결 실패 (재연락 예정)</t>
  </si>
  <si>
    <t>통화거절</t>
  </si>
  <si>
    <t>11/5 포스교체 예정으로 11/6 (목) 10:30~10:40 사이 원격설치요청</t>
  </si>
  <si>
    <t>포스정보 재확인 및 업데이트 완료</t>
  </si>
  <si>
    <t>포스담당자 아웃했으나 연결직후 끊음</t>
  </si>
  <si>
    <t>비번변경을 해야 해서 대표님과 통화해야 한다고함, 일반 오케이포스인건 확인됨</t>
  </si>
  <si>
    <t>20251105</t>
  </si>
  <si>
    <t>171503</t>
  </si>
  <si>
    <t>20251105171041</t>
  </si>
  <si>
    <t>170706</t>
  </si>
  <si>
    <t>20251105170519</t>
  </si>
  <si>
    <t>소란</t>
  </si>
  <si>
    <t>16449032</t>
  </si>
  <si>
    <t>170302</t>
  </si>
  <si>
    <t>20251105165940</t>
  </si>
  <si>
    <t>01026752291</t>
  </si>
  <si>
    <t>161736</t>
  </si>
  <si>
    <t>20251105161628</t>
  </si>
  <si>
    <t>대화반점</t>
  </si>
  <si>
    <t>0319118285</t>
  </si>
  <si>
    <t>161426</t>
  </si>
  <si>
    <t>20251105160822</t>
  </si>
  <si>
    <t>010-5624-6614</t>
  </si>
  <si>
    <t>155521</t>
  </si>
  <si>
    <t>20251105154448</t>
  </si>
  <si>
    <t>0218334357</t>
  </si>
  <si>
    <t>154129</t>
  </si>
  <si>
    <t>20251105153537</t>
  </si>
  <si>
    <t>151855</t>
  </si>
  <si>
    <t>20251105151606</t>
  </si>
  <si>
    <t>151253</t>
  </si>
  <si>
    <t>20251105151120</t>
  </si>
  <si>
    <t>1800-2236</t>
  </si>
  <si>
    <t>150811</t>
  </si>
  <si>
    <t>20251105150136</t>
  </si>
  <si>
    <t>일품 광화문점, 마곡점</t>
  </si>
  <si>
    <t>010-4118-0444</t>
  </si>
  <si>
    <t>145759</t>
  </si>
  <si>
    <t>20251105144821</t>
  </si>
  <si>
    <t>143725</t>
  </si>
  <si>
    <t>20251105143548</t>
  </si>
  <si>
    <t>010-8471-3759</t>
  </si>
  <si>
    <t>142243</t>
  </si>
  <si>
    <t>20251105142057</t>
  </si>
  <si>
    <t>육지</t>
  </si>
  <si>
    <t>01092536119</t>
  </si>
  <si>
    <t>141249</t>
  </si>
  <si>
    <t>20251105141301</t>
  </si>
  <si>
    <t>010-3309-6970</t>
  </si>
  <si>
    <t>140339</t>
  </si>
  <si>
    <t>20251105135944</t>
  </si>
  <si>
    <t>135843</t>
  </si>
  <si>
    <t>20251105135750</t>
  </si>
  <si>
    <t>110652</t>
  </si>
  <si>
    <t>20251105110646</t>
  </si>
  <si>
    <t>110523</t>
  </si>
  <si>
    <t>20251105110518</t>
  </si>
  <si>
    <t>0319051006</t>
  </si>
  <si>
    <t>102639</t>
  </si>
  <si>
    <t>20251105102237</t>
  </si>
  <si>
    <t>102632</t>
  </si>
  <si>
    <t>20251105102631</t>
  </si>
  <si>
    <t>101932</t>
  </si>
  <si>
    <t>20251105101949</t>
  </si>
  <si>
    <t>확인 완료</t>
  </si>
  <si>
    <t>ID : T37844
PW : 70927
매장코드 : T37844
https://asp.netusys.com/
로그인 되지 않아 재연락함 / 점포 대표님 통화시 비밀번호 변경한적 없다고하심 / 개인 휴대폰으로 연락요청함</t>
  </si>
  <si>
    <t>PW 변경하신적 있는지 문의시 변경하지 않았다고하심</t>
  </si>
  <si>
    <t>음성봇 / 부재</t>
  </si>
  <si>
    <t>계정 확인후 업데이트 완료</t>
  </si>
  <si>
    <t>담당자 확인후 문자 회신 주기로 함</t>
  </si>
  <si>
    <t>대표님 통화완료
사업자번호, 대리점정보, OS 확인
메뉴 이메일 발송요청</t>
  </si>
  <si>
    <t>매장에서 확인가능17:10</t>
  </si>
  <si>
    <t>ASP 계정정보 담당자애개 확인후 문자 회신 주기로 함</t>
  </si>
  <si>
    <t>매장 담당자 통화완료 
사업자번호, 대리점 정보, OS 확인
메뉴 이메일 발송요청
포스는 11/6 설치예정, 11/10~11일쯤 영업 시작 예정
11월 중순 내 서비스도입가능 안내</t>
  </si>
  <si>
    <t>매장 담당자와 통화요청 010-7696-8970</t>
  </si>
  <si>
    <t>대표님과 통화 후 대표님께 직접 안내하겠다 함</t>
  </si>
  <si>
    <t>벨 1회 울리고 소리샘</t>
  </si>
  <si>
    <t>정보확인차 아웃했으나 매장협소와 고객층 연령대가 높아 도입 보류 하심</t>
  </si>
  <si>
    <t>매니저 전화연결 안되어 대표한테 전화했더니 지금은 받을거라고함</t>
  </si>
  <si>
    <t>전화를 받을수 없다는 멘트 나옴</t>
  </si>
  <si>
    <t>팩스 연결음 들림</t>
  </si>
  <si>
    <t>수신후 응답없음. 양해 멘트후 선종료함</t>
  </si>
  <si>
    <t>음성봇아웃, 받자마자 끊음</t>
  </si>
  <si>
    <t>20251106</t>
  </si>
  <si>
    <t>180053</t>
  </si>
  <si>
    <t>20251106174918</t>
  </si>
  <si>
    <t>아이수마</t>
  </si>
  <si>
    <t>01083385247</t>
  </si>
  <si>
    <t>172221</t>
  </si>
  <si>
    <t>20251106172030</t>
  </si>
  <si>
    <t>172102</t>
  </si>
  <si>
    <t>20251106171716</t>
  </si>
  <si>
    <t>01041180444</t>
  </si>
  <si>
    <t>171208</t>
  </si>
  <si>
    <t>20251106171027</t>
  </si>
  <si>
    <t>15444351</t>
  </si>
  <si>
    <t>170750</t>
  </si>
  <si>
    <t>20251106170615</t>
  </si>
  <si>
    <t>02-1833-4357</t>
  </si>
  <si>
    <t>170508</t>
  </si>
  <si>
    <t>20251106170226</t>
  </si>
  <si>
    <t>이자카야미주 강남2호점</t>
  </si>
  <si>
    <t>01099440798</t>
  </si>
  <si>
    <t>163407</t>
  </si>
  <si>
    <t>20251106163016</t>
  </si>
  <si>
    <t>양복점 사당점</t>
  </si>
  <si>
    <t>01029853229</t>
  </si>
  <si>
    <t>162514</t>
  </si>
  <si>
    <t>20251106162041</t>
  </si>
  <si>
    <t>야키니쿠 제주</t>
  </si>
  <si>
    <t>01080748577</t>
  </si>
  <si>
    <t>160328</t>
  </si>
  <si>
    <t>20251106155403</t>
  </si>
  <si>
    <t>153835</t>
  </si>
  <si>
    <t>20251106153123</t>
  </si>
  <si>
    <t>마구로동우니도</t>
  </si>
  <si>
    <t>01068485033</t>
  </si>
  <si>
    <t>152942</t>
  </si>
  <si>
    <t>20251106152319</t>
  </si>
  <si>
    <t>010-2661-9262</t>
  </si>
  <si>
    <t>151421</t>
  </si>
  <si>
    <t>20251106150611</t>
  </si>
  <si>
    <t>150510</t>
  </si>
  <si>
    <t>20251106145947</t>
  </si>
  <si>
    <t>아고야(상암본점)</t>
  </si>
  <si>
    <t>150113</t>
  </si>
  <si>
    <t>20251106145434</t>
  </si>
  <si>
    <t>01085123944</t>
  </si>
  <si>
    <t>144251</t>
  </si>
  <si>
    <t>20251106143406</t>
  </si>
  <si>
    <t>그린구스또</t>
  </si>
  <si>
    <t>01063428185</t>
  </si>
  <si>
    <t>143448</t>
  </si>
  <si>
    <t>20251106143331</t>
  </si>
  <si>
    <t>140211</t>
  </si>
  <si>
    <t>20251106135958</t>
  </si>
  <si>
    <t>135429</t>
  </si>
  <si>
    <t>20251106135013</t>
  </si>
  <si>
    <t>134740</t>
  </si>
  <si>
    <t>20251106134701</t>
  </si>
  <si>
    <t>형제닭도리 양정점</t>
  </si>
  <si>
    <t>01046349963</t>
  </si>
  <si>
    <t>113832</t>
  </si>
  <si>
    <t>20251106113851</t>
  </si>
  <si>
    <t>031-905-1006</t>
  </si>
  <si>
    <t>113733</t>
  </si>
  <si>
    <t>20251106113741</t>
  </si>
  <si>
    <t>031-502-1958</t>
  </si>
  <si>
    <t>113641</t>
  </si>
  <si>
    <t>20251106113556</t>
  </si>
  <si>
    <t>112628</t>
  </si>
  <si>
    <t>20251106112228</t>
  </si>
  <si>
    <t>112109</t>
  </si>
  <si>
    <t>20251106111951</t>
  </si>
  <si>
    <t>01053877978</t>
  </si>
  <si>
    <t>111724</t>
  </si>
  <si>
    <t>20251106111731</t>
  </si>
  <si>
    <t>110818</t>
  </si>
  <si>
    <t>20251106110824</t>
  </si>
  <si>
    <t>110518</t>
  </si>
  <si>
    <t>20251106110130</t>
  </si>
  <si>
    <t>105419</t>
  </si>
  <si>
    <t>20251106105016</t>
  </si>
  <si>
    <t>2년 약정 / 6개월 무료 체험 / 테이블당 3,000원으로 안내시 
QR오더 사용하면서 테블릿pc에 테블릿 오더처럼 같이 사용할수 있게끔 테블릿도 할수 있는지 물어보셨었는데 가능하다고했는데 그 비용도 청구가 되는건지 문의하심</t>
  </si>
  <si>
    <t>지금 바쁨 / 11/7 15시경 재연락요청</t>
  </si>
  <si>
    <t>비번찾기 요청차 매니저 통화</t>
  </si>
  <si>
    <t>안내해준 정보가 맞다고함</t>
  </si>
  <si>
    <t>계정정보 재문의</t>
  </si>
  <si>
    <t>사업자번호는 내일 재통화시 확인가능/ 포스 담당자 번호확인</t>
  </si>
  <si>
    <t>대표님 통화함
어제 다른분이 연락왔었고 이미 점장님과 소통하는걸로 알고 있다며 점장님 연락처 알려주지 않으심</t>
  </si>
  <si>
    <t>11/7 14:30 원격설치요청하심</t>
  </si>
  <si>
    <t>키트 : 4번 / 거치형 
11~16 , 21~26 , 31~41 , 51~54 , 61~65 , 71~79 , 81~82
여유있게 2~3개 정도 더 해서 50개 필요하다고 말씀하신거라고 하심 / 팀즈공유함</t>
  </si>
  <si>
    <t>포스 계정정보 확인후 문자회신 주기로 함</t>
  </si>
  <si>
    <t>대표님 통화완료
사업자번호, 대리점정보, OS 확인 및 업데이트 완료
[확인필요] 당장은 무료지만 추후에는 어떻게 금액이 변동되는지 자세한 안내요청 &gt; 안내 받아보고 이용할지 말지 결정하겠다고하심</t>
  </si>
  <si>
    <t>원격진행 날짜 조율차 아웃 - 11-10 15시
메뉴판은 메일 발송 안했는데 네이버에 보여지는 그대로 진행 요청 하심</t>
  </si>
  <si>
    <t>대표님 통화완료
컨펌중이라시며 좀 기다려 달라심. 언제 다시 연락드릴지 문의시 이야기중이라시며 연락주겠다시고 종료하심</t>
  </si>
  <si>
    <t>사업자번호 포스담당자 번호 알려준후 갑자기 번거로울것같다며 거부하심</t>
  </si>
  <si>
    <t>원격 설치 완료되었으나 연동 되지 않아 김민준 과장님께 확인요청함
ㄴ OK포스 본사로 메일을 보내서 확인이 필요하다고 하시어 대표님께 내용 안내후 연동완료되면 추후 재연락드림 안내</t>
  </si>
  <si>
    <t>원격설치 일정문의시 지금 가능하다고하시어 전산 셋팅후 재통화예정</t>
  </si>
  <si>
    <t>대표님께서 직접 포스사에 비번 초기화 요청하셔야함 안내 / 수긍하시며 17시 재연락요청하심</t>
  </si>
  <si>
    <t>원격일정 문의시 은행업무중이라며 15시경 재연락요청</t>
  </si>
  <si>
    <t>통화거부</t>
  </si>
  <si>
    <t>받았으나 첫인사시 말없이 선종료하심</t>
  </si>
  <si>
    <t>광화문점 확인/ 마곡점은 확인후 회신</t>
  </si>
  <si>
    <t>대표번호로 전화하라고함</t>
  </si>
  <si>
    <t>수신후 바로 선종료됨</t>
  </si>
  <si>
    <t>음성봇-받았다가 끊음</t>
  </si>
  <si>
    <t>QR 키트시안 못받았다고하시어 발송후 오후에 연락드로 답변받기로함</t>
  </si>
  <si>
    <t>대표님 통화완료
설치완료/정상연동완료</t>
  </si>
  <si>
    <t>174822</t>
  </si>
  <si>
    <t>20251106174337</t>
  </si>
  <si>
    <t>113919</t>
  </si>
  <si>
    <t>20251106113638</t>
  </si>
  <si>
    <t>07075257116</t>
  </si>
  <si>
    <t>IN/ 마곡점 포스정보확인</t>
  </si>
  <si>
    <t>정보 알려줬으나 로그인 안됨</t>
  </si>
  <si>
    <t>금</t>
    <phoneticPr fontId="19" type="noConversion"/>
  </si>
  <si>
    <t>20251107</t>
  </si>
  <si>
    <t>170111</t>
  </si>
  <si>
    <t>20251107165941</t>
  </si>
  <si>
    <t>사업자 번호확인</t>
  </si>
  <si>
    <t>160931</t>
  </si>
  <si>
    <t>20251107160821</t>
  </si>
  <si>
    <t>푸에르코 여의도 TP타워 WEST점</t>
  </si>
  <si>
    <t>010-3771-6817</t>
  </si>
  <si>
    <t>외부 / 사업자, 포스 정보 확인어려움 / 11/10 (월) 16시 재연락요청하심</t>
  </si>
  <si>
    <t>160616</t>
  </si>
  <si>
    <t>20251107160529</t>
  </si>
  <si>
    <t>155652</t>
  </si>
  <si>
    <t>20251107154502</t>
  </si>
  <si>
    <t>0319258292</t>
  </si>
  <si>
    <t>사장님 안계심 / 언제 연락드리면 통화 가능하실지 여쭈니 모르겠다함 / 11/10 (월) 재연락드리겠다 안내</t>
  </si>
  <si>
    <t>153946</t>
  </si>
  <si>
    <t>20251107153906</t>
  </si>
  <si>
    <t>프랭크버거 행신점</t>
  </si>
  <si>
    <t>0319739736</t>
  </si>
  <si>
    <t>대표님 매장 방문하시지 않음, 시간 안내 어렵다고함</t>
  </si>
  <si>
    <t>153258</t>
  </si>
  <si>
    <t>20251107152837</t>
  </si>
  <si>
    <t>라운지 엘 오소</t>
  </si>
  <si>
    <t>01043081184</t>
  </si>
  <si>
    <t>오케이포스 아웃/ 정보확인완료</t>
  </si>
  <si>
    <t>152739</t>
  </si>
  <si>
    <t>20251107152705</t>
  </si>
  <si>
    <t>고우 청담점</t>
  </si>
  <si>
    <t>010-9182-1420</t>
  </si>
  <si>
    <t>부재2</t>
  </si>
  <si>
    <t>152645</t>
  </si>
  <si>
    <t>20251107152043</t>
  </si>
  <si>
    <t>01043602308</t>
  </si>
  <si>
    <t>사업자번호, os정보, 포스 담당자 번호 확인</t>
  </si>
  <si>
    <t>152012</t>
  </si>
  <si>
    <t>20251107151930</t>
  </si>
  <si>
    <t>151703</t>
  </si>
  <si>
    <t>20251107151613</t>
  </si>
  <si>
    <t>010-2675-2291</t>
  </si>
  <si>
    <t>바빠서 포스 계정 확인못함 / 11/10 15시경 재연락드리기로 함</t>
  </si>
  <si>
    <t>151445</t>
  </si>
  <si>
    <t>20251107150953</t>
  </si>
  <si>
    <t>원격 설치완료 안내드림
키트 색상: 4번 (브라운)
제품 타입: 거치형</t>
  </si>
  <si>
    <t>150847</t>
  </si>
  <si>
    <t>20251107145054</t>
  </si>
  <si>
    <t>설치완료
정상연동완료</t>
  </si>
  <si>
    <t>140943</t>
  </si>
  <si>
    <t>20251107140805</t>
  </si>
  <si>
    <t>0319259956</t>
  </si>
  <si>
    <t>롯데리아 / 프렌차이드로 도입이 되지 않는다시고 종료함</t>
  </si>
  <si>
    <t>140037</t>
  </si>
  <si>
    <t>135438</t>
  </si>
  <si>
    <t>20251107134419</t>
  </si>
  <si>
    <t>원격날짜 설치 예약</t>
  </si>
  <si>
    <t>134014</t>
  </si>
  <si>
    <t>113624</t>
  </si>
  <si>
    <t>20251107113519</t>
  </si>
  <si>
    <t>홈플러스 익스프레스 행신2점</t>
  </si>
  <si>
    <t>0319708545</t>
  </si>
  <si>
    <t>음성봇/ 음식점이 아닌 마트라고하심</t>
  </si>
  <si>
    <t>113241</t>
  </si>
  <si>
    <t>20251107113132</t>
  </si>
  <si>
    <t>음성봇/ 대표님 3시30분이후 매장방문으로 재통화 요청</t>
  </si>
  <si>
    <t>113223</t>
  </si>
  <si>
    <t>20251107113038</t>
  </si>
  <si>
    <t>사장님 15시 나오신다함 / 재연락예정</t>
  </si>
  <si>
    <t>112821</t>
  </si>
  <si>
    <t>20251107112751</t>
  </si>
  <si>
    <t>첫인사시 선종료</t>
  </si>
  <si>
    <t>112643</t>
  </si>
  <si>
    <t>20251107112651</t>
  </si>
  <si>
    <t>112544</t>
  </si>
  <si>
    <t>20251107112505</t>
  </si>
  <si>
    <t>112452</t>
  </si>
  <si>
    <t>20251107111945</t>
  </si>
  <si>
    <t>청기와타운 강남점</t>
  </si>
  <si>
    <t>01025599051</t>
  </si>
  <si>
    <t>포스 담당자- 계정정보확인후 업데이트 완료</t>
  </si>
  <si>
    <t>112357</t>
  </si>
  <si>
    <t>20251107112411</t>
  </si>
  <si>
    <t>부재 (팩스연결음)</t>
  </si>
  <si>
    <t>111728</t>
  </si>
  <si>
    <t>20251107111237</t>
  </si>
  <si>
    <t>01067319936</t>
  </si>
  <si>
    <t>매니저 통화- 사업자번호, 포스담당자확인/ 메뉴판 전체사진 다음주쯤 발송가능</t>
  </si>
  <si>
    <t>111703</t>
  </si>
  <si>
    <t>20251107111526</t>
  </si>
  <si>
    <t>포스 관리자 계정, 담당자 확인후 문자회신 주기로 함</t>
  </si>
  <si>
    <t>110919</t>
  </si>
  <si>
    <t>20251107110630</t>
  </si>
  <si>
    <t>01030368866</t>
  </si>
  <si>
    <t>대표님 통화, 매니저 전화번호 말씀해주심010-6731-9936</t>
  </si>
  <si>
    <t>프린트 출력 불가</t>
  </si>
  <si>
    <t>1주차 소계</t>
    <phoneticPr fontId="19" type="noConversion"/>
  </si>
  <si>
    <t>1주차 소계</t>
    <phoneticPr fontId="19" type="noConversion"/>
  </si>
  <si>
    <t>월</t>
    <phoneticPr fontId="19" type="noConversion"/>
  </si>
  <si>
    <t>20251110</t>
  </si>
  <si>
    <t>174959</t>
  </si>
  <si>
    <t>20251110174947</t>
  </si>
  <si>
    <t>고공 성수본점</t>
  </si>
  <si>
    <t>01088544864</t>
  </si>
  <si>
    <t>포스 담당자 / 부재2</t>
  </si>
  <si>
    <t>173410</t>
  </si>
  <si>
    <t>20251110172959</t>
  </si>
  <si>
    <t>프로젝디</t>
  </si>
  <si>
    <t>01084900623</t>
  </si>
  <si>
    <t>매장 담당자 통화완료
사업자번호, 포스 담당자 정보, OS 확인 및 업데이트
메뉴 이메일 발송요청 및 주문키트(QR) 시안 문자 발송완료</t>
  </si>
  <si>
    <t>172612</t>
  </si>
  <si>
    <t>20251110172519</t>
  </si>
  <si>
    <t>음성봇, 사용의향 없음</t>
  </si>
  <si>
    <t>171818</t>
  </si>
  <si>
    <t>20251110171757</t>
  </si>
  <si>
    <t>3회차 : 받았다가 바로 끊음</t>
  </si>
  <si>
    <t>165042</t>
  </si>
  <si>
    <t>20251110164757</t>
  </si>
  <si>
    <t>010-8490-0623</t>
  </si>
  <si>
    <t>010-8490-0623 / 점포 담당자라고하심
주소만 확인, 사업자번호 휴대폰 찾아봐야된다며 17:30 재연락요청</t>
  </si>
  <si>
    <t>164430</t>
  </si>
  <si>
    <t>20251110164414</t>
  </si>
  <si>
    <t>010-8854-4864</t>
  </si>
  <si>
    <t>포스 담당자 / 부재</t>
  </si>
  <si>
    <t>163721</t>
  </si>
  <si>
    <t>20251110163143</t>
  </si>
  <si>
    <t>010-7106-3121</t>
  </si>
  <si>
    <t>대표님 통화완료
사업자번호, 대리점 정보, OS 확인 및 업데이트
메뉴 이메일 발송요청 및 주문키트(QR) 시안 문자 발송완료
영어 메뉴판 가능문의 / 가능하나 오번역 있을수 있음 안내시 괜찮다고하심 / 수정가능함 안내</t>
  </si>
  <si>
    <t>160814</t>
  </si>
  <si>
    <t>20251110160108</t>
  </si>
  <si>
    <t>01037716817</t>
  </si>
  <si>
    <t>문자로 회신 주신다셔서 본 상담사 휴대폰으로 문자전송함</t>
  </si>
  <si>
    <t>155842</t>
  </si>
  <si>
    <t>20251110155758</t>
  </si>
  <si>
    <t>원격일정 문의차 연락시 부재2</t>
  </si>
  <si>
    <t>154542</t>
  </si>
  <si>
    <t>20251110154412</t>
  </si>
  <si>
    <t>153339</t>
  </si>
  <si>
    <t>20251110153147</t>
  </si>
  <si>
    <t>설치중 디스크용량부족으로 진행 안됨/ 내일 동일시간 진행예정 대표님께서는 바로 포스사 전화하신다고함</t>
  </si>
  <si>
    <t>153037</t>
  </si>
  <si>
    <t>20251110150107</t>
  </si>
  <si>
    <t>설치 안내</t>
  </si>
  <si>
    <t>151750</t>
  </si>
  <si>
    <t>20251110151612</t>
  </si>
  <si>
    <t>이용중인 시스템 있다며 거부</t>
  </si>
  <si>
    <t>150020</t>
  </si>
  <si>
    <t>20251110150013</t>
  </si>
  <si>
    <t>144100</t>
  </si>
  <si>
    <t>20251110143922</t>
  </si>
  <si>
    <t>01091821420</t>
  </si>
  <si>
    <t>통화 연결 실패 (재연락 예정) &gt; 11/11일 동일 시간대에 재연락드릴 예정. 문자전송함</t>
  </si>
  <si>
    <t>143319</t>
  </si>
  <si>
    <t>20251110143227</t>
  </si>
  <si>
    <t>141417</t>
  </si>
  <si>
    <t>20251110141416</t>
  </si>
  <si>
    <t>141303</t>
  </si>
  <si>
    <t>20251110141059</t>
  </si>
  <si>
    <t>고향집감자탕</t>
  </si>
  <si>
    <t>0312932012</t>
  </si>
  <si>
    <t>테이블수가 적어서 필요 없음</t>
  </si>
  <si>
    <t>141134</t>
  </si>
  <si>
    <t>20251110140957</t>
  </si>
  <si>
    <t>왓닭</t>
  </si>
  <si>
    <t>0312388255</t>
  </si>
  <si>
    <t>캐치테이블 음성봇
첫 인사시 아니예요 하시고 끊으심</t>
  </si>
  <si>
    <t>140906</t>
  </si>
  <si>
    <t>20251110140813</t>
  </si>
  <si>
    <t>PB델리-장안구청점</t>
  </si>
  <si>
    <t>0312412114</t>
  </si>
  <si>
    <t>캐치테이블 음성봇
빵집이고 테이블도 없다고하심</t>
  </si>
  <si>
    <t>140725</t>
  </si>
  <si>
    <t>20251110140603</t>
  </si>
  <si>
    <t>0312421566</t>
  </si>
  <si>
    <t>캐치테이블 음성봇
관심없다시고 선종료</t>
  </si>
  <si>
    <t>131946</t>
  </si>
  <si>
    <t>20251110131401</t>
  </si>
  <si>
    <t>01065429408</t>
  </si>
  <si>
    <t>포스정보확인차 담당자 아웃, 정보업데이트 완료</t>
  </si>
  <si>
    <t>113736</t>
  </si>
  <si>
    <t>20251110113533</t>
  </si>
  <si>
    <t>0312530337</t>
  </si>
  <si>
    <t>풍천민물장어 
통화 어렵다고하시고 무응답 / 익일 재연락드림. 선종료 양해 멘트후 종료함</t>
  </si>
  <si>
    <t>171214</t>
  </si>
  <si>
    <t>20251110170857</t>
  </si>
  <si>
    <t>01052868022</t>
  </si>
  <si>
    <t>에이전트 정상 로딩 불가</t>
  </si>
  <si>
    <t>메뉴수정이 안된것같다고 하셔서 재통화 요청하심</t>
  </si>
  <si>
    <t>153613</t>
  </si>
  <si>
    <t>20251110153448</t>
  </si>
  <si>
    <t>미답변</t>
  </si>
  <si>
    <t>07076079153</t>
  </si>
  <si>
    <t>부재중보고 연락주심 / QR오더임 안내시 사용하라고 전화온거냐고 하시며 괜찮다고하시고 종료하심</t>
  </si>
  <si>
    <t>145938</t>
  </si>
  <si>
    <t>20251110145548</t>
  </si>
  <si>
    <t>메뉴 옵션설정관련 - 담당자 전달 완료</t>
  </si>
  <si>
    <t xml:space="preserve">0. 인력현황 </t>
    <phoneticPr fontId="19" type="noConversion"/>
  </si>
  <si>
    <t>1. 일별 실적 현황</t>
    <phoneticPr fontId="19" type="noConversion"/>
  </si>
  <si>
    <t>20251111</t>
  </si>
  <si>
    <t>174014</t>
  </si>
  <si>
    <t>20251111172812</t>
  </si>
  <si>
    <t>음 세이로무시</t>
  </si>
  <si>
    <t>0328619970</t>
  </si>
  <si>
    <t>포스 대표번호 통화하여 계정정보 확인후 업데이트 함</t>
  </si>
  <si>
    <t>171554</t>
  </si>
  <si>
    <t>20251111170353</t>
  </si>
  <si>
    <t>01036428436</t>
  </si>
  <si>
    <t>010-3642-8436 통화 완료
[음 세이로무시] 폐업했고 [이백이호]라고하심  
사업자번호, 대리점 정보
윈도우 기반인것 같다시며 미니포스기인데 가상키보드 되긴한다고하심
메뉴 이메일 발송요청 및 주문키트(QR) 시안 문자 발송완료</t>
  </si>
  <si>
    <t>170136</t>
  </si>
  <si>
    <t>20251111170101</t>
  </si>
  <si>
    <t>OK포스 본사에 연동신청이 필요하여 연동 완료되면 다시 연락드린다고 안내</t>
  </si>
  <si>
    <t>165922</t>
  </si>
  <si>
    <t>20251111164827</t>
  </si>
  <si>
    <t>t오더 또는 하이오더 아니면 다른 QR주문받는 프로그램등 사용하신 적 있는지 문의 / 한번도 없었다고하심</t>
  </si>
  <si>
    <t>164044</t>
  </si>
  <si>
    <t>20251111163917</t>
  </si>
  <si>
    <t>01030073366</t>
  </si>
  <si>
    <t>원격시도시 정상 연동되지 않아 원격 재시도 해도 되는지 문의 / 가능하다고하심</t>
  </si>
  <si>
    <t>163724</t>
  </si>
  <si>
    <t>20251111163455</t>
  </si>
  <si>
    <t>프로그램 설치 되었으나 연동 안됨 / 팀즈에 내용공유후 대표님께 안내 함</t>
  </si>
  <si>
    <t>20251111161211</t>
  </si>
  <si>
    <t>온리고엔코</t>
  </si>
  <si>
    <t>0221353755</t>
  </si>
  <si>
    <t>온리고엔코에는 타사QR오더 도입하여 사용중
카운터에서 고객이 QR을 찍어서 결제만 하는 시스템인줄 알고 잘못 신청하셨다함</t>
  </si>
  <si>
    <t>160902</t>
  </si>
  <si>
    <t>20251111160420</t>
  </si>
  <si>
    <t>정보 수집중 이미 사용하고있다고 하심</t>
  </si>
  <si>
    <t>20251111155702</t>
  </si>
  <si>
    <t>스시투고 용산점</t>
  </si>
  <si>
    <t>01050971372</t>
  </si>
  <si>
    <t>사업자번호, 포스대리점번호, OS정보 확인</t>
  </si>
  <si>
    <t>155411</t>
  </si>
  <si>
    <t>20251111154638</t>
  </si>
  <si>
    <t>한윤주가 영등포본점</t>
  </si>
  <si>
    <t>01068381263</t>
  </si>
  <si>
    <t>대표님 통화완료/ 사업자번호,OS정보 업데이트 완료/ 메일발송및 주문키트 문자발송</t>
  </si>
  <si>
    <t>154510</t>
  </si>
  <si>
    <t>20251111154402</t>
  </si>
  <si>
    <t>01024975479</t>
  </si>
  <si>
    <t>150449</t>
  </si>
  <si>
    <t>20251111150415</t>
  </si>
  <si>
    <t>010-7750-3547</t>
  </si>
  <si>
    <t>결정된 사항 있으신지 원격일정 확인차 연락드렸으나 신호음중 넘김</t>
  </si>
  <si>
    <t>150246</t>
  </si>
  <si>
    <t>20251111145940</t>
  </si>
  <si>
    <t>전일자 설치되지 않아 디스크 정리 요청했으나 포스사에서 전화를 받지 않는다고함/ 개인적으로 정리후 재시도 해볼예정</t>
  </si>
  <si>
    <t>145157</t>
  </si>
  <si>
    <t>20251111145010</t>
  </si>
  <si>
    <t>010-2497-5479</t>
  </si>
  <si>
    <t>금일 15:30 원격설치요청 
초록색, 부착형으로 하겠다 말씀하셨다함</t>
  </si>
  <si>
    <t>144519</t>
  </si>
  <si>
    <t>20251111144500</t>
  </si>
  <si>
    <t>144302</t>
  </si>
  <si>
    <t>20251111144137</t>
  </si>
  <si>
    <t>원격일정 문의차 연락시 부재</t>
  </si>
  <si>
    <t>143146</t>
  </si>
  <si>
    <t>20251111142601</t>
  </si>
  <si>
    <t>일품 마곡점</t>
  </si>
  <si>
    <t>01029261643</t>
  </si>
  <si>
    <t>일품 마곡점, 일품 광화문점 대표님 동일
원격요청일정: 11/13 (목) 14:30~15:00 마곡, 광화문
마곡점 010-4118-0444 노현우 팀장님
광화문 010-4592-7401 고유한샘 팀장님
거치형, 5번 (그린) 말씀드렸었고 로고삽입 요청했었다고고하심</t>
  </si>
  <si>
    <t>140904</t>
  </si>
  <si>
    <t>20251111140726</t>
  </si>
  <si>
    <t>원격일차 문의차 매니저 통화
본사 답변 기다리는중이라 원격일정 확인 어렵다심. 확정되면 대표번호로 연락주시기로 함, 대표번호 문자전송함</t>
  </si>
  <si>
    <t>135302</t>
  </si>
  <si>
    <t>20251111134938</t>
  </si>
  <si>
    <t>원격일정 문의로 연락드리니 일전에 매장에 방문한다고 안내 받았으나  아직 방문일정 안내를 못받고 있다며 혹시 전화 못받을경우 문자 남겨놓으면 콜백하겠다고 하심</t>
  </si>
  <si>
    <t>132839</t>
  </si>
  <si>
    <t>20251111132614</t>
  </si>
  <si>
    <t>원격일정 문의로 연락시 앞으로 점장님한테 연락하라며 연락처 알려주심 
점장님 : 010-2497-5479 (15시30분쯤 통화가능할꺼라고하심)</t>
  </si>
  <si>
    <t>132332</t>
  </si>
  <si>
    <t>20251111131645</t>
  </si>
  <si>
    <t>대표님 통화완료
원격요청일정 11/11 16:00 
QR키트 재확인 / 1번 블랙, 스탠드형 맞다고하심</t>
  </si>
  <si>
    <t>132149</t>
  </si>
  <si>
    <t>20251111132047</t>
  </si>
  <si>
    <t>백정집</t>
  </si>
  <si>
    <t>01085395589</t>
  </si>
  <si>
    <t>포스 담당자- 외부 업무중으로 추후 회신한다고함</t>
  </si>
  <si>
    <t>131652</t>
  </si>
  <si>
    <t>20251111131421</t>
  </si>
  <si>
    <t>한냄비 성수점냄</t>
  </si>
  <si>
    <t>01052710166</t>
  </si>
  <si>
    <t>메뉴판 전체사진 이메일 발송 어렵다고하셔서 법인폰  안내</t>
  </si>
  <si>
    <t>131306</t>
  </si>
  <si>
    <t>20251111131216</t>
  </si>
  <si>
    <t>키트 색상: 2번 (흰색)
제품 타입: 부착형</t>
  </si>
  <si>
    <t>131236</t>
  </si>
  <si>
    <t>20251111130928</t>
  </si>
  <si>
    <t>한냄비 성수점</t>
  </si>
  <si>
    <t>메뉴판 이메일 발송 어렵다고 하셔서 법인폰 번호 말씀드림</t>
  </si>
  <si>
    <t>131127</t>
  </si>
  <si>
    <t>20251111130759</t>
  </si>
  <si>
    <t>01026619262</t>
  </si>
  <si>
    <t>11/12 (수) 10시 원경요청 / 시안은 문자로 답장하셨다함</t>
  </si>
  <si>
    <t>130440</t>
  </si>
  <si>
    <t>20251111125947</t>
  </si>
  <si>
    <t>01098298268</t>
  </si>
  <si>
    <t>포스 담당자,OS,사업자 번호 확인후 업데이트 완료</t>
  </si>
  <si>
    <t>115500</t>
  </si>
  <si>
    <t>20251111115148</t>
  </si>
  <si>
    <t>포스담당자 확인</t>
  </si>
  <si>
    <t>115157</t>
  </si>
  <si>
    <t>20251111115013</t>
  </si>
  <si>
    <t>포스 담당자 통화 / 계정정보 확인후 개인폰으로 문자 회신주기로 함 (3~4시경 가능하다고함)</t>
  </si>
  <si>
    <t>105843</t>
  </si>
  <si>
    <t>20251111105554</t>
  </si>
  <si>
    <t>1588-1126</t>
  </si>
  <si>
    <t>포스대리점 통화 / 영업담당자가 연락주실꺼라고 함, 개인번호로 연락요청함</t>
  </si>
  <si>
    <t>104856</t>
  </si>
  <si>
    <t>20251111104442</t>
  </si>
  <si>
    <t>사업자번호확인/ 포스담당자는 5분뒤 재통화</t>
  </si>
  <si>
    <t>104714</t>
  </si>
  <si>
    <t>20251111104316</t>
  </si>
  <si>
    <t>02-6224-8292</t>
  </si>
  <si>
    <t>포스 대리점인줄 알고 전화했으나 매장에서 받아 양해 말씀후 종료 / 대표님께서 매장 연락처 알려 주신것으로 생각됨 / 재통화예정</t>
  </si>
  <si>
    <t>102104</t>
  </si>
  <si>
    <t>20251111101920</t>
  </si>
  <si>
    <t>01034353879</t>
  </si>
  <si>
    <t>포스 담당자 통화 / 문자로 보내주시기로 함 (보통은 asp계정은 공유하지 않더라 언급)</t>
  </si>
  <si>
    <t>101757</t>
  </si>
  <si>
    <t>20251111101658</t>
  </si>
  <si>
    <t>20251111113027</t>
  </si>
  <si>
    <t>오스테리아 이아드 용산</t>
  </si>
  <si>
    <t>01071003778</t>
  </si>
  <si>
    <t>매장 휴무일 월, 화로 되어있으나 금일부터 월요일만 휴무
화요일도 영업설정 요청
- 비즈사이트에서 영업시간 및 휴게시간 화요일 추가 완료</t>
  </si>
  <si>
    <t>105315</t>
  </si>
  <si>
    <t>20251111105021</t>
  </si>
  <si>
    <t>01020902655</t>
  </si>
  <si>
    <t>[IN] 계정정보 문자 회신하기로했으나 대표번호만 확인되어 수신가능한번호 말씀드림</t>
  </si>
  <si>
    <t>화</t>
    <phoneticPr fontId="19" type="noConversion"/>
  </si>
  <si>
    <t>화</t>
    <phoneticPr fontId="19" type="noConversion"/>
  </si>
  <si>
    <t>2. 상담유형별 현황</t>
    <phoneticPr fontId="19" type="noConversion"/>
  </si>
  <si>
    <t>수</t>
    <phoneticPr fontId="19" type="noConversion"/>
  </si>
  <si>
    <t>20251112</t>
  </si>
  <si>
    <t>170653</t>
  </si>
  <si>
    <t>20251112170244</t>
  </si>
  <si>
    <t>청담나인</t>
  </si>
  <si>
    <t>01072799161</t>
  </si>
  <si>
    <t>QR 부착하실 테이블수 확인차 연락
익일 원격설치 시 결정해서 확인해주신다함</t>
  </si>
  <si>
    <t>162303</t>
  </si>
  <si>
    <t>20251112162117</t>
  </si>
  <si>
    <t>010-7279-9161</t>
  </si>
  <si>
    <t>11/13 13시 원격요청 / 메뉴, QR시안 문자발송함</t>
  </si>
  <si>
    <t>161959</t>
  </si>
  <si>
    <t>20251112161922</t>
  </si>
  <si>
    <t>김진목삼 2호점</t>
  </si>
  <si>
    <t>01051663901</t>
  </si>
  <si>
    <t>토스포스 이용중이라 안된다고 안내 받았고 다음에 연락준다고 했다함</t>
  </si>
  <si>
    <t>161314</t>
  </si>
  <si>
    <t>20251112161207</t>
  </si>
  <si>
    <t>파고</t>
  </si>
  <si>
    <t>01041252279</t>
  </si>
  <si>
    <t>파레레, 파고 점주님 아니라고함</t>
  </si>
  <si>
    <t>160738</t>
  </si>
  <si>
    <t>20251112160718</t>
  </si>
  <si>
    <t>램프</t>
  </si>
  <si>
    <t>01085434333</t>
  </si>
  <si>
    <t>160033</t>
  </si>
  <si>
    <t>20251112155851</t>
  </si>
  <si>
    <t>풍천민물장어</t>
  </si>
  <si>
    <t>031-253-0337</t>
  </si>
  <si>
    <t>안한다셔서 기기설치 필요없고 유지보수 비용도 들지 않는다 안내했으나 점포 규모 작아서 필요없다고하심</t>
  </si>
  <si>
    <t>155808</t>
  </si>
  <si>
    <t>20251112155625</t>
  </si>
  <si>
    <t>음성봇
받자마자 사장님 안계신다고함 / 다시 연락드림 안내</t>
  </si>
  <si>
    <t>왕이 될 족인가. 나다오 족발보쌈</t>
  </si>
  <si>
    <t>155305</t>
  </si>
  <si>
    <t>20251112154914</t>
  </si>
  <si>
    <t>삼평상회</t>
  </si>
  <si>
    <t>01099236469</t>
  </si>
  <si>
    <t>대표님 통화완료
11/20 포스설치 예정
메뉴 정보 발송하실 E-mail 및 QR시안 문자발송 안내
11/20 15:30 이후 연락드리기로함</t>
  </si>
  <si>
    <t>154337</t>
  </si>
  <si>
    <t>20251112154203</t>
  </si>
  <si>
    <t>010-4360-2308</t>
  </si>
  <si>
    <t>원격일정 확인차 OB시 부재 + 문자</t>
  </si>
  <si>
    <t>153933</t>
  </si>
  <si>
    <t>20251112153855</t>
  </si>
  <si>
    <t>이용여부 관련 내부 논의 되셨는지 문의차 연락드렸으나 부재</t>
  </si>
  <si>
    <t>153649</t>
  </si>
  <si>
    <t>20251112153641</t>
  </si>
  <si>
    <t>포스담당자 : 부재</t>
  </si>
  <si>
    <t>153510</t>
  </si>
  <si>
    <t>20251112153357</t>
  </si>
  <si>
    <t>메뉴, QR시안, 원격가능일정 문의차 연락드렸으나 부재</t>
  </si>
  <si>
    <t>152833</t>
  </si>
  <si>
    <t>20251112152616</t>
  </si>
  <si>
    <t>대표님 통화완료
포스계정정보 확인후 대표번호로 연락준다고하심 / 대표번호 문자전송함</t>
  </si>
  <si>
    <t>152411</t>
  </si>
  <si>
    <t>20251112152349</t>
  </si>
  <si>
    <t>정상화됨 안내 / 확인했다고하심</t>
  </si>
  <si>
    <t>151258</t>
  </si>
  <si>
    <t>20251112150609</t>
  </si>
  <si>
    <t>설치완료
정상연동완료
QR시안 결정하셨는지 문의시 다양하게 해달라고 얘기했었고 다윤님께 전달했다고하심</t>
  </si>
  <si>
    <t>145259</t>
  </si>
  <si>
    <t>20251112144111</t>
  </si>
  <si>
    <t>뉴 오더클럽 한남</t>
  </si>
  <si>
    <t>캐치오더 실행 시 계속 꺼지는 오류발생
- 원격진행 안내 후 원격 접속
- 포스 재실행, 개점상태에서 캐치오더 포스 실행 시 정상 연동되다가 잠시 후 강제 로그아웃 되는 현상이 발생
- 확인 후 재연락 드리기로함</t>
  </si>
  <si>
    <t>144026</t>
  </si>
  <si>
    <t>20251112143657</t>
  </si>
  <si>
    <t>지속 연동 오류로 확인 차 OB
OK 포스 먼저 키신 후 캐치오더 실행안내
원격안내</t>
  </si>
  <si>
    <t>143959</t>
  </si>
  <si>
    <t>20251112143904</t>
  </si>
  <si>
    <t>바로 소리샘으로 넘어감 (재연락예정)</t>
  </si>
  <si>
    <t>143407</t>
  </si>
  <si>
    <t>20251112142831</t>
  </si>
  <si>
    <t>현재 연동불가. 어제도 잘 안되서 여러번 껏다켜니 됐었으나 오늘은 연동이 아예안됨 / 메뉴 수정하셨는지 문의시 사장님이 하신것 같다?라고하심 / 확인후 연락드림 안내</t>
  </si>
  <si>
    <t>142556</t>
  </si>
  <si>
    <t>20251112142549</t>
  </si>
  <si>
    <t>010-5166-3901</t>
  </si>
  <si>
    <t>벨2회 울리고 소리샘</t>
  </si>
  <si>
    <t>141940</t>
  </si>
  <si>
    <t>20251112141738</t>
  </si>
  <si>
    <t>원격일정 : 11/12 14:50 요청 
하이오더 사용중이라고하심</t>
  </si>
  <si>
    <t>141548</t>
  </si>
  <si>
    <t>20251112141454</t>
  </si>
  <si>
    <t>010-4642-6825</t>
  </si>
  <si>
    <t>부재 (재연락예정)</t>
  </si>
  <si>
    <t>20251112133713</t>
  </si>
  <si>
    <t>업체명: 고담 
요청번호 : 01034818841 
시스템 관련 남자분과 통화했었다며 연락요청하심 &gt; 팀즈 전달함</t>
  </si>
  <si>
    <t>132236</t>
  </si>
  <si>
    <t>20251112131633</t>
  </si>
  <si>
    <t>15443406</t>
  </si>
  <si>
    <t>포스대리점 통화 
기술팀에 계정정보 문의후 문자 회신 주기로함</t>
  </si>
  <si>
    <t>114533</t>
  </si>
  <si>
    <t>20251112113857</t>
  </si>
  <si>
    <t>팀즈에 과장님께서 해당매장 원격 재시도 가능일정 문의하시어 대표님 통화함
금일 원격 가능일정 재문의시 지금만 가능. 이따가는 안된다고하심 &gt; 팀즈전달</t>
  </si>
  <si>
    <t>101730</t>
  </si>
  <si>
    <t>20251112101702</t>
  </si>
  <si>
    <t>2025-11-12 10:17
설치완료
정상연동완료</t>
  </si>
  <si>
    <t>093313</t>
  </si>
  <si>
    <t>20251112092215</t>
  </si>
  <si>
    <t>포스 대표번호 통화
포스 계정정보 문자요청 &gt;&gt; 수신함</t>
  </si>
  <si>
    <t>151927</t>
  </si>
  <si>
    <t>연결실패</t>
  </si>
  <si>
    <t>부재1</t>
  </si>
  <si>
    <t>133833</t>
  </si>
  <si>
    <t>매니저 연결 실패2회</t>
  </si>
  <si>
    <t>132906</t>
  </si>
  <si>
    <t>155319</t>
  </si>
  <si>
    <t>음성봇 아웃- 부재</t>
  </si>
  <si>
    <t>154138</t>
  </si>
  <si>
    <t>01032277136</t>
  </si>
  <si>
    <t>부재로 재아웃했으나 연결실채</t>
  </si>
  <si>
    <t>140445</t>
  </si>
  <si>
    <t>코네</t>
  </si>
  <si>
    <t>포스 담당자 부재</t>
  </si>
  <si>
    <t>134719</t>
  </si>
  <si>
    <t>김막회</t>
  </si>
  <si>
    <t>매니저 아웃
연결안됨</t>
  </si>
  <si>
    <t>134432</t>
  </si>
  <si>
    <t>130947</t>
  </si>
  <si>
    <t>이치고</t>
  </si>
  <si>
    <t>130116</t>
  </si>
  <si>
    <t>요청시간 아웃했으나 부재</t>
  </si>
  <si>
    <t>수</t>
    <phoneticPr fontId="19" type="noConversion"/>
  </si>
  <si>
    <t>20251113</t>
  </si>
  <si>
    <t>173542</t>
  </si>
  <si>
    <t>20251113173403</t>
  </si>
  <si>
    <t>타키 한남점</t>
  </si>
  <si>
    <t>01041917813</t>
  </si>
  <si>
    <t>포스 담당자 통화 안되어 통화 확인후 회신 주기로함</t>
  </si>
  <si>
    <t>172201</t>
  </si>
  <si>
    <t>20251113172109</t>
  </si>
  <si>
    <t>01094313823</t>
  </si>
  <si>
    <t>설치 완료 안내</t>
  </si>
  <si>
    <t>172033</t>
  </si>
  <si>
    <t>20251113170939</t>
  </si>
  <si>
    <t>이지헬프</t>
  </si>
  <si>
    <t>171348</t>
  </si>
  <si>
    <t>20251113171330</t>
  </si>
  <si>
    <t>색동저고리 마포(61856)</t>
  </si>
  <si>
    <t>010-3317-0307</t>
  </si>
  <si>
    <t>170809</t>
  </si>
  <si>
    <t>20251113165913</t>
  </si>
  <si>
    <t>대표님 통화완료
사업자번호, OS 확인 및 업데이트
주문키트(QR) 시안 문자 발송완료
다른 형식의 주문 시스템 사용한적 없다고하심
포스계정정보 직접 문의해주시기로 함 (17:30분 재통화예정)</t>
  </si>
  <si>
    <t>20251113163507</t>
  </si>
  <si>
    <t>99육회본가 본점</t>
  </si>
  <si>
    <t>01041082480</t>
  </si>
  <si>
    <t>대표님 통화완료
사업자번호, 포스 담당자, OS 확인 및 업데이트
주문키트(QR) 시안 문자 발송완료
다른 형식의 주문 시스템 사용한적 없다고하심
포스 담당자 010-3668-5839
포스명 BST , 소기업 제품인것 같다고하시며 포스 변경 예정이라고하심</t>
  </si>
  <si>
    <t>164121</t>
  </si>
  <si>
    <t>20251113164028</t>
  </si>
  <si>
    <t>일품 마곡점 설치완료</t>
  </si>
  <si>
    <t>163233</t>
  </si>
  <si>
    <t>20251113163024</t>
  </si>
  <si>
    <t>원격 이지헬프 접속 안내</t>
  </si>
  <si>
    <t>163147</t>
  </si>
  <si>
    <t>162610</t>
  </si>
  <si>
    <t>20251113162501</t>
  </si>
  <si>
    <t>스모크 트레인</t>
  </si>
  <si>
    <t>01035583901</t>
  </si>
  <si>
    <t>부재2 + 문자</t>
  </si>
  <si>
    <t>161950</t>
  </si>
  <si>
    <t>20251113161000</t>
  </si>
  <si>
    <t>천공</t>
  </si>
  <si>
    <t>01063902242</t>
  </si>
  <si>
    <t>사업자,os,포스담당자 번호확인/ qr코드 확인</t>
  </si>
  <si>
    <t>161524</t>
  </si>
  <si>
    <t>20251113161523</t>
  </si>
  <si>
    <t>프로젝 디</t>
  </si>
  <si>
    <t>원격일정 문의차 연락드렸으나 부재</t>
  </si>
  <si>
    <t>160917</t>
  </si>
  <si>
    <t>20251113160841</t>
  </si>
  <si>
    <t>031-911-8285</t>
  </si>
  <si>
    <t>캐치테이블 음성봇 
11/5부터 지속 부재로 콜백종료함</t>
  </si>
  <si>
    <t>155508</t>
  </si>
  <si>
    <t>20251113154720</t>
  </si>
  <si>
    <t>흑돈가 명동점</t>
  </si>
  <si>
    <t>01062212030</t>
  </si>
  <si>
    <t>사업자정보,포스담당자 번호확인/ lgu+ qr오더 동시사용가능여부 문의주심</t>
  </si>
  <si>
    <t>155344</t>
  </si>
  <si>
    <t>20251113155239</t>
  </si>
  <si>
    <t>원격일정 확인차 연락드렸으나 부재</t>
  </si>
  <si>
    <t>154953</t>
  </si>
  <si>
    <t>20251113154335</t>
  </si>
  <si>
    <t>내부논의시 장단점을 생각해봤을때 이용하지 않는걸로 결정되었다시어 긍정적인 재검토 부탁말씀드리며 이용원하실 경우 연락주시도록 안내드리고 대표번호 문자 발송했습니다.</t>
  </si>
  <si>
    <t>154538</t>
  </si>
  <si>
    <t>20251113154444</t>
  </si>
  <si>
    <t>01088285461</t>
  </si>
  <si>
    <t>캐치테이블 담당자 연결 - 부재</t>
  </si>
  <si>
    <t>153903</t>
  </si>
  <si>
    <t>20251113153752</t>
  </si>
  <si>
    <t>삼정하누 광화문점(2274)</t>
  </si>
  <si>
    <t>010-3342-4381</t>
  </si>
  <si>
    <t>포스 담당자 통화시 작업중이라며 문자요청하심</t>
  </si>
  <si>
    <t>153648</t>
  </si>
  <si>
    <t>20251113153616</t>
  </si>
  <si>
    <t>포스 계정 확인차 연락드렸으나 부재</t>
  </si>
  <si>
    <t>153631</t>
  </si>
  <si>
    <t>20251113153219</t>
  </si>
  <si>
    <t>티오더와 동시사용가능 안내</t>
  </si>
  <si>
    <t>153334</t>
  </si>
  <si>
    <t>20251113152642</t>
  </si>
  <si>
    <t>일품 광화문점</t>
  </si>
  <si>
    <t>설치 원격진행
- 주문 미수신으로 확인되어 메뉴코드 확인해본다하심 (캐치테이블 김건우 담당자님)</t>
  </si>
  <si>
    <t>010-4125-2249</t>
  </si>
  <si>
    <t>152406</t>
  </si>
  <si>
    <t>20251113151939</t>
  </si>
  <si>
    <t>원격일정차 아웃했으나 공동대표로 전화 요청하심 금일 17시10분 진행 요청</t>
  </si>
  <si>
    <t>151743</t>
  </si>
  <si>
    <t>20251113151459</t>
  </si>
  <si>
    <t>보통의 숲</t>
  </si>
  <si>
    <t>01032322358</t>
  </si>
  <si>
    <t>통화 넘김으로 문자발송후 재통화예정</t>
  </si>
  <si>
    <t>150826</t>
  </si>
  <si>
    <t>20251113150020</t>
  </si>
  <si>
    <t>사업자번호, 포스담당자, OS정보확인/ 티오더 지금 사용중</t>
  </si>
  <si>
    <t>145806</t>
  </si>
  <si>
    <t>20251113145643</t>
  </si>
  <si>
    <t>대표님 통화완료
포스사에 전화하셔서 계정정보 확인요청함 / 전화드리겠다고했으나 확인되면 직접 연락주겠다고하심</t>
  </si>
  <si>
    <t>145522</t>
  </si>
  <si>
    <t>20251113145110</t>
  </si>
  <si>
    <t>원격일정 조율/ 다음주 해당시간과 비슷하게 진행 요청하심, QR은 미결정상태로 원격시 결정하신다고함</t>
  </si>
  <si>
    <t>145220</t>
  </si>
  <si>
    <t>20251113144439</t>
  </si>
  <si>
    <t>028361040</t>
  </si>
  <si>
    <t>포스 대리점 통화시 대표님이 직접 연락주셔야 계정정보 안내해줄 수 있다고함 
&gt; 대표님께 요청드리고  문자전송 함</t>
  </si>
  <si>
    <t>144908</t>
  </si>
  <si>
    <t>20251113144758</t>
  </si>
  <si>
    <t>전화드렸으나 외부에 있어 4시반이후 재진행 요청하심</t>
  </si>
  <si>
    <t>144358</t>
  </si>
  <si>
    <t>20251113144243</t>
  </si>
  <si>
    <t>설치는 되었으나 포스사와 확인해야함, 재통화안내</t>
  </si>
  <si>
    <t>144230</t>
  </si>
  <si>
    <t>144151</t>
  </si>
  <si>
    <t>20251113143804</t>
  </si>
  <si>
    <t>대표님 통화완료
사업자번호, 포스 대표번호 , OS 확인 및 업데이트
주문키트(QR) 시안 문자 발송완료
다른 형식의 주문 시스템 사용한적 없다고하심</t>
  </si>
  <si>
    <t>143335</t>
  </si>
  <si>
    <t>20251113143227</t>
  </si>
  <si>
    <t>설치되지 않아 다른오더프로그램 사용하는지 한적이있는지 문의했으나 전혀 없다고함</t>
  </si>
  <si>
    <t>143148</t>
  </si>
  <si>
    <t>20251113141706</t>
  </si>
  <si>
    <t>포스 개점</t>
  </si>
  <si>
    <t>143119</t>
  </si>
  <si>
    <t>20251113143010</t>
  </si>
  <si>
    <t>010-4592-7401</t>
  </si>
  <si>
    <t>010-4592-7401 팀장님 통화완료
지금 바빠서 불가 / 11/14 (금) 14:30 재연락요청</t>
  </si>
  <si>
    <t>141627</t>
  </si>
  <si>
    <t>20251113140708</t>
  </si>
  <si>
    <t>010-5205-0845</t>
  </si>
  <si>
    <t>대표님 통화완료
사업자번호, 포스담당자 연락처, OS 확인 및 업데이트
주문키트(QR) 시안 문자 발송완료
부착형으로 요청하시는게 맞는지 재확인시 거치형이 어떤건지 몰라서 부착형으로 말했다고하심 / QR시간 문자 확인후 결정해주십사 안내드림</t>
  </si>
  <si>
    <t>141226</t>
  </si>
  <si>
    <t>20251113135957</t>
  </si>
  <si>
    <t>파공일</t>
  </si>
  <si>
    <t>원격설치 이지헬프 다운로드</t>
  </si>
  <si>
    <t>140432</t>
  </si>
  <si>
    <t>20251113140312</t>
  </si>
  <si>
    <t>음 세이로무시 -&gt; 이백이호</t>
  </si>
  <si>
    <t>01077116560</t>
  </si>
  <si>
    <t>이백이호 점포의 사업자명이 [엄기용RND] 맞다고 함</t>
  </si>
  <si>
    <t>135511</t>
  </si>
  <si>
    <t>20251113135420</t>
  </si>
  <si>
    <t>주문테스트 14시이후 가능 문의차 연락드렸으나 신호음중 소리샘으로 넘어감</t>
  </si>
  <si>
    <t>133055</t>
  </si>
  <si>
    <t>20251113132929</t>
  </si>
  <si>
    <t>포스정보확인차 아웃/ 사장님은 신청한적이 없다고하시며 우선 점심시간이라 회신 주기로함</t>
  </si>
  <si>
    <t>132339</t>
  </si>
  <si>
    <t>20251113131857</t>
  </si>
  <si>
    <t>01091258573</t>
  </si>
  <si>
    <t>포스정보확인차 아웃했으나 asp아이디는 매장마다 부여하지 않음, 그리고 오케이 포스가 아닌 스마트로라고 함</t>
  </si>
  <si>
    <t>132038</t>
  </si>
  <si>
    <t>20251113131032</t>
  </si>
  <si>
    <t>2025-11-12 13:20
설치완료
정상연동완료</t>
  </si>
  <si>
    <t>130044</t>
  </si>
  <si>
    <t>20251113130032</t>
  </si>
  <si>
    <t>111815</t>
  </si>
  <si>
    <t>20251113111743</t>
  </si>
  <si>
    <t>010-8543-4333</t>
  </si>
  <si>
    <t>110350</t>
  </si>
  <si>
    <t>20251113110052</t>
  </si>
  <si>
    <t>원격일정 조율차 아웃했으나 본사 교육및 메뉴작업이 24~25일 진행되므로 그이후 결정하다고 하심</t>
  </si>
  <si>
    <t>105805</t>
  </si>
  <si>
    <t>20251113105713</t>
  </si>
  <si>
    <t>105429</t>
  </si>
  <si>
    <t>20251113105415</t>
  </si>
  <si>
    <t>104032</t>
  </si>
  <si>
    <t>20251113103555</t>
  </si>
  <si>
    <t>원격일정조율차 아웃/ 다음주 월요일(17일) 오후 5시30분 진행 요청/ QR시안은 스탠드로 했으나 색상은 좀더 고민 하신다고함</t>
  </si>
  <si>
    <t>01055306241</t>
  </si>
  <si>
    <t>135858</t>
  </si>
  <si>
    <t>20251113135742</t>
  </si>
  <si>
    <t>QR메뉴 영수증 출력이 제대로 안됨/ 남자분과 통화했다며 재통화 요청하심</t>
  </si>
  <si>
    <t>목</t>
    <phoneticPr fontId="19" type="noConversion"/>
  </si>
  <si>
    <t>목</t>
    <phoneticPr fontId="19" type="noConversion"/>
  </si>
  <si>
    <t>금</t>
    <phoneticPr fontId="19" type="noConversion"/>
  </si>
  <si>
    <t>20251114</t>
  </si>
  <si>
    <t>174605</t>
  </si>
  <si>
    <t>20251114174414</t>
  </si>
  <si>
    <t>01056719415</t>
  </si>
  <si>
    <t>172254</t>
  </si>
  <si>
    <t>20251114171852</t>
  </si>
  <si>
    <t>프로젝트 디</t>
  </si>
  <si>
    <t>원격설치일정 확인 
11/17(월) 16시 연락요청</t>
  </si>
  <si>
    <t>172020</t>
  </si>
  <si>
    <t>20251114171807</t>
  </si>
  <si>
    <t>이지헬프 접속</t>
  </si>
  <si>
    <t>171620</t>
  </si>
  <si>
    <t>20251114171513</t>
  </si>
  <si>
    <t>용량정리완료, 원격요청
담당자 전달 후 바로 연락드리기로함</t>
  </si>
  <si>
    <t>171047</t>
  </si>
  <si>
    <t>20251114170754</t>
  </si>
  <si>
    <t>루위</t>
  </si>
  <si>
    <t>15886631</t>
  </si>
  <si>
    <t>포스사 재연락 하였으나 가맹점주 확인 필요함 11/17 오후 재통화예정</t>
  </si>
  <si>
    <t>170939</t>
  </si>
  <si>
    <t>20251114170605</t>
  </si>
  <si>
    <t>01071063121</t>
  </si>
  <si>
    <t>테이블 외상 1~2 및 옥외 제외 / 10개 제작 요청</t>
  </si>
  <si>
    <t>170247</t>
  </si>
  <si>
    <t>20251114165650</t>
  </si>
  <si>
    <t>0226796605</t>
  </si>
  <si>
    <t>포스정보재확인차 아웃/ 비번재설정해서 로그인 확인</t>
  </si>
  <si>
    <t>164713</t>
  </si>
  <si>
    <t>20251114164404</t>
  </si>
  <si>
    <t>포스비번 확인차 대표통화/ 변경한적 없음</t>
  </si>
  <si>
    <t>163716</t>
  </si>
  <si>
    <t>20251114163441</t>
  </si>
  <si>
    <t>포스정보확인</t>
  </si>
  <si>
    <t>161442</t>
  </si>
  <si>
    <t>20251114161255</t>
  </si>
  <si>
    <t>용량 부족으로 포스설치 못한 매장
- 포스사 연락이 안되어 직접 정리 후 연락주기로하심</t>
  </si>
  <si>
    <t>161134</t>
  </si>
  <si>
    <t>20251114160640</t>
  </si>
  <si>
    <t>쿠히치 압구정점</t>
  </si>
  <si>
    <t>01049943838</t>
  </si>
  <si>
    <t>포스담당자 연결
ID / PW 따로없으며 마스터 관리계정에서  타고 들어가는방법 뿐임
매장 원격해서 매장포스에서 웹정보 보기로 들어가는 방법으로 타사(하이오더 등)도 진행하고 있다고 함
매장코드만 먼저 확인요청 - 문자로 전송해주기로함</t>
  </si>
  <si>
    <t>160744</t>
  </si>
  <si>
    <t>20251114160055</t>
  </si>
  <si>
    <t>대표님 통화완료  / 사업자번호 , 포스사,  OS정보 확인후 업데이트 완료  / 주문키트(QR) 시안 문자 발송완료</t>
  </si>
  <si>
    <t>155809</t>
  </si>
  <si>
    <t>20251114155042</t>
  </si>
  <si>
    <t>01041252249</t>
  </si>
  <si>
    <t>대표님 통화 성공  / 포스정보 확인후 업데이트 완료</t>
  </si>
  <si>
    <t>154753</t>
  </si>
  <si>
    <t>20251114154343</t>
  </si>
  <si>
    <t>고택</t>
  </si>
  <si>
    <t>01057622558</t>
  </si>
  <si>
    <t>대표님 통화완료
고택 매장이 아닌 [쿠히치 압구정점] 도입 희망
대리점 담당자 연락처 업데이트 (010-4994-3838)
사업자번호 업데이트
QR시안 문자전송 완료</t>
  </si>
  <si>
    <t>154128</t>
  </si>
  <si>
    <t>20251114153827</t>
  </si>
  <si>
    <t>네기실비 신사</t>
  </si>
  <si>
    <t>010-7235-1879</t>
  </si>
  <si>
    <t>대표통화성공 -통화어려워 11/17 15:30 재통화요청</t>
  </si>
  <si>
    <t>154012</t>
  </si>
  <si>
    <t>20251114153612</t>
  </si>
  <si>
    <t>백련</t>
  </si>
  <si>
    <t>01099276588</t>
  </si>
  <si>
    <t>대표님 통화완료
포스대리점 정보 및 QR시안 전송안내드리니 방문하신 담당자에게 모두 전달했으니 담당자 통해 확인하라고 하심</t>
  </si>
  <si>
    <t>151838</t>
  </si>
  <si>
    <t>20251114145653</t>
  </si>
  <si>
    <t>대표님 통화완료
테이블 확인
  - 라이브 (총24개) : 1~16, 부스 1~4, 소파 1~4 
  - 소셜 (총2개) : 2층, 10층 각 1개 
포스 총 4대이나 ASP 계정 하나로 연결되어 사용중
QR은 디자인 파일 전송해주면 매장에서 따로 제작한다고하심 / 빠른 테스트를 위해 제작이 필요하다면 기본색상, 거치형으로 일단 제작요청
월요일 오후 13:30~15:00 사이 진행사항 연락드리기로함</t>
  </si>
  <si>
    <t>151355</t>
  </si>
  <si>
    <t>20251114151258</t>
  </si>
  <si>
    <t>어서와칼국수 홍대합정점</t>
  </si>
  <si>
    <t>01046009659</t>
  </si>
  <si>
    <t>외부에 있어 문자로 회신하신다고함</t>
  </si>
  <si>
    <t>151015</t>
  </si>
  <si>
    <t>20251114150531</t>
  </si>
  <si>
    <t>01040726755</t>
  </si>
  <si>
    <t>매장 총괄자/ 정보확인</t>
  </si>
  <si>
    <t>150437</t>
  </si>
  <si>
    <t>20251114145407</t>
  </si>
  <si>
    <t>고기쌀롱 신길점</t>
  </si>
  <si>
    <t>15775856</t>
  </si>
  <si>
    <t>포스사 통화성공  / 정보 확인하여 업데이트 완료 / 유니온포스가 아닌 오케이포스로 사용한다함</t>
  </si>
  <si>
    <t>145145</t>
  </si>
  <si>
    <t>20251114144416</t>
  </si>
  <si>
    <t>010-6325-7016</t>
  </si>
  <si>
    <t>대표님 통화성공 / 사업자정보, 포스연락처, 운영체제 업데이트 완료  및 시안 문자발송</t>
  </si>
  <si>
    <t>143727</t>
  </si>
  <si>
    <t>20251114143219</t>
  </si>
  <si>
    <t>포스사 통화성공 - 확인후 연락주신다함 / 오후 재 OB 예정</t>
  </si>
  <si>
    <t>143034</t>
  </si>
  <si>
    <t>20251114142308</t>
  </si>
  <si>
    <t>01089558017</t>
  </si>
  <si>
    <t>매니저통화성공  / 사업자번호, 포스담당업체 확인하여 업데이트 및 시안 문자발송완료</t>
  </si>
  <si>
    <t>141802</t>
  </si>
  <si>
    <t>20251114141632</t>
  </si>
  <si>
    <t>다시 전화주신다고함</t>
  </si>
  <si>
    <t>141416</t>
  </si>
  <si>
    <t>20251114141322</t>
  </si>
  <si>
    <t>4시 재통화 요청</t>
  </si>
  <si>
    <t>141045</t>
  </si>
  <si>
    <t>20251114135742</t>
  </si>
  <si>
    <t>함평해장 마곡 발산역본평</t>
  </si>
  <si>
    <t>16883601</t>
  </si>
  <si>
    <t>포스정보 확인완료</t>
  </si>
  <si>
    <t>135656</t>
  </si>
  <si>
    <t>20251114135250</t>
  </si>
  <si>
    <t>함평해장 마곡 발산역본점</t>
  </si>
  <si>
    <t>01027083601</t>
  </si>
  <si>
    <t>포스담당자 통화성공 / 대표번호로 확인하라고함 (1688-3601)</t>
  </si>
  <si>
    <t>135110</t>
  </si>
  <si>
    <t>20251114133919</t>
  </si>
  <si>
    <t>01040927705</t>
  </si>
  <si>
    <t>대표님 통화완료 /사업자번호, 포스담당자,  os정보 확인후 주문키트(QR) 시안 문자 발송완료</t>
  </si>
  <si>
    <t>132942</t>
  </si>
  <si>
    <t>20251114132819</t>
  </si>
  <si>
    <t>일정 조율차 아웃했으나 부재</t>
  </si>
  <si>
    <t>131431</t>
  </si>
  <si>
    <t>20251114130948</t>
  </si>
  <si>
    <t>프린트 미출력으로 대리점 전화시 정상연동 되어있다고하심</t>
  </si>
  <si>
    <t>정희 판교아브뉴프랑점, 위례신도시점</t>
  </si>
  <si>
    <t>01030520924</t>
  </si>
  <si>
    <t>114508</t>
  </si>
  <si>
    <t>20251114114152</t>
  </si>
  <si>
    <t>01041834483</t>
  </si>
  <si>
    <t>포스정보 재확인차 아웃/ 확인 완료</t>
  </si>
  <si>
    <t>113741</t>
  </si>
  <si>
    <t>20251114113203</t>
  </si>
  <si>
    <t>포스담당자 / 정보확인, 매장명과 사업자가 다름</t>
  </si>
  <si>
    <t>104840</t>
  </si>
  <si>
    <t>20251114104521</t>
  </si>
  <si>
    <t>01066757884</t>
  </si>
  <si>
    <t>포스 담당자/ 정보확인후 오케이가 아닌 퍼스트포스라고함</t>
  </si>
  <si>
    <t>104049</t>
  </si>
  <si>
    <t>20251114103749</t>
  </si>
  <si>
    <t>포스 담당자- 외부에 있어 문자로 회신주기로함</t>
  </si>
  <si>
    <t>103510</t>
  </si>
  <si>
    <t>20251114103152</t>
  </si>
  <si>
    <t>01074628288</t>
  </si>
  <si>
    <t>대표와 통화후 알려준다며 종료</t>
  </si>
  <si>
    <t>102916</t>
  </si>
  <si>
    <t>20251114102421</t>
  </si>
  <si>
    <t>영동</t>
  </si>
  <si>
    <t>양수도 예정이라 도입 거절</t>
  </si>
  <si>
    <t>101526</t>
  </si>
  <si>
    <t>20251114101350</t>
  </si>
  <si>
    <t>포스담당자/ 11시30분 재통화 요청</t>
  </si>
  <si>
    <t>2주차 소계</t>
    <phoneticPr fontId="19" type="noConversion"/>
  </si>
  <si>
    <t>2주차 소계</t>
    <phoneticPr fontId="19" type="noConversion"/>
  </si>
  <si>
    <t>20251117</t>
  </si>
  <si>
    <t>200804</t>
  </si>
  <si>
    <t>20251117200625</t>
  </si>
  <si>
    <t>김옥이</t>
  </si>
  <si>
    <t>대표님 통화 실패 /익일  재통화예정</t>
  </si>
  <si>
    <t>192242</t>
  </si>
  <si>
    <t>20251117191439</t>
  </si>
  <si>
    <t>언구비육회</t>
  </si>
  <si>
    <t>01057493034</t>
  </si>
  <si>
    <t>대표님 통화성곰 - 페이히어 사용하고 있으며 안드로이 계정이라고함 / 노트북도  윈도우10 있으며 페이히어를 테블릿포스가아니 노트북으로 옮기고 캐치테이블도 옮겨서 사용하고 싶은데 가능한지 문의  / 확인후 연락드림 /14:00~15:30분 통화요청</t>
  </si>
  <si>
    <t>190109</t>
  </si>
  <si>
    <t>20251117185348</t>
  </si>
  <si>
    <t>포스 담당자 통화성공 - 천공대표님과 통화하였고 캐치테이블이 아닌 다는곳과 오늘 설치 받았다 하였다함</t>
  </si>
  <si>
    <t>184538</t>
  </si>
  <si>
    <t>20251117184219</t>
  </si>
  <si>
    <t>통화 연결 실패(부재5회)</t>
  </si>
  <si>
    <t>183633</t>
  </si>
  <si>
    <t>20251117183500</t>
  </si>
  <si>
    <t>182912</t>
  </si>
  <si>
    <t>20251117182732</t>
  </si>
  <si>
    <t>매장담당자 통화성공 -원격일정 익일(18일) 17:00요청</t>
  </si>
  <si>
    <t>175310</t>
  </si>
  <si>
    <t>20251117175041</t>
  </si>
  <si>
    <t>이자카야 미주 강남2호점</t>
  </si>
  <si>
    <t>025547057</t>
  </si>
  <si>
    <t>설치 완료</t>
  </si>
  <si>
    <t>175013</t>
  </si>
  <si>
    <t>20251117173336</t>
  </si>
  <si>
    <t>원격설치</t>
  </si>
  <si>
    <t>173112</t>
  </si>
  <si>
    <t>20251117172920</t>
  </si>
  <si>
    <t>매장으로 전화요청</t>
  </si>
  <si>
    <t>172811</t>
  </si>
  <si>
    <t>20251117172536</t>
  </si>
  <si>
    <t>불물</t>
  </si>
  <si>
    <t>01088211824</t>
  </si>
  <si>
    <t>포스사가 비번을 알려주지 않아 점주님께 전화드렸으나 모른다고하셔서 발신 요청드림</t>
  </si>
  <si>
    <t>172036</t>
  </si>
  <si>
    <t>20251117171926</t>
  </si>
  <si>
    <t>010-3642-8436</t>
  </si>
  <si>
    <t>원격일정 확인차 ob시 부재2</t>
  </si>
  <si>
    <t>172012</t>
  </si>
  <si>
    <t>20251117171830</t>
  </si>
  <si>
    <t>선불관련 안내/ 지원이 안되는경우도 있어 가급적이면 후불진행 안내하니 후불로 하신다고함</t>
  </si>
  <si>
    <t>171116</t>
  </si>
  <si>
    <t>20251117170759</t>
  </si>
  <si>
    <t>담당자 전달한다고함/ 휴대폰번호 안내함</t>
  </si>
  <si>
    <t>170719</t>
  </si>
  <si>
    <t>20251117170500</t>
  </si>
  <si>
    <t>전화시마다 배정되는거라 별도 담당자가 없음</t>
  </si>
  <si>
    <t>165927</t>
  </si>
  <si>
    <t>20251117165738</t>
  </si>
  <si>
    <t>API요청차 아웃</t>
  </si>
  <si>
    <t>165435</t>
  </si>
  <si>
    <t>20251117165246</t>
  </si>
  <si>
    <t>포스사 통화성공 / 루위점주와 통화중에 있으며 루위에서 연락주실꺼라함</t>
  </si>
  <si>
    <t>164202</t>
  </si>
  <si>
    <t>20251117163717</t>
  </si>
  <si>
    <t>한울정보통신 인입 / 유니온 포스 정보 안내
ID : sz49691
pw : 02707
매장코드 : 3000000049691</t>
  </si>
  <si>
    <t>163807</t>
  </si>
  <si>
    <t>20251117163013</t>
  </si>
  <si>
    <t>162945</t>
  </si>
  <si>
    <t>20251117155926</t>
  </si>
  <si>
    <t>설치 진행</t>
  </si>
  <si>
    <t>20251117161240</t>
  </si>
  <si>
    <t>0221380555</t>
  </si>
  <si>
    <t>QR오더 관심있음. 테이블 말고 카운터에 한군데만 사용 문의
괜찮으면 3개업장 다 도입희망
지금 바쁘신 관계로
010-8688-5685 로 대표번호 문자주면 연락주겠다하심 / 문자발송</t>
  </si>
  <si>
    <t>161254</t>
  </si>
  <si>
    <t>20251117161021</t>
  </si>
  <si>
    <t>11/18 (화) 15시~15시30분 사이 원격설치요청 / 매장 02-6368-5050 으로 연락요청</t>
  </si>
  <si>
    <t>155630</t>
  </si>
  <si>
    <t>20251117154913</t>
  </si>
  <si>
    <t>01072351879</t>
  </si>
  <si>
    <t>태표님 통화 완료 / 포스담당자,OS, 사업자번호 업데이트 완료 / QR시안 문자발송</t>
  </si>
  <si>
    <t>155526</t>
  </si>
  <si>
    <t>20251117155420</t>
  </si>
  <si>
    <t>북경반점</t>
  </si>
  <si>
    <t>024812277</t>
  </si>
  <si>
    <t>부재중 전화 확인 후 연락 - QR오더 시스템 도입 제안 차 연락드림안내
필요없다하시고 종료</t>
  </si>
  <si>
    <t>통화연결 실패</t>
  </si>
  <si>
    <t>154254</t>
  </si>
  <si>
    <t>20251117154129</t>
  </si>
  <si>
    <t>남경-김포양촌점</t>
  </si>
  <si>
    <t>0319961123</t>
  </si>
  <si>
    <t>캐치테이블 음성봇
학원이라고하심</t>
  </si>
  <si>
    <t>153949</t>
  </si>
  <si>
    <t>20251117153833</t>
  </si>
  <si>
    <t>BHC 김포학운점</t>
  </si>
  <si>
    <t>031-987-4545</t>
  </si>
  <si>
    <t>배달 전문이고 홀 자체가 없다고하심</t>
  </si>
  <si>
    <t>153551</t>
  </si>
  <si>
    <t>20251117153439</t>
  </si>
  <si>
    <t>153442</t>
  </si>
  <si>
    <t>20251117153327</t>
  </si>
  <si>
    <t>포스대리점 번호 판교는 확인되었으나 위례신도시점 확인 불가</t>
  </si>
  <si>
    <t>153333</t>
  </si>
  <si>
    <t>20251117153116</t>
  </si>
  <si>
    <t>밤별 포차 라운지 강남역점</t>
  </si>
  <si>
    <t>010-2930-0596</t>
  </si>
  <si>
    <t>외근중으로 필요정보 문자로  회신주신다함 문자발송요청</t>
  </si>
  <si>
    <t>진된장 가산본점</t>
  </si>
  <si>
    <t>152654</t>
  </si>
  <si>
    <t>20251117152328</t>
  </si>
  <si>
    <t>포스정보 재확인차 아웃/ 담당자 전달한다고함</t>
  </si>
  <si>
    <t>151942</t>
  </si>
  <si>
    <t>20251117151918</t>
  </si>
  <si>
    <t>150921</t>
  </si>
  <si>
    <t>20251117150558</t>
  </si>
  <si>
    <t>문자 발신후 시간차두고 재연락시에도 이름, 용건 말하라는 멘트나옴</t>
  </si>
  <si>
    <t>145744</t>
  </si>
  <si>
    <t>20251117144702</t>
  </si>
  <si>
    <t>밤별 포차 라운지 강남역본점</t>
  </si>
  <si>
    <t>01089820000</t>
  </si>
  <si>
    <t>대표님 통화완료/
사업자번호 ,os,포스담당자확인 업데이트 완료
주문키트(QR) 시안 문자 발송완료
계약관련 담당자 통화요청</t>
  </si>
  <si>
    <t>01096275536</t>
  </si>
  <si>
    <t>144138</t>
  </si>
  <si>
    <t>20251117143924</t>
  </si>
  <si>
    <t>시골집청국장 양재본점</t>
  </si>
  <si>
    <t>01051703215</t>
  </si>
  <si>
    <t>포스 담당자 통화 
확인되면 문자회신 준다 함</t>
  </si>
  <si>
    <t>143948</t>
  </si>
  <si>
    <t>20251117143432</t>
  </si>
  <si>
    <t>010-4841-5351</t>
  </si>
  <si>
    <t>대표님 통화완료
포스담당자,OS,사업자번호 확인후 업데이트 완료 
주문키트(QR) 시안 문자 발송완료</t>
  </si>
  <si>
    <t>143711</t>
  </si>
  <si>
    <t>20251117143023</t>
  </si>
  <si>
    <t>01049996930</t>
  </si>
  <si>
    <t>대표님 통화완료 
사업자번호, 포스 담당자 연락처, OS 확인
주문키트(QR) 시안 문자발송 및 (010-9817-5895)로 회신요청함
태그히어 (포스랑 연동하여 이용중), 네이버주문 이용중이라고하심</t>
  </si>
  <si>
    <t>142740</t>
  </si>
  <si>
    <t>20251117141647</t>
  </si>
  <si>
    <t>대표님 통화 성공/사업자정보 확인및 업데이트 완료 
시안 1번(검정) 부착형 5개, 거치형2개 요청 
포스담당자 번호 재확인차 17시 재통화예정</t>
  </si>
  <si>
    <t>142612</t>
  </si>
  <si>
    <t>20251117142434</t>
  </si>
  <si>
    <t>부재(녹음 통해 이름과 용건 말하면 상대방이 통화할 수 있는지 확인해보겠다는 멘트] + 문자전송함</t>
  </si>
  <si>
    <t>141204</t>
  </si>
  <si>
    <t>20251117140406</t>
  </si>
  <si>
    <t>팔레트커리</t>
  </si>
  <si>
    <t>01064600890</t>
  </si>
  <si>
    <t>대표님 통화 성공 /비연동 프로그램 안내 
운영체재 확인중 안드로이드로 확인됨 / 사용 어려움안내 하였으나 재확인후 연락드림안내</t>
  </si>
  <si>
    <t>141050</t>
  </si>
  <si>
    <t>20251117140932</t>
  </si>
  <si>
    <t>테스트 주문 익일 14시 진행 안내</t>
  </si>
  <si>
    <t>141046</t>
  </si>
  <si>
    <t>20251117140839</t>
  </si>
  <si>
    <t>11/18 (화) 14:00 원격설치요청</t>
  </si>
  <si>
    <t>135921</t>
  </si>
  <si>
    <t>20251117135551</t>
  </si>
  <si>
    <t>소소화로</t>
  </si>
  <si>
    <t>07088331685</t>
  </si>
  <si>
    <t>대표님과 상의후 회신 주기로함</t>
  </si>
  <si>
    <t>135507</t>
  </si>
  <si>
    <t>20251117134259</t>
  </si>
  <si>
    <t>대리점 연락처만 확인/</t>
  </si>
  <si>
    <t>133945</t>
  </si>
  <si>
    <t>20251117132549</t>
  </si>
  <si>
    <t>페로몬 성수</t>
  </si>
  <si>
    <t>01097333915</t>
  </si>
  <si>
    <t>대표님 통화완료
[이용거부] 필요없을것 같다고하심 / 피크 시간대에 회전율 높힐수 있는 시스템임 안내시 매장도 작고  안내사항들이 많아서 고객이 직접 주문하더라도 어차피 다시 안내를 드려야해서 본 매장과는 맞지 않는다며 거부 / 긍정적인 재검토 부탁드리며 필요시 연락주십사 안내드리고 종료했습니다.</t>
  </si>
  <si>
    <t>133104</t>
  </si>
  <si>
    <t>20251117132934</t>
  </si>
  <si>
    <t>132403</t>
  </si>
  <si>
    <t>20251117132034</t>
  </si>
  <si>
    <t>메뉴판 이메일 최초통화후 보냈다고 했으나 재발송 요청/ QR시안 발송</t>
  </si>
  <si>
    <t>132033</t>
  </si>
  <si>
    <t>20251117131903</t>
  </si>
  <si>
    <t>QR 선택후 문자 회신요청, QR시안 재발송함</t>
  </si>
  <si>
    <t>131518</t>
  </si>
  <si>
    <t>20251117131306</t>
  </si>
  <si>
    <t>메뉴판 이메일 발송요청/ QR시안 발송</t>
  </si>
  <si>
    <t>130745</t>
  </si>
  <si>
    <t>20251117130436</t>
  </si>
  <si>
    <t>일정조율통화완료</t>
  </si>
  <si>
    <t>113338</t>
  </si>
  <si>
    <t>20251117112937</t>
  </si>
  <si>
    <t>담당자 통화 완료/</t>
  </si>
  <si>
    <t>111637</t>
  </si>
  <si>
    <t>20251117111544</t>
  </si>
  <si>
    <t>포스담당자/ 문자회신준다고함</t>
  </si>
  <si>
    <t>105555</t>
  </si>
  <si>
    <t>20251117105530</t>
  </si>
  <si>
    <t>이태리식당 계남고점</t>
  </si>
  <si>
    <t>07041518878</t>
  </si>
  <si>
    <t>업체명 확인차 재아웃 해봄/ 광주광역시 당직실 번호</t>
  </si>
  <si>
    <t>105338</t>
  </si>
  <si>
    <t>20251117105230</t>
  </si>
  <si>
    <t>전혀 다른곳으로 확인됨</t>
  </si>
  <si>
    <t>103553</t>
  </si>
  <si>
    <t>20251117103304</t>
  </si>
  <si>
    <t>캐치테이블 음성봇
대표님 부재, 재연락드림 안내</t>
  </si>
  <si>
    <t>101922</t>
  </si>
  <si>
    <t>20251117101736</t>
  </si>
  <si>
    <t>마차푸처레</t>
  </si>
  <si>
    <t>0323237792</t>
  </si>
  <si>
    <t>도입희망 거절/ 이미 다른거 사용중</t>
  </si>
  <si>
    <t>월</t>
    <phoneticPr fontId="19" type="noConversion"/>
  </si>
  <si>
    <t>화</t>
    <phoneticPr fontId="19" type="noConversion"/>
  </si>
  <si>
    <t>20251118</t>
  </si>
  <si>
    <t>205340</t>
  </si>
  <si>
    <t>20251118205139</t>
  </si>
  <si>
    <t>010-4191-7813</t>
  </si>
  <si>
    <t>통화연결 실패 (부재)</t>
  </si>
  <si>
    <t>통화연결 실패(부재)</t>
  </si>
  <si>
    <t>204529</t>
  </si>
  <si>
    <t>20251118204413</t>
  </si>
  <si>
    <t>청돈옥</t>
  </si>
  <si>
    <t>01045102692</t>
  </si>
  <si>
    <t>대표님 통화 성공 
영업중으로 익일(11/19) 14:00 통화요청</t>
  </si>
  <si>
    <t>203627</t>
  </si>
  <si>
    <t>20251118203420</t>
  </si>
  <si>
    <t>대표님 통화성공 /영업중으로 익일(11/19)오전 11시  재연락요청</t>
  </si>
  <si>
    <t>201003</t>
  </si>
  <si>
    <t>20251118200732</t>
  </si>
  <si>
    <t>대표님 통화 성공 -11/19 14:00 원격요청 및 시안확인필요</t>
  </si>
  <si>
    <t>200146</t>
  </si>
  <si>
    <t>20251118195832</t>
  </si>
  <si>
    <t>대표님 통화성공 
문자 안내받아서 PW변경하였고 OK포스 담당자한테 재문의 하면 된다고 함</t>
  </si>
  <si>
    <t>195119</t>
  </si>
  <si>
    <t>20251118194748</t>
  </si>
  <si>
    <t>곱창파는 고깃집 공덕 본점</t>
  </si>
  <si>
    <t>010-5215-2469</t>
  </si>
  <si>
    <t>대표님 통화 성공
현재 정보 확인불가로  11/20 16:00 재통화요청</t>
  </si>
  <si>
    <t>193643</t>
  </si>
  <si>
    <t>20251118193530</t>
  </si>
  <si>
    <t>남영동 양문 합정점</t>
  </si>
  <si>
    <t>010-9009-9072</t>
  </si>
  <si>
    <t>확인 어렵고 익일 (11/19)15:00~17:00 사이 재툥화요청</t>
  </si>
  <si>
    <t>010-4510-2692</t>
  </si>
  <si>
    <t>192943</t>
  </si>
  <si>
    <t>20251118192750</t>
  </si>
  <si>
    <t>정희 판교아브뉴프랑점</t>
  </si>
  <si>
    <t>191758</t>
  </si>
  <si>
    <t>20251118191529</t>
  </si>
  <si>
    <t>광화문특고기</t>
  </si>
  <si>
    <t>010-2851-4481</t>
  </si>
  <si>
    <t>대표님 통화 성공 -메일 재발송 요청 안내및 문자발송완료</t>
  </si>
  <si>
    <t>191013</t>
  </si>
  <si>
    <t>20251118190718</t>
  </si>
  <si>
    <t>대표님 통화성공  -익일 15:00 원격요청 
주문키트(QR) 시안 문자 발송완료</t>
  </si>
  <si>
    <t>190552</t>
  </si>
  <si>
    <t>20251118190404</t>
  </si>
  <si>
    <t>010-3232-2358</t>
  </si>
  <si>
    <t>원격 일정 조율 통화 실패</t>
  </si>
  <si>
    <t>174310</t>
  </si>
  <si>
    <t>20251118174041</t>
  </si>
  <si>
    <t>오리엔트 익스프레스</t>
  </si>
  <si>
    <t>포스대리점, 회신 예정/ 포스가 유니온포스라고함</t>
  </si>
  <si>
    <t>174012</t>
  </si>
  <si>
    <t>20251118173450</t>
  </si>
  <si>
    <t>01073300523</t>
  </si>
  <si>
    <t>포스대리점, 사업자 번호 확인/</t>
  </si>
  <si>
    <t>172124</t>
  </si>
  <si>
    <t>20251118171957</t>
  </si>
  <si>
    <t>포스 계정정보 확인후 연락주시기로 했으나 인입되지 않아 ob시 통화연결실패 (벨1회 울리고 소리샘)</t>
  </si>
  <si>
    <t>이백이호</t>
  </si>
  <si>
    <t>171010</t>
  </si>
  <si>
    <t>20251118170937</t>
  </si>
  <si>
    <t>포스 담당자 연락처 확인차 17시에 연락요청하셨으나 부재</t>
  </si>
  <si>
    <t>170828</t>
  </si>
  <si>
    <t>20251118165915</t>
  </si>
  <si>
    <t>원격설치 이지헬프가 정상적으로 진행되지 않아 다른 방법 있는지 확인후 재진행 예정</t>
  </si>
  <si>
    <t>163954</t>
  </si>
  <si>
    <t>20251118163411</t>
  </si>
  <si>
    <t>평화로 먹거리집</t>
  </si>
  <si>
    <t>01094700479</t>
  </si>
  <si>
    <t>대표님 통화성공- 포스사.사업자정보 확인완료 업데이트 완료 /포스를 월요일 변경예정으로 다음주 화요일 11/25 15:00 통화요청</t>
  </si>
  <si>
    <t>162921</t>
  </si>
  <si>
    <t>20251118161835</t>
  </si>
  <si>
    <t>대표님 통화성공 - 페이히어 사용하은 테블릿은 그대로 사용하고 캐치테이블만 스마트로를 사용하던 공포스기(윈도우,프린트도 연결되어있음)로 사용하고 싶다함 /확인후 연락드림안내</t>
  </si>
  <si>
    <t>161706</t>
  </si>
  <si>
    <t>20251118161024</t>
  </si>
  <si>
    <t>옥된장 마곡나루점</t>
  </si>
  <si>
    <t>01081691197</t>
  </si>
  <si>
    <t>대표님 통화 성공 11/24 15:00통화요청</t>
  </si>
  <si>
    <t>161027</t>
  </si>
  <si>
    <t>20251118160641</t>
  </si>
  <si>
    <t>원격일정 진행차 아웃/ 예약 완료</t>
  </si>
  <si>
    <t>160747</t>
  </si>
  <si>
    <t>20251118160423</t>
  </si>
  <si>
    <t>고우 청담</t>
  </si>
  <si>
    <t>대표님 통화성공 /원격 익일(11/19)16~17시 사이 요청
주문키트(QR) 시안 문자 발송완료 )</t>
  </si>
  <si>
    <t>160254</t>
  </si>
  <si>
    <t>20251118155839</t>
  </si>
  <si>
    <t>삼정하누 광화문점</t>
  </si>
  <si>
    <t>고우청담점으로 연락드렸으나 삼정하누 광화문점이라함</t>
  </si>
  <si>
    <t>155757</t>
  </si>
  <si>
    <t>20251118155601</t>
  </si>
  <si>
    <t>01056136614</t>
  </si>
  <si>
    <t>pw 리셋요청 안내차 ob시 부재</t>
  </si>
  <si>
    <t>155516</t>
  </si>
  <si>
    <t>20251118155340</t>
  </si>
  <si>
    <t>155310</t>
  </si>
  <si>
    <t>20251118155149</t>
  </si>
  <si>
    <t>원격일정조율, QR 시안 확인 차 통화시도하였으나 연결실패 / sms발송</t>
  </si>
  <si>
    <t>154757</t>
  </si>
  <si>
    <t>20251118154652</t>
  </si>
  <si>
    <t>153802</t>
  </si>
  <si>
    <t>20251118153533</t>
  </si>
  <si>
    <t>디스크 용량부족으로 설치안됨 익일(11/19) 15:00 재진행 안내</t>
  </si>
  <si>
    <t>153101</t>
  </si>
  <si>
    <t>20251118152559</t>
  </si>
  <si>
    <t>스시</t>
  </si>
  <si>
    <t>원격설치로 인해 컴퓨터 재부팅 안내</t>
  </si>
  <si>
    <t>152925</t>
  </si>
  <si>
    <t>20251118152751</t>
  </si>
  <si>
    <t>대표님 통화완료 / 포스담당자 요청예정, 내일이나 모레 재연락 요청</t>
  </si>
  <si>
    <t>152717</t>
  </si>
  <si>
    <t>20251118152448</t>
  </si>
  <si>
    <t>고공</t>
  </si>
  <si>
    <t>0263685050</t>
  </si>
  <si>
    <t>원격 설치 시도
용량부족으로 설치불가
포스대리점에 디스크정리 요청 안내 - 대표님께 직접 연락요청</t>
  </si>
  <si>
    <t>152419</t>
  </si>
  <si>
    <t>20251118150659</t>
  </si>
  <si>
    <t>원격설치 안내</t>
  </si>
  <si>
    <t>151011</t>
  </si>
  <si>
    <t>20251118150004</t>
  </si>
  <si>
    <t>탐라담 하남미사점</t>
  </si>
  <si>
    <t>010-4440-7204</t>
  </si>
  <si>
    <t>6개월무료 / 6개월이후 테이블당 3천원 안내 
1) 홍보 방식, 홍보 효과에 대한 자세한 문의 
2) 공기밥, 음료수 주문시 현재는 주방에 주문서가 들어가지 않음. 직접 주문 받고 테이블에 서빙하는 방식인데, QR로 직접주문시 직원이 어떻게 인지하는지 문의 
* 확인후 재연락드리기로 함</t>
  </si>
  <si>
    <t>144421</t>
  </si>
  <si>
    <t>20251118144322</t>
  </si>
  <si>
    <t>01053129959</t>
  </si>
  <si>
    <t>144250</t>
  </si>
  <si>
    <t>20251118143428</t>
  </si>
  <si>
    <t>원격설치 연락드림</t>
  </si>
  <si>
    <t>144231</t>
  </si>
  <si>
    <t>20251118144021</t>
  </si>
  <si>
    <t>원격설치 완료
QR시안 재발송</t>
  </si>
  <si>
    <t>143952</t>
  </si>
  <si>
    <t>20251118143037</t>
  </si>
  <si>
    <t>010-9829-8268</t>
  </si>
  <si>
    <t>원격 설치 연락</t>
  </si>
  <si>
    <t>142926</t>
  </si>
  <si>
    <t>20251118140845</t>
  </si>
  <si>
    <t>원격설치 차 연락드림</t>
  </si>
  <si>
    <t>142416</t>
  </si>
  <si>
    <t>20251118141303</t>
  </si>
  <si>
    <t>함평해장 마곡 발산역본점(72325)</t>
  </si>
  <si>
    <t>설치완료
정상연동완료
키트색상 : 3번, 빨강
제품타입 : 거치형
수량 : 33개 (테이블33개 전체)</t>
  </si>
  <si>
    <t>141320</t>
  </si>
  <si>
    <t>20251118141138</t>
  </si>
  <si>
    <t>테스트주문 차 연락 - 3분후 재통화요청</t>
  </si>
  <si>
    <t>140705</t>
  </si>
  <si>
    <t>20251118140519</t>
  </si>
  <si>
    <t>대표님 통화성공 / 외부에있어 매장 관리자 전화번호 알려주심</t>
  </si>
  <si>
    <t>134821</t>
  </si>
  <si>
    <t>20251118134154</t>
  </si>
  <si>
    <t>0313079977</t>
  </si>
  <si>
    <t>캐치테이블 음성봇
점포명 : 나다오 족발 
테이블 12개, 점포2곳 / 젊은층보다는 연령대가 있는 손님들이 많다보니 QR오더 도입여부 생각해봐야될것 같다고하심 / 6개월무료, 이후 테이블당3천원, 최대6만원 안내드리고 긍정적인 검토 부탁드리며 이용원하실 경우 대표번호로 연락주십사 안내 / 기프티콘 발송, 휴대폰번호 문의시 괜찮다고하심</t>
  </si>
  <si>
    <t>134700</t>
  </si>
  <si>
    <t>20251118134535</t>
  </si>
  <si>
    <t>예약된시간보다 일찍 하려했으나 10여분 좀 늦어짐</t>
  </si>
  <si>
    <t>133400</t>
  </si>
  <si>
    <t>20251118133215</t>
  </si>
  <si>
    <t>16887588</t>
  </si>
  <si>
    <t>문자로회신주기로함</t>
  </si>
  <si>
    <t>133202</t>
  </si>
  <si>
    <t>20251118133058</t>
  </si>
  <si>
    <t>당일 부재 2</t>
  </si>
  <si>
    <t>133110</t>
  </si>
  <si>
    <t>20251118132541</t>
  </si>
  <si>
    <t>15669059</t>
  </si>
  <si>
    <t>오케이포스/ 계약한곳이 아니기에 매장명만 검색됨 다른 고객센터 번호 알려줌</t>
  </si>
  <si>
    <t>132503</t>
  </si>
  <si>
    <t>20251118132131</t>
  </si>
  <si>
    <t>포스대리점 번호확인</t>
  </si>
  <si>
    <t>132254</t>
  </si>
  <si>
    <t>20251118132010</t>
  </si>
  <si>
    <t>대표님 통화성공  /업무중으로 15:00이후 재연락요청</t>
  </si>
  <si>
    <t>131951</t>
  </si>
  <si>
    <t>20251118131844</t>
  </si>
  <si>
    <t>회신되지 않아 재아웃/ 30분내 문자발송하신다고함</t>
  </si>
  <si>
    <t>131719</t>
  </si>
  <si>
    <t>20251118130830</t>
  </si>
  <si>
    <t>사카바 호빈</t>
  </si>
  <si>
    <t>010-5387-8802</t>
  </si>
  <si>
    <t>매니저 통화 성공 - 포스담당자,OS정보 확인완료  / 사업자번호 확인차 14:30이후 재연락예정</t>
  </si>
  <si>
    <t>131243</t>
  </si>
  <si>
    <t>20251118131131</t>
  </si>
  <si>
    <t>15885396</t>
  </si>
  <si>
    <t>번호 잘못 누름  제빙기 회사</t>
  </si>
  <si>
    <t>131041</t>
  </si>
  <si>
    <t>20251118130625</t>
  </si>
  <si>
    <t>정희 포스 담당자 번호확인/ 판교것만 대표번호 확인됨</t>
  </si>
  <si>
    <t>130704</t>
  </si>
  <si>
    <t>20251118130312</t>
  </si>
  <si>
    <t>대표님 통화완료
사업자번호,  OS 확인
주문키트(QR) 시안 문자발송 및 (010-9817-5895)로 회신요청함
테이블오더 이용중 (업체명은 확인해보겠다심)
포스 담당자 연락처 남편분께 문의해보겠다며 17시 재연락요청하심</t>
  </si>
  <si>
    <t>113200</t>
  </si>
  <si>
    <t>20251118113112</t>
  </si>
  <si>
    <t>카츠디나인 신대방삼거리본점</t>
  </si>
  <si>
    <t>01085140406</t>
  </si>
  <si>
    <t>포스 담당자
점포 대표님과 통화하셨는지 문의시 아직 통화 못해봤다고하심 / 전화주십사 안내드리고 종료</t>
  </si>
  <si>
    <t>111941</t>
  </si>
  <si>
    <t>20251118111535</t>
  </si>
  <si>
    <t>01063257016</t>
  </si>
  <si>
    <t>일정조율차 아웃/ 내일19일 11시20분 진행</t>
  </si>
  <si>
    <t>111636</t>
  </si>
  <si>
    <t>20251118111303</t>
  </si>
  <si>
    <t>포스 계정정보 문의시 태블릿오더 이용중이신데 같이 사용이 가능한지 문의 / 가능함 안내드리니 대표님 통화후 연락주겠다고하시어 대표번호 문자남겨드림</t>
  </si>
  <si>
    <t>111144</t>
  </si>
  <si>
    <t>20251118110715</t>
  </si>
  <si>
    <t>01022884150</t>
  </si>
  <si>
    <t>대표님 통화완료
사업자번호, 포스 담당자 연락처, OS 확인
주문키트(QR) 시안 문자발송 및 (010-9817-5895)로 회신요청함
태블릿오더 이용중이라고 하심</t>
  </si>
  <si>
    <t>110155</t>
  </si>
  <si>
    <t>20251118105243</t>
  </si>
  <si>
    <t>11/18 14:00 원격설치요청</t>
  </si>
  <si>
    <t>105517</t>
  </si>
  <si>
    <t>20251118105426</t>
  </si>
  <si>
    <t>일정조율차 아웃/ 통화연결실패</t>
  </si>
  <si>
    <t>104937</t>
  </si>
  <si>
    <t>20251118104705</t>
  </si>
  <si>
    <t>01052050845</t>
  </si>
  <si>
    <t>11/19 (수) 10:40 원격설치요청 
QR키트 아직 결정 못하심. 원격할때 말씀해주시기로 함</t>
  </si>
  <si>
    <t>104527</t>
  </si>
  <si>
    <t>20251118104405</t>
  </si>
  <si>
    <t>고우청담점</t>
  </si>
  <si>
    <t>원격일정 문의 : 부재</t>
  </si>
  <si>
    <t>103213</t>
  </si>
  <si>
    <t>20251118103058</t>
  </si>
  <si>
    <t>01090099072</t>
  </si>
  <si>
    <t>대표님 전화연결 실패 (재연락예정)</t>
  </si>
  <si>
    <t>102412</t>
  </si>
  <si>
    <t>20251118101545</t>
  </si>
  <si>
    <t>010-5613-6614</t>
  </si>
  <si>
    <t>포스 담당자 통화 
ID : v00263
pw : 02371 / 대표님이 변경했을 수 있음. 초기 비번밖에 모름
매장코드 :  v00263  
일반오케이 
비번 모를경우 대표님께서 직접 오케이포스 프로그램회사에 전화해서 리셋요청해야된다함  (1566-9051)</t>
  </si>
  <si>
    <t>101156</t>
  </si>
  <si>
    <t>20251118101118</t>
  </si>
  <si>
    <t>제주도라서 통화어려움. 11/21 (금) 14시쯤 재연락요청</t>
  </si>
  <si>
    <t>100906</t>
  </si>
  <si>
    <t>20251118100819</t>
  </si>
  <si>
    <t>부재6회</t>
  </si>
  <si>
    <t>111127</t>
  </si>
  <si>
    <t>20251118110740</t>
  </si>
  <si>
    <t>QR키트 도착여부와 옵션설정문의하심 / 확인후 아웃예정</t>
  </si>
  <si>
    <t>20251119</t>
  </si>
  <si>
    <t>스미야끼</t>
  </si>
  <si>
    <t>183314</t>
  </si>
  <si>
    <t>20251119183142</t>
  </si>
  <si>
    <t>010-5749-3034</t>
  </si>
  <si>
    <t>181510</t>
  </si>
  <si>
    <t>20251119181318</t>
  </si>
  <si>
    <t>로젤라또</t>
  </si>
  <si>
    <t>010-9340-3709</t>
  </si>
  <si>
    <t>181233</t>
  </si>
  <si>
    <t>20251119180940</t>
  </si>
  <si>
    <t>180714</t>
  </si>
  <si>
    <t>20251119180241</t>
  </si>
  <si>
    <t>01058332446</t>
  </si>
  <si>
    <t>174055</t>
  </si>
  <si>
    <t>20251119173933</t>
  </si>
  <si>
    <t>화이트래빗</t>
  </si>
  <si>
    <t>01027644479</t>
  </si>
  <si>
    <t>172946</t>
  </si>
  <si>
    <t>172511</t>
  </si>
  <si>
    <t>20251119171943</t>
  </si>
  <si>
    <t>판교화로</t>
  </si>
  <si>
    <t>01046194161</t>
  </si>
  <si>
    <t>171749</t>
  </si>
  <si>
    <t>20251119171227</t>
  </si>
  <si>
    <t>170016</t>
  </si>
  <si>
    <t>20251119165156</t>
  </si>
  <si>
    <t>무제서울</t>
  </si>
  <si>
    <t>01098777944</t>
  </si>
  <si>
    <t>165106</t>
  </si>
  <si>
    <t>20251119164956</t>
  </si>
  <si>
    <t>165017</t>
  </si>
  <si>
    <t>20251119164524</t>
  </si>
  <si>
    <t>강릉장칼 일산점</t>
  </si>
  <si>
    <t>01040651996</t>
  </si>
  <si>
    <t>164515</t>
  </si>
  <si>
    <t>20251119161901</t>
  </si>
  <si>
    <t>164228</t>
  </si>
  <si>
    <t>20251119163954</t>
  </si>
  <si>
    <t>163533</t>
  </si>
  <si>
    <t>20251119163238</t>
  </si>
  <si>
    <t>20251119162542</t>
  </si>
  <si>
    <t>161840</t>
  </si>
  <si>
    <t>20251119160801</t>
  </si>
  <si>
    <t>160236</t>
  </si>
  <si>
    <t>20251119155949</t>
  </si>
  <si>
    <t>155713</t>
  </si>
  <si>
    <t>20251119154744</t>
  </si>
  <si>
    <t>010-5594-5536</t>
  </si>
  <si>
    <t>155415</t>
  </si>
  <si>
    <t>20251119155219</t>
  </si>
  <si>
    <t>154722</t>
  </si>
  <si>
    <t>20251119151445</t>
  </si>
  <si>
    <t>154137</t>
  </si>
  <si>
    <t>20251119153633</t>
  </si>
  <si>
    <t>153051</t>
  </si>
  <si>
    <t>20251119152454</t>
  </si>
  <si>
    <t>152400</t>
  </si>
  <si>
    <t>20251119152256</t>
  </si>
  <si>
    <t>151303</t>
  </si>
  <si>
    <t>20251119151042</t>
  </si>
  <si>
    <t>151301</t>
  </si>
  <si>
    <t>20251119151004</t>
  </si>
  <si>
    <t>151213</t>
  </si>
  <si>
    <t>20251119150031</t>
  </si>
  <si>
    <t>150830</t>
  </si>
  <si>
    <t>20251119150651</t>
  </si>
  <si>
    <t>01055945536</t>
  </si>
  <si>
    <t>150244</t>
  </si>
  <si>
    <t>20251119145846</t>
  </si>
  <si>
    <t>150029</t>
  </si>
  <si>
    <t>20251119145923</t>
  </si>
  <si>
    <t>144714</t>
  </si>
  <si>
    <t>20251119144459</t>
  </si>
  <si>
    <t>144701</t>
  </si>
  <si>
    <t>20251119144142</t>
  </si>
  <si>
    <t>푸에르</t>
  </si>
  <si>
    <t>143818</t>
  </si>
  <si>
    <t>20251119143510</t>
  </si>
  <si>
    <t>01093403709</t>
  </si>
  <si>
    <t>143321</t>
  </si>
  <si>
    <t>20251119143123</t>
  </si>
  <si>
    <t>142246</t>
  </si>
  <si>
    <t>20251119142058</t>
  </si>
  <si>
    <t>홍콩가든</t>
  </si>
  <si>
    <t>01043214437</t>
  </si>
  <si>
    <t>141853</t>
  </si>
  <si>
    <t>20251119141239</t>
  </si>
  <si>
    <t>01062605865</t>
  </si>
  <si>
    <t>140650</t>
  </si>
  <si>
    <t>20251119140242</t>
  </si>
  <si>
    <t>01048415351</t>
  </si>
  <si>
    <t>140455</t>
  </si>
  <si>
    <t>20251119140419</t>
  </si>
  <si>
    <t>140230</t>
  </si>
  <si>
    <t>20251119140111</t>
  </si>
  <si>
    <t>010-8982-0000</t>
  </si>
  <si>
    <t>20251119134848</t>
  </si>
  <si>
    <t>01026787978</t>
  </si>
  <si>
    <t>20251119134323</t>
  </si>
  <si>
    <t>더 유로피안 행궁본점</t>
  </si>
  <si>
    <t>01087772753</t>
  </si>
  <si>
    <t>134055</t>
  </si>
  <si>
    <t>20251119133928</t>
  </si>
  <si>
    <t>무제 서울</t>
  </si>
  <si>
    <t>010-9877-7944</t>
  </si>
  <si>
    <t>134036</t>
  </si>
  <si>
    <t>20251119133643</t>
  </si>
  <si>
    <t>133608</t>
  </si>
  <si>
    <t>20251119132919</t>
  </si>
  <si>
    <t>133605</t>
  </si>
  <si>
    <t>20251119133345</t>
  </si>
  <si>
    <t>01028662248</t>
  </si>
  <si>
    <t>133245</t>
  </si>
  <si>
    <t>20251119133029</t>
  </si>
  <si>
    <t>132525</t>
  </si>
  <si>
    <t>20251119132014</t>
  </si>
  <si>
    <t>131751</t>
  </si>
  <si>
    <t>20251119131229</t>
  </si>
  <si>
    <t>113254</t>
  </si>
  <si>
    <t>20251119112633</t>
  </si>
  <si>
    <t>112155</t>
  </si>
  <si>
    <t>20251119111936</t>
  </si>
  <si>
    <t>110337</t>
  </si>
  <si>
    <t>20251119110235</t>
  </si>
  <si>
    <t>105502</t>
  </si>
  <si>
    <t>20251119105300</t>
  </si>
  <si>
    <t>105223</t>
  </si>
  <si>
    <t>20251119103916</t>
  </si>
  <si>
    <t>103739</t>
  </si>
  <si>
    <t>20251119103448</t>
  </si>
  <si>
    <t>판교어사랑 판교역점</t>
  </si>
  <si>
    <t>보통의</t>
  </si>
  <si>
    <t>대표님 연결 실패</t>
  </si>
  <si>
    <t>기본정보 확인차 대표님 통화 실패</t>
  </si>
  <si>
    <t>미팅중 이시라며 선종료</t>
  </si>
  <si>
    <t>포스담당자 통화성공 판교와 위례 두군데  관리하는지 문의 하였으나 외근으로 익일 통화요청</t>
  </si>
  <si>
    <t>내일오전11시 재통화요청</t>
  </si>
  <si>
    <t>대표님 통화 완료
사업자번호, 포스대리점, OS정보 확인후 업데이트 완료
주문키트(QR) 시안 문자 발송완료
티오더, 하이오더 사용한적 없음
추후 대표님께 전화할때 꼭 3시쯤 전화요청하심</t>
  </si>
  <si>
    <t>대표님 통화 완료
포스대리점, OS, 사업자번호확인후 업데이트 완료
티오더,하이오더 다른주문시스템 사용한적 없음
주문키트(QR) 시안 문자 발송완료</t>
  </si>
  <si>
    <t>대표님 통화성공/ 포스담당자 ,OS,사업자 번호 확인 /주문키트(QR) 시안 문자 발송완료</t>
  </si>
  <si>
    <t>정상설치되지 않아 확인후 재통화예정</t>
  </si>
  <si>
    <t>대표님 통화성공/포스사,OS,사업자 번호  확인 /주문키트(QR) 시안 문자 발송완료</t>
  </si>
  <si>
    <t>설치 실패</t>
  </si>
  <si>
    <t>테이블 갯수 확인완료</t>
  </si>
  <si>
    <t>QR시안 재확인완료</t>
  </si>
  <si>
    <t>프로그램 설치시작안내</t>
  </si>
  <si>
    <t>데이터 용량 정리했다고함 매장 전화예정</t>
  </si>
  <si>
    <t>원격설치완료 안내및  1번(블랙_, 53개 ,1층:1-1~1-15 /2층 : 2-1~2-13 /3층 :3-1~3-16 / 펍 :B1~9 (총53개) 시안 확인완료</t>
  </si>
  <si>
    <t>디스크정리요청/ 5분뒤 재통화</t>
  </si>
  <si>
    <t>원결설치 OB</t>
  </si>
  <si>
    <t>원격설치 일정 확인차 연락
지금 바로 설치 요청하시어 진행중 - 윈도우7, 닷넷설치
원격설치완료
정상연동 완료
QR 테이블 Tr1, Tr2, T2, T3, T4, T5 만 사용 (총6개)
주문키트 QR 시안 재전송 요청 / 결정 후 법인폰으로 문자답장 안내</t>
  </si>
  <si>
    <t>프로그램 재설치 완료/  qr키트 결정하셔서 내용 업데이트 완료</t>
  </si>
  <si>
    <t>닷넷 설치 후 재부팅 안내</t>
  </si>
  <si>
    <t>포스계정 확인차 연락드렸으나 포스변경을 할예정으로 11/25 15:00재연락 예정</t>
  </si>
  <si>
    <t>원격진행안내차 아웃/ 겟스크리린미 연결</t>
  </si>
  <si>
    <t>원격일정 조율차 연락 - 바로 진행 원하시어 진행중</t>
  </si>
  <si>
    <t>시제 맞춰야함 15:15분 재연락요청</t>
  </si>
  <si>
    <t>원격위해 대표님 통화성공 
QR 1번 53개 거치형으로 요청 
매장 관리자 연락처로 통화하여 설치요청 
매장관리자  통화요청</t>
  </si>
  <si>
    <t>10분뒤 재진행 요청</t>
  </si>
  <si>
    <t>포스대리점 번호 재확인차 아웃-문자로 회신예정</t>
  </si>
  <si>
    <t>대표님 통화성공 / PW 다시 확인 해주셨으나 비번오류로 담당자 한테 확인후 익일(11/20) 15:00 통화예정</t>
  </si>
  <si>
    <t>대표님 통화성공 
지금 정보 확인 어려워  15:30 재연락예정</t>
  </si>
  <si>
    <t>포스담당자 문자로 회신 예정</t>
  </si>
  <si>
    <t>대표님 통화 완료/ 포스담당자 통화 예정</t>
  </si>
  <si>
    <t>포스담당자와의 통화내용 안내/ 포스사와 연동개발을 하고 하는줄 알았다며 대표님또한 너무 많은 정보를 아는거라며  도입 고민/</t>
  </si>
  <si>
    <t>원격 확인차 OB15:00 통화요청</t>
  </si>
  <si>
    <t>대표님 통화성공/
사업자번호 :OS계정 확인 업데이트
이전 티오더 사용 현재 사용안함 
-포스담당자 퇴사로 대표번호 당일 20:00이후 통화요청</t>
  </si>
  <si>
    <t>설치, 정상연동 완료</t>
  </si>
  <si>
    <t>용량부족으로 설치 불가/ 데이터 정리, qr시안 재발송</t>
  </si>
  <si>
    <t>원격설치/ 이지헬프</t>
  </si>
  <si>
    <t>오케이포스  코밴이라하여 포스별 URL주소 요청하니 일반오케이라고함</t>
  </si>
  <si>
    <t>포스담당자 통화성공 / 포스정보 문자로 발송해주신다함</t>
  </si>
  <si>
    <t>대표전화 통화 성공 - 비번은 확인해 줄수 없다함 / 어제 대표님 통화시 변경하였고 대리점으로 문의 하라고 하였으며 확인필요한거면 포스사에서 연락하라고 하였음 안내 / 확인후 연락주신다함</t>
  </si>
  <si>
    <t>포스 담당자/ 패스워드 알려줄수 없다고함</t>
  </si>
  <si>
    <t>포스계정정보 재확인차 아웃/ 패스워드 달랐음</t>
  </si>
  <si>
    <t>13시30분으로 변경</t>
  </si>
  <si>
    <t>요청시간 아웃했으나 통화 넘김</t>
  </si>
  <si>
    <t>설치완료/ QR 키트는 대표님 오시면 확인후 회신 주기로함</t>
  </si>
  <si>
    <t>이지헬프 원격</t>
  </si>
  <si>
    <t>포스담당자 통화/ 내일 오전 재통화 요청</t>
  </si>
  <si>
    <t>134714</t>
  </si>
  <si>
    <t>20251119134302</t>
  </si>
  <si>
    <t>07049019250</t>
  </si>
  <si>
    <t>134245</t>
  </si>
  <si>
    <t>20251119133416</t>
  </si>
  <si>
    <t>오케이포스 본사직원</t>
  </si>
  <si>
    <t>132511</t>
  </si>
  <si>
    <t>20251119132241</t>
  </si>
  <si>
    <t>111648</t>
  </si>
  <si>
    <t>20251119110940</t>
  </si>
  <si>
    <t>포스대리점/ 비번변경을 대표님께서 직접하신걸 대리점에선 확인불가하므로 대표님께 확인하라고함</t>
  </si>
  <si>
    <t>오케이포스 대리점 본사직원 (진된장 가산본점 담당자)
오케이포스 ASP 아이디/ 비번을 왜 수집하는지에 대해 항의
본사와 제휴가 된건지 문의하시어 바로 답변 어려우며 담당자 통해 확인해야할 사항임을 안내
다른 회사가 만든 프로그램의 아이디/비번을 알려달라는게 이해되지않는다함
캐치오더 아이디비번 알려달라면 알려주겠냐 하시어 
사장님께서 동의하신 부분임을 설명하였으나 받아드리지않고 확인해보겠다하고 종료</t>
  </si>
  <si>
    <t>기존 매장 - 프로그램 재설치 원격요청
바로 다시 연락준다함</t>
  </si>
  <si>
    <t>in qr키트 정보확인후 업데이트 완료</t>
  </si>
  <si>
    <t>수</t>
    <phoneticPr fontId="19" type="noConversion"/>
  </si>
  <si>
    <t>출근인력</t>
    <phoneticPr fontId="19" type="noConversion"/>
  </si>
  <si>
    <t>20251120</t>
  </si>
  <si>
    <t>our own flavor</t>
  </si>
  <si>
    <t>01074668466</t>
  </si>
  <si>
    <t>최희선</t>
  </si>
  <si>
    <t>연남동 오뎅파는집</t>
  </si>
  <si>
    <t>01093369688</t>
  </si>
  <si>
    <t>트래블메이커</t>
  </si>
  <si>
    <t>01063853594</t>
  </si>
  <si>
    <t>150422</t>
  </si>
  <si>
    <t>20251120145732</t>
  </si>
  <si>
    <t>목로관 홍대</t>
  </si>
  <si>
    <t>01087866126</t>
  </si>
  <si>
    <t>1층 주문 시 고기류 음식 등은 주문 시 전표가 출력되나 주류, 공기밥은 전표에 기재되지않는 오류로 연락
연동이안돼서 그렇다는 안내를 받았으나 설치 이후 지속적으로 동일증상임
연동이 안된거라면 다른 주문도 들어오지않아야하나 고기류, 음식은 전표에 기재되어 출력되고 주문도 정상적으로 됨
고기류(음식)과 주류, 공기밥을 함께 담고 주문하면 주류, 공기밥만 전표에 찍히지않고 주문서 출력됨</t>
  </si>
  <si>
    <t>이씨부엌</t>
  </si>
  <si>
    <t>010-7466-8466</t>
  </si>
  <si>
    <t>스미비클럽</t>
  </si>
  <si>
    <t>010-3558-3901</t>
  </si>
  <si>
    <t>112252</t>
  </si>
  <si>
    <t>010-6422-8874</t>
  </si>
  <si>
    <t>161053</t>
  </si>
  <si>
    <t>벨1회 울리고 소리샘</t>
  </si>
  <si>
    <t>요청시간 아웃했으나 부재 sms발송예정</t>
  </si>
  <si>
    <t>151341</t>
  </si>
  <si>
    <t>부재 7회</t>
  </si>
  <si>
    <t>131926</t>
  </si>
  <si>
    <t>113944</t>
  </si>
  <si>
    <t>벨 2~3회 울리다가 소리샘으로 넘어감</t>
  </si>
  <si>
    <t>113437</t>
  </si>
  <si>
    <t>바로 소리샘으로 넘어감</t>
  </si>
  <si>
    <t>161947</t>
  </si>
  <si>
    <t>153343</t>
  </si>
  <si>
    <t>150932</t>
  </si>
  <si>
    <t>포스 담당자 번호/ 통화중</t>
  </si>
  <si>
    <t>141239</t>
  </si>
  <si>
    <t>통화연결실패 6회</t>
  </si>
  <si>
    <t>통화넘김</t>
  </si>
  <si>
    <t>101401</t>
  </si>
  <si>
    <t>동일번호 한번에 진행- 부재</t>
  </si>
  <si>
    <t>160018</t>
  </si>
  <si>
    <t>목</t>
    <phoneticPr fontId="19" type="noConversion"/>
  </si>
  <si>
    <t>20251121</t>
  </si>
  <si>
    <t>183054</t>
  </si>
  <si>
    <t>20251121182924</t>
  </si>
  <si>
    <t>010-5833-2446</t>
  </si>
  <si>
    <t>회의중이라며 1577-1984로 전화하라며 종료</t>
  </si>
  <si>
    <t>181316</t>
  </si>
  <si>
    <t>20251121180225</t>
  </si>
  <si>
    <t>아루히 나나</t>
  </si>
  <si>
    <t>010-5428-3903</t>
  </si>
  <si>
    <t>대표님 통화성공 /기타포스로 포스담당자 없음 / 비연동프로그램안내  / 사업자 정보 업데이트 / 포스 아이패드로 사용중 이나 OS정보 모름</t>
  </si>
  <si>
    <t>화설 강남직영점</t>
  </si>
  <si>
    <t>010-3555-3928</t>
  </si>
  <si>
    <t>174102</t>
  </si>
  <si>
    <t>20251121173940</t>
  </si>
  <si>
    <t>01035553928</t>
  </si>
  <si>
    <t>기본 정보 수취위해 대표님 통화시도 하였으나 실패 - 통화중</t>
  </si>
  <si>
    <t>174005</t>
  </si>
  <si>
    <t>20251121173901</t>
  </si>
  <si>
    <t>01054283903</t>
  </si>
  <si>
    <t>20분뒤 재통화 요청</t>
  </si>
  <si>
    <t>진식주</t>
  </si>
  <si>
    <t>173215</t>
  </si>
  <si>
    <t>20251121172853</t>
  </si>
  <si>
    <t>쿨쿨쿨</t>
  </si>
  <si>
    <t>01031210665</t>
  </si>
  <si>
    <t>포스담당자 포스정보 확인완료  / 업데이트</t>
  </si>
  <si>
    <t>173044</t>
  </si>
  <si>
    <t>20251121172714</t>
  </si>
  <si>
    <t>설치완료
블랙 / 부착형
테이블 1~13, 포장1, 포장2 (총 15개)</t>
  </si>
  <si>
    <t>172440</t>
  </si>
  <si>
    <t>20251121171015</t>
  </si>
  <si>
    <t>010-7276-1631</t>
  </si>
  <si>
    <t>170916</t>
  </si>
  <si>
    <t>20251121170724</t>
  </si>
  <si>
    <t>매장에 없어 010-7276-1631 매장담당자에게 연락요청
qr시안 다시발송 요청</t>
  </si>
  <si>
    <t>170230</t>
  </si>
  <si>
    <t>20251121170118</t>
  </si>
  <si>
    <t>한윤주가 영등포 본점</t>
  </si>
  <si>
    <t>20251121165128</t>
  </si>
  <si>
    <t>재부팅차 아웃</t>
  </si>
  <si>
    <t>165111</t>
  </si>
  <si>
    <t>20251121164026</t>
  </si>
  <si>
    <t>원격 이지헬프 설치</t>
  </si>
  <si>
    <t>164022</t>
  </si>
  <si>
    <t>010-4619-4161</t>
  </si>
  <si>
    <t>010-6643-3659</t>
  </si>
  <si>
    <t>162635</t>
  </si>
  <si>
    <t>20251121162206</t>
  </si>
  <si>
    <t>스테이츠 STATES</t>
  </si>
  <si>
    <t>010-4560-4713</t>
  </si>
  <si>
    <t>기본정보 확인위해 대표님 통화완료 - 정보 수취/QR 시안 문자 전송 완료</t>
  </si>
  <si>
    <t>162545</t>
  </si>
  <si>
    <t>20251121162256</t>
  </si>
  <si>
    <t>PW 확인하여 월요일 까지 회신주신다함</t>
  </si>
  <si>
    <t>162515</t>
  </si>
  <si>
    <t>20251121161901</t>
  </si>
  <si>
    <t>색동저고리 마동</t>
  </si>
  <si>
    <t>16881170</t>
  </si>
  <si>
    <t>포스대리점계정정보 확인</t>
  </si>
  <si>
    <t>161756</t>
  </si>
  <si>
    <t>20251121161606</t>
  </si>
  <si>
    <t>010-3121-0665</t>
  </si>
  <si>
    <t>포스담당자 통화성공 외근중으로 포스계정정보 문자회신요청</t>
  </si>
  <si>
    <t>161749</t>
  </si>
  <si>
    <t>20251121161138</t>
  </si>
  <si>
    <t>색동저고리 마포</t>
  </si>
  <si>
    <t>01033170307</t>
  </si>
  <si>
    <t>포시즌키친 양재천점</t>
  </si>
  <si>
    <t>161311</t>
  </si>
  <si>
    <t>20251121160915</t>
  </si>
  <si>
    <t>010-4020-4727</t>
  </si>
  <si>
    <t>대표님 통화완료  - 포스담당자 .OS. 사업자번호 확인 업데이트 완료</t>
  </si>
  <si>
    <t>20251121160732</t>
  </si>
  <si>
    <t>스시호</t>
  </si>
  <si>
    <t>01043448113</t>
  </si>
  <si>
    <t>통화실패/ sms발송</t>
  </si>
  <si>
    <t>160454</t>
  </si>
  <si>
    <t>20251121155937</t>
  </si>
  <si>
    <t>장씨네 잔치상 송파본점</t>
  </si>
  <si>
    <t>01082667409</t>
  </si>
  <si>
    <t>기본정보확인차 대표님 통화완료
사업자번호,OS정보 확인후 업데이트 완료
페이히어 비연동 프로그램 설명 완료
주문키트(QR) 시안 문자 발송완료</t>
  </si>
  <si>
    <t>160418</t>
  </si>
  <si>
    <t>20251121155535</t>
  </si>
  <si>
    <t>대표님 통화 성공 - 원격 설치 완료 안내/중복된 테이블 수, 시안 결정되었는지 확인요청/시안 문자 못 받아 재전송 요청/문자 전송 완료</t>
  </si>
  <si>
    <t>20251121155648</t>
  </si>
  <si>
    <t>원격설치일정 조율 - 11/24 11:00 설치예정
주문키트 시안 문자 재전송요청
확인 후 문자주기로하심</t>
  </si>
  <si>
    <t>160130</t>
  </si>
  <si>
    <t>20251121155915</t>
  </si>
  <si>
    <t>01052152469</t>
  </si>
  <si>
    <t>포스담당자 확인 업데이트 완료</t>
  </si>
  <si>
    <t>155506</t>
  </si>
  <si>
    <t>20251121150117</t>
  </si>
  <si>
    <t>원격 설치 위해 통화</t>
  </si>
  <si>
    <t>탄막</t>
  </si>
  <si>
    <t>01098858131</t>
  </si>
  <si>
    <t>20251121153223</t>
  </si>
  <si>
    <t>실패/ 통화 넘김</t>
  </si>
  <si>
    <t>153151</t>
  </si>
  <si>
    <t>20251121152933</t>
  </si>
  <si>
    <t>대표님 통화 성공 - 업무중으로 16:10 통화요청</t>
  </si>
  <si>
    <t>151203</t>
  </si>
  <si>
    <t>20251121150753</t>
  </si>
  <si>
    <t>대표님 통화성공 
1번(검정) / 거치형  / 12개  요청  
보내주신 서류는 확인후 담당부서 확인후 연락드릴예정 안내</t>
  </si>
  <si>
    <t>150447</t>
  </si>
  <si>
    <t>20251121150318</t>
  </si>
  <si>
    <t>원격일정 조율차 연락 - 금일 17시 연락요청</t>
  </si>
  <si>
    <t>150041</t>
  </si>
  <si>
    <t>20251121145917</t>
  </si>
  <si>
    <t>포스계정 정보 확인차 연락드렸으나 점주한테 확인요청</t>
  </si>
  <si>
    <t>145600</t>
  </si>
  <si>
    <t>20251121145305</t>
  </si>
  <si>
    <t>인디아 더르바르 인도요리</t>
  </si>
  <si>
    <t>01086926348</t>
  </si>
  <si>
    <t>매장에 없어 월요일 재통화 요청. 24일11시</t>
  </si>
  <si>
    <t>144634</t>
  </si>
  <si>
    <t>20251121144518</t>
  </si>
  <si>
    <t>명성김밥</t>
  </si>
  <si>
    <t>024773707</t>
  </si>
  <si>
    <t>QR오더 안내하니 필요없다며 바로 끊어버림</t>
  </si>
  <si>
    <t>144439</t>
  </si>
  <si>
    <t>20251121144344</t>
  </si>
  <si>
    <t>싸다김밥 암사역점</t>
  </si>
  <si>
    <t>024292588</t>
  </si>
  <si>
    <t>싸다김밥암사역점, 사장님 안계시다며 바로 끊음</t>
  </si>
  <si>
    <t>144150</t>
  </si>
  <si>
    <t>20251121144009</t>
  </si>
  <si>
    <t>스시마사</t>
  </si>
  <si>
    <t>029431788</t>
  </si>
  <si>
    <t>사장님 없고 필요없다고만 반복</t>
  </si>
  <si>
    <t>144139</t>
  </si>
  <si>
    <t>20251121143741</t>
  </si>
  <si>
    <t>연</t>
  </si>
  <si>
    <t>01094919248</t>
  </si>
  <si>
    <t>포스담당자 통화성공 / OS:윈도우 ,일반포스 사용하며, 운전중으로  ID/PW/ 매장 코드번호 문자 회신요청</t>
  </si>
  <si>
    <t>143928</t>
  </si>
  <si>
    <t>20251121143837</t>
  </si>
  <si>
    <t>하얼빈반점</t>
  </si>
  <si>
    <t>029078565</t>
  </si>
  <si>
    <t>필요없음</t>
  </si>
  <si>
    <t>143709</t>
  </si>
  <si>
    <t>20251121143301</t>
  </si>
  <si>
    <t>시래향</t>
  </si>
  <si>
    <t>010-5278-3171</t>
  </si>
  <si>
    <t>기초정보 수취위해 대표님 통화성공 - 사업자 번호, 담당자 연락처, OS종류 확인/QR 시안 문자 전송완료</t>
  </si>
  <si>
    <t>20251121143006</t>
  </si>
  <si>
    <t>대표님 통화성공 - 포스담당자 / 사업자 번호 확인 업데이트 / QR시안 문자발송</t>
  </si>
  <si>
    <t>143138</t>
  </si>
  <si>
    <t>20251121142916</t>
  </si>
  <si>
    <t>원격일정 조율차 연락 - 금일 16:30 요청
QR시안 재발송요청</t>
  </si>
  <si>
    <t>미증유</t>
  </si>
  <si>
    <t>141338</t>
  </si>
  <si>
    <t>20251121140903</t>
  </si>
  <si>
    <t>계정정보 확인/ 사업자 뒷5자리 확인</t>
  </si>
  <si>
    <t>140354</t>
  </si>
  <si>
    <t>20251121140123</t>
  </si>
  <si>
    <t>Atmosfera</t>
  </si>
  <si>
    <t>01031697072</t>
  </si>
  <si>
    <t>테이블이 좁아 스탠드, 부착형도 부담스럽다고하심/ 도입 보류</t>
  </si>
  <si>
    <t>140306</t>
  </si>
  <si>
    <t>20251121140121</t>
  </si>
  <si>
    <t>사생활 신림점</t>
  </si>
  <si>
    <t>010-4745-8020</t>
  </si>
  <si>
    <t>기본 정보 수취위해 대표님 통화 시도 - 부재</t>
  </si>
  <si>
    <t>140206</t>
  </si>
  <si>
    <t>20251121140058</t>
  </si>
  <si>
    <t>원격설치 스케줄 재조정 연락 - 15시 설치 요청</t>
  </si>
  <si>
    <t>134056</t>
  </si>
  <si>
    <t>20251121132939</t>
  </si>
  <si>
    <t>청기와타운 구로디지털점</t>
  </si>
  <si>
    <t>010-4847-2824</t>
  </si>
  <si>
    <t>기본 정보 수취위해 대표님 통화 성공 - 설치 전에 메뉴 담당자와 통화 요청함</t>
  </si>
  <si>
    <t>133108</t>
  </si>
  <si>
    <t>20251121133026</t>
  </si>
  <si>
    <t>QR 시안 발송할 메일주소 확인차 연락 - 부재</t>
  </si>
  <si>
    <t>131853</t>
  </si>
  <si>
    <t>20251121131652</t>
  </si>
  <si>
    <t>데이터 정리 안됨/ 월요일 재통화 요청</t>
  </si>
  <si>
    <t>130052</t>
  </si>
  <si>
    <t>20251121125859</t>
  </si>
  <si>
    <t>필요서류 문자발송안내 확인및 QR시안 발송아내</t>
  </si>
  <si>
    <t>115708</t>
  </si>
  <si>
    <t>20251121114747</t>
  </si>
  <si>
    <t>포스 담당자 통화성공 - ASP 정보는 문자로 회신한다함</t>
  </si>
  <si>
    <t>112638</t>
  </si>
  <si>
    <t>20251121112247</t>
  </si>
  <si>
    <t>15442533</t>
  </si>
  <si>
    <t>오케이포스가 아닌 토스포스로 확인됨</t>
  </si>
  <si>
    <t>111907</t>
  </si>
  <si>
    <t>20251121111512</t>
  </si>
  <si>
    <t>대표님 통화 완료
포스대리점, OS,사업자 번호확인후 업데이트 완료
주문키트(QR) 시안 문자 발송완료</t>
  </si>
  <si>
    <t>111014</t>
  </si>
  <si>
    <t>20251121110934</t>
  </si>
  <si>
    <t>통화실패10회</t>
  </si>
  <si>
    <t>103123</t>
  </si>
  <si>
    <t>20251121102950</t>
  </si>
  <si>
    <t>ASP 정보 수취위해 포스 담당자 2차 (10:32) 통화 시도 하였으나 실패 - 통화중</t>
  </si>
  <si>
    <t>102003</t>
  </si>
  <si>
    <t>20251121101452</t>
  </si>
  <si>
    <t>룩인사이드</t>
  </si>
  <si>
    <t>01050552505</t>
  </si>
  <si>
    <t>사업자번호, OS, 비연동 프로그램 설명</t>
  </si>
  <si>
    <t>100207</t>
  </si>
  <si>
    <t>20251121095921</t>
  </si>
  <si>
    <t>문자 회신되지 않아 재요청</t>
  </si>
  <si>
    <t>100128</t>
  </si>
  <si>
    <t>20251121095957</t>
  </si>
  <si>
    <t>ASP 정보 수취위해 포스 담당자 통화 시도 - 통화중</t>
  </si>
  <si>
    <t>175940</t>
  </si>
  <si>
    <t>20251121175244</t>
  </si>
  <si>
    <t>01041611817</t>
  </si>
  <si>
    <t>[IN]
대표님 통화 완료
사업자번호,OS정보확인후 업데이트 완료 (OS아이패드, 맥 사용중)
비연동 프로그램 안내
주문키트(QR) 시안 문자 발송완료</t>
  </si>
  <si>
    <t>114818</t>
  </si>
  <si>
    <t>20251121114550</t>
  </si>
  <si>
    <t>our own flavor 포스담당자
부재중 문자 보고 연락줌 - 담당자 전달 바로 연락드림 안내</t>
  </si>
  <si>
    <t>금</t>
    <phoneticPr fontId="19" type="noConversion"/>
  </si>
  <si>
    <t>3주차 소계</t>
    <phoneticPr fontId="19" type="noConversion"/>
  </si>
  <si>
    <t>금</t>
    <phoneticPr fontId="19" type="noConversion"/>
  </si>
  <si>
    <t>20251124</t>
  </si>
  <si>
    <t>172816</t>
  </si>
  <si>
    <t>20251124172325</t>
  </si>
  <si>
    <t>포스사와 통화시 포스기 교체시 비용이슈로 최대한 포스정리해보고 원격 재진행 요청</t>
  </si>
  <si>
    <t>171429</t>
  </si>
  <si>
    <t>20251124171157</t>
  </si>
  <si>
    <t>01048472824</t>
  </si>
  <si>
    <t>기본 정보 수취위해 대표님 통화 - 이전 문의했던 수수료 부분 담당자 연락 못 받았다/통화하고 정보 줄 수 있으니 담당자와 통화 요청/재전달 드린다 안내</t>
  </si>
  <si>
    <t>170306</t>
  </si>
  <si>
    <t>20251124165922</t>
  </si>
  <si>
    <t>포스 변경으로 확인 차 대표님 통화 - 아직 설치 안되어 11/26 (수) 재연락 요청</t>
  </si>
  <si>
    <t>165344</t>
  </si>
  <si>
    <t>20251124165100</t>
  </si>
  <si>
    <t>01066433659</t>
  </si>
  <si>
    <t>대표님 통화 실패</t>
  </si>
  <si>
    <t>165102</t>
  </si>
  <si>
    <t>20251124164805</t>
  </si>
  <si>
    <t>포스사 문의확인차 아웃/ 종료후 바로 하긴했으나 아직 정확한 답변이 오지 않은상태라고 함/ 수or목요일 재통화 요청</t>
  </si>
  <si>
    <t>164919</t>
  </si>
  <si>
    <t>20251124163949</t>
  </si>
  <si>
    <t>대표님 통화성공 1년무료이고 그후 수수료율 발생된다는걸 통화중 확인되어 사업제안서및 계약내용 이메일로 요청하였으나 미수신되어  메일수신후  포스비번 알려주신다함</t>
  </si>
  <si>
    <t>164158</t>
  </si>
  <si>
    <t>20251124163742</t>
  </si>
  <si>
    <t>한울정보통신</t>
  </si>
  <si>
    <t>유니팟, API 신청 승인완료 되었는지 확인 차 통화 - 승인 완료 확인</t>
  </si>
  <si>
    <t>162822</t>
  </si>
  <si>
    <t>20251124162614</t>
  </si>
  <si>
    <t>미중유</t>
  </si>
  <si>
    <t>포스담당자 통화실패 / 부재</t>
  </si>
  <si>
    <t>161827</t>
  </si>
  <si>
    <t>20251124161640</t>
  </si>
  <si>
    <t>포스정보 문자로 회신 주신다함</t>
  </si>
  <si>
    <t>160945</t>
  </si>
  <si>
    <t>20251124155246</t>
  </si>
  <si>
    <t>기본 정보 수취위해 대표님 통화시도 - 17:00 재연락 요청</t>
  </si>
  <si>
    <t>155539</t>
  </si>
  <si>
    <t>20251124155338</t>
  </si>
  <si>
    <t>사카바</t>
  </si>
  <si>
    <t>010-5185-9194</t>
  </si>
  <si>
    <t>포스담당자 통화성공 / 포스저이보 문자로 회신주신다함</t>
  </si>
  <si>
    <t>155301</t>
  </si>
  <si>
    <t>20251124155038</t>
  </si>
  <si>
    <t>01053878802</t>
  </si>
  <si>
    <t>사업자 정보 확인차 매니저님 통화시도실패 / 부재</t>
  </si>
  <si>
    <t>155151</t>
  </si>
  <si>
    <t>20251124155004</t>
  </si>
  <si>
    <t>백년한우직판장</t>
  </si>
  <si>
    <t>0226629380</t>
  </si>
  <si>
    <t>매장내 테이블 없이 그냥 정육점이라고함</t>
  </si>
  <si>
    <t>154944</t>
  </si>
  <si>
    <t>20251124154833</t>
  </si>
  <si>
    <t>0236631532</t>
  </si>
  <si>
    <t>받았다가 끊음</t>
  </si>
  <si>
    <t>154652</t>
  </si>
  <si>
    <t>20251124154509</t>
  </si>
  <si>
    <t>0236633392</t>
  </si>
  <si>
    <t>대표님 부재로 내일 점심쯤 통화가능</t>
  </si>
  <si>
    <t>154435</t>
  </si>
  <si>
    <t>20251124154239</t>
  </si>
  <si>
    <t>07041418800</t>
  </si>
  <si>
    <t>5~6시 사이 재통화요청</t>
  </si>
  <si>
    <t>154044</t>
  </si>
  <si>
    <t>20251124153943</t>
  </si>
  <si>
    <t>통화실패</t>
  </si>
  <si>
    <t>153902</t>
  </si>
  <si>
    <t>20251124153713</t>
  </si>
  <si>
    <t>0261056138</t>
  </si>
  <si>
    <t>포스 정보 확인위해 담당자 통화시도 - 부재</t>
  </si>
  <si>
    <t>20251124153234</t>
  </si>
  <si>
    <t>원격일정조율차 통화/ 27일목요일11시진행</t>
  </si>
  <si>
    <t>153143</t>
  </si>
  <si>
    <t>20251124153043</t>
  </si>
  <si>
    <t>01050667604</t>
  </si>
  <si>
    <t>포스 정보 확인 차 담당자 통화 시도 - 부재</t>
  </si>
  <si>
    <t>150918</t>
  </si>
  <si>
    <t>20251124150358</t>
  </si>
  <si>
    <t>15993361</t>
  </si>
  <si>
    <t>포스 정보 확인 위해 대림점 통화 시도 - 넘버원 포스로 확인됨</t>
  </si>
  <si>
    <t>150643</t>
  </si>
  <si>
    <t>20251124145924</t>
  </si>
  <si>
    <t>기본정보확인차 대표님 아웃/ 영업당당자와 비용관련 다시 한번 확인요청하심 / 본사 내용 전달</t>
  </si>
  <si>
    <t>20251124150016</t>
  </si>
  <si>
    <t>곱창파</t>
  </si>
  <si>
    <t>포스담당자 통화 성공 - 대표님 캐치테이블 안한다고 하였다함 
대표님 통화성공 -포스담당자 통화시 QR로 결제되면 수수료 비싸다고 하여 설치안한다함 
 오더만 포스로 연동됨 안내하였으나 설치 안하신다함</t>
  </si>
  <si>
    <t>145958</t>
  </si>
  <si>
    <t>20251124145759</t>
  </si>
  <si>
    <t>01037371433</t>
  </si>
  <si>
    <t>포스담당자 통화 성공 - 대표님 캐치테이블 안한다고 하였다함</t>
  </si>
  <si>
    <t>145711</t>
  </si>
  <si>
    <t>20251124145258</t>
  </si>
  <si>
    <t>포스 계정정보확인차 아웃/ ID와 PW는 담당자 문자회신예정</t>
  </si>
  <si>
    <t>144028</t>
  </si>
  <si>
    <t>20251124143846</t>
  </si>
  <si>
    <t>기본정보 확인차 대표님 통화 시도 하였으나 부재</t>
  </si>
  <si>
    <t>143611</t>
  </si>
  <si>
    <t>20251124142755</t>
  </si>
  <si>
    <t>포스 대리점 통화성공 - 유니팟, API 신청요청</t>
  </si>
  <si>
    <t>143026</t>
  </si>
  <si>
    <t>20251124142311</t>
  </si>
  <si>
    <t>대표님 통화완료</t>
  </si>
  <si>
    <t>142728</t>
  </si>
  <si>
    <t>20251124142549</t>
  </si>
  <si>
    <t>포스정보 확인차 연락드렸으나 부재</t>
  </si>
  <si>
    <t>142444</t>
  </si>
  <si>
    <t>20251124140711</t>
  </si>
  <si>
    <t>QR 시안 결정 되었는지 확인 차 대표님 통화완료 - 확인 후 업데이트 완료</t>
  </si>
  <si>
    <t>142140</t>
  </si>
  <si>
    <t>20251124141942</t>
  </si>
  <si>
    <t>대표님 통화성공 :타사와 진행완료 하여 캐치테이블 설치 안한다함</t>
  </si>
  <si>
    <t>141800</t>
  </si>
  <si>
    <t>20251124141640</t>
  </si>
  <si>
    <t>포스정보 확인차 대표님 통화성공 16:30 재연락요청</t>
  </si>
  <si>
    <t>141313</t>
  </si>
  <si>
    <t>20251124141120</t>
  </si>
  <si>
    <t>포스담당자 통화성공  - 대표님과 통화 해보겠다함 
15:00 재연락 드리겠음안내</t>
  </si>
  <si>
    <t>141242</t>
  </si>
  <si>
    <t>20251124140846</t>
  </si>
  <si>
    <t>01048265795</t>
  </si>
  <si>
    <t>선후불매장 확인후 안내</t>
  </si>
  <si>
    <t>140711</t>
  </si>
  <si>
    <t>20251124140605</t>
  </si>
  <si>
    <t>고도식</t>
  </si>
  <si>
    <t>01022220593</t>
  </si>
  <si>
    <t>기본정보확인차 아웃/ 부재</t>
  </si>
  <si>
    <t>140323</t>
  </si>
  <si>
    <t>20251124140007</t>
  </si>
  <si>
    <t>코네(kone)</t>
  </si>
  <si>
    <t>QR 시안 결정되었는지 확인 차 대표님 통화 시도 - 부재</t>
  </si>
  <si>
    <t>140316</t>
  </si>
  <si>
    <t>20251124135850</t>
  </si>
  <si>
    <t>일정조율차 전화드렸으나 포스사와 말씀나누는 중이라며 추후에 전화 요청 하심</t>
  </si>
  <si>
    <t>140239</t>
  </si>
  <si>
    <t>20251124135631</t>
  </si>
  <si>
    <t>대표 통화성공  /포스 운영 체재는 16:50 재통화 요청</t>
  </si>
  <si>
    <t>135620</t>
  </si>
  <si>
    <t>20251124135456</t>
  </si>
  <si>
    <t>기본 정보 확인차 대표님 통화실패 -도입중 전화끊음</t>
  </si>
  <si>
    <t>135614</t>
  </si>
  <si>
    <t>20251124135025</t>
  </si>
  <si>
    <t>기본정보확인차 아웃/ 안드로이드라고해서 재확인후 연락예정</t>
  </si>
  <si>
    <t>135320</t>
  </si>
  <si>
    <t>20251124135135</t>
  </si>
  <si>
    <t>QR 시안 결정되었는지 확인 차 대표님 통화시도 - 부재</t>
  </si>
  <si>
    <t>134657</t>
  </si>
  <si>
    <t>20251124134419</t>
  </si>
  <si>
    <t>01027046461</t>
  </si>
  <si>
    <t>외부에 있어 문자 회신 예정</t>
  </si>
  <si>
    <t>134332</t>
  </si>
  <si>
    <t>20251124133746</t>
  </si>
  <si>
    <t>01096549004</t>
  </si>
  <si>
    <t>133620</t>
  </si>
  <si>
    <t>20251124133434</t>
  </si>
  <si>
    <t>데이터 정리 확인차 아웃/ 20분뒤 재통화</t>
  </si>
  <si>
    <t>133419</t>
  </si>
  <si>
    <t>20251124132753</t>
  </si>
  <si>
    <t>원격일정차  대표님 통화성공
11/26 14:30 원경요청 
QR시안 확인 안된다고 하셔서 문자 재발송완료</t>
  </si>
  <si>
    <t>133119</t>
  </si>
  <si>
    <t>20251124132817</t>
  </si>
  <si>
    <t>설치완료 안내 - QR 시안 재발송</t>
  </si>
  <si>
    <t>132203</t>
  </si>
  <si>
    <t>20251124131230</t>
  </si>
  <si>
    <t>01023335315</t>
  </si>
  <si>
    <t>포스개점처리</t>
  </si>
  <si>
    <t>131220</t>
  </si>
  <si>
    <t>20251124125907</t>
  </si>
  <si>
    <t>130423</t>
  </si>
  <si>
    <t>20251124130302</t>
  </si>
  <si>
    <t>사업자 정보 확인차 연라기드렸으나 ;부재</t>
  </si>
  <si>
    <t>음성봇(숲속호두 등촌본점)</t>
  </si>
  <si>
    <t>114738</t>
  </si>
  <si>
    <t>20251124114537</t>
  </si>
  <si>
    <t>0236636036</t>
  </si>
  <si>
    <t>사장님 번호로 통화 요청</t>
  </si>
  <si>
    <t>113239</t>
  </si>
  <si>
    <t>20251124113122</t>
  </si>
  <si>
    <t>켄 (일식당 KEN)</t>
  </si>
  <si>
    <t>01094881084</t>
  </si>
  <si>
    <t>112940</t>
  </si>
  <si>
    <t>20251124112605</t>
  </si>
  <si>
    <t>01032241693</t>
  </si>
  <si>
    <t>포스 정보 확인위해 담당자 통화성공 - 계정 정보 확인</t>
  </si>
  <si>
    <t>112637</t>
  </si>
  <si>
    <t>20251124112550</t>
  </si>
  <si>
    <t>기본정보확인차 아웃- 통화 넘김, 11회</t>
  </si>
  <si>
    <t>111500</t>
  </si>
  <si>
    <t>20251124111139</t>
  </si>
  <si>
    <t>운영체제 확인차 아웃</t>
  </si>
  <si>
    <t>111125</t>
  </si>
  <si>
    <t>20251124110434</t>
  </si>
  <si>
    <t>기본정보확인차 대표님 통화 완료</t>
  </si>
  <si>
    <t>110733</t>
  </si>
  <si>
    <t>20251124110444</t>
  </si>
  <si>
    <t>감성화로 주안본점</t>
  </si>
  <si>
    <t>01080045590</t>
  </si>
  <si>
    <t>기본정보 수취위해 대표님 통화 성공 - 포스가 아직 결정되지 않음/이번주 안으로 설치 예정이라고함/11/28(금) 재연락 요청함</t>
  </si>
  <si>
    <t>110416</t>
  </si>
  <si>
    <t>20251124110117</t>
  </si>
  <si>
    <t>매장매니저와 13시 재통화 요청</t>
  </si>
  <si>
    <t>105334</t>
  </si>
  <si>
    <t>20251124104955</t>
  </si>
  <si>
    <t>유니팟,API 신청 - 승인되면 문자로 전송 요청함</t>
  </si>
  <si>
    <t>104730</t>
  </si>
  <si>
    <t>20251124104414</t>
  </si>
  <si>
    <t>대표님 통화성공 - 유니팟 설정위해 사업자 번호 확인</t>
  </si>
  <si>
    <t>104240</t>
  </si>
  <si>
    <t>20251124104127</t>
  </si>
  <si>
    <t>정희 위례신도시점</t>
  </si>
  <si>
    <t>15771584</t>
  </si>
  <si>
    <t>유니팟신청차확인된번호 아웃했으나 포스 업체가 아니라고함</t>
  </si>
  <si>
    <t>103514</t>
  </si>
  <si>
    <t>20251124103054</t>
  </si>
  <si>
    <t>유니팟, API 신청위해 고객센터 통화시도 - 승인 시 문자로 연락 주시라 안내</t>
  </si>
  <si>
    <t>103011</t>
  </si>
  <si>
    <t>20251124102756</t>
  </si>
  <si>
    <t>18004151</t>
  </si>
  <si>
    <t>유니팟, API 신청 위해 통화시도 - 고객센터로 연락하라고 함</t>
  </si>
  <si>
    <t>101152</t>
  </si>
  <si>
    <t>20251124100528</t>
  </si>
  <si>
    <t>포스 대리점 통화 성공
ASP가맹점설정 확인및 유니팟, API신청 안내
기술팀으로 내용전달하고 승인되는대로 회신주기로함</t>
  </si>
  <si>
    <t>182335</t>
  </si>
  <si>
    <t>20251120180806</t>
  </si>
  <si>
    <t>대표님 통화성공 / 사업자 등록번호 ,OS정보 확인 / 스마트로 공포스 이므로 포스담당자 없다함 / 선불매장으로 진행 예정이셔서 필요한 서류 문자발송</t>
  </si>
  <si>
    <t>180134</t>
  </si>
  <si>
    <t>20251120175934</t>
  </si>
  <si>
    <t>포스담당자 확인차 연락드렸으나 부재</t>
  </si>
  <si>
    <t>175055</t>
  </si>
  <si>
    <t>20251120174419</t>
  </si>
  <si>
    <t>포스 담당자 통화성공 - ASP 정보 추후 확인 가능/익일 11/21 오전 10시 재연락 요청</t>
  </si>
  <si>
    <t>173625</t>
  </si>
  <si>
    <t>20251120173527</t>
  </si>
  <si>
    <t>9회차 전화연결 실패</t>
  </si>
  <si>
    <t>20251120171311</t>
  </si>
  <si>
    <t>01040455011</t>
  </si>
  <si>
    <t>현재 사용중인 포스 계약만료로 타 업체로 변경 예정/메뉴판 용도로만 사용을 원함/메뉴 사진 회신할  이메일 문자 전송 안내</t>
  </si>
  <si>
    <t>172848</t>
  </si>
  <si>
    <t>20251120172416</t>
  </si>
  <si>
    <t>16887096</t>
  </si>
  <si>
    <t>계정정보확인 완료</t>
  </si>
  <si>
    <t>172347</t>
  </si>
  <si>
    <t>20251120172033</t>
  </si>
  <si>
    <t>01053806174</t>
  </si>
  <si>
    <t>본사담당자 통화 완료 포스대리점 번호확인</t>
  </si>
  <si>
    <t>172001</t>
  </si>
  <si>
    <t>20251120171642</t>
  </si>
  <si>
    <t>본인은 확인이 어려워 본사 번호 안내</t>
  </si>
  <si>
    <t>171033</t>
  </si>
  <si>
    <t>20251120165915</t>
  </si>
  <si>
    <t>진행 불가/ 포스사로 파일 설치가능여부 확인해야함</t>
  </si>
  <si>
    <t>162117</t>
  </si>
  <si>
    <t>20251120161854</t>
  </si>
  <si>
    <t>육일관 성신여대점</t>
  </si>
  <si>
    <t>01084428844</t>
  </si>
  <si>
    <t>문자 수신예정</t>
  </si>
  <si>
    <t>162004</t>
  </si>
  <si>
    <t>20251120161352</t>
  </si>
  <si>
    <t>이전 상담 시 테이블 오더 선결재 문의건으로 안내위해 대표님 통화시도하였으나 부재</t>
  </si>
  <si>
    <t>161702</t>
  </si>
  <si>
    <t>20251120161211</t>
  </si>
  <si>
    <t>01086664878</t>
  </si>
  <si>
    <t>대표님 통화 완료
사업자번호, OS, 포스담당자 번호확인후 업데이트 완료
다른오더 사용한적 없음
주문키트(QR) 시안 문자 발송완료</t>
  </si>
  <si>
    <t>160800</t>
  </si>
  <si>
    <t>20251120155949</t>
  </si>
  <si>
    <t>010-4045-5011</t>
  </si>
  <si>
    <t>기본정보 수취위해 대표자 통화성공 - 기존에 담당자와 컨택 시 테이블 오더를 바로 사용하는 것이 아니라 한 달 정도 테스트 기간을 두고자 했다함/ QR 시안은 문자로 전송해 달라 요청/전송완료</t>
  </si>
  <si>
    <t>155616</t>
  </si>
  <si>
    <t>20251120155518</t>
  </si>
  <si>
    <t>포기호</t>
  </si>
  <si>
    <t>01049281800</t>
  </si>
  <si>
    <t>포기호아웃했으나 통화 넘김</t>
  </si>
  <si>
    <t>155143</t>
  </si>
  <si>
    <t>20251120154942</t>
  </si>
  <si>
    <t>02-6105-6138</t>
  </si>
  <si>
    <t>포스 담당자 통화 시도하였으나 부재</t>
  </si>
  <si>
    <t>154755</t>
  </si>
  <si>
    <t>20251120154416</t>
  </si>
  <si>
    <t>0226718080</t>
  </si>
  <si>
    <t>계정정보확인후 문자또는 전화로 회신 예정</t>
  </si>
  <si>
    <t>154029</t>
  </si>
  <si>
    <t>20251120153655</t>
  </si>
  <si>
    <t>01020232483</t>
  </si>
  <si>
    <t>포스담당자/ 계정정보확인후 업데이트 완료</t>
  </si>
  <si>
    <t>151907</t>
  </si>
  <si>
    <t>20251120151411</t>
  </si>
  <si>
    <t>151623</t>
  </si>
  <si>
    <t>20251120150654</t>
  </si>
  <si>
    <t>기본 정보 수취위해 대표자 통화 성공 - QR 시안 문자 발송 완료</t>
  </si>
  <si>
    <t>151002</t>
  </si>
  <si>
    <t>20251120150605</t>
  </si>
  <si>
    <t>사업자. OS정보 확인</t>
  </si>
  <si>
    <t>145117</t>
  </si>
  <si>
    <t>20251120144956</t>
  </si>
  <si>
    <t>141436</t>
  </si>
  <si>
    <t>20251120141122</t>
  </si>
  <si>
    <t>포스담당자 아웃</t>
  </si>
  <si>
    <t>140631</t>
  </si>
  <si>
    <t>20251120140107</t>
  </si>
  <si>
    <t>140032</t>
  </si>
  <si>
    <t>20251120135843</t>
  </si>
  <si>
    <t>원격설치 연락 - 부재2</t>
  </si>
  <si>
    <t>135635</t>
  </si>
  <si>
    <t>20251120135250</t>
  </si>
  <si>
    <t>1577-2287</t>
  </si>
  <si>
    <t>포스 대리점 통화성공 - 정보 확인 후 휴대폰으로 회신 주기로함</t>
  </si>
  <si>
    <t>134925</t>
  </si>
  <si>
    <t>20251120133704</t>
  </si>
  <si>
    <t>포스담당자 통화 성공 / 나이스오케이 사용 ID,PW 확인 로그인실패 익일 (11/21) 재통화요청</t>
  </si>
  <si>
    <t>134311</t>
  </si>
  <si>
    <t>20251120134133</t>
  </si>
  <si>
    <t>폴스다이너</t>
  </si>
  <si>
    <t>기본 정보 수취위해 통화하였으나 15시 재통화 요청</t>
  </si>
  <si>
    <t>132422</t>
  </si>
  <si>
    <t>20251120132224</t>
  </si>
  <si>
    <t>원격설치 완료</t>
  </si>
  <si>
    <t>132205</t>
  </si>
  <si>
    <t>20251120131348</t>
  </si>
  <si>
    <t>개점처리요청차 아웃</t>
  </si>
  <si>
    <t>132032</t>
  </si>
  <si>
    <t>20251120131147</t>
  </si>
  <si>
    <t>15886614</t>
  </si>
  <si>
    <t>-포스사 통화완료  /포스정보 업데이트 완료</t>
  </si>
  <si>
    <t>131328</t>
  </si>
  <si>
    <t>20251120130912</t>
  </si>
  <si>
    <t>원격설치 이지헬프</t>
  </si>
  <si>
    <t>115352</t>
  </si>
  <si>
    <t>20251120114323</t>
  </si>
  <si>
    <t>01028860456</t>
  </si>
  <si>
    <t>기본정보 확인차 대표님 통화 완료
포스 담당자, 사업자번호, OS 운영체제 확인 후 업데이트 완료 
기존 다른 오더 프로그램 사용한 적 없음
주문키트(QR) 시안 문자 발송완료</t>
  </si>
  <si>
    <t>113541</t>
  </si>
  <si>
    <t>20251120112929</t>
  </si>
  <si>
    <t>01040070778</t>
  </si>
  <si>
    <t>대표님 통화성공</t>
  </si>
  <si>
    <t>211211</t>
  </si>
  <si>
    <t>20251119210842</t>
  </si>
  <si>
    <t>01029913443</t>
  </si>
  <si>
    <t>전환안내 하였으나 필요없어 사용 안하고 있고  전환거부</t>
  </si>
  <si>
    <t>200211</t>
  </si>
  <si>
    <t>20251119195927</t>
  </si>
  <si>
    <t>010-2678-7978</t>
  </si>
  <si>
    <t>대표님 통화 성공  포스사 연락처 확인 업데이트 및 시안 문자발송</t>
  </si>
  <si>
    <t>매장 담당자 / 포스, 사업자 번호확인 
마곡점, 광화문점 대리점 담당자 동일
QR시안 및 메뉴사진 발송하실 이메일주소 문자발송 - 마곡점, 광화문점 각각 메뉴판 보내주기로하심</t>
  </si>
  <si>
    <t>162909</t>
  </si>
  <si>
    <t>20251124162144</t>
  </si>
  <si>
    <t>2주전부터 QR 사용해 봤으나 포스상에 메뉴 이미지, 음료수가 보이지 않음/손님들이 추가로 주문 시 원래 주문 내용과 추가 주문이 중복으로 접수되어 이용에 불편하다 하시며 서비스 사용 중지 요청 - 담당자에게 내용 전달 드린다 안내 후 종료</t>
  </si>
  <si>
    <t>162238</t>
  </si>
  <si>
    <t>20251124162001</t>
  </si>
  <si>
    <t>반전 부산경주진배기국밥</t>
  </si>
  <si>
    <t>01095077869</t>
  </si>
  <si>
    <t>[IN]통화요청했으나 받지 못함, 재전화 요청 드림</t>
  </si>
  <si>
    <t>161512</t>
  </si>
  <si>
    <t>20251124161154</t>
  </si>
  <si>
    <t>QR 코드로 주문 시 주방쪽으로 프린터 연결이 안되어 문의 - 담당자 연결 드릴수 있도록 전달한다 안내함</t>
  </si>
  <si>
    <t>140407</t>
  </si>
  <si>
    <t>20251124140238</t>
  </si>
  <si>
    <t>01098175895</t>
  </si>
  <si>
    <t>오케이포스 대리점인지 문의 - 캐치오더 QR운영팀임 안내</t>
  </si>
  <si>
    <t>112116</t>
  </si>
  <si>
    <t>20251124111759</t>
  </si>
  <si>
    <t>[IN]주방프린터연결 안됨</t>
  </si>
  <si>
    <t>월</t>
    <phoneticPr fontId="19" type="noConversion"/>
  </si>
  <si>
    <t>20251125</t>
  </si>
  <si>
    <t>175414</t>
  </si>
  <si>
    <t>20251125174958</t>
  </si>
  <si>
    <t>173904</t>
  </si>
  <si>
    <t>20251125173538</t>
  </si>
  <si>
    <t>01045604713</t>
  </si>
  <si>
    <t>173439</t>
  </si>
  <si>
    <t>20251125173336</t>
  </si>
  <si>
    <t>172846</t>
  </si>
  <si>
    <t>20251125172340</t>
  </si>
  <si>
    <t>172807</t>
  </si>
  <si>
    <t>20251125172654</t>
  </si>
  <si>
    <t>01082894189</t>
  </si>
  <si>
    <t>172318</t>
  </si>
  <si>
    <t>20251125171922</t>
  </si>
  <si>
    <t>165343</t>
  </si>
  <si>
    <t>20251125164544</t>
  </si>
  <si>
    <t>165247</t>
  </si>
  <si>
    <t>20251125164529</t>
  </si>
  <si>
    <t>20251125163509</t>
  </si>
  <si>
    <t>몽밀 정릉천점</t>
  </si>
  <si>
    <t>01023592644</t>
  </si>
  <si>
    <t>164009</t>
  </si>
  <si>
    <t>20251125163338</t>
  </si>
  <si>
    <t>01099924351</t>
  </si>
  <si>
    <t>163143</t>
  </si>
  <si>
    <t>20251125163031</t>
  </si>
  <si>
    <t>162740</t>
  </si>
  <si>
    <t>20251125162441</t>
  </si>
  <si>
    <t>162347</t>
  </si>
  <si>
    <t>20251125162123</t>
  </si>
  <si>
    <t>01045387340</t>
  </si>
  <si>
    <t>162242</t>
  </si>
  <si>
    <t>20251125161417</t>
  </si>
  <si>
    <t>162046</t>
  </si>
  <si>
    <t>20251125161525</t>
  </si>
  <si>
    <t>160841</t>
  </si>
  <si>
    <t>20251125160307</t>
  </si>
  <si>
    <t>160138</t>
  </si>
  <si>
    <t>20251125155825</t>
  </si>
  <si>
    <t>155810</t>
  </si>
  <si>
    <t>20251125155502</t>
  </si>
  <si>
    <t>155455</t>
  </si>
  <si>
    <t>20251125151007</t>
  </si>
  <si>
    <t>20251125154505</t>
  </si>
  <si>
    <t>152638</t>
  </si>
  <si>
    <t>20251125152413</t>
  </si>
  <si>
    <t>151031</t>
  </si>
  <si>
    <t>20251125143416</t>
  </si>
  <si>
    <t>01025355525</t>
  </si>
  <si>
    <t>150959</t>
  </si>
  <si>
    <t>20251125150740</t>
  </si>
  <si>
    <t>150756</t>
  </si>
  <si>
    <t>20251125150421</t>
  </si>
  <si>
    <t>01092686085</t>
  </si>
  <si>
    <t>150713</t>
  </si>
  <si>
    <t>20251125150235</t>
  </si>
  <si>
    <t>150231</t>
  </si>
  <si>
    <t>20251125145833</t>
  </si>
  <si>
    <t>평화로</t>
  </si>
  <si>
    <t>150203</t>
  </si>
  <si>
    <t>20251125150014</t>
  </si>
  <si>
    <t>145809</t>
  </si>
  <si>
    <t>20251125144139</t>
  </si>
  <si>
    <t>0319648759</t>
  </si>
  <si>
    <t>20251125144114</t>
  </si>
  <si>
    <t>144057</t>
  </si>
  <si>
    <t>20251125143950</t>
  </si>
  <si>
    <t>144045</t>
  </si>
  <si>
    <t>20251125143822</t>
  </si>
  <si>
    <t>01020686566</t>
  </si>
  <si>
    <t>143717</t>
  </si>
  <si>
    <t>20251125143521</t>
  </si>
  <si>
    <t>143408</t>
  </si>
  <si>
    <t>20251125140903</t>
  </si>
  <si>
    <t>141055</t>
  </si>
  <si>
    <t>20251125140832</t>
  </si>
  <si>
    <t>140713</t>
  </si>
  <si>
    <t>20251125140440</t>
  </si>
  <si>
    <t>140601</t>
  </si>
  <si>
    <t>20251125135909</t>
  </si>
  <si>
    <t>01099880314</t>
  </si>
  <si>
    <t>140235</t>
  </si>
  <si>
    <t>20251125135803</t>
  </si>
  <si>
    <t>140127</t>
  </si>
  <si>
    <t>20251125135933</t>
  </si>
  <si>
    <t>135741</t>
  </si>
  <si>
    <t>20251125135250</t>
  </si>
  <si>
    <t>135235</t>
  </si>
  <si>
    <t>20251125134844</t>
  </si>
  <si>
    <t>130351</t>
  </si>
  <si>
    <t>20251125130103</t>
  </si>
  <si>
    <t>114917</t>
  </si>
  <si>
    <t>20251125114300</t>
  </si>
  <si>
    <t>114151</t>
  </si>
  <si>
    <t>20251125113109</t>
  </si>
  <si>
    <t>010-7100-3778</t>
  </si>
  <si>
    <t>20251125113114</t>
  </si>
  <si>
    <t>111058</t>
  </si>
  <si>
    <t>20251125110640</t>
  </si>
  <si>
    <t>110227</t>
  </si>
  <si>
    <t>20251125105941</t>
  </si>
  <si>
    <t>105533</t>
  </si>
  <si>
    <t>20251125105242</t>
  </si>
  <si>
    <t>105307</t>
  </si>
  <si>
    <t>20251125105050</t>
  </si>
  <si>
    <t>104650</t>
  </si>
  <si>
    <t>20251125104227</t>
  </si>
  <si>
    <t>15771984</t>
  </si>
  <si>
    <t>104334</t>
  </si>
  <si>
    <t>20251125104213</t>
  </si>
  <si>
    <t>010-5066-7604</t>
  </si>
  <si>
    <t>102430</t>
  </si>
  <si>
    <t>20251125102111</t>
  </si>
  <si>
    <t>102005</t>
  </si>
  <si>
    <t>20251125101017</t>
  </si>
  <si>
    <t>기본 정보 수취위해 대표님 통화 - 기존 문의건 이메일로 답변 못 받았다 기본 정보는 먼저 제공할 수 없다함</t>
  </si>
  <si>
    <t>테이블 수 확인 위해 대표님 통화성공 - 업데이트 완료</t>
  </si>
  <si>
    <t>테이블 번호 확인 위해 대표님 통화 시도 - 통화중</t>
  </si>
  <si>
    <t>포스 계정 정보 확인 위해 대리점 통화성공 - 계정 업데이트 완료</t>
  </si>
  <si>
    <t>포기호 아웃했으나 부재</t>
  </si>
  <si>
    <t>포스 정보 확인차 대표님 통화시도 - 오케이 포스 사용한다고 함</t>
  </si>
  <si>
    <t>유니온 포스는 현재 마지막 테스트중이라 내일 진행 어려움으로 안내/ QR시간 결정하셔서 안내후 종료</t>
  </si>
  <si>
    <t>시안 결정 확인 차 통화시도 - 업데이트 완료</t>
  </si>
  <si>
    <t>확인된 계정이 달라 재확인차 아웃했으나 문자로 회신 예정</t>
  </si>
  <si>
    <t>기본정보 수취위해 대표님 통화성공 - 이미 테이블 마다 오더기가 비치가 되어 있어 불필요하다함</t>
  </si>
  <si>
    <t>시안 확인 위해 통화 시도 - 부재</t>
  </si>
  <si>
    <t>계정정보확인차 아웃</t>
  </si>
  <si>
    <t>포스담당자 통화 성공 - 외부에 있어 확인후 문자로 회신주신다고함</t>
  </si>
  <si>
    <t>시안 업데이트 위해 대표자 통화 성공 - 업데이트 완료</t>
  </si>
  <si>
    <t>포스담당자, 사업자번호, OS확인후 업데이트 완료
기존 다른 형식의 오더 프로그램 사용한적 없음
주문키트(QR) 시안 문자 발송완료</t>
  </si>
  <si>
    <t>십분뒤 재통화</t>
  </si>
  <si>
    <t>원격설치및 qr키트 결정 확인차 대표님과 통화</t>
  </si>
  <si>
    <t>대표님 통화실패 /부재</t>
  </si>
  <si>
    <t>대표님 통화 실패  / 부재</t>
  </si>
  <si>
    <t>원격 설치 완료 되어 대표자 배우자님 설치 완료 안내</t>
  </si>
  <si>
    <t>원격</t>
  </si>
  <si>
    <t>포스담당자 외부로 문자발송요청</t>
  </si>
  <si>
    <t>아이패드 캐치오더 사용 불가</t>
  </si>
  <si>
    <t>대표님 통화성공  - 포스변경하였음 포스담당저 연락처 및OS정보 확인 업데이트완료 
주문키트(QR) 시안 문자 발송완료</t>
  </si>
  <si>
    <t>매장으로 전화 요청</t>
  </si>
  <si>
    <t>포스계정 정보 확인 업데이트</t>
  </si>
  <si>
    <t>외부에 있어 10분뒤 재통화</t>
  </si>
  <si>
    <t>대표님 통화성공 / 포스사 정보 확인완료</t>
  </si>
  <si>
    <t>포스정보확인차 아웃/ 외부에 있어 포스사 실장님 번호 알려주심</t>
  </si>
  <si>
    <t>2회차부재/ 문자 발송</t>
  </si>
  <si>
    <t>가맹점설정권한 요청차 아웃/ 회신 예정</t>
  </si>
  <si>
    <t>포스사 결번으로 재확인 필요 재연락안내</t>
  </si>
  <si>
    <t>기본 정보 확인차 대표님 통화 완료
사업자번호,OS, 포스담당자 확인후 업데이트 완료
티오더, 하이오더 다른 주문프로그램 사용한적 없음
주문키트(QR) 시안 문자 발송완료</t>
  </si>
  <si>
    <t>대표님 통화성공 / OS, 포스대리점 연락처 확인 업데이트 완료 
주문키트(QR) 시안 문자 발송완료</t>
  </si>
  <si>
    <t>원격설치 위해 배우자님 통화시도 - 부재</t>
  </si>
  <si>
    <t>대표님 통화성공 QR시안 정확하게 확인후 요청한다함 
QR시안 sms발송및 16:00시 재통화예정</t>
  </si>
  <si>
    <t>원격일정 조율차 아웃/ 내일(26일)14시 진행 요청/ 시안 재발송요청하셔서 발송</t>
  </si>
  <si>
    <t>원격설치 위해 통화시도 - 배우자님 금일 2시로 통화 요청함</t>
  </si>
  <si>
    <t>이전 문의 주신건으로 연동하여 일단 모니터링 하겠다 말씀 드림- QR 테이블 주문이 누락되는 경우가 간혹 있다함</t>
  </si>
  <si>
    <t>고객문의</t>
  </si>
  <si>
    <t>기본정보수집차 아웃했으나 부재로 문자 발송</t>
  </si>
  <si>
    <t>기본 정보 수취위해 대표님 통화성공 - 점장님 통화, 기본정보 업데이트 완료, QR 문자 시안 발송 안내</t>
  </si>
  <si>
    <t>유니팟, API신청/ 한울 정보통신</t>
  </si>
  <si>
    <t>판교아브뉴프랑점은 확인/ 위례신도시점이 정확하게 확인되지 않아 재전화/ 한울정보통신이라는곳으로 전화시도해보라고 하심</t>
  </si>
  <si>
    <t>포스 계정 정보 확인위해 담당자 통화시도 - 부재</t>
  </si>
  <si>
    <t>가맹점설정권한, 유니팟,API신청 담당부서로 전달, 위례신도시점은 가맹점 아님</t>
  </si>
  <si>
    <t>포스 계정 정보 확인 차 담당자 통화 시도 - 부재</t>
  </si>
  <si>
    <t>계정정보확인차 아웃/ 지금은 할여유가 없다며 내년1월 도입 원함</t>
  </si>
  <si>
    <t>유니팟, API재신청/ 처리완료</t>
  </si>
  <si>
    <t>화</t>
    <phoneticPr fontId="19" type="noConversion"/>
  </si>
  <si>
    <t>112614</t>
  </si>
  <si>
    <t>20251125112219</t>
  </si>
  <si>
    <t>포스가 로그인 됬다가 업데이트중이라고 로딩되다가 다시 업데이트중이라고 로딩되는 현상이 나타남/현재 장사 오픈준비 중이고 손님 몰려오니 빠르게 처리해 달라 요청</t>
  </si>
  <si>
    <t>수</t>
    <phoneticPr fontId="19" type="noConversion"/>
  </si>
  <si>
    <t>20251126</t>
  </si>
  <si>
    <t>154143</t>
  </si>
  <si>
    <t>20251126154053</t>
  </si>
  <si>
    <t>01089132222</t>
  </si>
  <si>
    <t>말씀없이 종료</t>
  </si>
  <si>
    <t>103136</t>
  </si>
  <si>
    <t>20251126102811</t>
  </si>
  <si>
    <t>IN포스담당자/ 계정정보확인</t>
  </si>
  <si>
    <t>181245</t>
  </si>
  <si>
    <t>20251126180855</t>
  </si>
  <si>
    <t>통화실패 / 부재</t>
  </si>
  <si>
    <t>180256</t>
  </si>
  <si>
    <t>20251126175857</t>
  </si>
  <si>
    <t>원격설치/ 이지헬프 다운로드</t>
  </si>
  <si>
    <t>170855</t>
  </si>
  <si>
    <t>20251126170545</t>
  </si>
  <si>
    <t>안135</t>
  </si>
  <si>
    <t>01036288788</t>
  </si>
  <si>
    <t>포스담당자 문자회신예정</t>
  </si>
  <si>
    <t>170401</t>
  </si>
  <si>
    <t>20251126165944</t>
  </si>
  <si>
    <t>01088982165</t>
  </si>
  <si>
    <t>대표님 통화완료/ 포스담당자 예정</t>
  </si>
  <si>
    <t>170336</t>
  </si>
  <si>
    <t>20251126165706</t>
  </si>
  <si>
    <t>기본정보 수취위해 대표님 통화 완료 - 업데이트 완료</t>
  </si>
  <si>
    <t>164523</t>
  </si>
  <si>
    <t>20251126164232</t>
  </si>
  <si>
    <t>시안 확인 차 대표님 통화 - 시안 확인 후 업데이트 완료</t>
  </si>
  <si>
    <t>162557</t>
  </si>
  <si>
    <t>20251126162051</t>
  </si>
  <si>
    <t>백채김치찌개 과천중앙점</t>
  </si>
  <si>
    <t>01042665780</t>
  </si>
  <si>
    <t>기본 정보 수취위해 대표님 통화 - 사업자 번호, 대리점번호, 윈도우 정보 확인 후 업데이트</t>
  </si>
  <si>
    <t>담빛</t>
  </si>
  <si>
    <t>161731</t>
  </si>
  <si>
    <t>20251126161525</t>
  </si>
  <si>
    <t>원격일정조율및 QR시안 확인차 대표님 통화 실패</t>
  </si>
  <si>
    <t>161412</t>
  </si>
  <si>
    <t>20251126160823</t>
  </si>
  <si>
    <t>유라노스 강남</t>
  </si>
  <si>
    <t>010-3906-8828</t>
  </si>
  <si>
    <t>기본정보 확인위해 대표님 통화 - 사업자번호, 윈도우, 담당자 연락처 수취 완료</t>
  </si>
  <si>
    <t>155928</t>
  </si>
  <si>
    <t>20251126155725</t>
  </si>
  <si>
    <t>신촌정직한족발</t>
  </si>
  <si>
    <t>01056565124</t>
  </si>
  <si>
    <t>기본정보 수취위해 대표님 통화시도 - 11/27 13시 이후 재전 요청</t>
  </si>
  <si>
    <t>155744</t>
  </si>
  <si>
    <t>20251126155509</t>
  </si>
  <si>
    <t>01092811654</t>
  </si>
  <si>
    <t>155348</t>
  </si>
  <si>
    <t>20251126155224</t>
  </si>
  <si>
    <t>5시이후 재통화 요청</t>
  </si>
  <si>
    <t>154421</t>
  </si>
  <si>
    <t>20251126153921</t>
  </si>
  <si>
    <t>01040204727</t>
  </si>
  <si>
    <t>원격일정조율차아웃/ 내일27일 16:30분/ qr은커스텀요청하셔서 색상결정후 발송하신다고함</t>
  </si>
  <si>
    <t>153850</t>
  </si>
  <si>
    <t>20251126153733</t>
  </si>
  <si>
    <t>참치앤쿡</t>
  </si>
  <si>
    <t>01095580572</t>
  </si>
  <si>
    <t>153842</t>
  </si>
  <si>
    <t>20251126153053</t>
  </si>
  <si>
    <t>원격설치 완료 안내위해 대표님 통화 - 시안, 테이블 수 확인 완료</t>
  </si>
  <si>
    <t>153313</t>
  </si>
  <si>
    <t>20251126153210</t>
  </si>
  <si>
    <t>153139</t>
  </si>
  <si>
    <t>20251126152445</t>
  </si>
  <si>
    <t>원격설치 일정조율 - 대표님 통화성공
금일(11/26) 18시 설치예정
주문키트 검정, 부착형이라고 기재되어있었으나 거치형이라고하심
테이블수 총 10개 (1~10 전체)</t>
  </si>
  <si>
    <t>153036</t>
  </si>
  <si>
    <t>20251126150901</t>
  </si>
  <si>
    <t>시골집</t>
  </si>
  <si>
    <t>010-4999-6930</t>
  </si>
  <si>
    <t>151918</t>
  </si>
  <si>
    <t>20251126151443</t>
  </si>
  <si>
    <t>01068041331</t>
  </si>
  <si>
    <t>포스담당자라고 말씀해주신 번호가 대표님 개인휴대폰 / 포스사 연락처 확인 해보겠다함 /11/27 15:00 통화요청</t>
  </si>
  <si>
    <t>151437</t>
  </si>
  <si>
    <t>20251126151038</t>
  </si>
  <si>
    <t>포스정보 확인차 연락드렸으나 포스담당자 없다함</t>
  </si>
  <si>
    <t>151017</t>
  </si>
  <si>
    <t>20251126150345</t>
  </si>
  <si>
    <t>01088445247</t>
  </si>
  <si>
    <t>대표님 통화성공 / 포스담당자 .사업자 번호 확인 업데이트 완료 
주문키트(QR) 시안 문자 발송완료
페이히어 연동 서비스 미개발로 캐치테이블 포스 에이전트 통해 주문 수신
- 포스 내 에이전트 설치 후 프린터만 연동해서 사용 안내</t>
  </si>
  <si>
    <t>150259</t>
  </si>
  <si>
    <t>20251126150204</t>
  </si>
  <si>
    <t>비번확인차 대표님 통화/ 실패</t>
  </si>
  <si>
    <t>150025</t>
  </si>
  <si>
    <t>20251126145910</t>
  </si>
  <si>
    <t>지칸 삼성2호점</t>
  </si>
  <si>
    <t>01094915081</t>
  </si>
  <si>
    <t>기본정보 수취위해 대표님 통화 시도 - 부재</t>
  </si>
  <si>
    <t>144925</t>
  </si>
  <si>
    <t>20251126144231</t>
  </si>
  <si>
    <t>매장관리자/ 대표님이 계정비번확인된뒤에 진행 원한다고하심/ 추후회신예정</t>
  </si>
  <si>
    <t>20251126143431</t>
  </si>
  <si>
    <t>원격설치 위해 대표님 통화시도 - 3시 10분 재연락 요청</t>
  </si>
  <si>
    <t>143524</t>
  </si>
  <si>
    <t>20251126142956</t>
  </si>
  <si>
    <t>계탄언니 사당본점</t>
  </si>
  <si>
    <t>01043668511</t>
  </si>
  <si>
    <t>기본정보확인차 아웃/ 문자로 회신주신다고함</t>
  </si>
  <si>
    <t>142933</t>
  </si>
  <si>
    <t>20251126142740</t>
  </si>
  <si>
    <t>팔당족발 강남본점</t>
  </si>
  <si>
    <t>01039254686</t>
  </si>
  <si>
    <t>기본정보확인차 아웃/ 2시에 이미 통화한적있음</t>
  </si>
  <si>
    <t>142108</t>
  </si>
  <si>
    <t>20251126141545</t>
  </si>
  <si>
    <t>송유향</t>
  </si>
  <si>
    <t>010-8310-9915</t>
  </si>
  <si>
    <t>기본 정보 수취위해 대표님 통화 - 유선상 담당자와 상담할 때 정확하게 인지 못했고 사용할지 안할지 고민이 더 필요하다 도입 거절함</t>
  </si>
  <si>
    <t>141838</t>
  </si>
  <si>
    <t>20251126140536</t>
  </si>
  <si>
    <t>원격일정조율차 아웃/ 아직 시안 미결정</t>
  </si>
  <si>
    <t>141214</t>
  </si>
  <si>
    <t>20251126141017</t>
  </si>
  <si>
    <t>01065227173</t>
  </si>
  <si>
    <t>포스 담당자 확인차 OB : 문자로 회신주신다함</t>
  </si>
  <si>
    <t>문어집</t>
  </si>
  <si>
    <t>010-2054-8934</t>
  </si>
  <si>
    <t>140224</t>
  </si>
  <si>
    <t>20251126135943</t>
  </si>
  <si>
    <t>원격일정 조율차 대표님 통화 완료 -다음주 월요일(12/1) 14시 진행요청
QR시안 갈색, 거치형
테이블 정보는 원격시 진행 예정</t>
  </si>
  <si>
    <t>135751</t>
  </si>
  <si>
    <t>20251126135440</t>
  </si>
  <si>
    <t>대표님 통화성공 : 매장 담당자 연락처 확인완료 
사업자 번호 확인 업데이트 완료</t>
  </si>
  <si>
    <t>133535</t>
  </si>
  <si>
    <t>20251126133135</t>
  </si>
  <si>
    <t>미래회관 연남직영관</t>
  </si>
  <si>
    <t>ASP계정정보,가맹점설정,API,유니팟신청 전달후 회신예정</t>
  </si>
  <si>
    <t>133450</t>
  </si>
  <si>
    <t>20251126133141</t>
  </si>
  <si>
    <t>010-5238-2779</t>
  </si>
  <si>
    <t>시안 확인 차 연락 대표님 통화시도 - QR 시안 문자 재전송 요청 /전송완료/문자로 회신한다 함</t>
  </si>
  <si>
    <t>132345</t>
  </si>
  <si>
    <t>20251126132138</t>
  </si>
  <si>
    <t>포스 교체 되었는지, 시안 결정되었는지 확인 차 대표님 통화시도 - 부재</t>
  </si>
  <si>
    <t>131300</t>
  </si>
  <si>
    <t>20251126130902</t>
  </si>
  <si>
    <t>QR시안 결정</t>
  </si>
  <si>
    <t>130144</t>
  </si>
  <si>
    <t>20251126125932</t>
  </si>
  <si>
    <t>평화</t>
  </si>
  <si>
    <t>포스담당자 통화성공 - AIP연결 요청하였는데 혹시 안되었다면 재연락요청</t>
  </si>
  <si>
    <t>115405</t>
  </si>
  <si>
    <t>20251126115302</t>
  </si>
  <si>
    <t>시안 확인 차 대표님 통화시도 - 부재</t>
  </si>
  <si>
    <t>114809</t>
  </si>
  <si>
    <t>20251126113944</t>
  </si>
  <si>
    <t>6105-6138</t>
  </si>
  <si>
    <t>포스 정보 확인 위해 담당자 통화 - 휴대폰으로 회신주겠다함</t>
  </si>
  <si>
    <t>113849</t>
  </si>
  <si>
    <t>20251126113738</t>
  </si>
  <si>
    <t>3회차 부재</t>
  </si>
  <si>
    <t>113212</t>
  </si>
  <si>
    <t>20251126112625</t>
  </si>
  <si>
    <t>미래회관 연남직영점</t>
  </si>
  <si>
    <t>01048480059</t>
  </si>
  <si>
    <t>대표님 통화완료/ 포스정보확인차 아웃예정</t>
  </si>
  <si>
    <t>105456</t>
  </si>
  <si>
    <t>20251126104554</t>
  </si>
  <si>
    <t>시안 확인 위해 대표님 통화 성공 - 4번 브라운 / 거치형 / 커스텀 제작 원함 / 정희 위례 판교 모두 동일 / 테이블 번호는 10분 뒤 재연락 요청</t>
  </si>
  <si>
    <t>오리엔트 익스프레스 와인</t>
  </si>
  <si>
    <t>104218</t>
  </si>
  <si>
    <t>20251126103918</t>
  </si>
  <si>
    <t>올해는 매우 바빠서 내년 초쯤 도입 희망하신다고함</t>
  </si>
  <si>
    <t>101859</t>
  </si>
  <si>
    <t>20251126101747</t>
  </si>
  <si>
    <t>청돈</t>
  </si>
  <si>
    <t>포스 계정 정보 확인 차 담당자 통화 시도 - 부재 / 문자 전송 완료</t>
  </si>
  <si>
    <t>20251126100933</t>
  </si>
  <si>
    <t>옥게장</t>
  </si>
  <si>
    <t>01047500037</t>
  </si>
  <si>
    <t>포스담당자 통화/ 외부에 있어 문자로 회신 예정</t>
  </si>
  <si>
    <t>100624</t>
  </si>
  <si>
    <t>20251126100149</t>
  </si>
  <si>
    <t>화설 강남직영점설</t>
  </si>
  <si>
    <t>15772858</t>
  </si>
  <si>
    <t>포스 계정 정보 위해 대리점 통화성공 - 담당자와 확인 후 안내 가능하다함/ 확인 후 대표 번호로 전화 준다함</t>
  </si>
  <si>
    <t>161328</t>
  </si>
  <si>
    <t>기본정보 수취위해 대표님 통화시도 - 부재</t>
  </si>
  <si>
    <t>01047458020</t>
  </si>
  <si>
    <t>정희</t>
  </si>
  <si>
    <t>135905</t>
  </si>
  <si>
    <t>153913</t>
  </si>
  <si>
    <t>부재9회</t>
  </si>
  <si>
    <t>141711</t>
  </si>
  <si>
    <t>11/3 직접연락주겠다고 하셨으나 그후로 지속 부재</t>
  </si>
  <si>
    <t>141007</t>
  </si>
  <si>
    <t>연결직후 뚜뚜소리들림</t>
  </si>
  <si>
    <t>134403</t>
  </si>
  <si>
    <t>133052</t>
  </si>
  <si>
    <t>100923</t>
  </si>
  <si>
    <t>한냄비</t>
  </si>
  <si>
    <t>154945</t>
  </si>
  <si>
    <t>통화 넘겨짐/부재</t>
  </si>
  <si>
    <t>150941</t>
  </si>
  <si>
    <t>부재 8회</t>
  </si>
  <si>
    <t>3. 금일 설치완료 매장 및 ISSUE사항</t>
    <phoneticPr fontId="19" type="noConversion"/>
  </si>
  <si>
    <t>설치완료 및 ISSUE 사항</t>
    <phoneticPr fontId="19" type="noConversion"/>
  </si>
  <si>
    <t>설치완료 매장 및 ISSUE 내용</t>
    <phoneticPr fontId="19" type="noConversion"/>
  </si>
  <si>
    <t xml:space="preserve"> 1. 원격설치</t>
  </si>
  <si>
    <t xml:space="preserve"> 1. 원격설치</t>
    <phoneticPr fontId="19" type="noConversion"/>
  </si>
  <si>
    <t xml:space="preserve">  - 뉴오더클럽한남 / 설치 및 정상연동 완료</t>
    <phoneticPr fontId="19" type="noConversion"/>
  </si>
  <si>
    <t xml:space="preserve"> 2. 특이사항 없음</t>
  </si>
  <si>
    <t xml:space="preserve"> 2. 특이사항 없음</t>
    <phoneticPr fontId="19" type="noConversion"/>
  </si>
  <si>
    <t xml:space="preserve"> 1. 원격설치</t>
    <phoneticPr fontId="19" type="noConversion"/>
  </si>
  <si>
    <t xml:space="preserve">  - 꽃돌이네 / 설치 및 연동 완료</t>
    <phoneticPr fontId="19" type="noConversion"/>
  </si>
  <si>
    <t xml:space="preserve"> 특이사항 없음</t>
    <phoneticPr fontId="19" type="noConversion"/>
  </si>
  <si>
    <t xml:space="preserve">  - 오스테리아 에덴 / 설치완료되었으나 정상연동 안됨</t>
    <phoneticPr fontId="19" type="noConversion"/>
  </si>
  <si>
    <t xml:space="preserve"> 2. 특이사항</t>
    <phoneticPr fontId="19" type="noConversion"/>
  </si>
  <si>
    <t xml:space="preserve"> - 오스테리아 에덴 원격진행중 정상 설치는 되었으나 연동이 되지 않아 해당내용 팀즈 공유 (김민준 과장님께 내용 전달)</t>
  </si>
  <si>
    <t xml:space="preserve">  - 하누소 인사점 / 설치 및 정상연동 완료</t>
    <phoneticPr fontId="19" type="noConversion"/>
  </si>
  <si>
    <t xml:space="preserve">  - 야키니쿠 제주 / 설치 및 정상연동 완료</t>
  </si>
  <si>
    <t xml:space="preserve">  - 오꾸닭 부곡점 / 오케이 포스로 asana 기재되어있으나 기타포스로 확인됨</t>
  </si>
  <si>
    <t xml:space="preserve">  - 아고야(상암본점) / 디스크 용량부족으로 설치실패, 디스크 정리 요청안내 - 익일 재시도 예정</t>
  </si>
  <si>
    <t xml:space="preserve">  - 피공일 / 설치예약 부재 2회, SMS 발송</t>
  </si>
  <si>
    <t xml:space="preserve">  - 육지 / 원격설치 중 방화벽설정, 예외처리, 프로그램 및 포스 재실행 하였으나 지속 연동실패 / POS사 요청하여 연동요청 필요</t>
  </si>
  <si>
    <t xml:space="preserve">  - 아고야(상암본점) / 포스사와 연락이 되지않아 대표님 개인적으로 정리하신다함, 재시도 예정</t>
  </si>
  <si>
    <t xml:space="preserve">  - 피공일 / 부재 3회</t>
  </si>
  <si>
    <t xml:space="preserve">  - 양복점 사당점 / 설치 및 정상연동 완료</t>
  </si>
  <si>
    <t xml:space="preserve"> 2. 특이사항</t>
    <phoneticPr fontId="19" type="noConversion"/>
  </si>
  <si>
    <t xml:space="preserve">  - [IN] 뉴오더클럽 한남 / 캐치오더 포스 연동 후 자동으로 꺼짐 현상 / 방화벽 이슈로 확인, 예외처리 후 정상연동</t>
    <phoneticPr fontId="19" type="noConversion"/>
  </si>
  <si>
    <t xml:space="preserve">  - 마구로동 우니도 / 설치 및 정상연동 완료</t>
    <phoneticPr fontId="19" type="noConversion"/>
  </si>
  <si>
    <t xml:space="preserve">  - 드포레 와인다이닝(용산) / 설치 및 정상연동 완료</t>
    <phoneticPr fontId="19" type="noConversion"/>
  </si>
  <si>
    <t xml:space="preserve">  - 육지 / 설치 및 정상연동 완료</t>
    <phoneticPr fontId="19" type="noConversion"/>
  </si>
  <si>
    <t xml:space="preserve">  - 피공일 / 부재 4회, SMS 추가발송</t>
    <phoneticPr fontId="19" type="noConversion"/>
  </si>
  <si>
    <t xml:space="preserve">  - 일품 마곡점 / 설치 및 정상연동 완료</t>
    <phoneticPr fontId="19" type="noConversion"/>
  </si>
  <si>
    <t xml:space="preserve">  - 피공일  / 설치 및 정상연동 완료</t>
    <phoneticPr fontId="19" type="noConversion"/>
  </si>
  <si>
    <t xml:space="preserve">  - 코네(kone) / 설치 및 정상연동 완료</t>
    <phoneticPr fontId="19" type="noConversion"/>
  </si>
  <si>
    <t xml:space="preserve">  - 일품 광화문점 / 설치 및 정상연동 완료</t>
    <phoneticPr fontId="19" type="noConversion"/>
  </si>
  <si>
    <t xml:space="preserve">  - 청담나인 / 설치 및 정상연동 완료</t>
    <phoneticPr fontId="19" type="noConversion"/>
  </si>
  <si>
    <t xml:space="preserve">  - 아고야 상암본점 / 용량 확보되어 설치 및 정상연동 완료</t>
    <phoneticPr fontId="19" type="noConversion"/>
  </si>
  <si>
    <t xml:space="preserve">  - 이자카야 미주 강남2호점 / 설치 및 정상연동 완료</t>
    <phoneticPr fontId="19" type="noConversion"/>
  </si>
  <si>
    <t xml:space="preserve">  - 프로젝 디 / 설치 및 정상연동 완료</t>
    <phoneticPr fontId="19" type="noConversion"/>
  </si>
  <si>
    <t xml:space="preserve">  - 스시투고 용산점 / 설치 및 정상연동 완료</t>
    <phoneticPr fontId="19" type="noConversion"/>
  </si>
  <si>
    <t xml:space="preserve">  - 함평해장 마곡 발산역본점 / 설치 및 정상연동 완료</t>
    <phoneticPr fontId="19" type="noConversion"/>
  </si>
  <si>
    <t xml:space="preserve">  - 미미본관 / 설치 및 정상연동 완료</t>
    <phoneticPr fontId="19" type="noConversion"/>
  </si>
  <si>
    <t xml:space="preserve">  - 백정집 / 설치 및 정상연동 완료</t>
    <phoneticPr fontId="19" type="noConversion"/>
  </si>
  <si>
    <t xml:space="preserve">  - 스시투고 용산점 / 디스크 용량부족으로 설치불가, 포스사통한 디스크정리 안내</t>
    <phoneticPr fontId="19" type="noConversion"/>
  </si>
  <si>
    <t xml:space="preserve">  - 이백이호 / 가상키보드 이슈로 원격진입 불가, 익일 재연락 안내</t>
    <phoneticPr fontId="19" type="noConversion"/>
  </si>
  <si>
    <t xml:space="preserve">  - 고공 성수본점 / 닷넷 추가설치 후 디스크 용량부족으로 설치 불가, 포스사통한 디스크정리 안내</t>
    <phoneticPr fontId="19" type="noConversion"/>
  </si>
  <si>
    <t xml:space="preserve">  - 삼정하누 광화문점 / 설치 및 정상연동 완료</t>
    <phoneticPr fontId="19" type="noConversion"/>
  </si>
  <si>
    <t xml:space="preserve">  - 고기쌀롱 신길점 / 디스크 용량부족으로 설치 불가, 포스사통한 디스크정리 안내</t>
    <phoneticPr fontId="19" type="noConversion"/>
  </si>
  <si>
    <t xml:space="preserve">  - 이백이호 / 전화연결 실패, 부재 2회</t>
    <phoneticPr fontId="19" type="noConversion"/>
  </si>
  <si>
    <t xml:space="preserve">  - 피공일 / 설치 및 정상연동 완료</t>
    <phoneticPr fontId="19" type="noConversion"/>
  </si>
  <si>
    <t xml:space="preserve">  - 이백이호 / 재설치 전화연결 실패, 부재 3회, SMS전송</t>
    <phoneticPr fontId="19" type="noConversion"/>
  </si>
  <si>
    <t xml:space="preserve">  - 보통의 숲 / 전화연결 실패, 부재2회, SMS전송</t>
    <phoneticPr fontId="19" type="noConversion"/>
  </si>
  <si>
    <t xml:space="preserve"> 2. 특이사항</t>
    <phoneticPr fontId="19" type="noConversion"/>
  </si>
  <si>
    <t>[IN] 목로관 홍대 / 메인 음식 외 공기밥, 주류 주문 시 주문서에 출력되지않고 메인+공기밥+주류 함께 주문 시 메인음식만 주문서에 기재되어 출력되는 오류 - 전달 후 통화완료 확인</t>
    <phoneticPr fontId="19" type="noConversion"/>
  </si>
  <si>
    <t xml:space="preserve">  - 보통의 숲 / 설치 및 정상연동 완료</t>
    <phoneticPr fontId="19" type="noConversion"/>
  </si>
  <si>
    <t xml:space="preserve">  - 한윤주가  영등포본점 / 설치 및 정상연동 완료</t>
    <phoneticPr fontId="19" type="noConversion"/>
  </si>
  <si>
    <t xml:space="preserve">  - 판교장어사랑 판교역점 / 설치 및 정상연동 완료</t>
    <phoneticPr fontId="19" type="noConversion"/>
  </si>
  <si>
    <t xml:space="preserve">  - 삼평상회 / 설치 및 정상연동 완료</t>
    <phoneticPr fontId="19" type="noConversion"/>
  </si>
  <si>
    <t xml:space="preserve">  1) 양복점 사당점 - 주문중복접수 오류 접수 / 전달완료</t>
    <phoneticPr fontId="19" type="noConversion"/>
  </si>
  <si>
    <t xml:space="preserve">  2) 반전 부산경주진배기국밥 - 주방 주문서 출력 오류 / 전달완료</t>
    <phoneticPr fontId="19" type="noConversion"/>
  </si>
  <si>
    <t xml:space="preserve">  3) 청기와타운 구로디지털점, 옥된장 마곡나루점(+자담치킨 서울 마곡점) - 영업담당자에게 자세한 비용받지못해 진행 홀딩 / 전달완료</t>
    <phoneticPr fontId="19" type="noConversion"/>
  </si>
  <si>
    <t xml:space="preserve">  4) 램프 - 정보확인 해피콜 11차 부재 / 전달완료</t>
    <phoneticPr fontId="19" type="noConversion"/>
  </si>
  <si>
    <t xml:space="preserve">  - 고기쌀롱 신길점 / 설치 및 정상연동 완료</t>
    <phoneticPr fontId="19" type="noConversion"/>
  </si>
  <si>
    <t xml:space="preserve">  - 고공 성수본점 / 설치 및 정상연동 완료</t>
    <phoneticPr fontId="19" type="noConversion"/>
  </si>
  <si>
    <t xml:space="preserve">  - 시골집청국장 양재본점 / 설치 및 정상연동 완료</t>
    <phoneticPr fontId="19" type="noConversion"/>
  </si>
  <si>
    <t xml:space="preserve">  - 육일관 성신여대점 / 매장 사정상 18시 설치요청, 설치 및 정상연동 완료</t>
    <phoneticPr fontId="19" type="noConversion"/>
  </si>
  <si>
    <t>2. 특이사항 없음</t>
    <phoneticPr fontId="19" type="noConversion"/>
  </si>
  <si>
    <t>20251127</t>
  </si>
  <si>
    <t>180114</t>
  </si>
  <si>
    <t>20251127175900</t>
  </si>
  <si>
    <t>175601</t>
  </si>
  <si>
    <t>20251127174206</t>
  </si>
  <si>
    <t>175227</t>
  </si>
  <si>
    <t>20251127173833</t>
  </si>
  <si>
    <t>카본</t>
  </si>
  <si>
    <t>010-3996-2369</t>
  </si>
  <si>
    <t>173234</t>
  </si>
  <si>
    <t>20251127172944</t>
  </si>
  <si>
    <t>172852</t>
  </si>
  <si>
    <t>20251127172758</t>
  </si>
  <si>
    <t>010-9491-5081</t>
  </si>
  <si>
    <t>172614</t>
  </si>
  <si>
    <t>20251127172405</t>
  </si>
  <si>
    <t>심야식당기억</t>
  </si>
  <si>
    <t>01043193403</t>
  </si>
  <si>
    <t>172057</t>
  </si>
  <si>
    <t>20251127171839</t>
  </si>
  <si>
    <t>01049517176</t>
  </si>
  <si>
    <t>171834</t>
  </si>
  <si>
    <t>20251127170612</t>
  </si>
  <si>
    <t>171210</t>
  </si>
  <si>
    <t>20251127170921</t>
  </si>
  <si>
    <t>170849</t>
  </si>
  <si>
    <t>20251127165447</t>
  </si>
  <si>
    <t>170602</t>
  </si>
  <si>
    <t>20251127170327</t>
  </si>
  <si>
    <t>165437</t>
  </si>
  <si>
    <t>20251127163038</t>
  </si>
  <si>
    <t>164634</t>
  </si>
  <si>
    <t>20251127164347</t>
  </si>
  <si>
    <t>164045</t>
  </si>
  <si>
    <t>20251127163913</t>
  </si>
  <si>
    <t>163723</t>
  </si>
  <si>
    <t>20251127163514</t>
  </si>
  <si>
    <t>163249</t>
  </si>
  <si>
    <t>20251127162533</t>
  </si>
  <si>
    <t>162517</t>
  </si>
  <si>
    <t>20251127161534</t>
  </si>
  <si>
    <t>162408</t>
  </si>
  <si>
    <t>20251127162150</t>
  </si>
  <si>
    <t>모어커피 브런치바</t>
  </si>
  <si>
    <t>010-7768-4423</t>
  </si>
  <si>
    <t>161525</t>
  </si>
  <si>
    <t>20251127161037</t>
  </si>
  <si>
    <t>161520</t>
  </si>
  <si>
    <t>20251127161332</t>
  </si>
  <si>
    <t>20251127154630</t>
  </si>
  <si>
    <t>160623</t>
  </si>
  <si>
    <t>20251127154916</t>
  </si>
  <si>
    <t>154618</t>
  </si>
  <si>
    <t>20251127154209</t>
  </si>
  <si>
    <t>참치앤쿡참</t>
  </si>
  <si>
    <t>154423</t>
  </si>
  <si>
    <t>20251127154118</t>
  </si>
  <si>
    <t>1670-9051</t>
  </si>
  <si>
    <t>154402</t>
  </si>
  <si>
    <t>20251127154236</t>
  </si>
  <si>
    <t>154102</t>
  </si>
  <si>
    <t>20251127153859</t>
  </si>
  <si>
    <t>153919</t>
  </si>
  <si>
    <t>20251127152715</t>
  </si>
  <si>
    <t>152537</t>
  </si>
  <si>
    <t>20251127145924</t>
  </si>
  <si>
    <t>시우키친</t>
  </si>
  <si>
    <t>01023406031</t>
  </si>
  <si>
    <t>152052</t>
  </si>
  <si>
    <t>20251127151828</t>
  </si>
  <si>
    <t>방이편백 육분삼십 용인역북점</t>
  </si>
  <si>
    <t>01045851358</t>
  </si>
  <si>
    <t>151822</t>
  </si>
  <si>
    <t>20251127150437</t>
  </si>
  <si>
    <t>151114</t>
  </si>
  <si>
    <t>20251127150917</t>
  </si>
  <si>
    <t>150638</t>
  </si>
  <si>
    <t>20251127150138</t>
  </si>
  <si>
    <t>마장돈백갈비 파주문산점</t>
  </si>
  <si>
    <t>01029952918</t>
  </si>
  <si>
    <t>144753</t>
  </si>
  <si>
    <t>20251127144309</t>
  </si>
  <si>
    <t>010-5656-5124</t>
  </si>
  <si>
    <t>144111</t>
  </si>
  <si>
    <t>20251127143607</t>
  </si>
  <si>
    <t>144016</t>
  </si>
  <si>
    <t>20251127143532</t>
  </si>
  <si>
    <t>143557</t>
  </si>
  <si>
    <t>20251127142506</t>
  </si>
  <si>
    <t>143332</t>
  </si>
  <si>
    <t>20251127142436</t>
  </si>
  <si>
    <t>을지포차 모란점</t>
  </si>
  <si>
    <t>01047923359</t>
  </si>
  <si>
    <t>143231</t>
  </si>
  <si>
    <t>20251127142939</t>
  </si>
  <si>
    <t>142447</t>
  </si>
  <si>
    <t>20251127142031</t>
  </si>
  <si>
    <t>142320</t>
  </si>
  <si>
    <t>20251127142058</t>
  </si>
  <si>
    <t>142233</t>
  </si>
  <si>
    <t>20251127142103</t>
  </si>
  <si>
    <t>142026</t>
  </si>
  <si>
    <t>20251127135746</t>
  </si>
  <si>
    <t>20251127135413</t>
  </si>
  <si>
    <t>135051</t>
  </si>
  <si>
    <t>20251127134818</t>
  </si>
  <si>
    <t>134758</t>
  </si>
  <si>
    <t>20251127134413</t>
  </si>
  <si>
    <t>134150</t>
  </si>
  <si>
    <t>20251127133724</t>
  </si>
  <si>
    <t>134006</t>
  </si>
  <si>
    <t>20251127133655</t>
  </si>
  <si>
    <t>133219</t>
  </si>
  <si>
    <t>20251127133116</t>
  </si>
  <si>
    <t>130756</t>
  </si>
  <si>
    <t>20251127130504</t>
  </si>
  <si>
    <t>130533</t>
  </si>
  <si>
    <t>20251127130049</t>
  </si>
  <si>
    <t>130522</t>
  </si>
  <si>
    <t>20251127125908</t>
  </si>
  <si>
    <t>130458</t>
  </si>
  <si>
    <t>20251127125933</t>
  </si>
  <si>
    <t>113609</t>
  </si>
  <si>
    <t>20251127113201</t>
  </si>
  <si>
    <t>010-2796-6817</t>
  </si>
  <si>
    <t>113535</t>
  </si>
  <si>
    <t>20251127113424</t>
  </si>
  <si>
    <t>112859</t>
  </si>
  <si>
    <t>20251127112732</t>
  </si>
  <si>
    <t>103747</t>
  </si>
  <si>
    <t>20251127103642</t>
  </si>
  <si>
    <t>음성봇(삼우악기)</t>
  </si>
  <si>
    <t>0226912691</t>
  </si>
  <si>
    <t>103603</t>
  </si>
  <si>
    <t>20251127103453</t>
  </si>
  <si>
    <t>음성봇(도미노피자)</t>
  </si>
  <si>
    <t>0226943081</t>
  </si>
  <si>
    <t>103406</t>
  </si>
  <si>
    <t>20251127103325</t>
  </si>
  <si>
    <t>07088321663</t>
  </si>
  <si>
    <t>103104</t>
  </si>
  <si>
    <t>20251127102951</t>
  </si>
  <si>
    <t>음성봇(설빈한식분식)</t>
  </si>
  <si>
    <t>028742998</t>
  </si>
  <si>
    <t>102038</t>
  </si>
  <si>
    <t>20251127101512</t>
  </si>
  <si>
    <t>100635</t>
  </si>
  <si>
    <t>20251127100305</t>
  </si>
  <si>
    <t>100516</t>
  </si>
  <si>
    <t>20251127100333</t>
  </si>
  <si>
    <t>100241</t>
  </si>
  <si>
    <t>20251127100128</t>
  </si>
  <si>
    <t>QR키트 숫자부분 기존보다 크게 제작되었다고 안내/ 문자 발송요청하셔서 운영팀으로 내용전달 약속후 종료</t>
  </si>
  <si>
    <t>QR시안 확인차 대표님 통화 연결 성공
테이블 위치 변동되어 총 15개 1~4, 6~11, 14~15 사용 (5, 12~13 제외)</t>
  </si>
  <si>
    <t>기본정보 수취위해 통화</t>
  </si>
  <si>
    <t>포스 담당자 연락처 확인</t>
  </si>
  <si>
    <t>포기호 아웃/ 포스기를 먼저 켜고 하니 정상연동된다며 해결하셨다고함</t>
  </si>
  <si>
    <t>원격설치 완료- 정상 연동확인</t>
  </si>
  <si>
    <t>매장매니저 원격설치 진행</t>
  </si>
  <si>
    <t>원격설치 완료 - 시안 결정 되었는지 확인</t>
  </si>
  <si>
    <t>원격설치아웃/ 매장 매니저 번호로 전화요청하심</t>
  </si>
  <si>
    <t>포스 담당자/ 대표번호로 발송하였다고함, 휴대폰으로 재발송 요청</t>
  </si>
  <si>
    <t>포스 변경여부 확인차 대표님 통화 연결 실패 (3회)</t>
  </si>
  <si>
    <t>포스담당자/ 대표님과 연락이 되지 않아 매장 방문후 회신주시기로함</t>
  </si>
  <si>
    <t>설치완료/ QR키트 1~4 추가 총 27개로 진행 요청 - 테이블번호를 크게 진행요청하셔서 매장 방문해주셨던 담당자님 통화 요청하셨습니다.</t>
  </si>
  <si>
    <t>이지헬프 재진행차 아웃</t>
  </si>
  <si>
    <t>선불 매장 - 추가 필요서류 안내/문자 전송 완료</t>
  </si>
  <si>
    <t>기본정보 수취위해 대표님 통화 - 사업자 번호, 윈도우, QR 시안 문자 전송완료</t>
  </si>
  <si>
    <t>재부팅차 문의 안내</t>
  </si>
  <si>
    <t>원격설치 진행차 아웃/ 이지헬프 설치</t>
  </si>
  <si>
    <t>기본정보 수취위해 대표님 통화 - 영업 담당자와 통화요청/전달 완료</t>
  </si>
  <si>
    <t>기본정보확인차 대표님 통화 완료
사업자번호, OS, 포스대리점 번호확인후 업데이트 완료
다른형식의 오더 프로그램 사용한적 없음
주문키트(QR) 시안 문자 발송완료</t>
  </si>
  <si>
    <t>포스 계정 정보 확인 요청 하니 담당자 연락처 확인 후 대표번호로 전화 준다함</t>
  </si>
  <si>
    <t>원격 일정 확인차 연락
연말까지 너무 바쁘고 정신이없을거같아 1월에 도입원한다고하심
1월에 꼭 연락달라함</t>
  </si>
  <si>
    <t>아직 도착전으로 5분뒤 재통화 요청</t>
  </si>
  <si>
    <t>포스 계정 정보 확인위해 담당자 통화 - 계정 정보 모른다고함 / 대리점 02-1670-9051 알려줌</t>
  </si>
  <si>
    <t>기본 정보 수취위해 대표님 통화 완료 - 업데이트, 시안 문자 전송 완료</t>
  </si>
  <si>
    <t>기본정보 확인차 대표님 통화 성공
4시이후 재통화 요청</t>
  </si>
  <si>
    <t>원격일정 조율 차 연락
금일 17:00 설치 예약
주문키트 : 흰색 / 부착형
테이블수 총34개
        - 지하 : R-1 (1개)
        - 1층 : R-1, T1~3 (4개)
        - 2층 : 1~12, R-2 (13개)
        - 3층(1) : 13~20, R-3 (9개)
        - 3층(2) : 21~27 (7개)</t>
  </si>
  <si>
    <t>30분뒤 재진행 요청</t>
  </si>
  <si>
    <t>기본정보확인차 대표님 통화 성공
사업자번호,OS,포스대리점은 내일 재통화시 확인가능
유니온오더 사용중
주문키트(QR) 시안 문자 발송완료</t>
  </si>
  <si>
    <t>기본정보 업데이트 확인됨</t>
  </si>
  <si>
    <t>원격 설치일정 조율 차 연락
익일 (11/28) 11:00 설치 예약
주문키트 : 녹색 / 부착형
테이블 총 13개 제작 / 1~13 전체</t>
  </si>
  <si>
    <t>원격 일정 조율차 대표님 통화 연결 실패 (2회)
원격 일정 조율차 대표님 통화 연결 성공 (14:35) - 다음주 월요일(12/1) 16시 원격진행요청
테이블 정보는 원격시 확정하신다고함</t>
  </si>
  <si>
    <t>원격설치 일정 조율차 연락
익일 (11/28) 17:00 설치 예약
주문키트 시안선택 및 테이블 룸 2개만 사용한다 문자로 발신했다하심
익일 설치 시 다시한번 확인 후 안내드릴 예정</t>
  </si>
  <si>
    <t>기본정보 수취위해 대표님 통화 - 정보 수취 후 QR 시안 문자 전송 완료</t>
  </si>
  <si>
    <t>기본정보확인차 대표님 통화 성공
한시간이내로 문자로 회신주신다고함</t>
  </si>
  <si>
    <t>원격일정 조율차 연락 - 바로진행 원하셔서 원격설치
설치완료 / 정상연동 완료
주문키트 QR 갈색 / 부착형
테이블 총 9개 / 기타 제외한 전체</t>
  </si>
  <si>
    <t>기본정보확인차 관리자님 통화 성공
대표님 출장중이여서 빠른 확인 불가 - asp계정 확인되는대로 회신주신다고함</t>
  </si>
  <si>
    <t>프로그램 설치 진행</t>
  </si>
  <si>
    <t>원격 일정 조율차 대표님 통화 연결 실패
원격 일정 조율차 매니저님 통화 연결 성공
아직 본사메뉴작업이 되지 않아 다음달에나 가능하며 직접 전화주시기로함
매니저님께도 주문키트(QR) 시안 문자 발송완료</t>
  </si>
  <si>
    <t>포스 교체 여부, 시안 결정 확인 차 대표님 통화 - 지금 상중이다/차주 화요일 4~5시 사이 재전화요청</t>
  </si>
  <si>
    <t>원격일정 조율차 대표님 통화 성공 - 내일(28일) 16시 진행요청
QR시안은 결정후 문자에 적혀있는 휴대폰으로 보내주신다고함</t>
  </si>
  <si>
    <t>원격 일정 조율차 대표님 통화 성공 -다음주 월요일 (12/1) 15시 진행 요청
QR시안 재발송 요청하셔서 발송</t>
  </si>
  <si>
    <t>포스 계정 정보 확인 차 담당자 통화 - 금일 15시 재연락 요청</t>
  </si>
  <si>
    <t>포스 교체 되었는지, 담당자 연락처와 시안 결정되었는지 확인 차 대표님 통화시도 - 부재</t>
  </si>
  <si>
    <t>테이블 재확인차 아웃 12개가 맞다고하심</t>
  </si>
  <si>
    <t>기본정보 수취위해 대표님 통화 - 사업자번호, 윈도우 확인 후 시안 문자 발송 완료</t>
  </si>
  <si>
    <t>원격일정조율 연락
12/1(월) 14:00 설치 예약
QR 시안은 문자 한번더 보내주면 결정 후 법인폰 번호로 문자회신주신다함
테이블 수 총 12개 / 테이블1~2, Bar 1~5, 테라스1~3, 예비1~2</t>
  </si>
  <si>
    <t>QR시안확인차 아웃/연두색, 테이블1~12 총12개, 부착형 선택하셔서 업데이트 완료</t>
  </si>
  <si>
    <t>시안 확인 차 대표님 통화 - 5번 그린, 부착형, 테이블 번호 확인/ 업데이트 완료</t>
  </si>
  <si>
    <t>기본정보확인차 대표님 통화 연결 실패 (4회)</t>
  </si>
  <si>
    <t>기본정보 수취위해 대표님 통화 시도 - 금일 15시 재전 요청</t>
  </si>
  <si>
    <t>팩스소리 들림</t>
  </si>
  <si>
    <t>배달전문, 필요없음</t>
  </si>
  <si>
    <t>팩스소리들림</t>
  </si>
  <si>
    <t>사장님안계시다며 종료</t>
  </si>
  <si>
    <t>정희 위례신도시점 점장님 통화 - 정희 위례점과 정희 판교아브뉴프랑점 2곳 테이블 번호 확인 완료</t>
  </si>
  <si>
    <t>개인정보라 알려줄수 없음/ 대표님께 확인 예정</t>
  </si>
  <si>
    <t>포스 계정 정보 확인 차 담당자 통화시도 -부재 / 문자 전송완료</t>
  </si>
  <si>
    <t>포스계정확인차 아웃했으나 소리가 들리지 않는다며 끊음</t>
  </si>
  <si>
    <t>115109</t>
  </si>
  <si>
    <t>20251127114502</t>
  </si>
  <si>
    <t>주식회사 더유로피언 (행궁점)</t>
  </si>
  <si>
    <t>포스장비교체 예정인데 하드는 그대로 유지예정이라 캐치오더 프로그램 재설치가 필요한지 문의/ 우선 이용해보시고 안되시면 재설치 도와드리겠다고 안내후 종료</t>
  </si>
  <si>
    <t>목</t>
    <phoneticPr fontId="19" type="noConversion"/>
  </si>
  <si>
    <t xml:space="preserve">  - 백련 / 설치 및 정산연동 완료 , 닷넷 추가 설치</t>
    <phoneticPr fontId="19" type="noConversion"/>
  </si>
  <si>
    <t xml:space="preserve"> - 쿠히치 압구정점 / 설치 및 정산연동 완료</t>
    <phoneticPr fontId="19" type="noConversion"/>
  </si>
  <si>
    <t xml:space="preserve"> - 쿨쿨쿨 / 설치 및 정산연동 완료 , 닷넷 추가 설치</t>
    <phoneticPr fontId="19" type="noConversion"/>
  </si>
  <si>
    <t xml:space="preserve"> - 미증유 / 설치 및 정산연동 완료</t>
    <phoneticPr fontId="19" type="noConversion"/>
  </si>
  <si>
    <t>- [IN] 반전 부산경주진배기국밥 : 메뉴삭제하였으나 QR주문 화면에 계속 노출, 확인요청 / 메뉴숨김처리 진행완료 / 이지포스에서가 아닌 캐치오더 매장관리를 통해 숨김 또는 삭제해주셔야함 안내</t>
    <phoneticPr fontId="19" type="noConversion"/>
  </si>
  <si>
    <t>- [IN] 시절우연 청담 : 메뉴 최소주문수량 설정 가능한지 문의 / 설정불가로 메뉴설명에 기재 후 사용 안내</t>
    <phoneticPr fontId="19" type="noConversion"/>
  </si>
  <si>
    <t xml:space="preserve"> - 프로그램 통합패키지 지속 설치실패 오류 / zip 파일로 설치 진행</t>
    <phoneticPr fontId="19" type="noConversion"/>
  </si>
  <si>
    <t>목</t>
    <phoneticPr fontId="19" type="noConversion"/>
  </si>
  <si>
    <t>20251128</t>
  </si>
  <si>
    <t>175706</t>
  </si>
  <si>
    <t>20251128175553</t>
  </si>
  <si>
    <t>대표님 통화 - 원격설치완료 안내</t>
  </si>
  <si>
    <t>175549</t>
  </si>
  <si>
    <t>20251128172954</t>
  </si>
  <si>
    <t>172241</t>
  </si>
  <si>
    <t>20251128172103</t>
  </si>
  <si>
    <t>050713267630</t>
  </si>
  <si>
    <t>원격설치 완료 되어 매장 통화 시도 - 통화중/ 설치 완료 문자 전송 완료</t>
  </si>
  <si>
    <t>172100</t>
  </si>
  <si>
    <t>20251128170353</t>
  </si>
  <si>
    <t>170259</t>
  </si>
  <si>
    <t>0221920727</t>
  </si>
  <si>
    <t>원격설치 위해 매장 전화 - 결번</t>
  </si>
  <si>
    <t>170150</t>
  </si>
  <si>
    <t>2192-0727</t>
  </si>
  <si>
    <t>결번</t>
  </si>
  <si>
    <t>170048</t>
  </si>
  <si>
    <t>20251128165901</t>
  </si>
  <si>
    <t>원격설치위해 대표님 통화 - 매장으로 전화달라함</t>
  </si>
  <si>
    <t>162348</t>
  </si>
  <si>
    <t>20251128161711</t>
  </si>
  <si>
    <t>[인입]한울 정보통신 담당자 - 유니팟, API 승인 확인 요청중에 연동확인된다 안내 받아 종료</t>
  </si>
  <si>
    <t>160655</t>
  </si>
  <si>
    <t>20251128160530</t>
  </si>
  <si>
    <t>010-4065-1996</t>
  </si>
  <si>
    <t>원격 설치위해 대표님 통화시도 - 부재</t>
  </si>
  <si>
    <t>160001</t>
  </si>
  <si>
    <t>20251128155850</t>
  </si>
  <si>
    <t>원격 설치 위해 대표님 통화 시도 - 부재</t>
  </si>
  <si>
    <t>112941</t>
  </si>
  <si>
    <t>20251128112724</t>
  </si>
  <si>
    <t>010-8692-6348</t>
  </si>
  <si>
    <t>원격설치 완료되어 대표님 통화</t>
  </si>
  <si>
    <t>112714</t>
  </si>
  <si>
    <t>20251128105900</t>
  </si>
  <si>
    <t>인디아 더르바르 인도</t>
  </si>
  <si>
    <t>105921</t>
  </si>
  <si>
    <t>20251128105213</t>
  </si>
  <si>
    <t>돌판한우 우각집 고덕 함박산점</t>
  </si>
  <si>
    <t>01091921346</t>
  </si>
  <si>
    <t>대표님 통화 완료 - 사업자번호, 포스대리점 정보확인후 업데이트 완료
현재 나이스테이블오더 사용중
주문키트(QR) 시안 문자 발송완료
12월초 상호명 변경예정으로 키트제작은 추후에 진행 요청하심</t>
  </si>
  <si>
    <t>105211</t>
  </si>
  <si>
    <t>20251128104905</t>
  </si>
  <si>
    <t>재통화 연결 성공 (10:50) - 포스대리점 번호확인차 종료후 재통화 요청</t>
  </si>
  <si>
    <t>104905</t>
  </si>
  <si>
    <t>20251128104807</t>
  </si>
  <si>
    <t>감성화</t>
  </si>
  <si>
    <t>104522</t>
  </si>
  <si>
    <t>20251128104434</t>
  </si>
  <si>
    <t>팔당</t>
  </si>
  <si>
    <t>01056603215</t>
  </si>
  <si>
    <t>포스 계정 정보 확인차 전화 - 부재</t>
  </si>
  <si>
    <t>104426</t>
  </si>
  <si>
    <t>20251128104200</t>
  </si>
  <si>
    <t>01076673215</t>
  </si>
  <si>
    <t>포스 정보 확인차 담당자 통화 - 010-5660-3215 로 연락하라함</t>
  </si>
  <si>
    <t>104409</t>
  </si>
  <si>
    <t>20251128104259</t>
  </si>
  <si>
    <t>기본 정보 확인차 대표님 통화 성공 - 5분뒤 재통화요청</t>
  </si>
  <si>
    <t>104221</t>
  </si>
  <si>
    <t>마하 한남</t>
  </si>
  <si>
    <t>01097831583</t>
  </si>
  <si>
    <t>기본 정보 확인 차 대표님 통화 연결 실패 (8회)</t>
  </si>
  <si>
    <t>103828</t>
  </si>
  <si>
    <t>쿨</t>
  </si>
  <si>
    <t>테이블 번호 확인 위해 전화 - 부재</t>
  </si>
  <si>
    <t>102046</t>
  </si>
  <si>
    <t>20251128101924</t>
  </si>
  <si>
    <t>16709051</t>
  </si>
  <si>
    <t>포스 계정 정보 확인 차 담당자 통화 - 부재</t>
  </si>
  <si>
    <t>102041</t>
  </si>
  <si>
    <t>20251128101707</t>
  </si>
  <si>
    <t>원격 일정 조울차 대표님 통화 연결 성공
금일 17:30 진행 요청</t>
  </si>
  <si>
    <t>101659</t>
  </si>
  <si>
    <t>원격일정조율차 담당자 통화 연결 실패</t>
  </si>
  <si>
    <t>101333</t>
  </si>
  <si>
    <t>20251128100730</t>
  </si>
  <si>
    <t>원격일정조율차 대표님 통화 성공
오후2시쯤 재통화 요청</t>
  </si>
  <si>
    <t>093351</t>
  </si>
  <si>
    <t>20251128092813</t>
  </si>
  <si>
    <t>포스 재시작위해 대표님 통화 - 11시 오픈 한다/재시작하겠다하심</t>
  </si>
  <si>
    <t>092745</t>
  </si>
  <si>
    <t>20251128092020</t>
  </si>
  <si>
    <t>포스 대리점 - 유니팟, API 승인된건지 재확인 요청함</t>
  </si>
  <si>
    <t>172659</t>
  </si>
  <si>
    <t>요아케</t>
  </si>
  <si>
    <t>010-4766-8282</t>
  </si>
  <si>
    <t>기본정보 수취위해 대표님 통화시도 -부재</t>
  </si>
  <si>
    <t>155701</t>
  </si>
  <si>
    <t>010-9336-9688</t>
  </si>
  <si>
    <t>원격일정 조율 연락 - 부재 2회</t>
  </si>
  <si>
    <t>153225</t>
  </si>
  <si>
    <t>원격 일정 조울차 대표님 통화 연결 실패 (15:31 2회 실패)</t>
  </si>
  <si>
    <t>152944</t>
  </si>
  <si>
    <t>수울레 SOULAE</t>
  </si>
  <si>
    <t>01093999189</t>
  </si>
  <si>
    <t>기본정보확인차 대표님 통화 연결 실패 (2회)</t>
  </si>
  <si>
    <t>152516</t>
  </si>
  <si>
    <t>010-2866-2248</t>
  </si>
  <si>
    <t>원격일정 조율 차 연락시도 - 부재1</t>
  </si>
  <si>
    <t>150053</t>
  </si>
  <si>
    <t>원격설치 진행차 대표님 통화 연결실패
재시도 예정</t>
  </si>
  <si>
    <t>135010</t>
  </si>
  <si>
    <t>원격일정조율차 매장 담당자님 통화 연결 실패</t>
  </si>
  <si>
    <t>133251</t>
  </si>
  <si>
    <t>혜원보쌈족발</t>
  </si>
  <si>
    <t>01033762644</t>
  </si>
  <si>
    <t>기본 정보 확인차 대표님 통화 연결 실패</t>
  </si>
  <si>
    <t>원격 일정 조울차 대표님 통화 연결 실패</t>
  </si>
  <si>
    <t>131457</t>
  </si>
  <si>
    <t>원격일정조율차 대표님 통화 연결 실패</t>
  </si>
  <si>
    <t>131118</t>
  </si>
  <si>
    <t>삐딱</t>
  </si>
  <si>
    <t>01073309761</t>
  </si>
  <si>
    <t>112611</t>
  </si>
  <si>
    <t>010-5046-2011</t>
  </si>
  <si>
    <t>[인입]메뉴 숨기는 방법 문의 - 캐치테이블 앱 상에서 메뉴 숨기는 방법 안내</t>
  </si>
  <si>
    <t>112113</t>
  </si>
  <si>
    <t>111759</t>
  </si>
  <si>
    <t>기본 정보 확인 차 대표님 통화 연결 실패 (7회)</t>
  </si>
  <si>
    <t>110340</t>
  </si>
  <si>
    <t>청기와타운</t>
  </si>
  <si>
    <t>원격 일정 조율차 대표님 통화 연결 실패</t>
  </si>
  <si>
    <t>100908</t>
  </si>
  <si>
    <t>01035043969</t>
  </si>
  <si>
    <t>포스담당자전화연결실패/ 오후에 대표님 전화시도예정</t>
  </si>
  <si>
    <t>164033</t>
  </si>
  <si>
    <t>일정조율차 아웃/ 부재</t>
  </si>
  <si>
    <t>162054</t>
  </si>
  <si>
    <t>010-7667-3215</t>
  </si>
  <si>
    <t>포스담당자 통화연결 실패</t>
  </si>
  <si>
    <t>161847</t>
  </si>
  <si>
    <t>010-5660-3215</t>
  </si>
  <si>
    <t>포스계정 확인차 OB/ 통화중</t>
  </si>
  <si>
    <t>154857</t>
  </si>
  <si>
    <t>기본정보확인차 통화시도실패</t>
  </si>
  <si>
    <t>150134</t>
  </si>
  <si>
    <t>원격일정조율/ 부재</t>
  </si>
  <si>
    <t>143733</t>
  </si>
  <si>
    <t>143032</t>
  </si>
  <si>
    <t>원격설치 위해 대표님 통화시도 - 부재</t>
  </si>
  <si>
    <t>142647</t>
  </si>
  <si>
    <t>141129</t>
  </si>
  <si>
    <t>133059</t>
  </si>
  <si>
    <t>010-3376-2644</t>
  </si>
  <si>
    <t>통화연결 실패 / 부재</t>
  </si>
  <si>
    <t>132848</t>
  </si>
  <si>
    <t>시안확인차 아웃/부재</t>
  </si>
  <si>
    <t>113539</t>
  </si>
  <si>
    <t>기본정보 수취위해 대표님 통화 시도- 부재</t>
  </si>
  <si>
    <t>112609</t>
  </si>
  <si>
    <t>010-3052-0924</t>
  </si>
  <si>
    <t>테이블 번호 확인 차 대표님 통화시도 - 부재</t>
  </si>
  <si>
    <t>112000</t>
  </si>
  <si>
    <t>110341</t>
  </si>
  <si>
    <t>104504</t>
  </si>
  <si>
    <t>시안재확인차 아웃/ 부재</t>
  </si>
  <si>
    <t>100051</t>
  </si>
  <si>
    <t>포스담당자 통화 실패</t>
  </si>
  <si>
    <t>173024</t>
  </si>
  <si>
    <t>오스테리아 아아드 용산</t>
  </si>
  <si>
    <t>포기호이후 통화이력확인</t>
  </si>
  <si>
    <t>140425</t>
  </si>
  <si>
    <t>0319648750</t>
  </si>
  <si>
    <t>포스사 전화번호 결번</t>
  </si>
  <si>
    <t>132050</t>
  </si>
  <si>
    <t>5회부재/ 문자 발송</t>
  </si>
  <si>
    <t>111934</t>
  </si>
  <si>
    <t>IN한번울리고 끊음</t>
  </si>
  <si>
    <t>103538</t>
  </si>
  <si>
    <t>통화연결실패- 문자 발송</t>
  </si>
  <si>
    <t>103201</t>
  </si>
  <si>
    <t>163353</t>
  </si>
  <si>
    <t>회신문자중 이메일을 발송요청 하였다 하시어 어떤내용을 요청하였는지 확인차 연락드렸으나 부재</t>
  </si>
  <si>
    <t>161111</t>
  </si>
  <si>
    <t>포스담당자 통화실패</t>
  </si>
  <si>
    <t>152152</t>
  </si>
  <si>
    <t>010-9992-4351</t>
  </si>
  <si>
    <t>151610</t>
  </si>
  <si>
    <t>넘버원 포스로 확인되어 비연동 프로그램 안내 차 대표님 통화 시도 - 부재</t>
  </si>
  <si>
    <t>150336</t>
  </si>
  <si>
    <t>02-1599-3361</t>
  </si>
  <si>
    <t>포스 정보 확인 위해 담당자 통화 시도 실패 - 결번</t>
  </si>
  <si>
    <t>144528</t>
  </si>
  <si>
    <t>기본 정보 수취위해 대표님 통화시도 하였으나 실패 - 부재</t>
  </si>
  <si>
    <t>142129</t>
  </si>
  <si>
    <t>132732</t>
  </si>
  <si>
    <t>132522</t>
  </si>
  <si>
    <t>010-2333-5315</t>
  </si>
  <si>
    <t>원격설치 완료 - 안내 위해 아웃하였으나 부재</t>
  </si>
  <si>
    <t>130234</t>
  </si>
  <si>
    <t>01051859194</t>
  </si>
  <si>
    <t>포스담당자 연결 실패</t>
  </si>
  <si>
    <t>114953</t>
  </si>
  <si>
    <t>01057385577</t>
  </si>
  <si>
    <t>대표님 부재</t>
  </si>
  <si>
    <t>104623</t>
  </si>
  <si>
    <t>유니팟신청차 아웃했으나 통화거부로 넘겨짐</t>
  </si>
  <si>
    <t>100152</t>
  </si>
  <si>
    <t>매니저 통화 실패</t>
  </si>
  <si>
    <t>174515</t>
  </si>
  <si>
    <t>기본정보 확인위해 2차 통화시도 - 수신거부</t>
  </si>
  <si>
    <t>173736</t>
  </si>
  <si>
    <t>010-4161-1817</t>
  </si>
  <si>
    <t>비연동 프로그램 안내와 사업자 번호 수취 위해 대표님 통화시도 - 부재</t>
  </si>
  <si>
    <t>163946</t>
  </si>
  <si>
    <t>010-6838-1263</t>
  </si>
  <si>
    <t>원격설치 위해 대표님 통화 - 5분 뒤 재연락 요청</t>
  </si>
  <si>
    <t>163205</t>
  </si>
  <si>
    <t>비번 오류로 대표님 통화실패</t>
  </si>
  <si>
    <t>162923</t>
  </si>
  <si>
    <t>통화연결 실패 - 부재</t>
  </si>
  <si>
    <t>161716</t>
  </si>
  <si>
    <t>160425</t>
  </si>
  <si>
    <t>010-3737-1433</t>
  </si>
  <si>
    <t>곱창파는 고깃집 공덕 본점 포스정보 확인차OB / 부재</t>
  </si>
  <si>
    <t>153535</t>
  </si>
  <si>
    <t>실패/ 통화 넘겨짐</t>
  </si>
  <si>
    <t>150716</t>
  </si>
  <si>
    <t>대표님 통화연결 실패</t>
  </si>
  <si>
    <t>142940</t>
  </si>
  <si>
    <t>142912</t>
  </si>
  <si>
    <t>통화연결실패 -</t>
  </si>
  <si>
    <t>135337</t>
  </si>
  <si>
    <t>금일2회차 실패/ 유니팟 신청관련 아웃</t>
  </si>
  <si>
    <t>134903</t>
  </si>
  <si>
    <t>포스 계정정보확인차 아웃 부재/</t>
  </si>
  <si>
    <t>132931</t>
  </si>
  <si>
    <t>원격설치 일정조율 - 부재</t>
  </si>
  <si>
    <t>131402</t>
  </si>
  <si>
    <t>일정조율차 전화했으나 부재로 문자 발송</t>
  </si>
  <si>
    <t>130140</t>
  </si>
  <si>
    <t>포스 데이터 용량 정리차 아웃했으나 부재</t>
  </si>
  <si>
    <t>113558</t>
  </si>
  <si>
    <t>포스 담당자 정보 수취위해 통화 시도 - 3차 11:35 실패 (통화중)</t>
  </si>
  <si>
    <t>103130</t>
  </si>
  <si>
    <t>계정정보확인차 아웃/ 부재로 문자 발송</t>
  </si>
  <si>
    <t>100837</t>
  </si>
  <si>
    <t>유니팟신청관련 아웃- 부재로 문자</t>
  </si>
  <si>
    <t>180425</t>
  </si>
  <si>
    <t>PW확인차 연락드렸으나 부재</t>
  </si>
  <si>
    <t>173244</t>
  </si>
  <si>
    <t>165445</t>
  </si>
  <si>
    <t>160103</t>
  </si>
  <si>
    <t>원격일정 조율차 아웃했으나 부재</t>
  </si>
  <si>
    <t>153017</t>
  </si>
  <si>
    <t>통화 연결 실패</t>
  </si>
  <si>
    <t>133658</t>
  </si>
  <si>
    <t>계정 정보 확인 차 포스 담당자 통화시도/통화중</t>
  </si>
  <si>
    <t>130943</t>
  </si>
  <si>
    <t>010-5039-8285</t>
  </si>
  <si>
    <t>포스담당자 통화성공  / 문자로 회신 주신다함</t>
  </si>
  <si>
    <t>105541</t>
  </si>
  <si>
    <t>계정정보확인차 판교아브뉴프랑점 포스 담당자 아웃했으나 부재</t>
  </si>
  <si>
    <t>170248</t>
  </si>
  <si>
    <t>163211</t>
  </si>
  <si>
    <t>160605</t>
  </si>
  <si>
    <t>154812</t>
  </si>
  <si>
    <t>트래블 메이커</t>
  </si>
  <si>
    <t>통화연결실패
sms발송</t>
  </si>
  <si>
    <t>131925</t>
  </si>
  <si>
    <t>포스담당자 통화 연결 실패</t>
  </si>
  <si>
    <t>205035</t>
  </si>
  <si>
    <t>010 6385 3594</t>
  </si>
  <si>
    <t>204223</t>
  </si>
  <si>
    <t>195606</t>
  </si>
  <si>
    <t>통화 연결 실패 (부재)</t>
  </si>
  <si>
    <t>194438</t>
  </si>
  <si>
    <t>193409</t>
  </si>
  <si>
    <t>대표님 통화 실패 (부재)</t>
  </si>
  <si>
    <t>192323</t>
  </si>
  <si>
    <t>담당자 연결 실패(부재)</t>
  </si>
  <si>
    <t>172019</t>
  </si>
  <si>
    <t>포스담당자 통화중</t>
  </si>
  <si>
    <t>171454</t>
  </si>
  <si>
    <t>원격 재시도차 아웃했으나 부재</t>
  </si>
  <si>
    <t>164845</t>
  </si>
  <si>
    <t>010-9654-9004</t>
  </si>
  <si>
    <t>161542</t>
  </si>
  <si>
    <t>원격일정 안내차 아웃했으나 부재</t>
  </si>
  <si>
    <t>154959</t>
  </si>
  <si>
    <t>포스 담당자 통화 연결 실패/ sms발송</t>
  </si>
  <si>
    <t>150540</t>
  </si>
  <si>
    <t>고공 성</t>
  </si>
  <si>
    <t>02-6368-5050</t>
  </si>
  <si>
    <t>원격 설치 - 5분뒤 재연락 요청</t>
  </si>
  <si>
    <t>145022</t>
  </si>
  <si>
    <t>010-5312-5566</t>
  </si>
  <si>
    <t>QR키트확인 차 연락드렸으나 부재로 sms 발송</t>
  </si>
  <si>
    <t>143457</t>
  </si>
  <si>
    <t>대표님 부재 (재연락예정)</t>
  </si>
  <si>
    <t>142948</t>
  </si>
  <si>
    <t>동시 주문 누락없이 메인포스 / 주방포스 전달됨 확인완료
메뉴판은 발송완료하셨다함</t>
  </si>
  <si>
    <t>135008</t>
  </si>
  <si>
    <t>010-6390-2242</t>
  </si>
  <si>
    <t>통화 연결 실패(부재2회)  타사  가입하여 설치 여부 확인 차 재연락예정</t>
  </si>
  <si>
    <t>134050</t>
  </si>
  <si>
    <t>광화문특고기 명동점, 시청역점</t>
  </si>
  <si>
    <t>01028514481</t>
  </si>
  <si>
    <t>메뉴이메일 발송확인차 아웃/ 부재</t>
  </si>
  <si>
    <t>133125</t>
  </si>
  <si>
    <t>통화연결 실패 /부재2회 / 원격일정 확인차 재연락예정</t>
  </si>
  <si>
    <t>113605</t>
  </si>
  <si>
    <t>주문키트 발송안내차 아웃했으나 부재</t>
  </si>
  <si>
    <t>112017</t>
  </si>
  <si>
    <t>010-9783-1583</t>
  </si>
  <si>
    <t>3차 통화연결 시도 - 부재</t>
  </si>
  <si>
    <t>105158</t>
  </si>
  <si>
    <t>원격일정조율차 아웃했으나 부재</t>
  </si>
  <si>
    <t>103928</t>
  </si>
  <si>
    <t>네기 실비 신사</t>
  </si>
  <si>
    <t>153015</t>
  </si>
  <si>
    <t>010-9627-5536</t>
  </si>
  <si>
    <t>144525</t>
  </si>
  <si>
    <t>정보확인 차 연락 - 부재1</t>
  </si>
  <si>
    <t>133530</t>
  </si>
  <si>
    <t>010-3564-0726</t>
  </si>
  <si>
    <t>통화 연결 실패(10회)</t>
  </si>
  <si>
    <t>103642</t>
  </si>
  <si>
    <t>캐치테이블 음성봇
10:30 부재</t>
  </si>
  <si>
    <t>103611</t>
  </si>
  <si>
    <t>100941</t>
  </si>
  <si>
    <t>01046426825</t>
  </si>
  <si>
    <t>부재4</t>
  </si>
  <si>
    <t>134847</t>
  </si>
  <si>
    <t>사용하실 테이블 정확히 확인 필요하여 연락 / 부재</t>
  </si>
  <si>
    <t>130221</t>
  </si>
  <si>
    <t>담당자 통화 넘김으로  sms발송</t>
  </si>
  <si>
    <t>160633</t>
  </si>
  <si>
    <t>153216</t>
  </si>
  <si>
    <t>포스 계정정보 확인차 연락드렸으나 부재</t>
  </si>
  <si>
    <t>132639</t>
  </si>
  <si>
    <t>포스 담당자 통화중</t>
  </si>
  <si>
    <t>130749</t>
  </si>
  <si>
    <t>0291258573</t>
  </si>
  <si>
    <t>연결직후 뚜뚜거림</t>
  </si>
  <si>
    <t>105510</t>
  </si>
  <si>
    <t>103314</t>
  </si>
  <si>
    <t>영동골방(41688)</t>
  </si>
  <si>
    <t>155458</t>
  </si>
  <si>
    <t>031-307-9977</t>
  </si>
  <si>
    <t>음성봇
부재</t>
  </si>
  <si>
    <t>111224</t>
  </si>
  <si>
    <t>140018</t>
  </si>
  <si>
    <t>원격일정 조율차 통화 시도했으나 실패</t>
  </si>
  <si>
    <t>134309</t>
  </si>
  <si>
    <t>문자회신완료</t>
  </si>
  <si>
    <t>110628</t>
  </si>
  <si>
    <t>포스 담당자 전화번호확인차 아웃했으나 부재</t>
  </si>
  <si>
    <t>092332</t>
  </si>
  <si>
    <t>포스대리점 / 부재</t>
  </si>
  <si>
    <t>145311</t>
  </si>
  <si>
    <t>20251128144430</t>
  </si>
  <si>
    <t>대표님 인입 - 포스 계정 정보 알려줌/시안 문자 전송 완료</t>
  </si>
  <si>
    <t>100957</t>
  </si>
  <si>
    <t>20251128100711</t>
  </si>
  <si>
    <t>정석닭갈비</t>
  </si>
  <si>
    <t>01099631618</t>
  </si>
  <si>
    <t>부재 전화와서 전화해봤다함 - 캐치오더 안내하니 전화 잘못 걸었다 끊음</t>
  </si>
  <si>
    <t>금</t>
    <phoneticPr fontId="19" type="noConversion"/>
  </si>
  <si>
    <t>금</t>
    <phoneticPr fontId="19" type="noConversion"/>
  </si>
  <si>
    <t>금</t>
    <phoneticPr fontId="19" type="noConversion"/>
  </si>
  <si>
    <t>2. 특이사항 없음</t>
  </si>
  <si>
    <t xml:space="preserve"> - 스미야끼 / 설치 및 정상연동 완료</t>
    <phoneticPr fontId="19" type="noConversion"/>
  </si>
  <si>
    <t xml:space="preserve"> - 강릉장칼 일산점 / 원격설치 연락 부재 2회</t>
    <phoneticPr fontId="19" type="noConversion"/>
  </si>
  <si>
    <t xml:space="preserve">  - 인디아 더르바르 인도요리 / 설치 및 정상연동 완료</t>
    <phoneticPr fontId="19" type="noConversion"/>
  </si>
  <si>
    <t xml:space="preserve">  - 무제서울 / 설치 및 정상연동 완료</t>
    <phoneticPr fontId="19" type="noConversion"/>
  </si>
  <si>
    <t xml:space="preserve">  1. 원격설치</t>
    <phoneticPr fontId="19" type="noConversion"/>
  </si>
  <si>
    <t xml:space="preserve">  - 인디아 더르바르 인도요리 / 설치 및 정상연동 완료</t>
    <phoneticPr fontId="19" type="noConversion"/>
  </si>
  <si>
    <t xml:space="preserve">  - 무제서울 / 설치 및 정상연동 완료</t>
    <phoneticPr fontId="19" type="noConversion"/>
  </si>
  <si>
    <t xml:space="preserve"> - 스미야끼 / 설치 및 정상연동 완료</t>
    <phoneticPr fontId="19" type="noConversion"/>
  </si>
  <si>
    <t xml:space="preserve"> 2. 특이사항 없음</t>
    <phoneticPr fontId="19" type="noConversion"/>
  </si>
  <si>
    <t>4주차 소계</t>
    <phoneticPr fontId="19" type="noConversion"/>
  </si>
  <si>
    <t>11월 총계</t>
    <phoneticPr fontId="19" type="noConversion"/>
  </si>
  <si>
    <t>11월 총계</t>
    <phoneticPr fontId="19" type="noConversion"/>
  </si>
  <si>
    <t>4주차 소계</t>
    <phoneticPr fontId="19" type="noConversion"/>
  </si>
  <si>
    <t xml:space="preserve"> - 강릉장칼 일산점 / 원격설치 부재 2회</t>
    <phoneticPr fontId="19" type="noConversion"/>
  </si>
  <si>
    <t>IN/OUT 현황</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</si>
</sst>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40">
    <numFmt numFmtId="42" formatCode="_-&quot;₩&quot;* #,##0_-;\-&quot;₩&quot;* #,##0_-;_-&quot;₩&quot;* &quot;-&quot;_-;_-@_-"/>
    <numFmt numFmtId="41" formatCode="_-* #,##0_-;\-* #,##0_-;_-* &quot;-&quot;_-;_-@_-"/>
    <numFmt numFmtId="44" formatCode="_-&quot;₩&quot;* #,##0.00_-;\-&quot;₩&quot;* #,##0.00_-;_-&quot;₩&quot;* &quot;-&quot;??_-;_-@_-"/>
    <numFmt numFmtId="43" formatCode="_-* #,##0.00_-;\-* #,##0.00_-;_-* &quot;-&quot;??_-;_-@_-"/>
    <numFmt numFmtId="24" formatCode="\$#,##0_);[Red]\(\$#,##0\)"/>
    <numFmt numFmtId="176" formatCode="_-* #,##0.0_-;\-* #,##0.0_-;_-* &quot;-&quot;_-;_-@_-"/>
    <numFmt numFmtId="177" formatCode="[$-412]General"/>
    <numFmt numFmtId="178" formatCode="&quot;₩&quot;#,##0;[Red]&quot;₩&quot;\-#,##0"/>
    <numFmt numFmtId="179" formatCode="[$￦-412]#,##0;[Red]&quot;-&quot;[$￦-412]#,##0"/>
    <numFmt numFmtId="180" formatCode="_ * #,##0_ ;_ * \-#,##0_ ;_ * &quot;-&quot;_ ;_ @_ "/>
    <numFmt numFmtId="181" formatCode="_ * #,##0.00_ ;_ * \-#,##0.00_ ;_ * &quot;-&quot;??_ ;_ @_ "/>
    <numFmt numFmtId="182" formatCode="_(* #,##0_);_(* &quot;₩&quot;&quot;₩&quot;&quot;₩&quot;&quot;₩&quot;&quot;₩&quot;&quot;₩&quot;&quot;₩&quot;&quot;₩&quot;&quot;₩&quot;&quot;₩&quot;&quot;₩&quot;&quot;₩&quot;&quot;₩&quot;\(#,##0&quot;₩&quot;&quot;₩&quot;&quot;₩&quot;&quot;₩&quot;&quot;₩&quot;&quot;₩&quot;&quot;₩&quot;&quot;₩&quot;&quot;₩&quot;&quot;₩&quot;&quot;₩&quot;&quot;₩&quot;&quot;₩&quot;\);_(* &quot;-&quot;_);_(@_)"/>
    <numFmt numFmtId="183" formatCode="&quot;₩&quot;#,##0;&quot;₩&quot;\-#,##0"/>
    <numFmt numFmtId="184" formatCode="mm&quot;월&quot;\ dd&quot;일&quot;"/>
    <numFmt numFmtId="185" formatCode="0.0%"/>
    <numFmt numFmtId="186" formatCode="d&quot;-&quot;mmm"/>
    <numFmt numFmtId="187" formatCode="0.0_);[Red]\(0.0\)"/>
    <numFmt numFmtId="188" formatCode="[hh]:mm:ss"/>
    <numFmt numFmtId="189" formatCode="0.0"/>
    <numFmt numFmtId="190" formatCode="m&quot;/&quot;d;@"/>
    <numFmt numFmtId="191" formatCode="#,##0_ ;[Red]\-#,##0\ "/>
    <numFmt numFmtId="192" formatCode="0.0\ %\ "/>
    <numFmt numFmtId="193" formatCode="#,##0.0_ ;[Red]\-#,##0.0\ "/>
    <numFmt numFmtId="194" formatCode="h:mm:ss;@"/>
    <numFmt numFmtId="195" formatCode="#,##0_ "/>
    <numFmt numFmtId="196" formatCode="0_ "/>
    <numFmt numFmtId="197" formatCode="&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0;[Red]&quot;₩&quot;&quot;₩&quot;&quot;₩&quot;&quot;₩&quot;&quot;₩&quot;&quot;₩&quot;&quot;₩&quot;&quot;₩&quot;&quot;₩&quot;&quot;₩&quot;&quot;₩&quot;&quot;₩&quot;&quot;₩&quot;&quot;₩&quot;&quot;₩&quot;&quot;₩&quot;&quot;₩&quot;&quot;₩&quot;&quot;₩&quot;&quot;₩&quot;&quot;₩&quot;&quot;₩&quot;&quot;₩&quot;&quot;₩&quot;&quot;₩&quot;&quot;₩&quot;&quot;₩&quot;&quot;₩&quot;&quot;₩&quot;&quot;₩&quot;&quot;₩&quot;&quot;₩&quot;"/>
    <numFmt numFmtId="198" formatCode="&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quot;\$#,##0;[Red]&quot;₩&quot;&quot;₩&quot;&quot;₩&quot;&quot;₩&quot;&quot;₩&quot;&quot;₩&quot;&quot;₩&quot;&quot;₩&quot;&quot;₩&quot;&quot;₩&quot;&quot;₩&quot;&quot;₩&quot;&quot;₩&quot;&quot;₩&quot;&quot;₩&quot;&quot;₩&quot;&quot;₩&quot;&quot;₩&quot;&quot;₩&quot;&quot;₩&quot;&quot;₩&quot;&quot;₩&quot;&quot;₩&quot;&quot;₩&quot;&quot;₩&quot;&quot;₩&quot;&quot;₩&quot;&quot;₩&quot;&quot;₩&quot;&quot;₩&quot;&quot;₩&quot;&quot;₩&quot;&quot;₩&quot;"/>
    <numFmt numFmtId="199" formatCode="\(#,##0\)"/>
    <numFmt numFmtId="200" formatCode="#,##0.00;[Red]&quot;-&quot;#,##0.00"/>
    <numFmt numFmtId="201" formatCode="_(* #,##0.00_);_(* \(#,##0.00\);_(* &quot;-&quot;??_);_(@_)"/>
    <numFmt numFmtId="202" formatCode="yy/m/d"/>
    <numFmt numFmtId="203" formatCode="#,##0;[Red]&quot;-&quot;#,##0"/>
    <numFmt numFmtId="204" formatCode="&quot;₩&quot;#,##0.00;[Red]&quot;₩&quot;\-#,##0.00"/>
    <numFmt numFmtId="205" formatCode="_ &quot;₩&quot;* #,##0.00_ ;_ &quot;₩&quot;* &quot;₩&quot;&quot;₩&quot;&quot;₩&quot;&quot;₩&quot;&quot;₩&quot;&quot;₩&quot;&quot;₩&quot;\-#,##0.00_ ;_ &quot;₩&quot;* &quot;-&quot;??_ ;_ @_ "/>
    <numFmt numFmtId="206" formatCode="_ &quot;₩&quot;* #,##0_ ;_ &quot;₩&quot;* \-#,##0_ ;_ &quot;₩&quot;* &quot;-&quot;_ ;_ @_ "/>
    <numFmt numFmtId="207" formatCode="#.##"/>
    <numFmt numFmtId="208" formatCode="&quot;₩&quot;#,##0;&quot;₩&quot;&quot;₩&quot;&quot;₩&quot;&quot;₩&quot;&quot;₩&quot;&quot;₩&quot;&quot;₩&quot;&quot;₩&quot;&quot;₩&quot;\-#,##0"/>
    <numFmt numFmtId="209" formatCode="_ &quot;₩&quot;* #,##0.00_ ;_ &quot;₩&quot;* \-#,##0.00_ ;_ &quot;₩&quot;* &quot;-&quot;??_ ;_ @_ "/>
    <numFmt numFmtId="210" formatCode="#,##0.000;[Red]&quot;-&quot;#,##0.000"/>
    <numFmt numFmtId="211" formatCode="_ * #,##0.00_ ;_ * &quot;₩&quot;&quot;₩&quot;&quot;₩&quot;&quot;₩&quot;&quot;₩&quot;&quot;₩&quot;&quot;₩&quot;\-#,##0.00_ ;_ * &quot;-&quot;??_ ;_ @_ "/>
    <numFmt numFmtId="212" formatCode="&quot;₩&quot;#,##0;[Red]&quot;₩&quot;&quot;₩&quot;&quot;₩&quot;&quot;₩&quot;&quot;₩&quot;&quot;₩&quot;&quot;₩&quot;&quot;₩&quot;&quot;₩&quot;\-#,##0"/>
    <numFmt numFmtId="213" formatCode="&quot;₩&quot;#,##0;\!\-&quot;₩&quot;#,##0"/>
    <numFmt numFmtId="214" formatCode="#,##0.0_);\(#,##0.0\)"/>
    <numFmt numFmtId="215" formatCode="#\!\,###\!\,;[Red]&quot;₩&quot;\!\(#\!\,###\!\,&quot;₩&quot;\!\)"/>
    <numFmt numFmtId="216" formatCode="&quot;?#,##0.00;\-&quot;&quot;?&quot;#,##0.00"/>
    <numFmt numFmtId="217" formatCode="_-* #,##0&quot;₩&quot;\ _D_M_-;&quot;₩&quot;\-* #,##0&quot;₩&quot;\ _D_M_-;_-* &quot;-&quot;&quot;₩&quot;\ _D_M_-;_-@_-"/>
    <numFmt numFmtId="218" formatCode="0.0000"/>
    <numFmt numFmtId="219" formatCode="* #,##0.0"/>
    <numFmt numFmtId="220" formatCode="&quot;₩&quot;#,##0.00;&quot;₩&quot;&quot;₩&quot;&quot;₩&quot;\-#,##0.00"/>
    <numFmt numFmtId="221" formatCode="#,##0.00000"/>
    <numFmt numFmtId="222" formatCode="&quot;₩&quot;#,##0.00;[Red]&quot;₩&quot;&quot;₩&quot;&quot;₩&quot;\-#,##0.00"/>
    <numFmt numFmtId="223" formatCode="_ * #,##0_ ;_ * &quot;₩&quot;\-#,##0_ ;_ * &quot;-&quot;??_ ;_ @_ "/>
    <numFmt numFmtId="224" formatCode="_-&quot;$&quot;* #,##0.00_-;\-&quot;$&quot;* #,##0.00_-;_-&quot;$&quot;* &quot;-&quot;??_-;_-@_-"/>
    <numFmt numFmtId="225" formatCode="0.0%;[Red]&quot;△&quot;0.0%"/>
    <numFmt numFmtId="226" formatCode="&quot;?#,##0.00;[Red]\-&quot;&quot;?&quot;#,##0.00"/>
    <numFmt numFmtId="227" formatCode="0.00000000"/>
    <numFmt numFmtId="228" formatCode="#,##0.00&quot;?_);\(#,##0.00&quot;?\)"/>
    <numFmt numFmtId="229" formatCode="_(&quot;$&quot;* #,##0.0_);_(&quot;$&quot;* \(#,##0.0\);_(&quot;$&quot;* &quot;-&quot;_);_(@_)"/>
    <numFmt numFmtId="230" formatCode="_ &quot;₩&quot;* #,##0_ ;_ &quot;₩&quot;* &quot;₩&quot;&quot;₩&quot;&quot;₩&quot;&quot;₩&quot;&quot;₩&quot;&quot;₩&quot;&quot;₩&quot;&quot;₩&quot;&quot;₩&quot;&quot;₩&quot;&quot;₩&quot;&quot;₩&quot;&quot;₩&quot;&quot;₩&quot;&quot;₩&quot;\-#,##0_ ;_ &quot;₩&quot;* &quot;-&quot;_ ;_ @_ "/>
    <numFmt numFmtId="231" formatCode="_-&quot;₩&quot;* #,##0.00_-;&quot;₩&quot;&quot;₩&quot;&quot;₩&quot;&quot;₩&quot;&quot;₩&quot;&quot;₩&quot;&quot;₩&quot;&quot;₩&quot;&quot;₩&quot;\-&quot;₩&quot;* #,##0.00_-;_-&quot;₩&quot;* &quot;-&quot;??_-;_-@_-"/>
    <numFmt numFmtId="232" formatCode="* #,##0;* \-#,##0;* &quot;-&quot;;@"/>
    <numFmt numFmtId="233" formatCode="\$#.00"/>
    <numFmt numFmtId="234" formatCode="#,##0.000_ "/>
    <numFmt numFmtId="235" formatCode="&quot;$&quot;#,##0.0_);[Red]\(&quot;$&quot;#,##0.0\)"/>
    <numFmt numFmtId="236" formatCode="&quot;$&quot;#,##0.00_);[Red]\(&quot;$&quot;#,##0.00\)"/>
    <numFmt numFmtId="237" formatCode="&quot;$&quot;#,##0_);\(&quot;$&quot;#,##0\)"/>
    <numFmt numFmtId="238" formatCode="_-&quot;₩&quot;* #,##0_-;&quot;₩&quot;&quot;₩&quot;&quot;₩&quot;&quot;₩&quot;&quot;₩&quot;&quot;₩&quot;&quot;₩&quot;&quot;₩&quot;&quot;₩&quot;&quot;₩&quot;\-&quot;₩&quot;* #,##0_-;_-&quot;₩&quot;* &quot;-&quot;_-;_-@_-"/>
    <numFmt numFmtId="239" formatCode="\~\ mm&quot;月&quot;\ dd&quot;日&quot;"/>
    <numFmt numFmtId="240" formatCode="mmm\-d\-yy"/>
    <numFmt numFmtId="241" formatCode="mmm\-d\-yyyy"/>
    <numFmt numFmtId="242" formatCode="m\o\n\th\ d\,\ yyyy"/>
    <numFmt numFmtId="243" formatCode="_-* #,##0\ _D_M_-;\-* #,##0\ _D_M_-;_-* &quot;-&quot;\ _D_M_-;_-@_-"/>
    <numFmt numFmtId="244" formatCode="_-* #,##0.00\ _D_M_-;\-* #,##0.00\ _D_M_-;_-* &quot;-&quot;??\ _D_M_-;_-@_-"/>
    <numFmt numFmtId="245" formatCode="#,##0\ \ \ \ \ "/>
    <numFmt numFmtId="246" formatCode="_-&quot;₩&quot;* #,##0.00_-;&quot;₩&quot;&quot;₩&quot;&quot;₩&quot;&quot;₩&quot;&quot;₩&quot;&quot;₩&quot;&quot;₩&quot;&quot;₩&quot;&quot;₩&quot;&quot;₩&quot;\-&quot;₩&quot;* #,##0.00_-;_-&quot;₩&quot;* &quot;-&quot;??_-;_-@_-"/>
    <numFmt numFmtId="247" formatCode="&quot;$&quot;\ #,##0_);[Red]\(&quot;$&quot;\ #,##0\)"/>
    <numFmt numFmtId="248" formatCode="_-[$€-2]* #,##0.00_-;\-[$€-2]* #,##0.00_-;_-[$€-2]* &quot;-&quot;??_-"/>
    <numFmt numFmtId="249" formatCode="#,##0;\(#,##0\)"/>
    <numFmt numFmtId="250" formatCode="#,##0_ ;[Red]\(#,##0\)\ "/>
    <numFmt numFmtId="251" formatCode="#,##0.0_);[Red]\(#,##0.0\)"/>
    <numFmt numFmtId="252" formatCode="###0_);\(###0\)"/>
    <numFmt numFmtId="253" formatCode="#.00"/>
    <numFmt numFmtId="254" formatCode="#."/>
    <numFmt numFmtId="255" formatCode="0.000%"/>
    <numFmt numFmtId="256" formatCode="0.0%;[Red]\(0.0%\)"/>
    <numFmt numFmtId="257" formatCode="#,##0_ ;\(#,##0\)\ "/>
    <numFmt numFmtId="258" formatCode="#,##0.0;[Red]\-#,##0.0"/>
    <numFmt numFmtId="259" formatCode="###,###,"/>
    <numFmt numFmtId="260" formatCode="0.00\ %"/>
    <numFmt numFmtId="261" formatCode="#,##0\ ;[Red]\-#,##0\ "/>
    <numFmt numFmtId="262" formatCode="#,##0.0_);[Red]\(#,##0.0\);&quot;N/A &quot;"/>
    <numFmt numFmtId="263" formatCode="_-&quot;₩&quot;* #,##0.00_-;&quot;₩&quot;&quot;₩&quot;&quot;₩&quot;&quot;₩&quot;&quot;₩&quot;&quot;₩&quot;&quot;₩&quot;&quot;₩&quot;&quot;₩&quot;&quot;₩&quot;&quot;₩&quot;&quot;₩&quot;&quot;₩&quot;&quot;₩&quot;&quot;₩&quot;\-&quot;₩&quot;* #,##0.00_-;_-&quot;₩&quot;* &quot;-&quot;??_-;_-@_-"/>
    <numFmt numFmtId="264" formatCode="#,##0.000_);[Red]\(#,##0.000\)"/>
    <numFmt numFmtId="265" formatCode="#,##0.0_)\ \ ;[Red]\(#,##0.0\)\ \ "/>
    <numFmt numFmtId="266" formatCode="0.0%&quot;NetPPE/sales&quot;"/>
    <numFmt numFmtId="267" formatCode="#,##0;[Red]&quot;△&quot;#,##0"/>
    <numFmt numFmtId="268" formatCode="0.0%&quot;NWI/Sls&quot;"/>
    <numFmt numFmtId="269" formatCode="0.0%;\(0.0%\)"/>
    <numFmt numFmtId="270" formatCode="%#.00"/>
    <numFmt numFmtId="271" formatCode="0%_);\(0%\)"/>
    <numFmt numFmtId="272" formatCode="0%;[Red]\(0%\)"/>
    <numFmt numFmtId="273" formatCode="&quot;₩&quot;#,##0.00;[Red]&quot;₩&quot;\-&quot;₩&quot;#,##0.00"/>
    <numFmt numFmtId="274" formatCode="0.00000%"/>
    <numFmt numFmtId="275" formatCode="_ &quot;₩&quot;* #,##0_ ;_ &quot;₩&quot;* &quot;₩&quot;&quot;₩&quot;\-#,##0_ ;_ &quot;₩&quot;* &quot;-&quot;_ ;_ @_ "/>
    <numFmt numFmtId="276" formatCode="0.0%&quot;Sales&quot;"/>
    <numFmt numFmtId="277" formatCode="_(&quot;$&quot;* #,##0_);_(&quot;$&quot;* \(#,##0\);_(&quot;$&quot;* &quot;-&quot;??_);_(@_)"/>
    <numFmt numFmtId="278" formatCode="\ @"/>
    <numFmt numFmtId="279" formatCode="#,##0\ \ "/>
    <numFmt numFmtId="280" formatCode="_ &quot;₩&quot;* #,##0.0000000_ ;_ &quot;₩&quot;* &quot;₩&quot;\-#,##0.0000000_ ;_ &quot;₩&quot;* &quot;-&quot;??_ ;_ @_ "/>
    <numFmt numFmtId="281" formatCode="_ * #,##0_ ;_ * &quot;₩&quot;&quot;₩&quot;\-#,##0_ ;_ * &quot;-&quot;_ ;_ @_ "/>
    <numFmt numFmtId="282" formatCode="&quot;TFCF: &quot;#,##0_);[Red]&quot;No! &quot;\(#,##0\)"/>
    <numFmt numFmtId="283" formatCode="#,##0.00000;\-#,##0.00000"/>
    <numFmt numFmtId="284" formatCode="_ * #,##0.000000_ ;_ * &quot;₩&quot;\-#,##0.000000_ ;_ * &quot;-&quot;??_ ;_ @_ "/>
    <numFmt numFmtId="285" formatCode="#,##0.0"/>
    <numFmt numFmtId="286" formatCode="_(&quot;$&quot;* #,##0_);_(&quot;$&quot;* \(#,##0\);_(&quot;$&quot;* &quot;-&quot;_);_(@_)"/>
    <numFmt numFmtId="287" formatCode="_(&quot;$&quot;* #,##0.00_);_(&quot;$&quot;* \(#,##0.00\);_(&quot;$&quot;* &quot;-&quot;??_);_(@_)"/>
    <numFmt numFmtId="288" formatCode="_-* #,##0.0_-;\-* #,##0.0_-;_-* &quot;-&quot;??_-;_-@_-"/>
    <numFmt numFmtId="289" formatCode="0.00_ "/>
    <numFmt numFmtId="290" formatCode="&quot;₩&quot;#,##0.00;&quot;₩&quot;&quot;₩&quot;&quot;₩&quot;&quot;₩&quot;\-#,##0.00"/>
    <numFmt numFmtId="291" formatCode="&quot;₩&quot;#,##0;&quot;₩&quot;&quot;₩&quot;&quot;₩&quot;&quot;₩&quot;&quot;₩&quot;&quot;₩&quot;\-#,##0"/>
    <numFmt numFmtId="292" formatCode="&quot;₩&quot;#,##0;[Red]&quot;₩&quot;&quot;₩&quot;&quot;₩&quot;&quot;₩&quot;\-#,##0"/>
    <numFmt numFmtId="293" formatCode="#,##0.00&quot; $&quot;;\-#,##0.00&quot; $&quot;"/>
    <numFmt numFmtId="294" formatCode="#,##0\ &quot;DM&quot;;[Red]\-#,##0\ &quot;DM&quot;"/>
    <numFmt numFmtId="295" formatCode="_(* #,##0_);_(* \(#,##0\);_(* &quot;-&quot;_);_(@_)"/>
    <numFmt numFmtId="296" formatCode="#,##0;&quot;-&quot;#,##0"/>
    <numFmt numFmtId="297" formatCode="_-* #,##0_-;\-* #,##0_-;_-* &quot;-&quot;??_-;_-@_-"/>
    <numFmt numFmtId="298" formatCode="* #,##0.00;* \-#,##0.00;* &quot;-&quot;??;@"/>
    <numFmt numFmtId="299" formatCode="#&quot;₩&quot;&quot;₩&quot;\ ??/??"/>
    <numFmt numFmtId="300" formatCode="#,##0.000000000;[Red]\-#,##0.000000000"/>
    <numFmt numFmtId="301" formatCode="0;[Red]0"/>
    <numFmt numFmtId="302" formatCode="_-&quot;$&quot;* #,##0_-;\-&quot;$&quot;* #,##0_-;_-&quot;$&quot;* &quot;-&quot;_-;_-@_-"/>
    <numFmt numFmtId="303" formatCode="\ \ \ \ \ \ \ \ \ @"/>
    <numFmt numFmtId="304" formatCode="#,##0.00000000;[Red]\-#,##0.00000000"/>
    <numFmt numFmtId="305" formatCode="#,##0.0000"/>
    <numFmt numFmtId="306" formatCode="m&quot;월&quot;\ d&quot;일&quot;;@"/>
    <numFmt numFmtId="307" formatCode="0_);[Red]\(0\)"/>
    <numFmt numFmtId="308" formatCode="0_ ;[Red]\-0\ "/>
    <numFmt numFmtId="309" formatCode="0.0_ ;[Red]\-0.0\ "/>
    <numFmt numFmtId="310" formatCode="#,##0.0_ "/>
  </numFmts>
  <fonts count="350">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3"/>
      <charset val="129"/>
      <scheme val="minor"/>
    </font>
    <font>
      <sz val="8"/>
      <name val="맑은 고딕"/>
      <family val="3"/>
      <charset val="129"/>
      <scheme val="minor"/>
    </font>
    <font>
      <sz val="8"/>
      <name val="맑은 고딕"/>
      <family val="3"/>
      <charset val="129"/>
    </font>
    <font>
      <sz val="11"/>
      <color theme="1"/>
      <name val="나눔고딕"/>
      <family val="3"/>
      <charset val="129"/>
    </font>
    <font>
      <sz val="11"/>
      <name val="돋움"/>
      <family val="3"/>
      <charset val="129"/>
    </font>
    <font>
      <sz val="10"/>
      <color rgb="FF000000"/>
      <name val="나눔고딕"/>
      <family val="3"/>
      <charset val="129"/>
    </font>
    <font>
      <sz val="10"/>
      <color indexed="8"/>
      <name val="나눔고딕"/>
      <family val="3"/>
      <charset val="129"/>
    </font>
    <font>
      <sz val="10"/>
      <color theme="1"/>
      <name val="나눔고딕"/>
      <family val="3"/>
      <charset val="129"/>
    </font>
    <font>
      <sz val="10"/>
      <color theme="0"/>
      <name val="나눔고딕"/>
      <family val="3"/>
      <charset val="129"/>
    </font>
    <font>
      <sz val="11"/>
      <color theme="0"/>
      <name val="맑은 고딕"/>
      <family val="3"/>
      <charset val="129"/>
      <scheme val="minor"/>
    </font>
    <font>
      <sz val="10"/>
      <name val="Arial"/>
      <family val="2"/>
    </font>
    <font>
      <sz val="8"/>
      <name val="Arial"/>
      <family val="2"/>
    </font>
    <font>
      <b/>
      <sz val="12"/>
      <name val="Arial"/>
      <family val="2"/>
    </font>
    <font>
      <b/>
      <i/>
      <sz val="16"/>
      <color theme="1"/>
      <name val="돋움"/>
      <family val="3"/>
      <charset val="129"/>
    </font>
    <font>
      <sz val="7"/>
      <name val="Small Fonts"/>
      <family val="2"/>
    </font>
    <font>
      <b/>
      <i/>
      <u/>
      <sz val="11"/>
      <color theme="1"/>
      <name val="돋움"/>
      <family val="3"/>
      <charset val="129"/>
    </font>
    <font>
      <sz val="10"/>
      <color rgb="FFFF0000"/>
      <name val="나눔고딕"/>
      <family val="3"/>
      <charset val="129"/>
    </font>
    <font>
      <sz val="11"/>
      <color rgb="FFFF0000"/>
      <name val="맑은 고딕"/>
      <family val="3"/>
      <charset val="129"/>
      <scheme val="minor"/>
    </font>
    <font>
      <b/>
      <sz val="10"/>
      <color rgb="FFFA7D00"/>
      <name val="나눔고딕"/>
      <family val="3"/>
      <charset val="129"/>
    </font>
    <font>
      <b/>
      <sz val="11"/>
      <color rgb="FFFA7D00"/>
      <name val="맑은 고딕"/>
      <family val="3"/>
      <charset val="129"/>
      <scheme val="minor"/>
    </font>
    <font>
      <sz val="12"/>
      <color indexed="24"/>
      <name val="바탕체"/>
      <family val="1"/>
      <charset val="129"/>
    </font>
    <font>
      <b/>
      <sz val="18"/>
      <color indexed="24"/>
      <name val="바탕체"/>
      <family val="1"/>
      <charset val="129"/>
    </font>
    <font>
      <b/>
      <sz val="15"/>
      <color indexed="24"/>
      <name val="바탕체"/>
      <family val="1"/>
      <charset val="129"/>
    </font>
    <font>
      <sz val="10"/>
      <color rgb="FF9C0006"/>
      <name val="나눔고딕"/>
      <family val="3"/>
      <charset val="129"/>
    </font>
    <font>
      <sz val="11"/>
      <color rgb="FF9C0006"/>
      <name val="맑은 고딕"/>
      <family val="3"/>
      <charset val="129"/>
      <scheme val="minor"/>
    </font>
    <font>
      <sz val="11"/>
      <color indexed="8"/>
      <name val="맑은 고딕"/>
      <family val="3"/>
      <charset val="129"/>
    </font>
    <font>
      <sz val="11"/>
      <color indexed="8"/>
      <name val="나눔고딕"/>
      <family val="3"/>
      <charset val="129"/>
    </font>
    <font>
      <sz val="10"/>
      <color theme="1"/>
      <name val="맑은 고딕"/>
      <family val="3"/>
      <charset val="129"/>
    </font>
    <font>
      <sz val="10"/>
      <color indexed="8"/>
      <name val="맑은 고딕"/>
      <family val="3"/>
      <charset val="129"/>
    </font>
    <font>
      <sz val="10"/>
      <color rgb="FF9C6500"/>
      <name val="나눔고딕"/>
      <family val="3"/>
      <charset val="129"/>
    </font>
    <font>
      <sz val="11"/>
      <color rgb="FF9C6500"/>
      <name val="맑은 고딕"/>
      <family val="3"/>
      <charset val="129"/>
      <scheme val="minor"/>
    </font>
    <font>
      <i/>
      <sz val="10"/>
      <color rgb="FF7F7F7F"/>
      <name val="나눔고딕"/>
      <family val="3"/>
      <charset val="129"/>
    </font>
    <font>
      <i/>
      <sz val="11"/>
      <color rgb="FF7F7F7F"/>
      <name val="맑은 고딕"/>
      <family val="3"/>
      <charset val="129"/>
      <scheme val="minor"/>
    </font>
    <font>
      <b/>
      <sz val="10"/>
      <color theme="0"/>
      <name val="나눔고딕"/>
      <family val="3"/>
      <charset val="129"/>
    </font>
    <font>
      <b/>
      <sz val="11"/>
      <color theme="0"/>
      <name val="맑은 고딕"/>
      <family val="3"/>
      <charset val="129"/>
      <scheme val="minor"/>
    </font>
    <font>
      <sz val="10"/>
      <name val="Helv"/>
      <family val="2"/>
    </font>
    <font>
      <sz val="10"/>
      <name val="명조"/>
      <family val="3"/>
      <charset val="129"/>
    </font>
    <font>
      <sz val="10"/>
      <color rgb="FFFA7D00"/>
      <name val="나눔고딕"/>
      <family val="3"/>
      <charset val="129"/>
    </font>
    <font>
      <sz val="11"/>
      <color rgb="FFFA7D00"/>
      <name val="맑은 고딕"/>
      <family val="3"/>
      <charset val="129"/>
      <scheme val="minor"/>
    </font>
    <font>
      <sz val="11"/>
      <color rgb="FF000000"/>
      <name val="맑은 고딕"/>
      <family val="3"/>
      <charset val="129"/>
      <scheme val="minor"/>
    </font>
    <font>
      <b/>
      <sz val="10"/>
      <color theme="1"/>
      <name val="나눔고딕"/>
      <family val="3"/>
      <charset val="129"/>
    </font>
    <font>
      <b/>
      <sz val="11"/>
      <color theme="1"/>
      <name val="맑은 고딕"/>
      <family val="3"/>
      <charset val="129"/>
      <scheme val="minor"/>
    </font>
    <font>
      <sz val="10"/>
      <color rgb="FF3F3F76"/>
      <name val="나눔고딕"/>
      <family val="3"/>
      <charset val="129"/>
    </font>
    <font>
      <sz val="11"/>
      <color rgb="FF3F3F76"/>
      <name val="맑은 고딕"/>
      <family val="3"/>
      <charset val="129"/>
      <scheme val="minor"/>
    </font>
    <font>
      <b/>
      <sz val="15"/>
      <color theme="3"/>
      <name val="나눔고딕"/>
      <family val="3"/>
      <charset val="129"/>
    </font>
    <font>
      <b/>
      <sz val="15"/>
      <color theme="3"/>
      <name val="맑은 고딕"/>
      <family val="3"/>
      <charset val="129"/>
      <scheme val="minor"/>
    </font>
    <font>
      <b/>
      <sz val="18"/>
      <color theme="3"/>
      <name val="맑은 고딕"/>
      <family val="3"/>
      <charset val="129"/>
      <scheme val="major"/>
    </font>
    <font>
      <b/>
      <sz val="13"/>
      <color theme="3"/>
      <name val="나눔고딕"/>
      <family val="3"/>
      <charset val="129"/>
    </font>
    <font>
      <b/>
      <sz val="13"/>
      <color theme="3"/>
      <name val="맑은 고딕"/>
      <family val="3"/>
      <charset val="129"/>
      <scheme val="minor"/>
    </font>
    <font>
      <b/>
      <sz val="11"/>
      <color theme="3"/>
      <name val="나눔고딕"/>
      <family val="3"/>
      <charset val="129"/>
    </font>
    <font>
      <b/>
      <sz val="11"/>
      <color theme="3"/>
      <name val="맑은 고딕"/>
      <family val="3"/>
      <charset val="129"/>
      <scheme val="minor"/>
    </font>
    <font>
      <sz val="10"/>
      <color rgb="FF006100"/>
      <name val="나눔고딕"/>
      <family val="3"/>
      <charset val="129"/>
    </font>
    <font>
      <sz val="11"/>
      <color rgb="FF006100"/>
      <name val="맑은 고딕"/>
      <family val="3"/>
      <charset val="129"/>
      <scheme val="minor"/>
    </font>
    <font>
      <b/>
      <sz val="10"/>
      <color rgb="FF3F3F3F"/>
      <name val="나눔고딕"/>
      <family val="3"/>
      <charset val="129"/>
    </font>
    <font>
      <b/>
      <sz val="11"/>
      <color rgb="FF3F3F3F"/>
      <name val="맑은 고딕"/>
      <family val="3"/>
      <charset val="129"/>
      <scheme val="minor"/>
    </font>
    <font>
      <sz val="12"/>
      <name val="바탕체"/>
      <family val="1"/>
      <charset val="129"/>
    </font>
    <font>
      <sz val="11"/>
      <color rgb="FF000000"/>
      <name val="맑은 고딕"/>
      <family val="3"/>
      <charset val="129"/>
    </font>
    <font>
      <sz val="11"/>
      <color theme="1"/>
      <name val="돋움"/>
      <family val="3"/>
      <charset val="129"/>
    </font>
    <font>
      <sz val="10"/>
      <name val="돋움"/>
      <family val="3"/>
      <charset val="129"/>
    </font>
    <font>
      <sz val="8"/>
      <name val="돋움"/>
      <family val="3"/>
      <charset val="129"/>
    </font>
    <font>
      <sz val="11"/>
      <color theme="1"/>
      <name val="휴먼엑스포"/>
      <family val="1"/>
      <charset val="129"/>
    </font>
    <font>
      <sz val="11"/>
      <color indexed="8"/>
      <name val="宋体"/>
      <family val="3"/>
      <charset val="129"/>
    </font>
    <font>
      <sz val="11"/>
      <color indexed="9"/>
      <name val="맑은 고딕"/>
      <family val="3"/>
      <charset val="129"/>
    </font>
    <font>
      <sz val="11"/>
      <color indexed="9"/>
      <name val="나눔고딕"/>
      <family val="3"/>
      <charset val="129"/>
    </font>
    <font>
      <sz val="11"/>
      <color indexed="9"/>
      <name val="宋体"/>
      <family val="3"/>
      <charset val="255"/>
    </font>
    <font>
      <sz val="11"/>
      <color indexed="10"/>
      <name val="맑은 고딕"/>
      <family val="3"/>
      <charset val="129"/>
    </font>
    <font>
      <sz val="11"/>
      <color indexed="10"/>
      <name val="나눔고딕"/>
      <family val="3"/>
      <charset val="129"/>
    </font>
    <font>
      <sz val="11"/>
      <color indexed="10"/>
      <name val="宋体"/>
      <family val="3"/>
      <charset val="255"/>
    </font>
    <font>
      <b/>
      <sz val="11"/>
      <color indexed="52"/>
      <name val="맑은 고딕"/>
      <family val="3"/>
      <charset val="129"/>
    </font>
    <font>
      <b/>
      <sz val="11"/>
      <color indexed="52"/>
      <name val="나눔고딕"/>
      <family val="3"/>
      <charset val="129"/>
    </font>
    <font>
      <sz val="11"/>
      <color indexed="60"/>
      <name val="宋体"/>
      <family val="3"/>
      <charset val="255"/>
    </font>
    <font>
      <sz val="11"/>
      <color indexed="20"/>
      <name val="맑은 고딕"/>
      <family val="3"/>
      <charset val="129"/>
    </font>
    <font>
      <sz val="11"/>
      <color indexed="20"/>
      <name val="나눔고딕"/>
      <family val="3"/>
      <charset val="129"/>
    </font>
    <font>
      <sz val="11"/>
      <color indexed="60"/>
      <name val="맑은 고딕"/>
      <family val="3"/>
      <charset val="129"/>
    </font>
    <font>
      <sz val="11"/>
      <color indexed="60"/>
      <name val="나눔고딕"/>
      <family val="3"/>
      <charset val="129"/>
    </font>
    <font>
      <sz val="12"/>
      <name val="宋体"/>
      <family val="3"/>
      <charset val="255"/>
    </font>
    <font>
      <i/>
      <sz val="11"/>
      <color indexed="23"/>
      <name val="맑은 고딕"/>
      <family val="3"/>
      <charset val="129"/>
    </font>
    <font>
      <i/>
      <sz val="11"/>
      <color indexed="23"/>
      <name val="나눔고딕"/>
      <family val="3"/>
      <charset val="129"/>
    </font>
    <font>
      <b/>
      <sz val="11"/>
      <color indexed="9"/>
      <name val="맑은 고딕"/>
      <family val="3"/>
      <charset val="129"/>
    </font>
    <font>
      <b/>
      <sz val="11"/>
      <color indexed="9"/>
      <name val="나눔고딕"/>
      <family val="3"/>
      <charset val="129"/>
    </font>
    <font>
      <sz val="11"/>
      <color indexed="52"/>
      <name val="맑은 고딕"/>
      <family val="3"/>
      <charset val="129"/>
    </font>
    <font>
      <sz val="11"/>
      <color indexed="52"/>
      <name val="나눔고딕"/>
      <family val="3"/>
      <charset val="129"/>
    </font>
    <font>
      <b/>
      <sz val="11"/>
      <color indexed="8"/>
      <name val="맑은 고딕"/>
      <family val="3"/>
      <charset val="129"/>
    </font>
    <font>
      <b/>
      <sz val="11"/>
      <color indexed="8"/>
      <name val="나눔고딕"/>
      <family val="3"/>
      <charset val="129"/>
    </font>
    <font>
      <sz val="11"/>
      <color indexed="62"/>
      <name val="맑은 고딕"/>
      <family val="3"/>
      <charset val="129"/>
    </font>
    <font>
      <sz val="11"/>
      <color indexed="62"/>
      <name val="나눔고딕"/>
      <family val="3"/>
      <charset val="129"/>
    </font>
    <font>
      <b/>
      <sz val="18"/>
      <color indexed="56"/>
      <name val="맑은 고딕"/>
      <family val="3"/>
      <charset val="129"/>
    </font>
    <font>
      <b/>
      <sz val="15"/>
      <color indexed="56"/>
      <name val="맑은 고딕"/>
      <family val="3"/>
      <charset val="129"/>
    </font>
    <font>
      <b/>
      <sz val="15"/>
      <color indexed="56"/>
      <name val="나눔고딕"/>
      <family val="3"/>
      <charset val="129"/>
    </font>
    <font>
      <b/>
      <sz val="13"/>
      <color indexed="56"/>
      <name val="맑은 고딕"/>
      <family val="3"/>
      <charset val="129"/>
    </font>
    <font>
      <b/>
      <sz val="13"/>
      <color indexed="56"/>
      <name val="나눔고딕"/>
      <family val="3"/>
      <charset val="129"/>
    </font>
    <font>
      <b/>
      <sz val="11"/>
      <color indexed="56"/>
      <name val="맑은 고딕"/>
      <family val="3"/>
      <charset val="129"/>
    </font>
    <font>
      <b/>
      <sz val="11"/>
      <color indexed="56"/>
      <name val="나눔고딕"/>
      <family val="3"/>
      <charset val="129"/>
    </font>
    <font>
      <sz val="11"/>
      <color indexed="17"/>
      <name val="맑은 고딕"/>
      <family val="3"/>
      <charset val="129"/>
    </font>
    <font>
      <sz val="11"/>
      <color indexed="17"/>
      <name val="나눔고딕"/>
      <family val="3"/>
      <charset val="129"/>
    </font>
    <font>
      <sz val="10"/>
      <color indexed="64"/>
      <name val="Arial"/>
      <family val="2"/>
    </font>
    <font>
      <sz val="11"/>
      <color indexed="20"/>
      <name val="宋体"/>
      <family val="3"/>
      <charset val="255"/>
    </font>
    <font>
      <b/>
      <sz val="11"/>
      <color indexed="63"/>
      <name val="맑은 고딕"/>
      <family val="3"/>
      <charset val="129"/>
    </font>
    <font>
      <b/>
      <sz val="11"/>
      <color indexed="63"/>
      <name val="나눔고딕"/>
      <family val="3"/>
      <charset val="129"/>
    </font>
    <font>
      <sz val="10"/>
      <name val="굴림"/>
      <family val="3"/>
      <charset val="129"/>
    </font>
    <font>
      <i/>
      <sz val="11"/>
      <color indexed="23"/>
      <name val="宋体"/>
      <family val="3"/>
      <charset val="255"/>
    </font>
    <font>
      <sz val="11"/>
      <color indexed="17"/>
      <name val="宋体"/>
      <family val="3"/>
      <charset val="255"/>
    </font>
    <font>
      <b/>
      <sz val="18"/>
      <color indexed="56"/>
      <name val="宋体"/>
      <family val="3"/>
      <charset val="255"/>
    </font>
    <font>
      <b/>
      <sz val="15"/>
      <color indexed="56"/>
      <name val="宋体"/>
      <family val="3"/>
      <charset val="255"/>
    </font>
    <font>
      <b/>
      <sz val="13"/>
      <color indexed="56"/>
      <name val="宋体"/>
      <family val="3"/>
      <charset val="255"/>
    </font>
    <font>
      <b/>
      <sz val="11"/>
      <color indexed="56"/>
      <name val="宋体"/>
      <family val="3"/>
      <charset val="255"/>
    </font>
    <font>
      <b/>
      <sz val="11"/>
      <color indexed="9"/>
      <name val="宋体"/>
      <family val="3"/>
      <charset val="255"/>
    </font>
    <font>
      <b/>
      <sz val="11"/>
      <color indexed="8"/>
      <name val="宋体"/>
      <family val="3"/>
      <charset val="255"/>
    </font>
    <font>
      <b/>
      <sz val="11"/>
      <color indexed="52"/>
      <name val="宋体"/>
      <family val="3"/>
      <charset val="255"/>
    </font>
    <font>
      <sz val="11"/>
      <color indexed="62"/>
      <name val="宋体"/>
      <family val="3"/>
      <charset val="255"/>
    </font>
    <font>
      <b/>
      <sz val="11"/>
      <color indexed="63"/>
      <name val="宋体"/>
      <family val="3"/>
      <charset val="255"/>
    </font>
    <font>
      <sz val="11"/>
      <color indexed="52"/>
      <name val="宋体"/>
      <family val="3"/>
      <charset val="255"/>
    </font>
    <font>
      <sz val="11"/>
      <color indexed="8"/>
      <name val="宋体"/>
      <family val="3"/>
      <charset val="255"/>
    </font>
    <font>
      <sz val="11"/>
      <name val="맑은 고딕"/>
      <family val="3"/>
      <charset val="129"/>
    </font>
    <font>
      <b/>
      <sz val="11"/>
      <color theme="1"/>
      <name val="맑은 고딕"/>
      <family val="3"/>
      <charset val="129"/>
    </font>
    <font>
      <b/>
      <sz val="11"/>
      <name val="맑은 고딕"/>
      <family val="3"/>
      <charset val="129"/>
    </font>
    <font>
      <sz val="9"/>
      <color theme="1"/>
      <name val="맑은 고딕"/>
      <family val="3"/>
      <charset val="129"/>
    </font>
    <font>
      <sz val="8"/>
      <name val="맑은 고딕"/>
      <family val="2"/>
      <charset val="129"/>
      <scheme val="minor"/>
    </font>
    <font>
      <sz val="10"/>
      <name val="맑은 고딕"/>
      <family val="3"/>
      <charset val="129"/>
      <scheme val="major"/>
    </font>
    <font>
      <b/>
      <sz val="10"/>
      <color theme="1"/>
      <name val="맑은 고딕"/>
      <family val="3"/>
      <charset val="129"/>
    </font>
    <font>
      <sz val="9"/>
      <color theme="1"/>
      <name val="맑은 고딕"/>
      <family val="3"/>
      <charset val="129"/>
      <scheme val="minor"/>
    </font>
    <font>
      <b/>
      <sz val="12"/>
      <color theme="1"/>
      <name val="맑은 고딕"/>
      <family val="3"/>
      <charset val="129"/>
      <scheme val="minor"/>
    </font>
    <font>
      <b/>
      <sz val="10"/>
      <color theme="1"/>
      <name val="맑은 고딕"/>
      <family val="3"/>
      <charset val="129"/>
      <scheme val="minor"/>
    </font>
    <font>
      <b/>
      <sz val="10"/>
      <name val="맑은 고딕"/>
      <family val="3"/>
      <charset val="129"/>
    </font>
    <font>
      <sz val="10"/>
      <color theme="1"/>
      <name val="맑은 고딕"/>
      <family val="3"/>
      <charset val="129"/>
      <scheme val="minor"/>
    </font>
    <font>
      <b/>
      <sz val="14"/>
      <color theme="1"/>
      <name val="맑은 고딕"/>
      <family val="3"/>
      <charset val="129"/>
      <scheme val="minor"/>
    </font>
    <font>
      <b/>
      <sz val="13"/>
      <color theme="1"/>
      <name val="맑은 고딕"/>
      <family val="3"/>
      <charset val="129"/>
    </font>
    <font>
      <b/>
      <sz val="13"/>
      <name val="맑은 고딕"/>
      <family val="3"/>
      <charset val="129"/>
    </font>
    <font>
      <b/>
      <sz val="14"/>
      <color theme="1"/>
      <name val="맑은 고딕"/>
      <family val="3"/>
      <charset val="129"/>
    </font>
    <font>
      <sz val="8"/>
      <color theme="1"/>
      <name val="맑은 고딕"/>
      <family val="3"/>
      <charset val="129"/>
    </font>
    <font>
      <b/>
      <sz val="8"/>
      <color theme="1"/>
      <name val="맑은 고딕"/>
      <family val="3"/>
      <charset val="129"/>
    </font>
    <font>
      <b/>
      <sz val="10"/>
      <color rgb="FFFF0000"/>
      <name val="맑은 고딕"/>
      <family val="3"/>
      <charset val="129"/>
    </font>
    <font>
      <b/>
      <sz val="12"/>
      <color theme="1"/>
      <name val="맑은 고딕"/>
      <family val="3"/>
      <charset val="129"/>
    </font>
    <font>
      <b/>
      <sz val="8"/>
      <color indexed="8"/>
      <name val="맑은 고딕"/>
      <family val="3"/>
      <charset val="129"/>
    </font>
    <font>
      <b/>
      <sz val="8"/>
      <color theme="0"/>
      <name val="맑은 고딕"/>
      <family val="3"/>
      <charset val="129"/>
    </font>
    <font>
      <b/>
      <sz val="9"/>
      <name val="맑은 고딕"/>
      <family val="3"/>
      <charset val="129"/>
    </font>
    <font>
      <b/>
      <sz val="8"/>
      <name val="맑은 고딕"/>
      <family val="3"/>
      <charset val="129"/>
    </font>
    <font>
      <b/>
      <sz val="9"/>
      <color theme="1"/>
      <name val="맑은 고딕"/>
      <family val="3"/>
      <charset val="129"/>
    </font>
    <font>
      <sz val="11"/>
      <color indexed="8"/>
      <name val="맑은 고딕"/>
      <family val="3"/>
      <charset val="129"/>
      <scheme val="minor"/>
    </font>
    <font>
      <sz val="11"/>
      <color theme="1"/>
      <name val="굴림"/>
      <family val="3"/>
      <charset val="129"/>
    </font>
    <font>
      <sz val="11"/>
      <color indexed="8"/>
      <name val="맑은 고딕"/>
      <family val="2"/>
      <scheme val="minor"/>
    </font>
    <font>
      <b/>
      <sz val="10"/>
      <color theme="1"/>
      <name val="맑은 고딕"/>
      <family val="3"/>
      <charset val="129"/>
      <scheme val="major"/>
    </font>
    <font>
      <b/>
      <sz val="9"/>
      <color rgb="FFFF0000"/>
      <name val="맑은 고딕"/>
      <family val="3"/>
      <charset val="129"/>
    </font>
    <font>
      <sz val="10"/>
      <name val="맑은 고딕"/>
      <family val="3"/>
      <charset val="129"/>
      <scheme val="minor"/>
    </font>
    <font>
      <sz val="11"/>
      <color theme="0"/>
      <name val="휴먼엑스포"/>
      <family val="1"/>
      <charset val="129"/>
    </font>
    <font>
      <sz val="11"/>
      <color rgb="FFFF0000"/>
      <name val="맑은 고딕"/>
      <family val="2"/>
      <charset val="129"/>
      <scheme val="minor"/>
    </font>
    <font>
      <sz val="11"/>
      <color theme="0"/>
      <name val="맑은 고딕"/>
      <family val="2"/>
      <charset val="129"/>
      <scheme val="minor"/>
    </font>
    <font>
      <sz val="12"/>
      <color theme="1"/>
      <name val="맑은 고딕"/>
      <family val="3"/>
      <charset val="129"/>
    </font>
    <font>
      <sz val="11"/>
      <color theme="1"/>
      <name val="맑은 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b/>
      <sz val="12"/>
      <color theme="0"/>
      <name val="맑은 고딕"/>
      <family val="3"/>
      <charset val="129"/>
    </font>
    <font>
      <b/>
      <sz val="10"/>
      <color theme="0"/>
      <name val="맑은 고딕"/>
      <family val="3"/>
      <charset val="129"/>
    </font>
    <font>
      <sz val="10"/>
      <name val="바탕체"/>
      <family val="1"/>
      <charset val="129"/>
    </font>
    <font>
      <b/>
      <sz val="10"/>
      <name val="MS Sans Serif"/>
      <family val="2"/>
    </font>
    <font>
      <sz val="10"/>
      <name val="MS Sans Serif"/>
      <family val="2"/>
    </font>
    <font>
      <sz val="10"/>
      <name val="Times New Roman"/>
      <family val="1"/>
    </font>
    <font>
      <i/>
      <sz val="12"/>
      <name val="바탕체"/>
      <family val="1"/>
      <charset val="129"/>
    </font>
    <font>
      <sz val="12"/>
      <name val="¹????¼"/>
      <family val="1"/>
      <charset val="129"/>
    </font>
    <font>
      <sz val="12"/>
      <name val="???"/>
      <family val="1"/>
    </font>
    <font>
      <sz val="11"/>
      <name val="μ¸¿o"/>
      <family val="3"/>
      <charset val="129"/>
    </font>
    <font>
      <sz val="12"/>
      <name val="Arial"/>
      <family val="2"/>
    </font>
    <font>
      <sz val="11"/>
      <name val="돋움체"/>
      <family val="3"/>
      <charset val="129"/>
    </font>
    <font>
      <sz val="12"/>
      <name val="Times New Roman"/>
      <family val="1"/>
    </font>
    <font>
      <sz val="11"/>
      <name val="±¼¸²A¼"/>
      <family val="3"/>
      <charset val="129"/>
    </font>
    <font>
      <sz val="9"/>
      <color indexed="63"/>
      <name val="돋움"/>
      <family val="3"/>
      <charset val="129"/>
    </font>
    <font>
      <u/>
      <sz val="12"/>
      <name val="바탕체"/>
      <family val="1"/>
      <charset val="129"/>
    </font>
    <font>
      <sz val="11"/>
      <color indexed="9"/>
      <name val="맑은 고딕"/>
      <family val="3"/>
    </font>
    <font>
      <sz val="9"/>
      <color indexed="24"/>
      <name val="돋움"/>
      <family val="3"/>
      <charset val="129"/>
    </font>
    <font>
      <sz val="10"/>
      <name val="궁서체"/>
      <family val="1"/>
      <charset val="129"/>
    </font>
    <font>
      <sz val="12"/>
      <name val="¨IoUAAA¡§u"/>
      <family val="3"/>
      <charset val="129"/>
    </font>
    <font>
      <sz val="11"/>
      <name val="￥i￠￢￠?o"/>
      <family val="3"/>
      <charset val="129"/>
    </font>
    <font>
      <sz val="12"/>
      <name val="ⓒoUAAA¨u"/>
      <family val="1"/>
      <charset val="129"/>
    </font>
    <font>
      <sz val="12"/>
      <name val="¹UAAA¼"/>
      <family val="1"/>
      <charset val="129"/>
    </font>
    <font>
      <sz val="12"/>
      <name val="¹ÙÅÁÃ¼"/>
      <family val="1"/>
      <charset val="129"/>
    </font>
    <font>
      <sz val="11"/>
      <name val="μ¸¿o"/>
      <family val="1"/>
      <charset val="129"/>
    </font>
    <font>
      <sz val="12"/>
      <name val="¹ÙÅÁÃ¼"/>
      <family val="3"/>
      <charset val="129"/>
    </font>
    <font>
      <sz val="12"/>
      <name val="¹UAAA¼"/>
      <family val="3"/>
      <charset val="129"/>
    </font>
    <font>
      <sz val="12"/>
      <name val="굴림"/>
      <family val="3"/>
      <charset val="129"/>
    </font>
    <font>
      <sz val="12"/>
      <name val="ⓒoUAAA¨u"/>
      <family val="3"/>
      <charset val="129"/>
    </font>
    <font>
      <sz val="10"/>
      <name val="±¼¸²A¼"/>
      <family val="3"/>
      <charset val="129"/>
    </font>
    <font>
      <sz val="11"/>
      <color indexed="20"/>
      <name val="맑은 고딕"/>
      <family val="3"/>
    </font>
    <font>
      <sz val="12"/>
      <name val="Tms Rmn"/>
      <family val="1"/>
    </font>
    <font>
      <sz val="12"/>
      <color indexed="32"/>
      <name val="MIN 훈민08체"/>
      <family val="3"/>
      <charset val="129"/>
    </font>
    <font>
      <sz val="12"/>
      <name val="System"/>
      <family val="2"/>
      <charset val="129"/>
    </font>
    <font>
      <sz val="8"/>
      <name val="¹UAAA¼"/>
      <family val="1"/>
      <charset val="129"/>
    </font>
    <font>
      <sz val="10"/>
      <name val="±¼¸²Ã¼"/>
      <family val="3"/>
      <charset val="129"/>
    </font>
    <font>
      <sz val="12"/>
      <name val="±¼¸²A¼"/>
      <family val="3"/>
      <charset val="129"/>
    </font>
    <font>
      <sz val="11"/>
      <name val="µ¸¿ò"/>
      <family val="3"/>
      <charset val="129"/>
    </font>
    <font>
      <sz val="12"/>
      <name val="±¼¸²Ã¼"/>
      <family val="3"/>
      <charset val="129"/>
    </font>
    <font>
      <b/>
      <sz val="10"/>
      <name val="Helv"/>
      <family val="2"/>
    </font>
    <font>
      <sz val="9"/>
      <name val="ZapfHumnst BT"/>
      <family val="2"/>
    </font>
    <font>
      <b/>
      <sz val="11"/>
      <color indexed="9"/>
      <name val="맑은 고딕"/>
      <family val="3"/>
    </font>
    <font>
      <b/>
      <sz val="8"/>
      <name val="Arial"/>
      <family val="2"/>
    </font>
    <font>
      <sz val="1"/>
      <color indexed="8"/>
      <name val="Courier"/>
      <family val="3"/>
    </font>
    <font>
      <sz val="10"/>
      <color indexed="0"/>
      <name val="MS Sans Serif"/>
      <family val="2"/>
    </font>
    <font>
      <sz val="10"/>
      <name val="MS Serif"/>
      <family val="1"/>
    </font>
    <font>
      <sz val="12"/>
      <name val="굴림체"/>
      <family val="3"/>
      <charset val="129"/>
    </font>
    <font>
      <sz val="8"/>
      <color indexed="12"/>
      <name val="Arial"/>
      <family val="2"/>
    </font>
    <font>
      <sz val="10"/>
      <color indexed="8"/>
      <name val="Arial"/>
      <family val="2"/>
    </font>
    <font>
      <b/>
      <sz val="10"/>
      <name val="Palatino"/>
      <family val="1"/>
    </font>
    <font>
      <sz val="10"/>
      <name val="Geneva"/>
      <family val="2"/>
    </font>
    <font>
      <sz val="10"/>
      <color indexed="16"/>
      <name val="MS Serif"/>
      <family val="1"/>
    </font>
    <font>
      <i/>
      <sz val="11"/>
      <color indexed="23"/>
      <name val="맑은 고딕"/>
      <family val="3"/>
    </font>
    <font>
      <b/>
      <sz val="1"/>
      <color indexed="23"/>
      <name val="Courier"/>
      <family val="3"/>
    </font>
    <font>
      <b/>
      <sz val="1"/>
      <color indexed="8"/>
      <name val="Courier"/>
      <family val="3"/>
    </font>
    <font>
      <b/>
      <sz val="11"/>
      <color indexed="62"/>
      <name val="Arial"/>
      <family val="2"/>
    </font>
    <font>
      <u/>
      <sz val="10"/>
      <color indexed="36"/>
      <name val="Arial"/>
      <family val="2"/>
    </font>
    <font>
      <sz val="11"/>
      <color indexed="17"/>
      <name val="맑은 고딕"/>
      <family val="3"/>
    </font>
    <font>
      <b/>
      <i/>
      <u/>
      <sz val="12"/>
      <name val="Palatino"/>
      <family val="1"/>
    </font>
    <font>
      <b/>
      <sz val="12"/>
      <name val="Helv"/>
      <family val="2"/>
    </font>
    <font>
      <b/>
      <sz val="11"/>
      <color indexed="56"/>
      <name val="맑은 고딕"/>
      <family val="3"/>
    </font>
    <font>
      <b/>
      <sz val="11"/>
      <color indexed="18"/>
      <name val="Arial"/>
      <family val="2"/>
    </font>
    <font>
      <b/>
      <sz val="12"/>
      <color indexed="9"/>
      <name val="Geneva"/>
      <family val="2"/>
    </font>
    <font>
      <u/>
      <sz val="10"/>
      <color indexed="12"/>
      <name val="Arial"/>
      <family val="2"/>
    </font>
    <font>
      <u/>
      <sz val="8"/>
      <color indexed="12"/>
      <name val="Times New Roman"/>
      <family val="1"/>
    </font>
    <font>
      <sz val="8"/>
      <color indexed="39"/>
      <name val="Arial"/>
      <family val="2"/>
    </font>
    <font>
      <sz val="11"/>
      <color indexed="62"/>
      <name val="Calibri"/>
      <family val="2"/>
    </font>
    <font>
      <sz val="10"/>
      <color indexed="12"/>
      <name val="Arial"/>
      <family val="2"/>
    </font>
    <font>
      <u/>
      <sz val="10"/>
      <color indexed="14"/>
      <name val="MS Sans Serif"/>
      <family val="2"/>
    </font>
    <font>
      <sz val="11"/>
      <name val="CG Omega"/>
      <family val="2"/>
    </font>
    <font>
      <sz val="11"/>
      <color indexed="52"/>
      <name val="맑은 고딕"/>
      <family val="3"/>
    </font>
    <font>
      <b/>
      <sz val="11"/>
      <name val="Helv"/>
      <family val="2"/>
    </font>
    <font>
      <sz val="11"/>
      <color indexed="60"/>
      <name val="맑은 고딕"/>
      <family val="3"/>
    </font>
    <font>
      <b/>
      <u/>
      <sz val="10"/>
      <name val="Palatino"/>
      <family val="1"/>
    </font>
    <font>
      <sz val="12"/>
      <name val="Helv"/>
      <family val="2"/>
    </font>
    <font>
      <u/>
      <sz val="18"/>
      <name val="Times New Roman"/>
      <family val="1"/>
    </font>
    <font>
      <b/>
      <sz val="7"/>
      <name val="Arial"/>
      <family val="2"/>
    </font>
    <font>
      <b/>
      <i/>
      <sz val="10"/>
      <name val="Arial"/>
      <family val="2"/>
    </font>
    <font>
      <sz val="10"/>
      <name val="Tms Rmn"/>
      <family val="1"/>
    </font>
    <font>
      <sz val="10"/>
      <name val="Palatino"/>
      <family val="1"/>
    </font>
    <font>
      <sz val="10"/>
      <color indexed="8"/>
      <name val="MS Sans Serif"/>
      <family val="2"/>
    </font>
    <font>
      <sz val="12"/>
      <color indexed="32"/>
      <name val="모음디"/>
      <family val="1"/>
      <charset val="129"/>
    </font>
    <font>
      <sz val="8"/>
      <color indexed="10"/>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sz val="10"/>
      <color indexed="10"/>
      <name val="Arial"/>
      <family val="2"/>
    </font>
    <font>
      <b/>
      <i/>
      <sz val="8"/>
      <name val="Arial"/>
      <family val="2"/>
    </font>
    <font>
      <sz val="8"/>
      <name val="Palatino"/>
      <family val="1"/>
    </font>
    <font>
      <b/>
      <sz val="9"/>
      <name val="Arial"/>
      <family val="2"/>
    </font>
    <font>
      <b/>
      <sz val="8"/>
      <color indexed="8"/>
      <name val="Helv"/>
      <family val="2"/>
    </font>
    <font>
      <sz val="9"/>
      <name val="Arial"/>
      <family val="2"/>
    </font>
    <font>
      <sz val="7"/>
      <name val="Arial"/>
      <family val="2"/>
    </font>
    <font>
      <b/>
      <sz val="10"/>
      <color indexed="10"/>
      <name val="Arial"/>
      <family val="2"/>
    </font>
    <font>
      <b/>
      <sz val="18"/>
      <color indexed="56"/>
      <name val="맑은 고딕"/>
      <family val="3"/>
    </font>
    <font>
      <sz val="11"/>
      <color indexed="10"/>
      <name val="맑은 고딕"/>
      <family val="3"/>
    </font>
    <font>
      <sz val="8"/>
      <color indexed="9"/>
      <name val="Arial"/>
      <family val="2"/>
    </font>
    <font>
      <sz val="14"/>
      <name val="뼻뮝"/>
      <family val="1"/>
      <charset val="129"/>
    </font>
    <font>
      <b/>
      <sz val="11"/>
      <color indexed="8"/>
      <name val="돋움"/>
      <family val="3"/>
      <charset val="129"/>
    </font>
    <font>
      <sz val="11"/>
      <color indexed="8"/>
      <name val="돋움"/>
      <family val="3"/>
      <charset val="129"/>
    </font>
    <font>
      <sz val="11"/>
      <color indexed="9"/>
      <name val="돋움"/>
      <family val="3"/>
      <charset val="129"/>
    </font>
    <font>
      <sz val="11"/>
      <name val="궁서"/>
      <family val="1"/>
      <charset val="129"/>
    </font>
    <font>
      <sz val="9"/>
      <color indexed="53"/>
      <name val="돋움"/>
      <family val="3"/>
      <charset val="129"/>
    </font>
    <font>
      <sz val="9"/>
      <color indexed="36"/>
      <name val="돋움"/>
      <family val="3"/>
      <charset val="129"/>
    </font>
    <font>
      <b/>
      <sz val="11"/>
      <name val="돋움체"/>
      <family val="3"/>
      <charset val="129"/>
    </font>
    <font>
      <sz val="8"/>
      <name val="바탕체"/>
      <family val="1"/>
      <charset val="129"/>
    </font>
    <font>
      <u/>
      <sz val="11"/>
      <color indexed="36"/>
      <name val="돋움"/>
      <family val="3"/>
      <charset val="129"/>
    </font>
    <font>
      <sz val="9"/>
      <color indexed="60"/>
      <name val="돋움"/>
      <family val="3"/>
      <charset val="129"/>
    </font>
    <font>
      <sz val="12"/>
      <name val="뼻뮝"/>
      <family val="1"/>
      <charset val="129"/>
    </font>
    <font>
      <i/>
      <sz val="9"/>
      <color indexed="55"/>
      <name val="돋움"/>
      <family val="3"/>
      <charset val="129"/>
    </font>
    <font>
      <b/>
      <sz val="9"/>
      <color indexed="24"/>
      <name val="돋움"/>
      <family val="3"/>
      <charset val="129"/>
    </font>
    <font>
      <b/>
      <sz val="12"/>
      <color indexed="16"/>
      <name val="굴림체"/>
      <family val="3"/>
      <charset val="129"/>
    </font>
    <font>
      <sz val="11"/>
      <name val="굴림체"/>
      <family val="3"/>
      <charset val="129"/>
    </font>
    <font>
      <sz val="11"/>
      <color indexed="8"/>
      <name val="Malgun Gothic"/>
      <family val="3"/>
      <charset val="129"/>
    </font>
    <font>
      <sz val="11"/>
      <color rgb="FF000000"/>
      <name val="Malgun Gothic"/>
      <family val="3"/>
      <charset val="129"/>
    </font>
    <font>
      <sz val="12"/>
      <name val="돋움체"/>
      <family val="3"/>
      <charset val="129"/>
    </font>
    <font>
      <b/>
      <sz val="18"/>
      <color indexed="62"/>
      <name val="맑은 고딕"/>
      <family val="3"/>
      <charset val="129"/>
    </font>
    <font>
      <sz val="9"/>
      <color indexed="52"/>
      <name val="돋움"/>
      <family val="3"/>
      <charset val="129"/>
    </font>
    <font>
      <b/>
      <sz val="9"/>
      <color indexed="63"/>
      <name val="돋움"/>
      <family val="3"/>
      <charset val="129"/>
    </font>
    <font>
      <sz val="10"/>
      <name val="궁서(English)"/>
      <family val="3"/>
      <charset val="129"/>
    </font>
    <font>
      <sz val="9"/>
      <color indexed="62"/>
      <name val="돋움"/>
      <family val="3"/>
      <charset val="129"/>
    </font>
    <font>
      <b/>
      <sz val="15"/>
      <color indexed="62"/>
      <name val="돋움"/>
      <family val="3"/>
      <charset val="129"/>
    </font>
    <font>
      <b/>
      <sz val="15"/>
      <color indexed="62"/>
      <name val="맑은 고딕"/>
      <family val="3"/>
      <charset val="129"/>
    </font>
    <font>
      <b/>
      <sz val="13"/>
      <color indexed="62"/>
      <name val="돋움"/>
      <family val="3"/>
      <charset val="129"/>
    </font>
    <font>
      <b/>
      <sz val="13"/>
      <color indexed="62"/>
      <name val="맑은 고딕"/>
      <family val="3"/>
      <charset val="129"/>
    </font>
    <font>
      <b/>
      <sz val="11"/>
      <color indexed="62"/>
      <name val="돋움"/>
      <family val="3"/>
      <charset val="129"/>
    </font>
    <font>
      <b/>
      <sz val="11"/>
      <color indexed="62"/>
      <name val="맑은 고딕"/>
      <family val="3"/>
      <charset val="129"/>
    </font>
    <font>
      <sz val="9"/>
      <color indexed="58"/>
      <name val="돋움"/>
      <family val="3"/>
      <charset val="129"/>
    </font>
    <font>
      <sz val="11"/>
      <color indexed="60"/>
      <name val="돋움"/>
      <family val="3"/>
      <charset val="129"/>
    </font>
    <font>
      <b/>
      <sz val="10"/>
      <name val="Arial"/>
      <family val="2"/>
    </font>
    <font>
      <sz val="9"/>
      <color theme="1"/>
      <name val="맑은 고딕"/>
      <family val="2"/>
      <charset val="129"/>
    </font>
    <font>
      <sz val="11"/>
      <color theme="1"/>
      <name val="맑은 고딕"/>
      <family val="2"/>
      <scheme val="minor"/>
    </font>
    <font>
      <sz val="12"/>
      <color indexed="8"/>
      <name val="Arial"/>
      <family val="2"/>
    </font>
    <font>
      <sz val="11"/>
      <name val="ＭＳ Ｐゴシック"/>
      <family val="2"/>
      <charset val="128"/>
    </font>
    <font>
      <sz val="10"/>
      <name val="굴림체"/>
      <family val="3"/>
      <charset val="129"/>
    </font>
    <font>
      <u/>
      <sz val="7.2"/>
      <color theme="10"/>
      <name val="Arial"/>
      <family val="2"/>
    </font>
    <font>
      <u/>
      <sz val="9.35"/>
      <color theme="10"/>
      <name val="Calibri"/>
      <family val="2"/>
    </font>
    <font>
      <sz val="14"/>
      <name val="AngsanaUPC"/>
      <family val="1"/>
    </font>
    <font>
      <b/>
      <sz val="9"/>
      <color theme="1"/>
      <name val="맑은 고딕"/>
      <family val="3"/>
      <charset val="129"/>
      <scheme val="minor"/>
    </font>
    <font>
      <b/>
      <sz val="12"/>
      <name val="맑은 고딕"/>
      <family val="3"/>
      <charset val="129"/>
      <scheme val="major"/>
    </font>
    <font>
      <sz val="11"/>
      <name val="맑은 고딕"/>
      <family val="3"/>
      <charset val="129"/>
      <scheme val="major"/>
    </font>
    <font>
      <sz val="11"/>
      <name val="휴먼엑스포"/>
      <family val="1"/>
      <charset val="129"/>
    </font>
    <font>
      <b/>
      <sz val="12"/>
      <color rgb="FFFF0000"/>
      <name val="맑은 고딕"/>
      <family val="3"/>
      <charset val="129"/>
      <scheme val="major"/>
    </font>
    <font>
      <sz val="9"/>
      <color theme="0"/>
      <name val="휴먼엑스포"/>
      <family val="1"/>
      <charset val="129"/>
    </font>
    <font>
      <b/>
      <sz val="8.5"/>
      <color theme="1"/>
      <name val="맑은 고딕"/>
      <family val="3"/>
      <charset val="129"/>
      <scheme val="major"/>
    </font>
    <font>
      <b/>
      <sz val="8.5"/>
      <color theme="1"/>
      <name val="맑은 고딕"/>
      <family val="3"/>
      <charset val="129"/>
    </font>
    <font>
      <sz val="8"/>
      <color theme="0"/>
      <name val="맑은 고딕"/>
      <family val="3"/>
      <charset val="129"/>
    </font>
    <font>
      <b/>
      <sz val="10"/>
      <name val="맑은 고딕"/>
      <family val="3"/>
      <charset val="129"/>
      <scheme val="minor"/>
    </font>
    <font>
      <b/>
      <sz val="10"/>
      <name val="맑은 고딕"/>
      <family val="3"/>
      <charset val="129"/>
      <scheme val="major"/>
    </font>
    <font>
      <b/>
      <sz val="9"/>
      <name val="맑은 고딕"/>
      <family val="3"/>
      <charset val="129"/>
      <scheme val="major"/>
    </font>
    <font>
      <b/>
      <sz val="11"/>
      <name val="맑은 고딕"/>
      <family val="3"/>
      <charset val="129"/>
      <scheme val="major"/>
    </font>
    <font>
      <b/>
      <sz val="10"/>
      <name val="돋움"/>
      <family val="3"/>
      <charset val="129"/>
    </font>
    <font>
      <b/>
      <sz val="9"/>
      <color theme="1"/>
      <name val="돋움"/>
      <family val="3"/>
      <charset val="129"/>
    </font>
    <font>
      <b/>
      <sz val="10"/>
      <color theme="1"/>
      <name val="돋움"/>
      <family val="3"/>
      <charset val="129"/>
    </font>
    <font>
      <b/>
      <sz val="11"/>
      <color rgb="FFFF0000"/>
      <name val="맑은 고딕"/>
      <family val="3"/>
      <charset val="129"/>
      <scheme val="minor"/>
    </font>
    <font>
      <sz val="8"/>
      <color theme="1"/>
      <name val="맑은 고딕"/>
      <family val="3"/>
      <charset val="129"/>
      <scheme val="minor"/>
    </font>
    <font>
      <sz val="8"/>
      <color theme="1"/>
      <name val="휴먼엑스포"/>
      <family val="1"/>
      <charset val="129"/>
    </font>
    <font>
      <sz val="10"/>
      <color theme="1"/>
      <name val="휴먼엑스포"/>
      <family val="1"/>
      <charset val="129"/>
    </font>
    <font>
      <b/>
      <sz val="13"/>
      <color rgb="FF0000FF"/>
      <name val="맑은 고딕"/>
      <family val="3"/>
      <charset val="129"/>
    </font>
    <font>
      <b/>
      <sz val="12"/>
      <color rgb="FF0000FF"/>
      <name val="맑은 고딕"/>
      <family val="3"/>
      <charset val="129"/>
      <scheme val="minor"/>
    </font>
    <font>
      <b/>
      <sz val="9"/>
      <color theme="1"/>
      <name val="맑은 고딕"/>
      <family val="3"/>
      <charset val="129"/>
      <scheme val="major"/>
    </font>
    <font>
      <sz val="9"/>
      <color rgb="FF333333"/>
      <name val="맑은 고딕"/>
      <family val="3"/>
      <charset val="129"/>
      <scheme val="minor"/>
    </font>
    <font>
      <b/>
      <sz val="8"/>
      <color rgb="FF0000FF"/>
      <name val="맑은 고딕"/>
      <family val="3"/>
      <charset val="129"/>
    </font>
    <font>
      <b/>
      <sz val="8"/>
      <color rgb="FFFF0000"/>
      <name val="맑은 고딕"/>
      <family val="3"/>
      <charset val="129"/>
    </font>
    <font>
      <sz val="11"/>
      <color rgb="FFFFFFFF"/>
      <name val="맑은 고딕"/>
      <family val="2"/>
      <scheme val="minor"/>
    </font>
    <font>
      <b/>
      <sz val="20"/>
      <name val="맑은 고딕"/>
      <family val="3"/>
      <charset val="129"/>
    </font>
    <font>
      <b/>
      <sz val="10"/>
      <color theme="0"/>
      <name val="맑은 고딕"/>
      <family val="3"/>
      <charset val="129"/>
      <scheme val="major"/>
    </font>
    <font>
      <sz val="9"/>
      <color theme="1"/>
      <name val="맑은 고딕"/>
      <family val="3"/>
      <charset val="129"/>
      <scheme val="major"/>
    </font>
    <font>
      <sz val="10"/>
      <color theme="1"/>
      <name val="맑은 고딕"/>
      <family val="3"/>
      <charset val="129"/>
      <scheme val="major"/>
    </font>
    <font>
      <b/>
      <sz val="12"/>
      <color rgb="FF0000FF"/>
      <name val="맑은 고딕"/>
      <family val="3"/>
      <charset val="129"/>
    </font>
  </fonts>
  <fills count="13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4" tint="0.79998168889431442"/>
        <bgColor indexed="64"/>
      </patternFill>
    </fill>
    <fill>
      <patternFill patternType="solid">
        <fgColor rgb="FFCCFFCC"/>
        <bgColor indexed="64"/>
      </patternFill>
    </fill>
    <fill>
      <patternFill patternType="solid">
        <fgColor rgb="FFCC66FF"/>
        <bgColor indexed="64"/>
      </patternFill>
    </fill>
    <fill>
      <patternFill patternType="solid">
        <fgColor rgb="FFFF33CC"/>
        <bgColor indexed="64"/>
      </patternFill>
    </fill>
    <fill>
      <patternFill patternType="solid">
        <fgColor rgb="FFFFCCFF"/>
        <bgColor indexed="64"/>
      </patternFill>
    </fill>
    <fill>
      <patternFill patternType="solid">
        <fgColor theme="6" tint="-0.249977111117893"/>
        <bgColor indexed="64"/>
      </patternFill>
    </fill>
    <fill>
      <patternFill patternType="solid">
        <fgColor rgb="FFCCFFFF"/>
        <bgColor indexed="64"/>
      </patternFill>
    </fill>
    <fill>
      <patternFill patternType="solid">
        <fgColor rgb="FFCCCCFF"/>
        <bgColor indexed="64"/>
      </patternFill>
    </fill>
    <fill>
      <patternFill patternType="solid">
        <fgColor rgb="FFEAEAEA"/>
        <bgColor indexed="64"/>
      </patternFill>
    </fill>
    <fill>
      <patternFill patternType="solid">
        <fgColor rgb="FFFFFFCC"/>
        <bgColor indexed="64"/>
      </patternFill>
    </fill>
    <fill>
      <patternFill patternType="solid">
        <fgColor rgb="FFDDDDDD"/>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indexed="42"/>
        <bgColor indexed="64"/>
      </patternFill>
    </fill>
    <fill>
      <patternFill patternType="solid">
        <fgColor indexed="18"/>
      </patternFill>
    </fill>
    <fill>
      <patternFill patternType="solid">
        <fgColor indexed="8"/>
      </patternFill>
    </fill>
    <fill>
      <patternFill patternType="solid">
        <fgColor indexed="24"/>
      </patternFill>
    </fill>
    <fill>
      <patternFill patternType="solid">
        <fgColor indexed="15"/>
      </patternFill>
    </fill>
    <fill>
      <patternFill patternType="solid">
        <fgColor indexed="20"/>
      </patternFill>
    </fill>
    <fill>
      <patternFill patternType="solid">
        <fgColor indexed="21"/>
      </patternFill>
    </fill>
    <fill>
      <patternFill patternType="gray0625">
        <fgColor indexed="15"/>
      </patternFill>
    </fill>
    <fill>
      <patternFill patternType="solid">
        <fgColor indexed="8"/>
        <bgColor indexed="64"/>
      </patternFill>
    </fill>
    <fill>
      <patternFill patternType="solid">
        <fgColor indexed="43"/>
        <bgColor indexed="64"/>
      </patternFill>
    </fill>
    <fill>
      <patternFill patternType="solid">
        <fgColor indexed="46"/>
        <bgColor indexed="64"/>
      </patternFill>
    </fill>
    <fill>
      <patternFill patternType="solid">
        <fgColor indexed="31"/>
        <bgColor indexed="64"/>
      </patternFill>
    </fill>
    <fill>
      <patternFill patternType="solid">
        <fgColor indexed="65"/>
        <bgColor indexed="64"/>
      </patternFill>
    </fill>
    <fill>
      <patternFill patternType="solid">
        <fgColor indexed="9"/>
        <bgColor indexed="8"/>
      </patternFill>
    </fill>
    <fill>
      <patternFill patternType="mediumGray">
        <fgColor indexed="22"/>
      </patternFill>
    </fill>
    <fill>
      <patternFill patternType="gray0625">
        <fgColor indexed="1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indexed="5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3"/>
      </patternFill>
    </fill>
    <fill>
      <patternFill patternType="solid">
        <fgColor indexed="9"/>
      </patternFill>
    </fill>
    <fill>
      <patternFill patternType="gray0625">
        <bgColor indexed="34"/>
      </patternFill>
    </fill>
    <fill>
      <patternFill patternType="solid">
        <fgColor indexed="13"/>
      </patternFill>
    </fill>
    <fill>
      <patternFill patternType="solid">
        <fgColor indexed="43"/>
        <bgColor indexed="43"/>
      </patternFill>
    </fill>
    <fill>
      <patternFill patternType="solid">
        <fgColor rgb="FF7030A0"/>
        <bgColor indexed="64"/>
      </patternFill>
    </fill>
    <fill>
      <patternFill patternType="solid">
        <fgColor rgb="FFFDFDFD"/>
        <bgColor indexed="64"/>
      </patternFill>
    </fill>
    <fill>
      <patternFill patternType="solid">
        <fgColor rgb="FF7A7A7A"/>
      </patternFill>
    </fill>
    <fill>
      <patternFill patternType="solid">
        <fgColor theme="9" tint="0.79998168889431442"/>
        <bgColor indexed="64"/>
      </patternFill>
    </fill>
    <fill>
      <patternFill patternType="solid">
        <fgColor theme="6" tint="0.79998168889431442"/>
        <bgColor indexed="64"/>
      </patternFill>
    </fill>
  </fills>
  <borders count="25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right/>
      <top style="double">
        <color indexed="64"/>
      </top>
      <bottom/>
      <diagonal/>
    </border>
    <border>
      <left style="thin">
        <color indexed="22"/>
      </left>
      <right style="thin">
        <color indexed="22"/>
      </right>
      <top style="thin">
        <color indexed="22"/>
      </top>
      <bottom style="thin">
        <color indexed="22"/>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23"/>
      </top>
      <bottom/>
      <diagonal/>
    </border>
    <border>
      <left/>
      <right/>
      <top/>
      <bottom style="medium">
        <color indexed="23"/>
      </bottom>
      <diagonal/>
    </border>
    <border>
      <left style="thin">
        <color indexed="64"/>
      </left>
      <right style="thin">
        <color indexed="64"/>
      </right>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top style="thin">
        <color auto="1"/>
      </top>
      <bottom style="thin">
        <color auto="1"/>
      </bottom>
      <diagonal/>
    </border>
    <border>
      <left style="thin">
        <color indexed="23"/>
      </left>
      <right style="thin">
        <color indexed="23"/>
      </right>
      <top style="thin">
        <color indexed="23"/>
      </top>
      <bottom style="thin">
        <color indexed="23"/>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auto="1"/>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3"/>
      </left>
      <right style="thin">
        <color indexed="63"/>
      </right>
      <top style="thin">
        <color indexed="63"/>
      </top>
      <bottom style="thin">
        <color indexed="63"/>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bottom style="thin">
        <color indexed="64"/>
      </bottom>
      <diagonal/>
    </border>
    <border>
      <left style="medium">
        <color theme="7"/>
      </left>
      <right/>
      <top style="medium">
        <color theme="7"/>
      </top>
      <bottom/>
      <diagonal/>
    </border>
    <border>
      <left/>
      <right/>
      <top style="medium">
        <color theme="7"/>
      </top>
      <bottom/>
      <diagonal/>
    </border>
    <border>
      <left/>
      <right style="medium">
        <color theme="7"/>
      </right>
      <top style="medium">
        <color theme="7"/>
      </top>
      <bottom/>
      <diagonal/>
    </border>
    <border>
      <left style="medium">
        <color theme="7"/>
      </left>
      <right/>
      <top/>
      <bottom/>
      <diagonal/>
    </border>
    <border>
      <left/>
      <right style="medium">
        <color theme="7"/>
      </right>
      <top/>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right/>
      <top style="thin">
        <color indexed="64"/>
      </top>
      <bottom/>
      <diagonal/>
    </border>
    <border>
      <left/>
      <right/>
      <top style="double">
        <color indexed="64"/>
      </top>
      <bottom style="double">
        <color indexed="64"/>
      </bottom>
      <diagonal/>
    </border>
    <border>
      <left/>
      <right/>
      <top style="medium">
        <color indexed="8"/>
      </top>
      <bottom style="medium">
        <color indexed="8"/>
      </bottom>
      <diagonal/>
    </border>
    <border>
      <left/>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4"/>
      </top>
      <bottom style="thin">
        <color indexed="63"/>
      </bottom>
      <diagonal/>
    </border>
    <border>
      <left style="thin">
        <color indexed="54"/>
      </left>
      <right/>
      <top style="thin">
        <color indexed="54"/>
      </top>
      <bottom/>
      <diagonal/>
    </border>
    <border>
      <left style="hair">
        <color indexed="64"/>
      </left>
      <right style="hair">
        <color indexed="64"/>
      </right>
      <top style="thin">
        <color indexed="64"/>
      </top>
      <bottom/>
      <diagonal/>
    </border>
    <border>
      <left style="hair">
        <color indexed="64"/>
      </left>
      <right style="hair">
        <color indexed="64"/>
      </right>
      <top style="double">
        <color indexed="64"/>
      </top>
      <bottom/>
      <diagonal/>
    </border>
    <border>
      <left style="thin">
        <color indexed="22"/>
      </left>
      <right style="thin">
        <color indexed="22"/>
      </right>
      <top style="thin">
        <color indexed="22"/>
      </top>
      <bottom style="thin">
        <color indexed="22"/>
      </bottom>
      <diagonal/>
    </border>
    <border>
      <left style="thin">
        <color indexed="24"/>
      </left>
      <right style="thin">
        <color indexed="24"/>
      </right>
      <top style="thin">
        <color indexed="24"/>
      </top>
      <bottom style="thin">
        <color indexed="24"/>
      </bottom>
      <diagonal/>
    </border>
    <border>
      <left/>
      <right/>
      <top style="thin">
        <color auto="1"/>
      </top>
      <bottom/>
      <diagonal/>
    </border>
    <border>
      <left/>
      <right/>
      <top/>
      <bottom style="hair">
        <color indexed="8"/>
      </bottom>
      <diagonal/>
    </border>
    <border>
      <left/>
      <right/>
      <top style="thin">
        <color indexed="62"/>
      </top>
      <bottom style="double">
        <color indexed="62"/>
      </bottom>
      <diagonal/>
    </border>
    <border>
      <left/>
      <right/>
      <top style="thin">
        <color indexed="49"/>
      </top>
      <bottom style="double">
        <color indexed="49"/>
      </bottom>
      <diagonal/>
    </border>
    <border>
      <left style="thin">
        <color indexed="55"/>
      </left>
      <right style="thin">
        <color indexed="55"/>
      </right>
      <top style="thin">
        <color indexed="55"/>
      </top>
      <bottom style="thin">
        <color indexed="55"/>
      </bottom>
      <diagonal/>
    </border>
    <border>
      <left/>
      <right/>
      <top/>
      <bottom style="thick">
        <color indexed="49"/>
      </bottom>
      <diagonal/>
    </border>
    <border>
      <left/>
      <right/>
      <top/>
      <bottom style="thick">
        <color indexed="20"/>
      </bottom>
      <diagonal/>
    </border>
    <border>
      <left/>
      <right/>
      <top/>
      <bottom style="medium">
        <color indexed="20"/>
      </bottom>
      <diagonal/>
    </border>
    <border>
      <left/>
      <right/>
      <top/>
      <bottom style="medium">
        <color indexed="49"/>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hair">
        <color indexed="64"/>
      </bottom>
      <diagonal/>
    </border>
    <border>
      <left style="hair">
        <color indexed="64"/>
      </left>
      <right/>
      <top style="hair">
        <color indexed="64"/>
      </top>
      <bottom style="hair">
        <color indexed="64"/>
      </bottom>
      <diagonal/>
    </border>
    <border>
      <left/>
      <right style="thin">
        <color indexed="64"/>
      </right>
      <top style="thin">
        <color auto="1"/>
      </top>
      <bottom/>
      <diagonal/>
    </border>
    <border>
      <left style="medium">
        <color indexed="64"/>
      </left>
      <right style="thin">
        <color indexed="64"/>
      </right>
      <top style="thin">
        <color indexed="64"/>
      </top>
      <bottom style="thin">
        <color indexed="64"/>
      </bottom>
      <diagonal/>
    </border>
    <border>
      <left/>
      <right style="hair">
        <color indexed="64"/>
      </right>
      <top style="hair">
        <color indexed="64"/>
      </top>
      <bottom style="hair">
        <color indexed="64"/>
      </bottom>
      <diagonal/>
    </border>
    <border>
      <left style="medium">
        <color theme="1" tint="0.24994659260841701"/>
      </left>
      <right/>
      <top style="medium">
        <color theme="1" tint="0.24994659260841701"/>
      </top>
      <bottom style="thin">
        <color indexed="64"/>
      </bottom>
      <diagonal/>
    </border>
    <border>
      <left style="thin">
        <color indexed="64"/>
      </left>
      <right/>
      <top style="medium">
        <color theme="1" tint="0.24994659260841701"/>
      </top>
      <bottom/>
      <diagonal/>
    </border>
    <border>
      <left style="thin">
        <color indexed="64"/>
      </left>
      <right style="thin">
        <color indexed="64"/>
      </right>
      <top style="medium">
        <color theme="1" tint="0.24994659260841701"/>
      </top>
      <bottom/>
      <diagonal/>
    </border>
    <border>
      <left style="thin">
        <color indexed="64"/>
      </left>
      <right/>
      <top style="medium">
        <color theme="1" tint="0.24994659260841701"/>
      </top>
      <bottom style="hair">
        <color indexed="64"/>
      </bottom>
      <diagonal/>
    </border>
    <border>
      <left/>
      <right/>
      <top style="medium">
        <color theme="1" tint="0.24994659260841701"/>
      </top>
      <bottom style="hair">
        <color indexed="64"/>
      </bottom>
      <diagonal/>
    </border>
    <border>
      <left/>
      <right style="thin">
        <color indexed="64"/>
      </right>
      <top style="medium">
        <color theme="1" tint="0.24994659260841701"/>
      </top>
      <bottom style="hair">
        <color indexed="64"/>
      </bottom>
      <diagonal/>
    </border>
    <border>
      <left/>
      <right/>
      <top style="medium">
        <color theme="1" tint="0.24994659260841701"/>
      </top>
      <bottom/>
      <diagonal/>
    </border>
    <border>
      <left/>
      <right style="medium">
        <color theme="1" tint="0.24994659260841701"/>
      </right>
      <top style="medium">
        <color theme="1" tint="0.24994659260841701"/>
      </top>
      <bottom/>
      <diagonal/>
    </border>
    <border>
      <left style="medium">
        <color theme="1" tint="0.24994659260841701"/>
      </left>
      <right/>
      <top style="thin">
        <color indexed="64"/>
      </top>
      <bottom style="thin">
        <color indexed="64"/>
      </bottom>
      <diagonal/>
    </border>
    <border>
      <left/>
      <right style="medium">
        <color theme="1" tint="0.24994659260841701"/>
      </right>
      <top/>
      <bottom style="thin">
        <color indexed="64"/>
      </bottom>
      <diagonal/>
    </border>
    <border>
      <left style="medium">
        <color theme="1" tint="0.24994659260841701"/>
      </left>
      <right/>
      <top style="thin">
        <color indexed="64"/>
      </top>
      <bottom style="hair">
        <color indexed="64"/>
      </bottom>
      <diagonal/>
    </border>
    <border>
      <left/>
      <right style="medium">
        <color theme="1" tint="0.24994659260841701"/>
      </right>
      <top style="hair">
        <color indexed="64"/>
      </top>
      <bottom style="hair">
        <color indexed="64"/>
      </bottom>
      <diagonal/>
    </border>
    <border>
      <left style="medium">
        <color theme="1" tint="0.24994659260841701"/>
      </left>
      <right/>
      <top style="hair">
        <color indexed="64"/>
      </top>
      <bottom style="hair">
        <color indexed="64"/>
      </bottom>
      <diagonal/>
    </border>
    <border>
      <left style="medium">
        <color theme="1" tint="0.24994659260841701"/>
      </left>
      <right/>
      <top/>
      <bottom style="medium">
        <color theme="1" tint="0.24994659260841701"/>
      </bottom>
      <diagonal/>
    </border>
    <border>
      <left style="thin">
        <color indexed="64"/>
      </left>
      <right style="thin">
        <color indexed="64"/>
      </right>
      <top/>
      <bottom style="medium">
        <color theme="1" tint="0.24994659260841701"/>
      </bottom>
      <diagonal/>
    </border>
    <border>
      <left style="thin">
        <color indexed="64"/>
      </left>
      <right/>
      <top/>
      <bottom style="medium">
        <color theme="1" tint="0.24994659260841701"/>
      </bottom>
      <diagonal/>
    </border>
    <border>
      <left style="thin">
        <color indexed="64"/>
      </left>
      <right style="hair">
        <color indexed="64"/>
      </right>
      <top/>
      <bottom style="medium">
        <color theme="1" tint="0.24994659260841701"/>
      </bottom>
      <diagonal/>
    </border>
    <border>
      <left/>
      <right style="hair">
        <color indexed="64"/>
      </right>
      <top/>
      <bottom style="medium">
        <color theme="1" tint="0.24994659260841701"/>
      </bottom>
      <diagonal/>
    </border>
    <border>
      <left style="hair">
        <color indexed="64"/>
      </left>
      <right style="hair">
        <color indexed="64"/>
      </right>
      <top/>
      <bottom style="medium">
        <color theme="1" tint="0.24994659260841701"/>
      </bottom>
      <diagonal/>
    </border>
    <border>
      <left/>
      <right style="thin">
        <color indexed="64"/>
      </right>
      <top/>
      <bottom style="medium">
        <color theme="1" tint="0.24994659260841701"/>
      </bottom>
      <diagonal/>
    </border>
    <border>
      <left/>
      <right/>
      <top/>
      <bottom style="medium">
        <color theme="1" tint="0.24994659260841701"/>
      </bottom>
      <diagonal/>
    </border>
    <border>
      <left/>
      <right style="medium">
        <color theme="1" tint="0.24994659260841701"/>
      </right>
      <top/>
      <bottom style="medium">
        <color theme="1" tint="0.24994659260841701"/>
      </bottom>
      <diagonal/>
    </border>
    <border>
      <left/>
      <right style="medium">
        <color theme="1" tint="0.24994659260841701"/>
      </right>
      <top style="medium">
        <color theme="1" tint="0.24994659260841701"/>
      </top>
      <bottom style="hair">
        <color indexed="64"/>
      </bottom>
      <diagonal/>
    </border>
    <border>
      <left style="medium">
        <color theme="1" tint="0.24994659260841701"/>
      </left>
      <right/>
      <top/>
      <bottom/>
      <diagonal/>
    </border>
    <border>
      <left style="hair">
        <color indexed="64"/>
      </left>
      <right style="hair">
        <color indexed="64"/>
      </right>
      <top style="medium">
        <color theme="1" tint="0.24994659260841701"/>
      </top>
      <bottom style="hair">
        <color indexed="64"/>
      </bottom>
      <diagonal/>
    </border>
    <border>
      <left style="medium">
        <color theme="1" tint="0.24994659260841701"/>
      </left>
      <right style="hair">
        <color indexed="64"/>
      </right>
      <top style="medium">
        <color theme="1" tint="0.24994659260841701"/>
      </top>
      <bottom style="hair">
        <color indexed="64"/>
      </bottom>
      <diagonal/>
    </border>
    <border>
      <left style="hair">
        <color indexed="64"/>
      </left>
      <right/>
      <top style="medium">
        <color theme="1" tint="0.24994659260841701"/>
      </top>
      <bottom style="hair">
        <color indexed="64"/>
      </bottom>
      <diagonal/>
    </border>
    <border>
      <left style="medium">
        <color theme="1" tint="0.24994659260841701"/>
      </left>
      <right style="hair">
        <color indexed="64"/>
      </right>
      <top style="hair">
        <color indexed="64"/>
      </top>
      <bottom style="hair">
        <color indexed="64"/>
      </bottom>
      <diagonal/>
    </border>
    <border>
      <left style="medium">
        <color theme="1" tint="0.24994659260841701"/>
      </left>
      <right style="hair">
        <color indexed="64"/>
      </right>
      <top style="hair">
        <color indexed="64"/>
      </top>
      <bottom style="medium">
        <color theme="1" tint="0.24994659260841701"/>
      </bottom>
      <diagonal/>
    </border>
    <border>
      <left style="hair">
        <color indexed="64"/>
      </left>
      <right/>
      <top style="hair">
        <color indexed="64"/>
      </top>
      <bottom style="medium">
        <color theme="1" tint="0.24994659260841701"/>
      </bottom>
      <diagonal/>
    </border>
    <border>
      <left/>
      <right/>
      <top style="hair">
        <color indexed="64"/>
      </top>
      <bottom style="medium">
        <color theme="1" tint="0.24994659260841701"/>
      </bottom>
      <diagonal/>
    </border>
    <border>
      <left/>
      <right style="hair">
        <color indexed="64"/>
      </right>
      <top style="hair">
        <color indexed="64"/>
      </top>
      <bottom style="medium">
        <color theme="1" tint="0.24994659260841701"/>
      </bottom>
      <diagonal/>
    </border>
    <border>
      <left/>
      <right style="medium">
        <color theme="1" tint="0.24994659260841701"/>
      </right>
      <top style="hair">
        <color indexed="64"/>
      </top>
      <bottom style="medium">
        <color theme="1" tint="0.24994659260841701"/>
      </bottom>
      <diagonal/>
    </border>
    <border>
      <left style="medium">
        <color theme="1" tint="0.24994659260841701"/>
      </left>
      <right/>
      <top style="thin">
        <color indexed="64"/>
      </top>
      <bottom/>
      <diagonal/>
    </border>
    <border>
      <left/>
      <right style="medium">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double">
        <color indexed="64"/>
      </right>
      <top/>
      <bottom style="thin">
        <color indexed="64"/>
      </bottom>
      <diagonal/>
    </border>
    <border>
      <left style="medium">
        <color indexed="64"/>
      </left>
      <right style="hair">
        <color indexed="64"/>
      </right>
      <top style="hair">
        <color indexed="64"/>
      </top>
      <bottom style="thin">
        <color indexed="64"/>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style="thin">
        <color indexed="64"/>
      </right>
      <top style="hair">
        <color indexed="64"/>
      </top>
      <bottom style="medium">
        <color indexed="64"/>
      </bottom>
      <diagonal/>
    </border>
    <border>
      <left style="double">
        <color indexed="64"/>
      </left>
      <right style="medium">
        <color indexed="64"/>
      </right>
      <top/>
      <bottom style="thin">
        <color indexed="64"/>
      </bottom>
      <diagonal/>
    </border>
    <border>
      <left style="thin">
        <color indexed="64"/>
      </left>
      <right style="double">
        <color indexed="64"/>
      </right>
      <top/>
      <bottom/>
      <diagonal/>
    </border>
    <border>
      <left style="double">
        <color indexed="64"/>
      </left>
      <right style="medium">
        <color indexed="64"/>
      </right>
      <top/>
      <bottom/>
      <diagonal/>
    </border>
    <border>
      <left style="medium">
        <color indexed="64"/>
      </left>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auto="1"/>
      </top>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hair">
        <color auto="1"/>
      </left>
      <right style="medium">
        <color indexed="64"/>
      </right>
      <top style="hair">
        <color indexed="64"/>
      </top>
      <bottom style="medium">
        <color indexed="64"/>
      </bottom>
      <diagonal/>
    </border>
  </borders>
  <cellStyleXfs count="54858">
    <xf numFmtId="0" fontId="0" fillId="0" borderId="0">
      <alignment vertical="center"/>
    </xf>
    <xf numFmtId="41" fontId="18" fillId="0" borderId="0" applyFont="0" applyFill="0" applyBorder="0" applyAlignment="0" applyProtection="0">
      <alignment vertical="center"/>
    </xf>
    <xf numFmtId="0" fontId="22" fillId="0" borderId="0">
      <alignment vertical="center"/>
    </xf>
    <xf numFmtId="0" fontId="22" fillId="0" borderId="0"/>
    <xf numFmtId="0" fontId="22" fillId="0" borderId="0"/>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18" fillId="10" borderId="0" applyNumberFormat="0" applyBorder="0" applyAlignment="0" applyProtection="0">
      <alignment vertical="center"/>
    </xf>
    <xf numFmtId="0" fontId="18" fillId="10" borderId="0" applyNumberFormat="0" applyBorder="0" applyAlignment="0" applyProtection="0">
      <alignment vertical="center"/>
    </xf>
    <xf numFmtId="0" fontId="18"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18" fillId="14" borderId="0" applyNumberFormat="0" applyBorder="0" applyAlignment="0" applyProtection="0">
      <alignment vertical="center"/>
    </xf>
    <xf numFmtId="0" fontId="18" fillId="14" borderId="0" applyNumberFormat="0" applyBorder="0" applyAlignment="0" applyProtection="0">
      <alignment vertical="center"/>
    </xf>
    <xf numFmtId="0" fontId="18"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18" fillId="18" borderId="0" applyNumberFormat="0" applyBorder="0" applyAlignment="0" applyProtection="0">
      <alignment vertical="center"/>
    </xf>
    <xf numFmtId="0" fontId="18" fillId="18" borderId="0" applyNumberFormat="0" applyBorder="0" applyAlignment="0" applyProtection="0">
      <alignment vertical="center"/>
    </xf>
    <xf numFmtId="0" fontId="18"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18" fillId="22" borderId="0" applyNumberFormat="0" applyBorder="0" applyAlignment="0" applyProtection="0">
      <alignment vertical="center"/>
    </xf>
    <xf numFmtId="0" fontId="18" fillId="22" borderId="0" applyNumberFormat="0" applyBorder="0" applyAlignment="0" applyProtection="0">
      <alignment vertical="center"/>
    </xf>
    <xf numFmtId="0" fontId="18"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8" fillId="26" borderId="0" applyNumberFormat="0" applyBorder="0" applyAlignment="0" applyProtection="0">
      <alignment vertical="center"/>
    </xf>
    <xf numFmtId="0" fontId="18" fillId="26" borderId="0" applyNumberFormat="0" applyBorder="0" applyAlignment="0" applyProtection="0">
      <alignment vertical="center"/>
    </xf>
    <xf numFmtId="0" fontId="18"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18" fillId="30" borderId="0" applyNumberFormat="0" applyBorder="0" applyAlignment="0" applyProtection="0">
      <alignment vertical="center"/>
    </xf>
    <xf numFmtId="0" fontId="18" fillId="30" borderId="0" applyNumberFormat="0" applyBorder="0" applyAlignment="0" applyProtection="0">
      <alignment vertical="center"/>
    </xf>
    <xf numFmtId="0" fontId="18"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18" fillId="11" borderId="0" applyNumberFormat="0" applyBorder="0" applyAlignment="0" applyProtection="0">
      <alignment vertical="center"/>
    </xf>
    <xf numFmtId="0" fontId="18" fillId="11" borderId="0" applyNumberFormat="0" applyBorder="0" applyAlignment="0" applyProtection="0">
      <alignment vertical="center"/>
    </xf>
    <xf numFmtId="0" fontId="18"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18" fillId="15" borderId="0" applyNumberFormat="0" applyBorder="0" applyAlignment="0" applyProtection="0">
      <alignment vertical="center"/>
    </xf>
    <xf numFmtId="0" fontId="18" fillId="15" borderId="0" applyNumberFormat="0" applyBorder="0" applyAlignment="0" applyProtection="0">
      <alignment vertical="center"/>
    </xf>
    <xf numFmtId="0" fontId="18"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18" fillId="19" borderId="0" applyNumberFormat="0" applyBorder="0" applyAlignment="0" applyProtection="0">
      <alignment vertical="center"/>
    </xf>
    <xf numFmtId="0" fontId="18" fillId="19" borderId="0" applyNumberFormat="0" applyBorder="0" applyAlignment="0" applyProtection="0">
      <alignment vertical="center"/>
    </xf>
    <xf numFmtId="0" fontId="18"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18" fillId="23" borderId="0" applyNumberFormat="0" applyBorder="0" applyAlignment="0" applyProtection="0">
      <alignment vertical="center"/>
    </xf>
    <xf numFmtId="0" fontId="18" fillId="23" borderId="0" applyNumberFormat="0" applyBorder="0" applyAlignment="0" applyProtection="0">
      <alignment vertical="center"/>
    </xf>
    <xf numFmtId="0" fontId="18"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18" fillId="27" borderId="0" applyNumberFormat="0" applyBorder="0" applyAlignment="0" applyProtection="0">
      <alignment vertical="center"/>
    </xf>
    <xf numFmtId="0" fontId="18" fillId="27" borderId="0" applyNumberFormat="0" applyBorder="0" applyAlignment="0" applyProtection="0">
      <alignment vertical="center"/>
    </xf>
    <xf numFmtId="0" fontId="18"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18" fillId="31" borderId="0" applyNumberFormat="0" applyBorder="0" applyAlignment="0" applyProtection="0">
      <alignment vertical="center"/>
    </xf>
    <xf numFmtId="0" fontId="18" fillId="31" borderId="0" applyNumberFormat="0" applyBorder="0" applyAlignment="0" applyProtection="0">
      <alignment vertical="center"/>
    </xf>
    <xf numFmtId="0" fontId="18" fillId="31" borderId="0" applyNumberFormat="0" applyBorder="0" applyAlignment="0" applyProtection="0">
      <alignment vertical="center"/>
    </xf>
    <xf numFmtId="0" fontId="26" fillId="12" borderId="0" applyNumberFormat="0" applyBorder="0" applyAlignment="0" applyProtection="0">
      <alignment vertical="center"/>
    </xf>
    <xf numFmtId="0" fontId="26" fillId="12" borderId="0" applyNumberFormat="0" applyBorder="0" applyAlignment="0" applyProtection="0">
      <alignment vertical="center"/>
    </xf>
    <xf numFmtId="0" fontId="26"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6" fillId="16" borderId="0" applyNumberFormat="0" applyBorder="0" applyAlignment="0" applyProtection="0">
      <alignment vertical="center"/>
    </xf>
    <xf numFmtId="0" fontId="26" fillId="16" borderId="0" applyNumberFormat="0" applyBorder="0" applyAlignment="0" applyProtection="0">
      <alignment vertical="center"/>
    </xf>
    <xf numFmtId="0" fontId="26"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6" fillId="20" borderId="0" applyNumberFormat="0" applyBorder="0" applyAlignment="0" applyProtection="0">
      <alignment vertical="center"/>
    </xf>
    <xf numFmtId="0" fontId="26" fillId="20" borderId="0" applyNumberFormat="0" applyBorder="0" applyAlignment="0" applyProtection="0">
      <alignment vertical="center"/>
    </xf>
    <xf numFmtId="0" fontId="26"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6" fillId="24" borderId="0" applyNumberFormat="0" applyBorder="0" applyAlignment="0" applyProtection="0">
      <alignment vertical="center"/>
    </xf>
    <xf numFmtId="0" fontId="26" fillId="24" borderId="0" applyNumberFormat="0" applyBorder="0" applyAlignment="0" applyProtection="0">
      <alignment vertical="center"/>
    </xf>
    <xf numFmtId="0" fontId="26"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6" fillId="28" borderId="0" applyNumberFormat="0" applyBorder="0" applyAlignment="0" applyProtection="0">
      <alignment vertical="center"/>
    </xf>
    <xf numFmtId="0" fontId="26" fillId="28" borderId="0" applyNumberFormat="0" applyBorder="0" applyAlignment="0" applyProtection="0">
      <alignment vertical="center"/>
    </xf>
    <xf numFmtId="0" fontId="26"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6" fillId="32" borderId="0" applyNumberFormat="0" applyBorder="0" applyAlignment="0" applyProtection="0">
      <alignment vertical="center"/>
    </xf>
    <xf numFmtId="0" fontId="26" fillId="32" borderId="0" applyNumberFormat="0" applyBorder="0" applyAlignment="0" applyProtection="0">
      <alignment vertical="center"/>
    </xf>
    <xf numFmtId="0" fontId="26"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2" fillId="0" borderId="0" applyFill="0" applyBorder="0" applyAlignment="0"/>
    <xf numFmtId="0" fontId="28" fillId="0" borderId="0" applyFont="0" applyFill="0" applyBorder="0" applyAlignment="0" applyProtection="0"/>
    <xf numFmtId="0" fontId="28" fillId="0" borderId="0" applyFont="0" applyFill="0" applyBorder="0" applyAlignment="0" applyProtection="0"/>
    <xf numFmtId="0" fontId="24" fillId="0" borderId="0">
      <alignment vertical="center"/>
    </xf>
    <xf numFmtId="177" fontId="23" fillId="0" borderId="0">
      <alignment vertical="center"/>
    </xf>
    <xf numFmtId="38" fontId="29" fillId="34" borderId="0" applyNumberFormat="0" applyBorder="0" applyAlignment="0" applyProtection="0"/>
    <xf numFmtId="0" fontId="30" fillId="0" borderId="11" applyNumberFormat="0" applyAlignment="0" applyProtection="0">
      <alignment horizontal="left" vertical="center"/>
    </xf>
    <xf numFmtId="0" fontId="30" fillId="0" borderId="12">
      <alignment horizontal="left" vertical="center"/>
    </xf>
    <xf numFmtId="0" fontId="31" fillId="0" borderId="0">
      <alignment horizontal="center" vertical="center"/>
    </xf>
    <xf numFmtId="0" fontId="31" fillId="0" borderId="0">
      <alignment horizontal="center" vertical="center" textRotation="90"/>
    </xf>
    <xf numFmtId="10" fontId="29" fillId="35" borderId="13" applyNumberFormat="0" applyBorder="0" applyAlignment="0" applyProtection="0"/>
    <xf numFmtId="10" fontId="29" fillId="35" borderId="13" applyNumberFormat="0" applyBorder="0" applyAlignment="0" applyProtection="0"/>
    <xf numFmtId="37" fontId="32" fillId="0" borderId="0"/>
    <xf numFmtId="178" fontId="22" fillId="0" borderId="0"/>
    <xf numFmtId="0" fontId="28" fillId="0" borderId="0"/>
    <xf numFmtId="10" fontId="28" fillId="0" borderId="0" applyFont="0" applyFill="0" applyBorder="0" applyAlignment="0" applyProtection="0"/>
    <xf numFmtId="0" fontId="33" fillId="0" borderId="0">
      <alignment vertical="center"/>
    </xf>
    <xf numFmtId="179" fontId="33" fillId="0" borderId="0">
      <alignment vertical="center"/>
    </xf>
    <xf numFmtId="0" fontId="26" fillId="9" borderId="0" applyNumberFormat="0" applyBorder="0" applyAlignment="0" applyProtection="0">
      <alignment vertical="center"/>
    </xf>
    <xf numFmtId="0" fontId="26" fillId="9" borderId="0" applyNumberFormat="0" applyBorder="0" applyAlignment="0" applyProtection="0">
      <alignment vertical="center"/>
    </xf>
    <xf numFmtId="0" fontId="26"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6" fillId="13" borderId="0" applyNumberFormat="0" applyBorder="0" applyAlignment="0" applyProtection="0">
      <alignment vertical="center"/>
    </xf>
    <xf numFmtId="0" fontId="26" fillId="13" borderId="0" applyNumberFormat="0" applyBorder="0" applyAlignment="0" applyProtection="0">
      <alignment vertical="center"/>
    </xf>
    <xf numFmtId="0" fontId="26"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6" fillId="17" borderId="0" applyNumberFormat="0" applyBorder="0" applyAlignment="0" applyProtection="0">
      <alignment vertical="center"/>
    </xf>
    <xf numFmtId="0" fontId="26" fillId="17" borderId="0" applyNumberFormat="0" applyBorder="0" applyAlignment="0" applyProtection="0">
      <alignment vertical="center"/>
    </xf>
    <xf numFmtId="0" fontId="26"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6" fillId="21" borderId="0" applyNumberFormat="0" applyBorder="0" applyAlignment="0" applyProtection="0">
      <alignment vertical="center"/>
    </xf>
    <xf numFmtId="0" fontId="26" fillId="21" borderId="0" applyNumberFormat="0" applyBorder="0" applyAlignment="0" applyProtection="0">
      <alignment vertical="center"/>
    </xf>
    <xf numFmtId="0" fontId="26"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6" fillId="25" borderId="0" applyNumberFormat="0" applyBorder="0" applyAlignment="0" applyProtection="0">
      <alignment vertical="center"/>
    </xf>
    <xf numFmtId="0" fontId="26" fillId="25" borderId="0" applyNumberFormat="0" applyBorder="0" applyAlignment="0" applyProtection="0">
      <alignment vertical="center"/>
    </xf>
    <xf numFmtId="0" fontId="26"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6" fillId="29" borderId="0" applyNumberFormat="0" applyBorder="0" applyAlignment="0" applyProtection="0">
      <alignment vertical="center"/>
    </xf>
    <xf numFmtId="0" fontId="26" fillId="29" borderId="0" applyNumberFormat="0" applyBorder="0" applyAlignment="0" applyProtection="0">
      <alignment vertical="center"/>
    </xf>
    <xf numFmtId="0" fontId="26"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3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6" borderId="4" applyNumberFormat="0" applyAlignment="0" applyProtection="0">
      <alignment vertical="center"/>
    </xf>
    <xf numFmtId="0" fontId="36" fillId="6" borderId="4" applyNumberFormat="0" applyAlignment="0" applyProtection="0">
      <alignment vertical="center"/>
    </xf>
    <xf numFmtId="0" fontId="36" fillId="6" borderId="4" applyNumberFormat="0" applyAlignment="0" applyProtection="0">
      <alignment vertical="center"/>
    </xf>
    <xf numFmtId="0" fontId="37" fillId="6" borderId="4" applyNumberFormat="0" applyAlignment="0" applyProtection="0">
      <alignment vertical="center"/>
    </xf>
    <xf numFmtId="0" fontId="37" fillId="6" borderId="4" applyNumberFormat="0" applyAlignment="0" applyProtection="0">
      <alignment vertical="center"/>
    </xf>
    <xf numFmtId="0" fontId="37" fillId="6" borderId="4" applyNumberFormat="0" applyAlignment="0" applyProtection="0">
      <alignment vertical="center"/>
    </xf>
    <xf numFmtId="2" fontId="38" fillId="0" borderId="0" applyFon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41" fillId="3" borderId="0" applyNumberFormat="0" applyBorder="0" applyAlignment="0" applyProtection="0">
      <alignment vertical="center"/>
    </xf>
    <xf numFmtId="0" fontId="41" fillId="3" borderId="0" applyNumberFormat="0" applyBorder="0" applyAlignment="0" applyProtection="0">
      <alignment vertical="center"/>
    </xf>
    <xf numFmtId="0" fontId="41" fillId="3" borderId="0" applyNumberFormat="0" applyBorder="0" applyAlignment="0" applyProtection="0">
      <alignment vertical="center"/>
    </xf>
    <xf numFmtId="0" fontId="42" fillId="3" borderId="0" applyNumberFormat="0" applyBorder="0" applyAlignment="0" applyProtection="0">
      <alignment vertical="center"/>
    </xf>
    <xf numFmtId="0" fontId="42" fillId="3" borderId="0" applyNumberFormat="0" applyBorder="0" applyAlignment="0" applyProtection="0">
      <alignment vertical="center"/>
    </xf>
    <xf numFmtId="0" fontId="42" fillId="3" borderId="0" applyNumberFormat="0" applyBorder="0" applyAlignment="0" applyProtection="0">
      <alignment vertical="center"/>
    </xf>
    <xf numFmtId="0" fontId="38" fillId="0" borderId="0" applyFont="0" applyFill="0" applyBorder="0" applyAlignment="0" applyProtection="0"/>
    <xf numFmtId="0" fontId="38" fillId="0" borderId="0" applyFont="0" applyFill="0" applyBorder="0" applyAlignment="0" applyProtection="0"/>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18" fillId="8" borderId="8" applyNumberFormat="0" applyFont="0" applyAlignment="0" applyProtection="0">
      <alignment vertical="center"/>
    </xf>
    <xf numFmtId="0" fontId="18" fillId="8" borderId="8" applyNumberFormat="0" applyFont="0" applyAlignment="0" applyProtection="0">
      <alignment vertical="center"/>
    </xf>
    <xf numFmtId="0" fontId="18" fillId="8" borderId="8" applyNumberFormat="0" applyFont="0" applyAlignment="0" applyProtection="0">
      <alignment vertical="center"/>
    </xf>
    <xf numFmtId="9" fontId="22"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44" fillId="0" borderId="0" applyFont="0" applyFill="0" applyBorder="0" applyAlignment="0" applyProtection="0">
      <alignment vertical="center"/>
    </xf>
    <xf numFmtId="9" fontId="44" fillId="0" borderId="0" applyFont="0" applyFill="0" applyBorder="0" applyAlignment="0" applyProtection="0">
      <alignment vertical="center"/>
    </xf>
    <xf numFmtId="9" fontId="18" fillId="0" borderId="0" applyFont="0" applyFill="0" applyBorder="0" applyAlignment="0" applyProtection="0">
      <alignment vertical="center"/>
    </xf>
    <xf numFmtId="9" fontId="43" fillId="0" borderId="0" applyFont="0" applyFill="0" applyBorder="0" applyAlignment="0" applyProtection="0">
      <alignment vertical="center"/>
    </xf>
    <xf numFmtId="9" fontId="18" fillId="0" borderId="0" applyFont="0" applyFill="0" applyBorder="0" applyAlignment="0" applyProtection="0">
      <alignment vertical="center"/>
    </xf>
    <xf numFmtId="9" fontId="43" fillId="0" borderId="0" applyFont="0" applyFill="0" applyBorder="0" applyAlignment="0" applyProtection="0">
      <alignment vertical="center"/>
    </xf>
    <xf numFmtId="9" fontId="45" fillId="0" borderId="0" applyFont="0" applyFill="0" applyBorder="0" applyAlignment="0" applyProtection="0">
      <alignment vertical="center"/>
    </xf>
    <xf numFmtId="9" fontId="46" fillId="0" borderId="0" applyFont="0" applyFill="0" applyBorder="0" applyAlignment="0" applyProtection="0">
      <alignment vertical="center"/>
    </xf>
    <xf numFmtId="0" fontId="47" fillId="4" borderId="0" applyNumberFormat="0" applyBorder="0" applyAlignment="0" applyProtection="0">
      <alignment vertical="center"/>
    </xf>
    <xf numFmtId="0" fontId="47" fillId="4" borderId="0" applyNumberFormat="0" applyBorder="0" applyAlignment="0" applyProtection="0">
      <alignment vertical="center"/>
    </xf>
    <xf numFmtId="0" fontId="47" fillId="4" borderId="0" applyNumberFormat="0" applyBorder="0" applyAlignment="0" applyProtection="0">
      <alignment vertical="center"/>
    </xf>
    <xf numFmtId="0" fontId="48" fillId="4" borderId="0" applyNumberFormat="0" applyBorder="0" applyAlignment="0" applyProtection="0">
      <alignment vertical="center"/>
    </xf>
    <xf numFmtId="0" fontId="48" fillId="4" borderId="0" applyNumberFormat="0" applyBorder="0" applyAlignment="0" applyProtection="0">
      <alignment vertical="center"/>
    </xf>
    <xf numFmtId="0" fontId="48" fillId="4" borderId="0" applyNumberFormat="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7" borderId="7" applyNumberFormat="0" applyAlignment="0" applyProtection="0">
      <alignment vertical="center"/>
    </xf>
    <xf numFmtId="0" fontId="51" fillId="7" borderId="7" applyNumberFormat="0" applyAlignment="0" applyProtection="0">
      <alignment vertical="center"/>
    </xf>
    <xf numFmtId="0" fontId="51" fillId="7" borderId="7" applyNumberFormat="0" applyAlignment="0" applyProtection="0">
      <alignment vertical="center"/>
    </xf>
    <xf numFmtId="0" fontId="52" fillId="7" borderId="7" applyNumberFormat="0" applyAlignment="0" applyProtection="0">
      <alignment vertical="center"/>
    </xf>
    <xf numFmtId="0" fontId="52" fillId="7" borderId="7" applyNumberFormat="0" applyAlignment="0" applyProtection="0">
      <alignment vertical="center"/>
    </xf>
    <xf numFmtId="0" fontId="52" fillId="7" borderId="7" applyNumberFormat="0" applyAlignment="0" applyProtection="0">
      <alignment vertical="center"/>
    </xf>
    <xf numFmtId="41" fontId="18" fillId="0" borderId="0" applyFont="0" applyFill="0" applyBorder="0" applyAlignment="0" applyProtection="0">
      <alignment vertical="center"/>
    </xf>
    <xf numFmtId="41" fontId="43"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44" fillId="0" borderId="0" applyFont="0" applyFill="0" applyBorder="0" applyAlignment="0" applyProtection="0">
      <alignment vertical="center"/>
    </xf>
    <xf numFmtId="41" fontId="22" fillId="0" borderId="0" applyFont="0" applyFill="0" applyBorder="0" applyAlignment="0" applyProtection="0">
      <alignment vertical="center"/>
    </xf>
    <xf numFmtId="41" fontId="18" fillId="0" borderId="0" applyFont="0" applyFill="0" applyBorder="0" applyAlignment="0" applyProtection="0">
      <alignment vertical="center"/>
    </xf>
    <xf numFmtId="41" fontId="43" fillId="0" borderId="0" applyFont="0" applyFill="0" applyBorder="0" applyAlignment="0" applyProtection="0">
      <alignment vertical="center"/>
    </xf>
    <xf numFmtId="41" fontId="18" fillId="0" borderId="0" applyFont="0" applyFill="0" applyBorder="0" applyAlignment="0" applyProtection="0">
      <alignment vertical="center"/>
    </xf>
    <xf numFmtId="41" fontId="43" fillId="0" borderId="0" applyFont="0" applyFill="0" applyBorder="0" applyAlignment="0" applyProtection="0">
      <alignment vertical="center"/>
    </xf>
    <xf numFmtId="41" fontId="45" fillId="0" borderId="0" applyFont="0" applyFill="0" applyBorder="0" applyAlignment="0" applyProtection="0">
      <alignment vertical="center"/>
    </xf>
    <xf numFmtId="41" fontId="46" fillId="0" borderId="0" applyFont="0" applyFill="0" applyBorder="0" applyAlignment="0" applyProtection="0">
      <alignment vertical="center"/>
    </xf>
    <xf numFmtId="41" fontId="18" fillId="0" borderId="0" applyFont="0" applyFill="0" applyBorder="0" applyAlignment="0" applyProtection="0">
      <alignment vertical="center"/>
    </xf>
    <xf numFmtId="41" fontId="43" fillId="0" borderId="0" applyFont="0" applyFill="0" applyBorder="0" applyAlignment="0" applyProtection="0">
      <alignment vertical="center"/>
    </xf>
    <xf numFmtId="0" fontId="53" fillId="0" borderId="0"/>
    <xf numFmtId="0" fontId="54" fillId="0" borderId="14"/>
    <xf numFmtId="0" fontId="55" fillId="0" borderId="6" applyNumberFormat="0" applyFill="0" applyAlignment="0" applyProtection="0">
      <alignment vertical="center"/>
    </xf>
    <xf numFmtId="0" fontId="55" fillId="0" borderId="6" applyNumberFormat="0" applyFill="0" applyAlignment="0" applyProtection="0">
      <alignment vertical="center"/>
    </xf>
    <xf numFmtId="0" fontId="55" fillId="0" borderId="6" applyNumberFormat="0" applyFill="0" applyAlignment="0" applyProtection="0">
      <alignment vertical="center"/>
    </xf>
    <xf numFmtId="0" fontId="56" fillId="0" borderId="6" applyNumberFormat="0" applyFill="0" applyAlignment="0" applyProtection="0">
      <alignment vertical="center"/>
    </xf>
    <xf numFmtId="0" fontId="56" fillId="0" borderId="6" applyNumberFormat="0" applyFill="0" applyAlignment="0" applyProtection="0">
      <alignment vertical="center"/>
    </xf>
    <xf numFmtId="0" fontId="56" fillId="0" borderId="6" applyNumberFormat="0" applyFill="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8" fillId="0" borderId="9" applyNumberFormat="0" applyFill="0" applyAlignment="0" applyProtection="0">
      <alignment vertical="center"/>
    </xf>
    <xf numFmtId="0" fontId="58" fillId="0" borderId="9" applyNumberFormat="0" applyFill="0" applyAlignment="0" applyProtection="0">
      <alignment vertical="center"/>
    </xf>
    <xf numFmtId="0" fontId="58"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59" fillId="0" borderId="9" applyNumberFormat="0" applyFill="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4" fontId="38" fillId="0" borderId="0" applyFont="0" applyFill="0" applyBorder="0" applyAlignment="0" applyProtection="0"/>
    <xf numFmtId="3" fontId="38" fillId="0" borderId="0" applyFont="0" applyFill="0" applyBorder="0" applyAlignment="0" applyProtection="0"/>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4" fillId="0" borderId="0" applyNumberFormat="0" applyFill="0" applyBorder="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6" fillId="0" borderId="2" applyNumberFormat="0" applyFill="0" applyAlignment="0" applyProtection="0">
      <alignment vertical="center"/>
    </xf>
    <xf numFmtId="0" fontId="66" fillId="0" borderId="2" applyNumberFormat="0" applyFill="0" applyAlignment="0" applyProtection="0">
      <alignment vertical="center"/>
    </xf>
    <xf numFmtId="0" fontId="66" fillId="0" borderId="2" applyNumberFormat="0" applyFill="0" applyAlignment="0" applyProtection="0">
      <alignment vertical="center"/>
    </xf>
    <xf numFmtId="0" fontId="67" fillId="0" borderId="3" applyNumberFormat="0" applyFill="0" applyAlignment="0" applyProtection="0">
      <alignment vertical="center"/>
    </xf>
    <xf numFmtId="0" fontId="67" fillId="0" borderId="3" applyNumberFormat="0" applyFill="0" applyAlignment="0" applyProtection="0">
      <alignment vertical="center"/>
    </xf>
    <xf numFmtId="0" fontId="67" fillId="0" borderId="3" applyNumberFormat="0" applyFill="0" applyAlignment="0" applyProtection="0">
      <alignment vertical="center"/>
    </xf>
    <xf numFmtId="0" fontId="68" fillId="0" borderId="3" applyNumberFormat="0" applyFill="0" applyAlignment="0" applyProtection="0">
      <alignment vertical="center"/>
    </xf>
    <xf numFmtId="0" fontId="68" fillId="0" borderId="3" applyNumberFormat="0" applyFill="0" applyAlignment="0" applyProtection="0">
      <alignment vertical="center"/>
    </xf>
    <xf numFmtId="0" fontId="68" fillId="0" borderId="3" applyNumberFormat="0" applyFill="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9" fillId="2" borderId="0" applyNumberFormat="0" applyBorder="0" applyAlignment="0" applyProtection="0">
      <alignment vertical="center"/>
    </xf>
    <xf numFmtId="0" fontId="69" fillId="2" borderId="0" applyNumberFormat="0" applyBorder="0" applyAlignment="0" applyProtection="0">
      <alignment vertical="center"/>
    </xf>
    <xf numFmtId="0" fontId="69" fillId="2" borderId="0" applyNumberFormat="0" applyBorder="0" applyAlignment="0" applyProtection="0">
      <alignment vertical="center"/>
    </xf>
    <xf numFmtId="0" fontId="70" fillId="2" borderId="0" applyNumberFormat="0" applyBorder="0" applyAlignment="0" applyProtection="0">
      <alignment vertical="center"/>
    </xf>
    <xf numFmtId="0" fontId="70" fillId="2" borderId="0" applyNumberFormat="0" applyBorder="0" applyAlignment="0" applyProtection="0">
      <alignment vertical="center"/>
    </xf>
    <xf numFmtId="0" fontId="70" fillId="2" borderId="0" applyNumberFormat="0" applyBorder="0" applyAlignment="0" applyProtection="0">
      <alignment vertical="center"/>
    </xf>
    <xf numFmtId="0" fontId="71" fillId="6" borderId="5" applyNumberFormat="0" applyAlignment="0" applyProtection="0">
      <alignment vertical="center"/>
    </xf>
    <xf numFmtId="0" fontId="71" fillId="6" borderId="5" applyNumberFormat="0" applyAlignment="0" applyProtection="0">
      <alignment vertical="center"/>
    </xf>
    <xf numFmtId="0" fontId="71" fillId="6" borderId="5" applyNumberFormat="0" applyAlignment="0" applyProtection="0">
      <alignment vertical="center"/>
    </xf>
    <xf numFmtId="0" fontId="72" fillId="6" borderId="5" applyNumberFormat="0" applyAlignment="0" applyProtection="0">
      <alignment vertical="center"/>
    </xf>
    <xf numFmtId="0" fontId="72" fillId="6" borderId="5" applyNumberFormat="0" applyAlignment="0" applyProtection="0">
      <alignment vertical="center"/>
    </xf>
    <xf numFmtId="0" fontId="72" fillId="6" borderId="5" applyNumberFormat="0" applyAlignment="0" applyProtection="0">
      <alignment vertical="center"/>
    </xf>
    <xf numFmtId="42" fontId="21" fillId="0" borderId="0" applyFont="0" applyFill="0" applyBorder="0" applyAlignment="0" applyProtection="0">
      <alignment vertical="center"/>
    </xf>
    <xf numFmtId="10" fontId="38" fillId="0" borderId="0" applyFont="0" applyFill="0" applyBorder="0" applyAlignment="0" applyProtection="0"/>
    <xf numFmtId="0" fontId="22" fillId="0" borderId="0">
      <alignment vertical="center"/>
    </xf>
    <xf numFmtId="0" fontId="18" fillId="0" borderId="0">
      <alignment vertical="center"/>
    </xf>
    <xf numFmtId="0" fontId="21" fillId="0" borderId="0">
      <alignment vertical="center"/>
    </xf>
    <xf numFmtId="0" fontId="18" fillId="0" borderId="0">
      <alignment vertical="center"/>
    </xf>
    <xf numFmtId="0" fontId="18" fillId="0" borderId="0">
      <alignment vertical="center"/>
    </xf>
    <xf numFmtId="0" fontId="45" fillId="0" borderId="0">
      <alignment vertical="center"/>
    </xf>
    <xf numFmtId="0" fontId="18" fillId="0" borderId="0">
      <alignment vertical="center"/>
    </xf>
    <xf numFmtId="0" fontId="18" fillId="0" borderId="0">
      <alignment vertical="center"/>
    </xf>
    <xf numFmtId="0" fontId="18" fillId="0" borderId="0">
      <alignment vertical="center"/>
    </xf>
    <xf numFmtId="0" fontId="43" fillId="0" borderId="0">
      <alignment vertical="center"/>
    </xf>
    <xf numFmtId="0" fontId="43" fillId="0" borderId="0">
      <alignment vertical="center"/>
    </xf>
    <xf numFmtId="177" fontId="74" fillId="0" borderId="0">
      <alignment vertical="center"/>
    </xf>
    <xf numFmtId="0" fontId="18" fillId="0" borderId="0">
      <alignment vertical="center"/>
    </xf>
    <xf numFmtId="0" fontId="22" fillId="0" borderId="0">
      <alignment vertical="center"/>
    </xf>
    <xf numFmtId="0" fontId="18" fillId="0" borderId="0">
      <alignment vertical="center"/>
    </xf>
    <xf numFmtId="0" fontId="25" fillId="0" borderId="0">
      <alignment vertical="center"/>
    </xf>
    <xf numFmtId="0" fontId="44" fillId="0" borderId="0">
      <alignment vertical="center"/>
    </xf>
    <xf numFmtId="0" fontId="44" fillId="0" borderId="0">
      <alignment vertical="center"/>
    </xf>
    <xf numFmtId="0" fontId="18" fillId="0" borderId="0">
      <alignment vertical="center"/>
    </xf>
    <xf numFmtId="0" fontId="25" fillId="0" borderId="0">
      <alignment vertical="center"/>
    </xf>
    <xf numFmtId="0" fontId="43" fillId="0" borderId="0">
      <alignment vertical="center"/>
    </xf>
    <xf numFmtId="0" fontId="24" fillId="0" borderId="0">
      <alignment vertical="center"/>
    </xf>
    <xf numFmtId="0" fontId="43"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5" fillId="0" borderId="0">
      <alignment vertical="center"/>
    </xf>
    <xf numFmtId="0" fontId="18" fillId="0" borderId="0">
      <alignment vertical="center"/>
    </xf>
    <xf numFmtId="0" fontId="25" fillId="0" borderId="0">
      <alignment vertical="center"/>
    </xf>
    <xf numFmtId="0" fontId="18" fillId="0" borderId="0">
      <alignment vertical="center"/>
    </xf>
    <xf numFmtId="0" fontId="25" fillId="0" borderId="0">
      <alignment vertical="center"/>
    </xf>
    <xf numFmtId="0" fontId="24" fillId="0" borderId="0">
      <alignment vertical="center"/>
    </xf>
    <xf numFmtId="0" fontId="18" fillId="0" borderId="0">
      <alignment vertical="center"/>
    </xf>
    <xf numFmtId="0" fontId="21" fillId="0" borderId="0">
      <alignment vertical="center"/>
    </xf>
    <xf numFmtId="0" fontId="75" fillId="0" borderId="0">
      <alignment vertical="center"/>
    </xf>
    <xf numFmtId="0" fontId="18" fillId="0" borderId="0">
      <alignment vertical="center"/>
    </xf>
    <xf numFmtId="0" fontId="21" fillId="0" borderId="0">
      <alignment vertical="center"/>
    </xf>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8" fillId="0" borderId="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38" fillId="0" borderId="15" applyNumberFormat="0" applyFont="0" applyFill="0" applyAlignment="0" applyProtection="0"/>
    <xf numFmtId="182" fontId="22" fillId="0" borderId="0" applyFont="0" applyFill="0" applyBorder="0" applyAlignment="0" applyProtection="0"/>
    <xf numFmtId="183" fontId="38" fillId="0" borderId="0" applyFont="0" applyFill="0" applyBorder="0" applyAlignment="0" applyProtection="0"/>
    <xf numFmtId="9" fontId="18" fillId="0" borderId="0" applyFont="0" applyFill="0" applyBorder="0" applyAlignment="0" applyProtection="0">
      <alignment vertical="center"/>
    </xf>
    <xf numFmtId="0" fontId="22" fillId="0" borderId="0">
      <alignment vertical="center"/>
    </xf>
    <xf numFmtId="0" fontId="22" fillId="0" borderId="0"/>
    <xf numFmtId="41" fontId="22" fillId="0" borderId="0" applyFont="0" applyFill="0" applyBorder="0" applyAlignment="0" applyProtection="0"/>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41" fontId="17" fillId="0" borderId="0" applyFont="0" applyFill="0" applyBorder="0" applyAlignment="0" applyProtection="0">
      <alignment vertical="center"/>
    </xf>
    <xf numFmtId="0" fontId="16" fillId="0" borderId="0">
      <alignment vertical="center"/>
    </xf>
    <xf numFmtId="0" fontId="15" fillId="0" borderId="0">
      <alignment vertical="center"/>
    </xf>
    <xf numFmtId="0" fontId="18" fillId="0" borderId="0">
      <alignment vertical="center"/>
    </xf>
    <xf numFmtId="41"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41" fontId="15" fillId="0" borderId="0" applyFont="0" applyFill="0" applyBorder="0" applyAlignment="0" applyProtection="0">
      <alignment vertical="center"/>
    </xf>
    <xf numFmtId="0" fontId="15" fillId="0" borderId="0">
      <alignment vertical="center"/>
    </xf>
    <xf numFmtId="0" fontId="14" fillId="0" borderId="0">
      <alignment vertical="center"/>
    </xf>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43" fillId="0" borderId="0">
      <alignment vertical="center"/>
    </xf>
    <xf numFmtId="0" fontId="43"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3" fillId="42"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79"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79"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79"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79"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79"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43" fillId="37" borderId="0" applyNumberFormat="0" applyBorder="0" applyAlignment="0" applyProtection="0">
      <alignment vertical="center"/>
    </xf>
    <xf numFmtId="0" fontId="44"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4" fillId="37" borderId="0" applyNumberFormat="0" applyBorder="0" applyAlignment="0" applyProtection="0">
      <alignment vertical="center"/>
    </xf>
    <xf numFmtId="0" fontId="44"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4" fillId="37" borderId="0" applyNumberFormat="0" applyBorder="0" applyAlignment="0" applyProtection="0">
      <alignment vertical="center"/>
    </xf>
    <xf numFmtId="0" fontId="25" fillId="10"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25" fillId="10" borderId="0" applyNumberFormat="0" applyBorder="0" applyAlignment="0" applyProtection="0">
      <alignment vertical="center"/>
    </xf>
    <xf numFmtId="0" fontId="43" fillId="37" borderId="0" applyNumberFormat="0" applyBorder="0" applyAlignment="0" applyProtection="0">
      <alignment vertical="center"/>
    </xf>
    <xf numFmtId="0" fontId="25" fillId="10" borderId="0" applyNumberFormat="0" applyBorder="0" applyAlignment="0" applyProtection="0">
      <alignment vertical="center"/>
    </xf>
    <xf numFmtId="0" fontId="43" fillId="37" borderId="0" applyNumberFormat="0" applyBorder="0" applyAlignment="0" applyProtection="0">
      <alignment vertical="center"/>
    </xf>
    <xf numFmtId="0" fontId="18" fillId="10" borderId="0" applyNumberFormat="0" applyBorder="0" applyAlignment="0" applyProtection="0">
      <alignment vertical="center"/>
    </xf>
    <xf numFmtId="0" fontId="43" fillId="37" borderId="0" applyNumberFormat="0" applyBorder="0" applyAlignment="0" applyProtection="0">
      <alignment vertical="center"/>
    </xf>
    <xf numFmtId="0" fontId="18" fillId="10" borderId="0" applyNumberFormat="0" applyBorder="0" applyAlignment="0" applyProtection="0">
      <alignment vertical="center"/>
    </xf>
    <xf numFmtId="0" fontId="43" fillId="37" borderId="0" applyNumberFormat="0" applyBorder="0" applyAlignment="0" applyProtection="0">
      <alignment vertical="center"/>
    </xf>
    <xf numFmtId="0" fontId="43" fillId="38" borderId="0" applyNumberFormat="0" applyBorder="0" applyAlignment="0" applyProtection="0">
      <alignment vertical="center"/>
    </xf>
    <xf numFmtId="0" fontId="44"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4" fillId="38" borderId="0" applyNumberFormat="0" applyBorder="0" applyAlignment="0" applyProtection="0">
      <alignment vertical="center"/>
    </xf>
    <xf numFmtId="0" fontId="44"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4" fillId="38" borderId="0" applyNumberFormat="0" applyBorder="0" applyAlignment="0" applyProtection="0">
      <alignment vertical="center"/>
    </xf>
    <xf numFmtId="0" fontId="25" fillId="14"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25" fillId="14" borderId="0" applyNumberFormat="0" applyBorder="0" applyAlignment="0" applyProtection="0">
      <alignment vertical="center"/>
    </xf>
    <xf numFmtId="0" fontId="43" fillId="38" borderId="0" applyNumberFormat="0" applyBorder="0" applyAlignment="0" applyProtection="0">
      <alignment vertical="center"/>
    </xf>
    <xf numFmtId="0" fontId="25" fillId="14" borderId="0" applyNumberFormat="0" applyBorder="0" applyAlignment="0" applyProtection="0">
      <alignment vertical="center"/>
    </xf>
    <xf numFmtId="0" fontId="43" fillId="38" borderId="0" applyNumberFormat="0" applyBorder="0" applyAlignment="0" applyProtection="0">
      <alignment vertical="center"/>
    </xf>
    <xf numFmtId="0" fontId="18" fillId="14" borderId="0" applyNumberFormat="0" applyBorder="0" applyAlignment="0" applyProtection="0">
      <alignment vertical="center"/>
    </xf>
    <xf numFmtId="0" fontId="43" fillId="38" borderId="0" applyNumberFormat="0" applyBorder="0" applyAlignment="0" applyProtection="0">
      <alignment vertical="center"/>
    </xf>
    <xf numFmtId="0" fontId="18" fillId="14"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4"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4" fillId="39" borderId="0" applyNumberFormat="0" applyBorder="0" applyAlignment="0" applyProtection="0">
      <alignment vertical="center"/>
    </xf>
    <xf numFmtId="0" fontId="44"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4" fillId="39" borderId="0" applyNumberFormat="0" applyBorder="0" applyAlignment="0" applyProtection="0">
      <alignment vertical="center"/>
    </xf>
    <xf numFmtId="0" fontId="25" fillId="18"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25" fillId="18" borderId="0" applyNumberFormat="0" applyBorder="0" applyAlignment="0" applyProtection="0">
      <alignment vertical="center"/>
    </xf>
    <xf numFmtId="0" fontId="43" fillId="39" borderId="0" applyNumberFormat="0" applyBorder="0" applyAlignment="0" applyProtection="0">
      <alignment vertical="center"/>
    </xf>
    <xf numFmtId="0" fontId="25" fillId="18" borderId="0" applyNumberFormat="0" applyBorder="0" applyAlignment="0" applyProtection="0">
      <alignment vertical="center"/>
    </xf>
    <xf numFmtId="0" fontId="43" fillId="39" borderId="0" applyNumberFormat="0" applyBorder="0" applyAlignment="0" applyProtection="0">
      <alignment vertical="center"/>
    </xf>
    <xf numFmtId="0" fontId="18" fillId="18" borderId="0" applyNumberFormat="0" applyBorder="0" applyAlignment="0" applyProtection="0">
      <alignment vertical="center"/>
    </xf>
    <xf numFmtId="0" fontId="43" fillId="39" borderId="0" applyNumberFormat="0" applyBorder="0" applyAlignment="0" applyProtection="0">
      <alignment vertical="center"/>
    </xf>
    <xf numFmtId="0" fontId="18" fillId="18" borderId="0" applyNumberFormat="0" applyBorder="0" applyAlignment="0" applyProtection="0">
      <alignment vertical="center"/>
    </xf>
    <xf numFmtId="0" fontId="43" fillId="39" borderId="0" applyNumberFormat="0" applyBorder="0" applyAlignment="0" applyProtection="0">
      <alignment vertical="center"/>
    </xf>
    <xf numFmtId="0" fontId="43" fillId="40" borderId="0" applyNumberFormat="0" applyBorder="0" applyAlignment="0" applyProtection="0">
      <alignment vertical="center"/>
    </xf>
    <xf numFmtId="0" fontId="44"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4" fillId="40" borderId="0" applyNumberFormat="0" applyBorder="0" applyAlignment="0" applyProtection="0">
      <alignment vertical="center"/>
    </xf>
    <xf numFmtId="0" fontId="44"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4" fillId="40" borderId="0" applyNumberFormat="0" applyBorder="0" applyAlignment="0" applyProtection="0">
      <alignment vertical="center"/>
    </xf>
    <xf numFmtId="0" fontId="25" fillId="22"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25" fillId="22" borderId="0" applyNumberFormat="0" applyBorder="0" applyAlignment="0" applyProtection="0">
      <alignment vertical="center"/>
    </xf>
    <xf numFmtId="0" fontId="43" fillId="40" borderId="0" applyNumberFormat="0" applyBorder="0" applyAlignment="0" applyProtection="0">
      <alignment vertical="center"/>
    </xf>
    <xf numFmtId="0" fontId="25" fillId="22" borderId="0" applyNumberFormat="0" applyBorder="0" applyAlignment="0" applyProtection="0">
      <alignment vertical="center"/>
    </xf>
    <xf numFmtId="0" fontId="43" fillId="40" borderId="0" applyNumberFormat="0" applyBorder="0" applyAlignment="0" applyProtection="0">
      <alignment vertical="center"/>
    </xf>
    <xf numFmtId="0" fontId="18" fillId="22" borderId="0" applyNumberFormat="0" applyBorder="0" applyAlignment="0" applyProtection="0">
      <alignment vertical="center"/>
    </xf>
    <xf numFmtId="0" fontId="43" fillId="40" borderId="0" applyNumberFormat="0" applyBorder="0" applyAlignment="0" applyProtection="0">
      <alignment vertical="center"/>
    </xf>
    <xf numFmtId="0" fontId="18" fillId="22"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4" fillId="41" borderId="0" applyNumberFormat="0" applyBorder="0" applyAlignment="0" applyProtection="0">
      <alignment vertical="center"/>
    </xf>
    <xf numFmtId="0" fontId="44"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4" fillId="41" borderId="0" applyNumberFormat="0" applyBorder="0" applyAlignment="0" applyProtection="0">
      <alignment vertical="center"/>
    </xf>
    <xf numFmtId="0" fontId="25" fillId="26"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25" fillId="26" borderId="0" applyNumberFormat="0" applyBorder="0" applyAlignment="0" applyProtection="0">
      <alignment vertical="center"/>
    </xf>
    <xf numFmtId="0" fontId="43" fillId="41" borderId="0" applyNumberFormat="0" applyBorder="0" applyAlignment="0" applyProtection="0">
      <alignment vertical="center"/>
    </xf>
    <xf numFmtId="0" fontId="25" fillId="26" borderId="0" applyNumberFormat="0" applyBorder="0" applyAlignment="0" applyProtection="0">
      <alignment vertical="center"/>
    </xf>
    <xf numFmtId="0" fontId="43" fillId="41" borderId="0" applyNumberFormat="0" applyBorder="0" applyAlignment="0" applyProtection="0">
      <alignment vertical="center"/>
    </xf>
    <xf numFmtId="0" fontId="18" fillId="26" borderId="0" applyNumberFormat="0" applyBorder="0" applyAlignment="0" applyProtection="0">
      <alignment vertical="center"/>
    </xf>
    <xf numFmtId="0" fontId="43" fillId="41" borderId="0" applyNumberFormat="0" applyBorder="0" applyAlignment="0" applyProtection="0">
      <alignment vertical="center"/>
    </xf>
    <xf numFmtId="0" fontId="18" fillId="26" borderId="0" applyNumberFormat="0" applyBorder="0" applyAlignment="0" applyProtection="0">
      <alignment vertical="center"/>
    </xf>
    <xf numFmtId="0" fontId="43" fillId="41" borderId="0" applyNumberFormat="0" applyBorder="0" applyAlignment="0" applyProtection="0">
      <alignment vertical="center"/>
    </xf>
    <xf numFmtId="0" fontId="43" fillId="42" borderId="0" applyNumberFormat="0" applyBorder="0" applyAlignment="0" applyProtection="0">
      <alignment vertical="center"/>
    </xf>
    <xf numFmtId="0" fontId="44"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4" fillId="42" borderId="0" applyNumberFormat="0" applyBorder="0" applyAlignment="0" applyProtection="0">
      <alignment vertical="center"/>
    </xf>
    <xf numFmtId="0" fontId="44"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4" fillId="42" borderId="0" applyNumberFormat="0" applyBorder="0" applyAlignment="0" applyProtection="0">
      <alignment vertical="center"/>
    </xf>
    <xf numFmtId="0" fontId="25" fillId="30"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25" fillId="30" borderId="0" applyNumberFormat="0" applyBorder="0" applyAlignment="0" applyProtection="0">
      <alignment vertical="center"/>
    </xf>
    <xf numFmtId="0" fontId="43" fillId="42" borderId="0" applyNumberFormat="0" applyBorder="0" applyAlignment="0" applyProtection="0">
      <alignment vertical="center"/>
    </xf>
    <xf numFmtId="0" fontId="25" fillId="30" borderId="0" applyNumberFormat="0" applyBorder="0" applyAlignment="0" applyProtection="0">
      <alignment vertical="center"/>
    </xf>
    <xf numFmtId="0" fontId="43" fillId="42" borderId="0" applyNumberFormat="0" applyBorder="0" applyAlignment="0" applyProtection="0">
      <alignment vertical="center"/>
    </xf>
    <xf numFmtId="0" fontId="18" fillId="30" borderId="0" applyNumberFormat="0" applyBorder="0" applyAlignment="0" applyProtection="0">
      <alignment vertical="center"/>
    </xf>
    <xf numFmtId="0" fontId="43" fillId="42" borderId="0" applyNumberFormat="0" applyBorder="0" applyAlignment="0" applyProtection="0">
      <alignment vertical="center"/>
    </xf>
    <xf numFmtId="0" fontId="18" fillId="30"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3" fillId="40" borderId="0" applyNumberFormat="0" applyBorder="0" applyAlignment="0" applyProtection="0">
      <alignment vertical="center"/>
    </xf>
    <xf numFmtId="0" fontId="43" fillId="43" borderId="0" applyNumberFormat="0" applyBorder="0" applyAlignment="0" applyProtection="0">
      <alignment vertical="center"/>
    </xf>
    <xf numFmtId="0" fontId="43" fillId="46"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79"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79"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79"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79"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79"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43" fillId="43" borderId="0" applyNumberFormat="0" applyBorder="0" applyAlignment="0" applyProtection="0">
      <alignment vertical="center"/>
    </xf>
    <xf numFmtId="0" fontId="44"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4" fillId="43" borderId="0" applyNumberFormat="0" applyBorder="0" applyAlignment="0" applyProtection="0">
      <alignment vertical="center"/>
    </xf>
    <xf numFmtId="0" fontId="44"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4" fillId="43" borderId="0" applyNumberFormat="0" applyBorder="0" applyAlignment="0" applyProtection="0">
      <alignment vertical="center"/>
    </xf>
    <xf numFmtId="0" fontId="25" fillId="11"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25" fillId="11" borderId="0" applyNumberFormat="0" applyBorder="0" applyAlignment="0" applyProtection="0">
      <alignment vertical="center"/>
    </xf>
    <xf numFmtId="0" fontId="43" fillId="43" borderId="0" applyNumberFormat="0" applyBorder="0" applyAlignment="0" applyProtection="0">
      <alignment vertical="center"/>
    </xf>
    <xf numFmtId="0" fontId="25" fillId="11" borderId="0" applyNumberFormat="0" applyBorder="0" applyAlignment="0" applyProtection="0">
      <alignment vertical="center"/>
    </xf>
    <xf numFmtId="0" fontId="43" fillId="43" borderId="0" applyNumberFormat="0" applyBorder="0" applyAlignment="0" applyProtection="0">
      <alignment vertical="center"/>
    </xf>
    <xf numFmtId="0" fontId="18" fillId="11" borderId="0" applyNumberFormat="0" applyBorder="0" applyAlignment="0" applyProtection="0">
      <alignment vertical="center"/>
    </xf>
    <xf numFmtId="0" fontId="43" fillId="43" borderId="0" applyNumberFormat="0" applyBorder="0" applyAlignment="0" applyProtection="0">
      <alignment vertical="center"/>
    </xf>
    <xf numFmtId="0" fontId="18" fillId="11" borderId="0" applyNumberFormat="0" applyBorder="0" applyAlignment="0" applyProtection="0">
      <alignment vertical="center"/>
    </xf>
    <xf numFmtId="0" fontId="43" fillId="43" borderId="0" applyNumberFormat="0" applyBorder="0" applyAlignment="0" applyProtection="0">
      <alignment vertical="center"/>
    </xf>
    <xf numFmtId="0" fontId="43" fillId="44" borderId="0" applyNumberFormat="0" applyBorder="0" applyAlignment="0" applyProtection="0">
      <alignment vertical="center"/>
    </xf>
    <xf numFmtId="0" fontId="44"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4" fillId="44" borderId="0" applyNumberFormat="0" applyBorder="0" applyAlignment="0" applyProtection="0">
      <alignment vertical="center"/>
    </xf>
    <xf numFmtId="0" fontId="44"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4" fillId="44" borderId="0" applyNumberFormat="0" applyBorder="0" applyAlignment="0" applyProtection="0">
      <alignment vertical="center"/>
    </xf>
    <xf numFmtId="0" fontId="25" fillId="15"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25" fillId="15" borderId="0" applyNumberFormat="0" applyBorder="0" applyAlignment="0" applyProtection="0">
      <alignment vertical="center"/>
    </xf>
    <xf numFmtId="0" fontId="43" fillId="44" borderId="0" applyNumberFormat="0" applyBorder="0" applyAlignment="0" applyProtection="0">
      <alignment vertical="center"/>
    </xf>
    <xf numFmtId="0" fontId="25" fillId="15" borderId="0" applyNumberFormat="0" applyBorder="0" applyAlignment="0" applyProtection="0">
      <alignment vertical="center"/>
    </xf>
    <xf numFmtId="0" fontId="43" fillId="44" borderId="0" applyNumberFormat="0" applyBorder="0" applyAlignment="0" applyProtection="0">
      <alignment vertical="center"/>
    </xf>
    <xf numFmtId="0" fontId="18" fillId="15" borderId="0" applyNumberFormat="0" applyBorder="0" applyAlignment="0" applyProtection="0">
      <alignment vertical="center"/>
    </xf>
    <xf numFmtId="0" fontId="43" fillId="44" borderId="0" applyNumberFormat="0" applyBorder="0" applyAlignment="0" applyProtection="0">
      <alignment vertical="center"/>
    </xf>
    <xf numFmtId="0" fontId="18" fillId="15"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4" fillId="45" borderId="0" applyNumberFormat="0" applyBorder="0" applyAlignment="0" applyProtection="0">
      <alignment vertical="center"/>
    </xf>
    <xf numFmtId="0" fontId="44"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4" fillId="45" borderId="0" applyNumberFormat="0" applyBorder="0" applyAlignment="0" applyProtection="0">
      <alignment vertical="center"/>
    </xf>
    <xf numFmtId="0" fontId="25" fillId="19"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25" fillId="19" borderId="0" applyNumberFormat="0" applyBorder="0" applyAlignment="0" applyProtection="0">
      <alignment vertical="center"/>
    </xf>
    <xf numFmtId="0" fontId="43" fillId="45" borderId="0" applyNumberFormat="0" applyBorder="0" applyAlignment="0" applyProtection="0">
      <alignment vertical="center"/>
    </xf>
    <xf numFmtId="0" fontId="25" fillId="19" borderId="0" applyNumberFormat="0" applyBorder="0" applyAlignment="0" applyProtection="0">
      <alignment vertical="center"/>
    </xf>
    <xf numFmtId="0" fontId="43" fillId="45" borderId="0" applyNumberFormat="0" applyBorder="0" applyAlignment="0" applyProtection="0">
      <alignment vertical="center"/>
    </xf>
    <xf numFmtId="0" fontId="18" fillId="19" borderId="0" applyNumberFormat="0" applyBorder="0" applyAlignment="0" applyProtection="0">
      <alignment vertical="center"/>
    </xf>
    <xf numFmtId="0" fontId="43" fillId="45" borderId="0" applyNumberFormat="0" applyBorder="0" applyAlignment="0" applyProtection="0">
      <alignment vertical="center"/>
    </xf>
    <xf numFmtId="0" fontId="18" fillId="19" borderId="0" applyNumberFormat="0" applyBorder="0" applyAlignment="0" applyProtection="0">
      <alignment vertical="center"/>
    </xf>
    <xf numFmtId="0" fontId="43" fillId="45" borderId="0" applyNumberFormat="0" applyBorder="0" applyAlignment="0" applyProtection="0">
      <alignment vertical="center"/>
    </xf>
    <xf numFmtId="0" fontId="43" fillId="40" borderId="0" applyNumberFormat="0" applyBorder="0" applyAlignment="0" applyProtection="0">
      <alignment vertical="center"/>
    </xf>
    <xf numFmtId="0" fontId="44"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4" fillId="40" borderId="0" applyNumberFormat="0" applyBorder="0" applyAlignment="0" applyProtection="0">
      <alignment vertical="center"/>
    </xf>
    <xf numFmtId="0" fontId="44"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4" fillId="40" borderId="0" applyNumberFormat="0" applyBorder="0" applyAlignment="0" applyProtection="0">
      <alignment vertical="center"/>
    </xf>
    <xf numFmtId="0" fontId="25" fillId="23"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25" fillId="23" borderId="0" applyNumberFormat="0" applyBorder="0" applyAlignment="0" applyProtection="0">
      <alignment vertical="center"/>
    </xf>
    <xf numFmtId="0" fontId="43" fillId="40" borderId="0" applyNumberFormat="0" applyBorder="0" applyAlignment="0" applyProtection="0">
      <alignment vertical="center"/>
    </xf>
    <xf numFmtId="0" fontId="25" fillId="23" borderId="0" applyNumberFormat="0" applyBorder="0" applyAlignment="0" applyProtection="0">
      <alignment vertical="center"/>
    </xf>
    <xf numFmtId="0" fontId="43" fillId="40" borderId="0" applyNumberFormat="0" applyBorder="0" applyAlignment="0" applyProtection="0">
      <alignment vertical="center"/>
    </xf>
    <xf numFmtId="0" fontId="18" fillId="23" borderId="0" applyNumberFormat="0" applyBorder="0" applyAlignment="0" applyProtection="0">
      <alignment vertical="center"/>
    </xf>
    <xf numFmtId="0" fontId="43" fillId="40" borderId="0" applyNumberFormat="0" applyBorder="0" applyAlignment="0" applyProtection="0">
      <alignment vertical="center"/>
    </xf>
    <xf numFmtId="0" fontId="18" fillId="23" borderId="0" applyNumberFormat="0" applyBorder="0" applyAlignment="0" applyProtection="0">
      <alignment vertical="center"/>
    </xf>
    <xf numFmtId="0" fontId="43" fillId="40" borderId="0" applyNumberFormat="0" applyBorder="0" applyAlignment="0" applyProtection="0">
      <alignment vertical="center"/>
    </xf>
    <xf numFmtId="0" fontId="43" fillId="43" borderId="0" applyNumberFormat="0" applyBorder="0" applyAlignment="0" applyProtection="0">
      <alignment vertical="center"/>
    </xf>
    <xf numFmtId="0" fontId="44"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4" fillId="43" borderId="0" applyNumberFormat="0" applyBorder="0" applyAlignment="0" applyProtection="0">
      <alignment vertical="center"/>
    </xf>
    <xf numFmtId="0" fontId="44"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4" fillId="43" borderId="0" applyNumberFormat="0" applyBorder="0" applyAlignment="0" applyProtection="0">
      <alignment vertical="center"/>
    </xf>
    <xf numFmtId="0" fontId="25" fillId="27"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25" fillId="27" borderId="0" applyNumberFormat="0" applyBorder="0" applyAlignment="0" applyProtection="0">
      <alignment vertical="center"/>
    </xf>
    <xf numFmtId="0" fontId="43" fillId="43" borderId="0" applyNumberFormat="0" applyBorder="0" applyAlignment="0" applyProtection="0">
      <alignment vertical="center"/>
    </xf>
    <xf numFmtId="0" fontId="25" fillId="27" borderId="0" applyNumberFormat="0" applyBorder="0" applyAlignment="0" applyProtection="0">
      <alignment vertical="center"/>
    </xf>
    <xf numFmtId="0" fontId="43" fillId="43" borderId="0" applyNumberFormat="0" applyBorder="0" applyAlignment="0" applyProtection="0">
      <alignment vertical="center"/>
    </xf>
    <xf numFmtId="0" fontId="18" fillId="27" borderId="0" applyNumberFormat="0" applyBorder="0" applyAlignment="0" applyProtection="0">
      <alignment vertical="center"/>
    </xf>
    <xf numFmtId="0" fontId="43" fillId="43" borderId="0" applyNumberFormat="0" applyBorder="0" applyAlignment="0" applyProtection="0">
      <alignment vertical="center"/>
    </xf>
    <xf numFmtId="0" fontId="18" fillId="27" borderId="0" applyNumberFormat="0" applyBorder="0" applyAlignment="0" applyProtection="0">
      <alignment vertical="center"/>
    </xf>
    <xf numFmtId="0" fontId="43" fillId="43" borderId="0" applyNumberFormat="0" applyBorder="0" applyAlignment="0" applyProtection="0">
      <alignment vertical="center"/>
    </xf>
    <xf numFmtId="0" fontId="43" fillId="46" borderId="0" applyNumberFormat="0" applyBorder="0" applyAlignment="0" applyProtection="0">
      <alignment vertical="center"/>
    </xf>
    <xf numFmtId="0" fontId="44"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4" fillId="46" borderId="0" applyNumberFormat="0" applyBorder="0" applyAlignment="0" applyProtection="0">
      <alignment vertical="center"/>
    </xf>
    <xf numFmtId="0" fontId="44"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4" fillId="46" borderId="0" applyNumberFormat="0" applyBorder="0" applyAlignment="0" applyProtection="0">
      <alignment vertical="center"/>
    </xf>
    <xf numFmtId="0" fontId="25" fillId="31"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25" fillId="31" borderId="0" applyNumberFormat="0" applyBorder="0" applyAlignment="0" applyProtection="0">
      <alignment vertical="center"/>
    </xf>
    <xf numFmtId="0" fontId="43" fillId="46" borderId="0" applyNumberFormat="0" applyBorder="0" applyAlignment="0" applyProtection="0">
      <alignment vertical="center"/>
    </xf>
    <xf numFmtId="0" fontId="25" fillId="31" borderId="0" applyNumberFormat="0" applyBorder="0" applyAlignment="0" applyProtection="0">
      <alignment vertical="center"/>
    </xf>
    <xf numFmtId="0" fontId="43" fillId="46" borderId="0" applyNumberFormat="0" applyBorder="0" applyAlignment="0" applyProtection="0">
      <alignment vertical="center"/>
    </xf>
    <xf numFmtId="0" fontId="18" fillId="31" borderId="0" applyNumberFormat="0" applyBorder="0" applyAlignment="0" applyProtection="0">
      <alignment vertical="center"/>
    </xf>
    <xf numFmtId="0" fontId="43" fillId="46" borderId="0" applyNumberFormat="0" applyBorder="0" applyAlignment="0" applyProtection="0">
      <alignment vertical="center"/>
    </xf>
    <xf numFmtId="0" fontId="18" fillId="31" borderId="0" applyNumberFormat="0" applyBorder="0" applyAlignment="0" applyProtection="0">
      <alignment vertical="center"/>
    </xf>
    <xf numFmtId="0" fontId="43" fillId="46"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7"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4"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5"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2" fillId="50" borderId="0" applyNumberFormat="0" applyBorder="0" applyAlignment="0" applyProtection="0">
      <alignment vertical="center"/>
    </xf>
    <xf numFmtId="0" fontId="80" fillId="47" borderId="0" applyNumberFormat="0" applyBorder="0" applyAlignment="0" applyProtection="0">
      <alignment vertical="center"/>
    </xf>
    <xf numFmtId="0" fontId="81"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1" fillId="47" borderId="0" applyNumberFormat="0" applyBorder="0" applyAlignment="0" applyProtection="0">
      <alignment vertical="center"/>
    </xf>
    <xf numFmtId="0" fontId="26" fillId="12"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26" fillId="12" borderId="0" applyNumberFormat="0" applyBorder="0" applyAlignment="0" applyProtection="0">
      <alignment vertical="center"/>
    </xf>
    <xf numFmtId="0" fontId="80" fillId="47" borderId="0" applyNumberFormat="0" applyBorder="0" applyAlignment="0" applyProtection="0">
      <alignment vertical="center"/>
    </xf>
    <xf numFmtId="0" fontId="26" fillId="12" borderId="0" applyNumberFormat="0" applyBorder="0" applyAlignment="0" applyProtection="0">
      <alignment vertical="center"/>
    </xf>
    <xf numFmtId="0" fontId="80" fillId="47" borderId="0" applyNumberFormat="0" applyBorder="0" applyAlignment="0" applyProtection="0">
      <alignment vertical="center"/>
    </xf>
    <xf numFmtId="0" fontId="27" fillId="12" borderId="0" applyNumberFormat="0" applyBorder="0" applyAlignment="0" applyProtection="0">
      <alignment vertical="center"/>
    </xf>
    <xf numFmtId="0" fontId="80" fillId="47" borderId="0" applyNumberFormat="0" applyBorder="0" applyAlignment="0" applyProtection="0">
      <alignment vertical="center"/>
    </xf>
    <xf numFmtId="0" fontId="27" fillId="12" borderId="0" applyNumberFormat="0" applyBorder="0" applyAlignment="0" applyProtection="0">
      <alignment vertical="center"/>
    </xf>
    <xf numFmtId="0" fontId="80" fillId="47" borderId="0" applyNumberFormat="0" applyBorder="0" applyAlignment="0" applyProtection="0">
      <alignment vertical="center"/>
    </xf>
    <xf numFmtId="0" fontId="80" fillId="44" borderId="0" applyNumberFormat="0" applyBorder="0" applyAlignment="0" applyProtection="0">
      <alignment vertical="center"/>
    </xf>
    <xf numFmtId="0" fontId="81"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1" fillId="44" borderId="0" applyNumberFormat="0" applyBorder="0" applyAlignment="0" applyProtection="0">
      <alignment vertical="center"/>
    </xf>
    <xf numFmtId="0" fontId="81"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1" fillId="44" borderId="0" applyNumberFormat="0" applyBorder="0" applyAlignment="0" applyProtection="0">
      <alignment vertical="center"/>
    </xf>
    <xf numFmtId="0" fontId="26" fillId="16"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26" fillId="16" borderId="0" applyNumberFormat="0" applyBorder="0" applyAlignment="0" applyProtection="0">
      <alignment vertical="center"/>
    </xf>
    <xf numFmtId="0" fontId="80" fillId="44" borderId="0" applyNumberFormat="0" applyBorder="0" applyAlignment="0" applyProtection="0">
      <alignment vertical="center"/>
    </xf>
    <xf numFmtId="0" fontId="26" fillId="16" borderId="0" applyNumberFormat="0" applyBorder="0" applyAlignment="0" applyProtection="0">
      <alignment vertical="center"/>
    </xf>
    <xf numFmtId="0" fontId="80" fillId="44" borderId="0" applyNumberFormat="0" applyBorder="0" applyAlignment="0" applyProtection="0">
      <alignment vertical="center"/>
    </xf>
    <xf numFmtId="0" fontId="27" fillId="16" borderId="0" applyNumberFormat="0" applyBorder="0" applyAlignment="0" applyProtection="0">
      <alignment vertical="center"/>
    </xf>
    <xf numFmtId="0" fontId="80" fillId="44" borderId="0" applyNumberFormat="0" applyBorder="0" applyAlignment="0" applyProtection="0">
      <alignment vertical="center"/>
    </xf>
    <xf numFmtId="0" fontId="27" fillId="16" borderId="0" applyNumberFormat="0" applyBorder="0" applyAlignment="0" applyProtection="0">
      <alignment vertical="center"/>
    </xf>
    <xf numFmtId="0" fontId="80" fillId="44" borderId="0" applyNumberFormat="0" applyBorder="0" applyAlignment="0" applyProtection="0">
      <alignment vertical="center"/>
    </xf>
    <xf numFmtId="0" fontId="80" fillId="45" borderId="0" applyNumberFormat="0" applyBorder="0" applyAlignment="0" applyProtection="0">
      <alignment vertical="center"/>
    </xf>
    <xf numFmtId="0" fontId="81"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1" fillId="45" borderId="0" applyNumberFormat="0" applyBorder="0" applyAlignment="0" applyProtection="0">
      <alignment vertical="center"/>
    </xf>
    <xf numFmtId="0" fontId="81"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1" fillId="45" borderId="0" applyNumberFormat="0" applyBorder="0" applyAlignment="0" applyProtection="0">
      <alignment vertical="center"/>
    </xf>
    <xf numFmtId="0" fontId="26" fillId="20"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26" fillId="20" borderId="0" applyNumberFormat="0" applyBorder="0" applyAlignment="0" applyProtection="0">
      <alignment vertical="center"/>
    </xf>
    <xf numFmtId="0" fontId="80" fillId="45" borderId="0" applyNumberFormat="0" applyBorder="0" applyAlignment="0" applyProtection="0">
      <alignment vertical="center"/>
    </xf>
    <xf numFmtId="0" fontId="26" fillId="20" borderId="0" applyNumberFormat="0" applyBorder="0" applyAlignment="0" applyProtection="0">
      <alignment vertical="center"/>
    </xf>
    <xf numFmtId="0" fontId="80" fillId="45" borderId="0" applyNumberFormat="0" applyBorder="0" applyAlignment="0" applyProtection="0">
      <alignment vertical="center"/>
    </xf>
    <xf numFmtId="0" fontId="27" fillId="20" borderId="0" applyNumberFormat="0" applyBorder="0" applyAlignment="0" applyProtection="0">
      <alignment vertical="center"/>
    </xf>
    <xf numFmtId="0" fontId="80" fillId="45" borderId="0" applyNumberFormat="0" applyBorder="0" applyAlignment="0" applyProtection="0">
      <alignment vertical="center"/>
    </xf>
    <xf numFmtId="0" fontId="27" fillId="20" borderId="0" applyNumberFormat="0" applyBorder="0" applyAlignment="0" applyProtection="0">
      <alignment vertical="center"/>
    </xf>
    <xf numFmtId="0" fontId="80" fillId="45" borderId="0" applyNumberFormat="0" applyBorder="0" applyAlignment="0" applyProtection="0">
      <alignment vertical="center"/>
    </xf>
    <xf numFmtId="0" fontId="80" fillId="48" borderId="0" applyNumberFormat="0" applyBorder="0" applyAlignment="0" applyProtection="0">
      <alignment vertical="center"/>
    </xf>
    <xf numFmtId="0" fontId="81"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1" fillId="48" borderId="0" applyNumberFormat="0" applyBorder="0" applyAlignment="0" applyProtection="0">
      <alignment vertical="center"/>
    </xf>
    <xf numFmtId="0" fontId="81"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1" fillId="48" borderId="0" applyNumberFormat="0" applyBorder="0" applyAlignment="0" applyProtection="0">
      <alignment vertical="center"/>
    </xf>
    <xf numFmtId="0" fontId="26" fillId="24"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26" fillId="24" borderId="0" applyNumberFormat="0" applyBorder="0" applyAlignment="0" applyProtection="0">
      <alignment vertical="center"/>
    </xf>
    <xf numFmtId="0" fontId="80" fillId="48" borderId="0" applyNumberFormat="0" applyBorder="0" applyAlignment="0" applyProtection="0">
      <alignment vertical="center"/>
    </xf>
    <xf numFmtId="0" fontId="26" fillId="24" borderId="0" applyNumberFormat="0" applyBorder="0" applyAlignment="0" applyProtection="0">
      <alignment vertical="center"/>
    </xf>
    <xf numFmtId="0" fontId="80" fillId="48" borderId="0" applyNumberFormat="0" applyBorder="0" applyAlignment="0" applyProtection="0">
      <alignment vertical="center"/>
    </xf>
    <xf numFmtId="0" fontId="27" fillId="24" borderId="0" applyNumberFormat="0" applyBorder="0" applyAlignment="0" applyProtection="0">
      <alignment vertical="center"/>
    </xf>
    <xf numFmtId="0" fontId="80" fillId="48" borderId="0" applyNumberFormat="0" applyBorder="0" applyAlignment="0" applyProtection="0">
      <alignment vertical="center"/>
    </xf>
    <xf numFmtId="0" fontId="27" fillId="24"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1"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1" fillId="49" borderId="0" applyNumberFormat="0" applyBorder="0" applyAlignment="0" applyProtection="0">
      <alignment vertical="center"/>
    </xf>
    <xf numFmtId="0" fontId="81"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1" fillId="49" borderId="0" applyNumberFormat="0" applyBorder="0" applyAlignment="0" applyProtection="0">
      <alignment vertical="center"/>
    </xf>
    <xf numFmtId="0" fontId="26" fillId="28"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26" fillId="28" borderId="0" applyNumberFormat="0" applyBorder="0" applyAlignment="0" applyProtection="0">
      <alignment vertical="center"/>
    </xf>
    <xf numFmtId="0" fontId="80" fillId="49" borderId="0" applyNumberFormat="0" applyBorder="0" applyAlignment="0" applyProtection="0">
      <alignment vertical="center"/>
    </xf>
    <xf numFmtId="0" fontId="26" fillId="28" borderId="0" applyNumberFormat="0" applyBorder="0" applyAlignment="0" applyProtection="0">
      <alignment vertical="center"/>
    </xf>
    <xf numFmtId="0" fontId="80" fillId="49" borderId="0" applyNumberFormat="0" applyBorder="0" applyAlignment="0" applyProtection="0">
      <alignment vertical="center"/>
    </xf>
    <xf numFmtId="0" fontId="27" fillId="28" borderId="0" applyNumberFormat="0" applyBorder="0" applyAlignment="0" applyProtection="0">
      <alignment vertical="center"/>
    </xf>
    <xf numFmtId="0" fontId="80" fillId="49" borderId="0" applyNumberFormat="0" applyBorder="0" applyAlignment="0" applyProtection="0">
      <alignment vertical="center"/>
    </xf>
    <xf numFmtId="0" fontId="27" fillId="28" borderId="0" applyNumberFormat="0" applyBorder="0" applyAlignment="0" applyProtection="0">
      <alignment vertical="center"/>
    </xf>
    <xf numFmtId="0" fontId="80" fillId="49" borderId="0" applyNumberFormat="0" applyBorder="0" applyAlignment="0" applyProtection="0">
      <alignment vertical="center"/>
    </xf>
    <xf numFmtId="0" fontId="80" fillId="50" borderId="0" applyNumberFormat="0" applyBorder="0" applyAlignment="0" applyProtection="0">
      <alignment vertical="center"/>
    </xf>
    <xf numFmtId="0" fontId="81"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1" fillId="50" borderId="0" applyNumberFormat="0" applyBorder="0" applyAlignment="0" applyProtection="0">
      <alignment vertical="center"/>
    </xf>
    <xf numFmtId="0" fontId="26" fillId="32"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26" fillId="32" borderId="0" applyNumberFormat="0" applyBorder="0" applyAlignment="0" applyProtection="0">
      <alignment vertical="center"/>
    </xf>
    <xf numFmtId="0" fontId="80" fillId="50" borderId="0" applyNumberFormat="0" applyBorder="0" applyAlignment="0" applyProtection="0">
      <alignment vertical="center"/>
    </xf>
    <xf numFmtId="0" fontId="26" fillId="32" borderId="0" applyNumberFormat="0" applyBorder="0" applyAlignment="0" applyProtection="0">
      <alignment vertical="center"/>
    </xf>
    <xf numFmtId="0" fontId="80" fillId="50" borderId="0" applyNumberFormat="0" applyBorder="0" applyAlignment="0" applyProtection="0">
      <alignment vertical="center"/>
    </xf>
    <xf numFmtId="0" fontId="27" fillId="32" borderId="0" applyNumberFormat="0" applyBorder="0" applyAlignment="0" applyProtection="0">
      <alignment vertical="center"/>
    </xf>
    <xf numFmtId="0" fontId="80" fillId="50" borderId="0" applyNumberFormat="0" applyBorder="0" applyAlignment="0" applyProtection="0">
      <alignment vertical="center"/>
    </xf>
    <xf numFmtId="0" fontId="27" fillId="32" borderId="0" applyNumberFormat="0" applyBorder="0" applyAlignment="0" applyProtection="0">
      <alignment vertical="center"/>
    </xf>
    <xf numFmtId="0" fontId="80" fillId="50"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43" fillId="58" borderId="16" applyNumberFormat="0" applyFon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1"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2"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53"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8"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49"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2" fillId="54" borderId="0" applyNumberFormat="0" applyBorder="0" applyAlignment="0" applyProtection="0">
      <alignment vertical="center"/>
    </xf>
    <xf numFmtId="0" fontId="80" fillId="51" borderId="0" applyNumberFormat="0" applyBorder="0" applyAlignment="0" applyProtection="0">
      <alignment vertical="center"/>
    </xf>
    <xf numFmtId="0" fontId="81"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1" fillId="51" borderId="0" applyNumberFormat="0" applyBorder="0" applyAlignment="0" applyProtection="0">
      <alignment vertical="center"/>
    </xf>
    <xf numFmtId="0" fontId="81"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1" fillId="51" borderId="0" applyNumberFormat="0" applyBorder="0" applyAlignment="0" applyProtection="0">
      <alignment vertical="center"/>
    </xf>
    <xf numFmtId="0" fontId="26" fillId="9"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26" fillId="9" borderId="0" applyNumberFormat="0" applyBorder="0" applyAlignment="0" applyProtection="0">
      <alignment vertical="center"/>
    </xf>
    <xf numFmtId="0" fontId="80" fillId="51" borderId="0" applyNumberFormat="0" applyBorder="0" applyAlignment="0" applyProtection="0">
      <alignment vertical="center"/>
    </xf>
    <xf numFmtId="0" fontId="26" fillId="9" borderId="0" applyNumberFormat="0" applyBorder="0" applyAlignment="0" applyProtection="0">
      <alignment vertical="center"/>
    </xf>
    <xf numFmtId="0" fontId="80" fillId="51" borderId="0" applyNumberFormat="0" applyBorder="0" applyAlignment="0" applyProtection="0">
      <alignment vertical="center"/>
    </xf>
    <xf numFmtId="0" fontId="27" fillId="9" borderId="0" applyNumberFormat="0" applyBorder="0" applyAlignment="0" applyProtection="0">
      <alignment vertical="center"/>
    </xf>
    <xf numFmtId="0" fontId="80" fillId="51" borderId="0" applyNumberFormat="0" applyBorder="0" applyAlignment="0" applyProtection="0">
      <alignment vertical="center"/>
    </xf>
    <xf numFmtId="0" fontId="27" fillId="9" borderId="0" applyNumberFormat="0" applyBorder="0" applyAlignment="0" applyProtection="0">
      <alignment vertical="center"/>
    </xf>
    <xf numFmtId="0" fontId="80" fillId="51" borderId="0" applyNumberFormat="0" applyBorder="0" applyAlignment="0" applyProtection="0">
      <alignment vertical="center"/>
    </xf>
    <xf numFmtId="0" fontId="80" fillId="52" borderId="0" applyNumberFormat="0" applyBorder="0" applyAlignment="0" applyProtection="0">
      <alignment vertical="center"/>
    </xf>
    <xf numFmtId="0" fontId="81"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1" fillId="52" borderId="0" applyNumberFormat="0" applyBorder="0" applyAlignment="0" applyProtection="0">
      <alignment vertical="center"/>
    </xf>
    <xf numFmtId="0" fontId="81"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1" fillId="52" borderId="0" applyNumberFormat="0" applyBorder="0" applyAlignment="0" applyProtection="0">
      <alignment vertical="center"/>
    </xf>
    <xf numFmtId="0" fontId="26" fillId="13"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26" fillId="13" borderId="0" applyNumberFormat="0" applyBorder="0" applyAlignment="0" applyProtection="0">
      <alignment vertical="center"/>
    </xf>
    <xf numFmtId="0" fontId="80" fillId="52" borderId="0" applyNumberFormat="0" applyBorder="0" applyAlignment="0" applyProtection="0">
      <alignment vertical="center"/>
    </xf>
    <xf numFmtId="0" fontId="26" fillId="13" borderId="0" applyNumberFormat="0" applyBorder="0" applyAlignment="0" applyProtection="0">
      <alignment vertical="center"/>
    </xf>
    <xf numFmtId="0" fontId="80" fillId="52" borderId="0" applyNumberFormat="0" applyBorder="0" applyAlignment="0" applyProtection="0">
      <alignment vertical="center"/>
    </xf>
    <xf numFmtId="0" fontId="27" fillId="13" borderId="0" applyNumberFormat="0" applyBorder="0" applyAlignment="0" applyProtection="0">
      <alignment vertical="center"/>
    </xf>
    <xf numFmtId="0" fontId="80" fillId="52" borderId="0" applyNumberFormat="0" applyBorder="0" applyAlignment="0" applyProtection="0">
      <alignment vertical="center"/>
    </xf>
    <xf numFmtId="0" fontId="27" fillId="13" borderId="0" applyNumberFormat="0" applyBorder="0" applyAlignment="0" applyProtection="0">
      <alignment vertical="center"/>
    </xf>
    <xf numFmtId="0" fontId="80" fillId="52" borderId="0" applyNumberFormat="0" applyBorder="0" applyAlignment="0" applyProtection="0">
      <alignment vertical="center"/>
    </xf>
    <xf numFmtId="0" fontId="80" fillId="53" borderId="0" applyNumberFormat="0" applyBorder="0" applyAlignment="0" applyProtection="0">
      <alignment vertical="center"/>
    </xf>
    <xf numFmtId="0" fontId="81"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1" fillId="53" borderId="0" applyNumberFormat="0" applyBorder="0" applyAlignment="0" applyProtection="0">
      <alignment vertical="center"/>
    </xf>
    <xf numFmtId="0" fontId="81"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1" fillId="53" borderId="0" applyNumberFormat="0" applyBorder="0" applyAlignment="0" applyProtection="0">
      <alignment vertical="center"/>
    </xf>
    <xf numFmtId="0" fontId="26" fillId="17"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26" fillId="17" borderId="0" applyNumberFormat="0" applyBorder="0" applyAlignment="0" applyProtection="0">
      <alignment vertical="center"/>
    </xf>
    <xf numFmtId="0" fontId="80" fillId="53" borderId="0" applyNumberFormat="0" applyBorder="0" applyAlignment="0" applyProtection="0">
      <alignment vertical="center"/>
    </xf>
    <xf numFmtId="0" fontId="26" fillId="17" borderId="0" applyNumberFormat="0" applyBorder="0" applyAlignment="0" applyProtection="0">
      <alignment vertical="center"/>
    </xf>
    <xf numFmtId="0" fontId="80" fillId="53" borderId="0" applyNumberFormat="0" applyBorder="0" applyAlignment="0" applyProtection="0">
      <alignment vertical="center"/>
    </xf>
    <xf numFmtId="0" fontId="27" fillId="17" borderId="0" applyNumberFormat="0" applyBorder="0" applyAlignment="0" applyProtection="0">
      <alignment vertical="center"/>
    </xf>
    <xf numFmtId="0" fontId="80" fillId="53" borderId="0" applyNumberFormat="0" applyBorder="0" applyAlignment="0" applyProtection="0">
      <alignment vertical="center"/>
    </xf>
    <xf numFmtId="0" fontId="27" fillId="17" borderId="0" applyNumberFormat="0" applyBorder="0" applyAlignment="0" applyProtection="0">
      <alignment vertical="center"/>
    </xf>
    <xf numFmtId="0" fontId="80" fillId="53" borderId="0" applyNumberFormat="0" applyBorder="0" applyAlignment="0" applyProtection="0">
      <alignment vertical="center"/>
    </xf>
    <xf numFmtId="0" fontId="80" fillId="48" borderId="0" applyNumberFormat="0" applyBorder="0" applyAlignment="0" applyProtection="0">
      <alignment vertical="center"/>
    </xf>
    <xf numFmtId="0" fontId="81"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1" fillId="48" borderId="0" applyNumberFormat="0" applyBorder="0" applyAlignment="0" applyProtection="0">
      <alignment vertical="center"/>
    </xf>
    <xf numFmtId="0" fontId="81"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1" fillId="48" borderId="0" applyNumberFormat="0" applyBorder="0" applyAlignment="0" applyProtection="0">
      <alignment vertical="center"/>
    </xf>
    <xf numFmtId="0" fontId="26" fillId="21"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26" fillId="21" borderId="0" applyNumberFormat="0" applyBorder="0" applyAlignment="0" applyProtection="0">
      <alignment vertical="center"/>
    </xf>
    <xf numFmtId="0" fontId="80" fillId="48" borderId="0" applyNumberFormat="0" applyBorder="0" applyAlignment="0" applyProtection="0">
      <alignment vertical="center"/>
    </xf>
    <xf numFmtId="0" fontId="26" fillId="21" borderId="0" applyNumberFormat="0" applyBorder="0" applyAlignment="0" applyProtection="0">
      <alignment vertical="center"/>
    </xf>
    <xf numFmtId="0" fontId="80" fillId="48" borderId="0" applyNumberFormat="0" applyBorder="0" applyAlignment="0" applyProtection="0">
      <alignment vertical="center"/>
    </xf>
    <xf numFmtId="0" fontId="27" fillId="21" borderId="0" applyNumberFormat="0" applyBorder="0" applyAlignment="0" applyProtection="0">
      <alignment vertical="center"/>
    </xf>
    <xf numFmtId="0" fontId="80" fillId="48" borderId="0" applyNumberFormat="0" applyBorder="0" applyAlignment="0" applyProtection="0">
      <alignment vertical="center"/>
    </xf>
    <xf numFmtId="0" fontId="27" fillId="21"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1"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1" fillId="49" borderId="0" applyNumberFormat="0" applyBorder="0" applyAlignment="0" applyProtection="0">
      <alignment vertical="center"/>
    </xf>
    <xf numFmtId="0" fontId="81"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1" fillId="49" borderId="0" applyNumberFormat="0" applyBorder="0" applyAlignment="0" applyProtection="0">
      <alignment vertical="center"/>
    </xf>
    <xf numFmtId="0" fontId="26" fillId="25"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26" fillId="25" borderId="0" applyNumberFormat="0" applyBorder="0" applyAlignment="0" applyProtection="0">
      <alignment vertical="center"/>
    </xf>
    <xf numFmtId="0" fontId="80" fillId="49" borderId="0" applyNumberFormat="0" applyBorder="0" applyAlignment="0" applyProtection="0">
      <alignment vertical="center"/>
    </xf>
    <xf numFmtId="0" fontId="26" fillId="25" borderId="0" applyNumberFormat="0" applyBorder="0" applyAlignment="0" applyProtection="0">
      <alignment vertical="center"/>
    </xf>
    <xf numFmtId="0" fontId="80" fillId="49" borderId="0" applyNumberFormat="0" applyBorder="0" applyAlignment="0" applyProtection="0">
      <alignment vertical="center"/>
    </xf>
    <xf numFmtId="0" fontId="27" fillId="25" borderId="0" applyNumberFormat="0" applyBorder="0" applyAlignment="0" applyProtection="0">
      <alignment vertical="center"/>
    </xf>
    <xf numFmtId="0" fontId="80" fillId="49" borderId="0" applyNumberFormat="0" applyBorder="0" applyAlignment="0" applyProtection="0">
      <alignment vertical="center"/>
    </xf>
    <xf numFmtId="0" fontId="27" fillId="25" borderId="0" applyNumberFormat="0" applyBorder="0" applyAlignment="0" applyProtection="0">
      <alignment vertical="center"/>
    </xf>
    <xf numFmtId="0" fontId="80" fillId="49" borderId="0" applyNumberFormat="0" applyBorder="0" applyAlignment="0" applyProtection="0">
      <alignment vertical="center"/>
    </xf>
    <xf numFmtId="0" fontId="80" fillId="54" borderId="0" applyNumberFormat="0" applyBorder="0" applyAlignment="0" applyProtection="0">
      <alignment vertical="center"/>
    </xf>
    <xf numFmtId="0" fontId="81"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1" fillId="54" borderId="0" applyNumberFormat="0" applyBorder="0" applyAlignment="0" applyProtection="0">
      <alignment vertical="center"/>
    </xf>
    <xf numFmtId="0" fontId="26" fillId="29"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26" fillId="29" borderId="0" applyNumberFormat="0" applyBorder="0" applyAlignment="0" applyProtection="0">
      <alignment vertical="center"/>
    </xf>
    <xf numFmtId="0" fontId="80" fillId="54" borderId="0" applyNumberFormat="0" applyBorder="0" applyAlignment="0" applyProtection="0">
      <alignment vertical="center"/>
    </xf>
    <xf numFmtId="0" fontId="26" fillId="29" borderId="0" applyNumberFormat="0" applyBorder="0" applyAlignment="0" applyProtection="0">
      <alignment vertical="center"/>
    </xf>
    <xf numFmtId="0" fontId="80" fillId="54" borderId="0" applyNumberFormat="0" applyBorder="0" applyAlignment="0" applyProtection="0">
      <alignment vertical="center"/>
    </xf>
    <xf numFmtId="0" fontId="27" fillId="29" borderId="0" applyNumberFormat="0" applyBorder="0" applyAlignment="0" applyProtection="0">
      <alignment vertical="center"/>
    </xf>
    <xf numFmtId="0" fontId="80" fillId="54" borderId="0" applyNumberFormat="0" applyBorder="0" applyAlignment="0" applyProtection="0">
      <alignment vertical="center"/>
    </xf>
    <xf numFmtId="0" fontId="27" fillId="29" borderId="0" applyNumberFormat="0" applyBorder="0" applyAlignment="0" applyProtection="0">
      <alignment vertical="center"/>
    </xf>
    <xf numFmtId="0" fontId="80" fillId="54" borderId="0" applyNumberFormat="0" applyBorder="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124" fillId="56" borderId="25" applyNumberFormat="0" applyAlignment="0" applyProtection="0">
      <alignment vertical="center"/>
    </xf>
    <xf numFmtId="0" fontId="83"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87"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7"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87"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7" fillId="55" borderId="10" applyNumberFormat="0" applyAlignment="0" applyProtection="0">
      <alignment vertical="center"/>
    </xf>
    <xf numFmtId="0" fontId="36" fillId="6" borderId="4"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36" fillId="6" borderId="4"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36" fillId="6" borderId="4"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86" fillId="55" borderId="10" applyNumberFormat="0" applyAlignment="0" applyProtection="0">
      <alignment vertical="center"/>
    </xf>
    <xf numFmtId="0" fontId="37" fillId="6" borderId="4" applyNumberFormat="0" applyAlignment="0" applyProtection="0">
      <alignment vertical="center"/>
    </xf>
    <xf numFmtId="0" fontId="86" fillId="55" borderId="10" applyNumberFormat="0" applyAlignment="0" applyProtection="0">
      <alignment vertical="center"/>
    </xf>
    <xf numFmtId="0" fontId="37" fillId="6" borderId="4"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8" fillId="57" borderId="0" applyNumberFormat="0" applyBorder="0" applyAlignment="0" applyProtection="0">
      <alignment vertical="center"/>
    </xf>
    <xf numFmtId="0" fontId="89" fillId="38" borderId="0" applyNumberFormat="0" applyBorder="0" applyAlignment="0" applyProtection="0">
      <alignment vertical="center"/>
    </xf>
    <xf numFmtId="0" fontId="90"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90" fillId="38" borderId="0" applyNumberFormat="0" applyBorder="0" applyAlignment="0" applyProtection="0">
      <alignment vertical="center"/>
    </xf>
    <xf numFmtId="0" fontId="90"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90" fillId="38" borderId="0" applyNumberFormat="0" applyBorder="0" applyAlignment="0" applyProtection="0">
      <alignment vertical="center"/>
    </xf>
    <xf numFmtId="0" fontId="41" fillId="3"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41" fillId="3" borderId="0" applyNumberFormat="0" applyBorder="0" applyAlignment="0" applyProtection="0">
      <alignment vertical="center"/>
    </xf>
    <xf numFmtId="0" fontId="89" fillId="38" borderId="0" applyNumberFormat="0" applyBorder="0" applyAlignment="0" applyProtection="0">
      <alignment vertical="center"/>
    </xf>
    <xf numFmtId="0" fontId="41" fillId="3" borderId="0" applyNumberFormat="0" applyBorder="0" applyAlignment="0" applyProtection="0">
      <alignment vertical="center"/>
    </xf>
    <xf numFmtId="0" fontId="89" fillId="38" borderId="0" applyNumberFormat="0" applyBorder="0" applyAlignment="0" applyProtection="0">
      <alignment vertical="center"/>
    </xf>
    <xf numFmtId="0" fontId="42" fillId="3" borderId="0" applyNumberFormat="0" applyBorder="0" applyAlignment="0" applyProtection="0">
      <alignment vertical="center"/>
    </xf>
    <xf numFmtId="0" fontId="89" fillId="38" borderId="0" applyNumberFormat="0" applyBorder="0" applyAlignment="0" applyProtection="0">
      <alignment vertical="center"/>
    </xf>
    <xf numFmtId="0" fontId="42" fillId="3" borderId="0" applyNumberFormat="0" applyBorder="0" applyAlignment="0" applyProtection="0">
      <alignment vertical="center"/>
    </xf>
    <xf numFmtId="0" fontId="89" fillId="38" borderId="0" applyNumberFormat="0" applyBorder="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129" fillId="0" borderId="29" applyNumberFormat="0" applyFill="0" applyAlignment="0" applyProtection="0">
      <alignment vertical="center"/>
    </xf>
    <xf numFmtId="0" fontId="43" fillId="58" borderId="16" applyNumberFormat="0" applyFont="0" applyAlignment="0" applyProtection="0">
      <alignment vertical="center"/>
    </xf>
    <xf numFmtId="0" fontId="44"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4" fillId="58" borderId="16" applyNumberFormat="0" applyFont="0" applyAlignment="0" applyProtection="0">
      <alignment vertical="center"/>
    </xf>
    <xf numFmtId="0" fontId="44"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4" fillId="58" borderId="16" applyNumberFormat="0" applyFont="0" applyAlignment="0" applyProtection="0">
      <alignment vertical="center"/>
    </xf>
    <xf numFmtId="0" fontId="24" fillId="8" borderId="8" applyNumberFormat="0" applyFont="0" applyAlignment="0" applyProtection="0">
      <alignment vertical="center"/>
    </xf>
    <xf numFmtId="0" fontId="24" fillId="8" borderId="8"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24" fillId="8" borderId="8" applyNumberFormat="0" applyFont="0" applyAlignment="0" applyProtection="0">
      <alignment vertical="center"/>
    </xf>
    <xf numFmtId="0" fontId="24" fillId="8" borderId="8" applyNumberFormat="0" applyFont="0" applyAlignment="0" applyProtection="0">
      <alignment vertical="center"/>
    </xf>
    <xf numFmtId="0" fontId="43" fillId="58" borderId="16" applyNumberFormat="0" applyFont="0" applyAlignment="0" applyProtection="0">
      <alignment vertical="center"/>
    </xf>
    <xf numFmtId="0" fontId="24" fillId="8" borderId="8" applyNumberFormat="0" applyFont="0" applyAlignment="0" applyProtection="0">
      <alignment vertical="center"/>
    </xf>
    <xf numFmtId="0" fontId="24" fillId="8" borderId="8" applyNumberFormat="0" applyFont="0" applyAlignment="0" applyProtection="0">
      <alignment vertical="center"/>
    </xf>
    <xf numFmtId="0" fontId="43" fillId="58" borderId="16" applyNumberFormat="0" applyFont="0" applyAlignment="0" applyProtection="0">
      <alignment vertical="center"/>
    </xf>
    <xf numFmtId="0" fontId="43" fillId="8" borderId="8" applyNumberFormat="0" applyFont="0" applyAlignment="0" applyProtection="0">
      <alignment vertical="center"/>
    </xf>
    <xf numFmtId="0" fontId="43" fillId="8" borderId="8" applyNumberFormat="0" applyFont="0" applyAlignment="0" applyProtection="0">
      <alignment vertical="center"/>
    </xf>
    <xf numFmtId="0" fontId="43" fillId="8" borderId="8" applyNumberFormat="0" applyFont="0" applyAlignment="0" applyProtection="0">
      <alignment vertical="center"/>
    </xf>
    <xf numFmtId="0" fontId="43" fillId="8" borderId="8" applyNumberFormat="0" applyFont="0" applyAlignment="0" applyProtection="0">
      <alignment vertical="center"/>
    </xf>
    <xf numFmtId="0" fontId="43" fillId="8" borderId="8" applyNumberFormat="0" applyFont="0" applyAlignment="0" applyProtection="0">
      <alignment vertical="center"/>
    </xf>
    <xf numFmtId="0" fontId="43" fillId="8" borderId="8" applyNumberFormat="0" applyFont="0" applyAlignment="0" applyProtection="0">
      <alignment vertical="center"/>
    </xf>
    <xf numFmtId="0" fontId="43" fillId="58" borderId="16" applyNumberFormat="0" applyFont="0" applyAlignment="0" applyProtection="0">
      <alignment vertical="center"/>
    </xf>
    <xf numFmtId="9" fontId="22"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4"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4"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46" fillId="0" borderId="0" applyFont="0" applyFill="0" applyBorder="0" applyAlignment="0" applyProtection="0">
      <alignment vertical="center"/>
    </xf>
    <xf numFmtId="9" fontId="46"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46"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9" fontId="22" fillId="0" borderId="0" applyFont="0" applyFill="0" applyBorder="0" applyAlignment="0" applyProtection="0">
      <alignment vertical="center"/>
    </xf>
    <xf numFmtId="0" fontId="91" fillId="57" borderId="0" applyNumberFormat="0" applyBorder="0" applyAlignment="0" applyProtection="0">
      <alignment vertical="center"/>
    </xf>
    <xf numFmtId="0" fontId="92"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2" fillId="57" borderId="0" applyNumberFormat="0" applyBorder="0" applyAlignment="0" applyProtection="0">
      <alignment vertical="center"/>
    </xf>
    <xf numFmtId="0" fontId="92"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2" fillId="57" borderId="0" applyNumberFormat="0" applyBorder="0" applyAlignment="0" applyProtection="0">
      <alignment vertical="center"/>
    </xf>
    <xf numFmtId="0" fontId="47" fillId="4"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47" fillId="4" borderId="0" applyNumberFormat="0" applyBorder="0" applyAlignment="0" applyProtection="0">
      <alignment vertical="center"/>
    </xf>
    <xf numFmtId="0" fontId="91" fillId="57" borderId="0" applyNumberFormat="0" applyBorder="0" applyAlignment="0" applyProtection="0">
      <alignment vertical="center"/>
    </xf>
    <xf numFmtId="0" fontId="47" fillId="4" borderId="0" applyNumberFormat="0" applyBorder="0" applyAlignment="0" applyProtection="0">
      <alignment vertical="center"/>
    </xf>
    <xf numFmtId="0" fontId="91" fillId="57" borderId="0" applyNumberFormat="0" applyBorder="0" applyAlignment="0" applyProtection="0">
      <alignment vertical="center"/>
    </xf>
    <xf numFmtId="0" fontId="48" fillId="4" borderId="0" applyNumberFormat="0" applyBorder="0" applyAlignment="0" applyProtection="0">
      <alignment vertical="center"/>
    </xf>
    <xf numFmtId="0" fontId="91" fillId="57" borderId="0" applyNumberFormat="0" applyBorder="0" applyAlignment="0" applyProtection="0">
      <alignment vertical="center"/>
    </xf>
    <xf numFmtId="0" fontId="48" fillId="4" borderId="0" applyNumberFormat="0" applyBorder="0" applyAlignment="0" applyProtection="0">
      <alignment vertical="center"/>
    </xf>
    <xf numFmtId="0" fontId="91" fillId="57" borderId="0" applyNumberFormat="0" applyBorder="0" applyAlignment="0" applyProtection="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3" fillId="0" borderId="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6" fillId="56" borderId="25" applyNumberFormat="0" applyAlignment="0" applyProtection="0">
      <alignment vertical="center"/>
    </xf>
    <xf numFmtId="0" fontId="97"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7" fillId="56" borderId="25" applyNumberFormat="0" applyAlignment="0" applyProtection="0">
      <alignment vertical="center"/>
    </xf>
    <xf numFmtId="0" fontId="97"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7" fillId="56" borderId="25" applyNumberFormat="0" applyAlignment="0" applyProtection="0">
      <alignment vertical="center"/>
    </xf>
    <xf numFmtId="0" fontId="51" fillId="7" borderId="7"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51" fillId="7" borderId="7" applyNumberFormat="0" applyAlignment="0" applyProtection="0">
      <alignment vertical="center"/>
    </xf>
    <xf numFmtId="0" fontId="96" fillId="56" borderId="25" applyNumberFormat="0" applyAlignment="0" applyProtection="0">
      <alignment vertical="center"/>
    </xf>
    <xf numFmtId="0" fontId="51" fillId="7" borderId="7" applyNumberFormat="0" applyAlignment="0" applyProtection="0">
      <alignment vertical="center"/>
    </xf>
    <xf numFmtId="0" fontId="96" fillId="56" borderId="25" applyNumberFormat="0" applyAlignment="0" applyProtection="0">
      <alignment vertical="center"/>
    </xf>
    <xf numFmtId="0" fontId="52" fillId="7" borderId="7" applyNumberFormat="0" applyAlignment="0" applyProtection="0">
      <alignment vertical="center"/>
    </xf>
    <xf numFmtId="0" fontId="96" fillId="56" borderId="25" applyNumberFormat="0" applyAlignment="0" applyProtection="0">
      <alignment vertical="center"/>
    </xf>
    <xf numFmtId="0" fontId="52" fillId="7" borderId="7" applyNumberFormat="0" applyAlignment="0" applyProtection="0">
      <alignment vertical="center"/>
    </xf>
    <xf numFmtId="0" fontId="96" fillId="56" borderId="25"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7" fillId="42" borderId="1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0" fontId="128" fillId="55" borderId="30" applyNumberFormat="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44" fillId="0" borderId="0" applyFont="0" applyFill="0" applyBorder="0" applyAlignment="0" applyProtection="0">
      <alignment vertical="center"/>
    </xf>
    <xf numFmtId="41" fontId="22" fillId="0" borderId="0" applyFont="0" applyFill="0" applyBorder="0" applyAlignment="0" applyProtection="0">
      <alignment vertical="center"/>
    </xf>
    <xf numFmtId="41" fontId="44"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alignment vertical="center"/>
    </xf>
    <xf numFmtId="41" fontId="46" fillId="0" borderId="0" applyFont="0" applyFill="0" applyBorder="0" applyAlignment="0" applyProtection="0">
      <alignment vertical="center"/>
    </xf>
    <xf numFmtId="41" fontId="46" fillId="0" borderId="0" applyFont="0" applyFill="0" applyBorder="0" applyAlignment="0" applyProtection="0">
      <alignment vertical="center"/>
    </xf>
    <xf numFmtId="41" fontId="22" fillId="0" borderId="0" applyFont="0" applyFill="0" applyBorder="0" applyAlignment="0" applyProtection="0">
      <alignment vertical="center"/>
    </xf>
    <xf numFmtId="41" fontId="46"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43" fillId="0" borderId="0" applyFont="0" applyFill="0" applyBorder="0" applyAlignment="0" applyProtection="0">
      <alignment vertical="center"/>
    </xf>
    <xf numFmtId="0" fontId="98" fillId="0" borderId="29" applyNumberFormat="0" applyFill="0" applyAlignment="0" applyProtection="0">
      <alignment vertical="center"/>
    </xf>
    <xf numFmtId="0" fontId="99"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9" fillId="0" borderId="29" applyNumberFormat="0" applyFill="0" applyAlignment="0" applyProtection="0">
      <alignment vertical="center"/>
    </xf>
    <xf numFmtId="0" fontId="99"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9" fillId="0" borderId="29" applyNumberFormat="0" applyFill="0" applyAlignment="0" applyProtection="0">
      <alignment vertical="center"/>
    </xf>
    <xf numFmtId="0" fontId="55" fillId="0" borderId="6"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55" fillId="0" borderId="6" applyNumberFormat="0" applyFill="0" applyAlignment="0" applyProtection="0">
      <alignment vertical="center"/>
    </xf>
    <xf numFmtId="0" fontId="98" fillId="0" borderId="29" applyNumberFormat="0" applyFill="0" applyAlignment="0" applyProtection="0">
      <alignment vertical="center"/>
    </xf>
    <xf numFmtId="0" fontId="55" fillId="0" borderId="6" applyNumberFormat="0" applyFill="0" applyAlignment="0" applyProtection="0">
      <alignment vertical="center"/>
    </xf>
    <xf numFmtId="0" fontId="98" fillId="0" borderId="29" applyNumberFormat="0" applyFill="0" applyAlignment="0" applyProtection="0">
      <alignment vertical="center"/>
    </xf>
    <xf numFmtId="0" fontId="56" fillId="0" borderId="6" applyNumberFormat="0" applyFill="0" applyAlignment="0" applyProtection="0">
      <alignment vertical="center"/>
    </xf>
    <xf numFmtId="0" fontId="98" fillId="0" borderId="29" applyNumberFormat="0" applyFill="0" applyAlignment="0" applyProtection="0">
      <alignment vertical="center"/>
    </xf>
    <xf numFmtId="0" fontId="56" fillId="0" borderId="6" applyNumberFormat="0" applyFill="0" applyAlignment="0" applyProtection="0">
      <alignment vertical="center"/>
    </xf>
    <xf numFmtId="0" fontId="98" fillId="0" borderId="29" applyNumberFormat="0" applyFill="0" applyAlignment="0" applyProtection="0">
      <alignment vertical="center"/>
    </xf>
    <xf numFmtId="0" fontId="57" fillId="0" borderId="0" applyNumberFormat="0" applyFill="0" applyBorder="0" applyAlignment="0" applyProtection="0">
      <alignment vertical="center"/>
    </xf>
    <xf numFmtId="0" fontId="100" fillId="0" borderId="31" applyNumberFormat="0" applyFill="0" applyAlignment="0" applyProtection="0">
      <alignment vertical="center"/>
    </xf>
    <xf numFmtId="0" fontId="101"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1" fillId="0" borderId="31" applyNumberFormat="0" applyFill="0" applyAlignment="0" applyProtection="0">
      <alignment vertical="center"/>
    </xf>
    <xf numFmtId="0" fontId="101"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1" fillId="0" borderId="31" applyNumberFormat="0" applyFill="0" applyAlignment="0" applyProtection="0">
      <alignment vertical="center"/>
    </xf>
    <xf numFmtId="0" fontId="58" fillId="0" borderId="9"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100" fillId="0" borderId="31" applyNumberFormat="0" applyFill="0" applyAlignment="0" applyProtection="0">
      <alignment vertical="center"/>
    </xf>
    <xf numFmtId="0" fontId="58" fillId="0" borderId="9" applyNumberFormat="0" applyFill="0" applyAlignment="0" applyProtection="0">
      <alignment vertical="center"/>
    </xf>
    <xf numFmtId="0" fontId="100" fillId="0" borderId="31" applyNumberFormat="0" applyFill="0" applyAlignment="0" applyProtection="0">
      <alignment vertical="center"/>
    </xf>
    <xf numFmtId="0" fontId="58" fillId="0" borderId="9" applyNumberFormat="0" applyFill="0" applyAlignment="0" applyProtection="0">
      <alignment vertical="center"/>
    </xf>
    <xf numFmtId="0" fontId="100" fillId="0" borderId="31" applyNumberFormat="0" applyFill="0" applyAlignment="0" applyProtection="0">
      <alignment vertical="center"/>
    </xf>
    <xf numFmtId="0" fontId="59" fillId="0" borderId="9" applyNumberFormat="0" applyFill="0" applyAlignment="0" applyProtection="0">
      <alignment vertical="center"/>
    </xf>
    <xf numFmtId="0" fontId="100" fillId="0" borderId="31" applyNumberFormat="0" applyFill="0" applyAlignment="0" applyProtection="0">
      <alignment vertical="center"/>
    </xf>
    <xf numFmtId="0" fontId="59" fillId="0" borderId="9" applyNumberFormat="0" applyFill="0" applyAlignment="0" applyProtection="0">
      <alignment vertical="center"/>
    </xf>
    <xf numFmtId="0" fontId="100" fillId="0" borderId="31" applyNumberFormat="0" applyFill="0" applyAlignment="0" applyProtection="0">
      <alignment vertical="center"/>
    </xf>
    <xf numFmtId="0" fontId="102" fillId="42" borderId="10" applyNumberFormat="0" applyAlignment="0" applyProtection="0">
      <alignment vertical="center"/>
    </xf>
    <xf numFmtId="0" fontId="103"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3" fillId="42" borderId="10" applyNumberFormat="0" applyAlignment="0" applyProtection="0">
      <alignment vertical="center"/>
    </xf>
    <xf numFmtId="0" fontId="103"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3" fillId="42" borderId="10" applyNumberFormat="0" applyAlignment="0" applyProtection="0">
      <alignment vertical="center"/>
    </xf>
    <xf numFmtId="0" fontId="60" fillId="5" borderId="4"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60" fillId="5" borderId="4" applyNumberFormat="0" applyAlignment="0" applyProtection="0">
      <alignment vertical="center"/>
    </xf>
    <xf numFmtId="0" fontId="102" fillId="42" borderId="10" applyNumberFormat="0" applyAlignment="0" applyProtection="0">
      <alignment vertical="center"/>
    </xf>
    <xf numFmtId="0" fontId="60" fillId="5" borderId="4" applyNumberFormat="0" applyAlignment="0" applyProtection="0">
      <alignment vertical="center"/>
    </xf>
    <xf numFmtId="0" fontId="102" fillId="42" borderId="10" applyNumberFormat="0" applyAlignment="0" applyProtection="0">
      <alignment vertical="center"/>
    </xf>
    <xf numFmtId="0" fontId="61" fillId="5" borderId="4" applyNumberFormat="0" applyAlignment="0" applyProtection="0">
      <alignment vertical="center"/>
    </xf>
    <xf numFmtId="0" fontId="102" fillId="42" borderId="10" applyNumberFormat="0" applyAlignment="0" applyProtection="0">
      <alignment vertical="center"/>
    </xf>
    <xf numFmtId="0" fontId="61" fillId="5" borderId="4" applyNumberFormat="0" applyAlignment="0" applyProtection="0">
      <alignment vertical="center"/>
    </xf>
    <xf numFmtId="0" fontId="102" fillId="42" borderId="10" applyNumberFormat="0" applyAlignment="0" applyProtection="0">
      <alignment vertical="center"/>
    </xf>
    <xf numFmtId="0" fontId="104" fillId="0" borderId="0" applyNumberFormat="0" applyFill="0" applyBorder="0" applyAlignment="0" applyProtection="0">
      <alignment vertical="center"/>
    </xf>
    <xf numFmtId="0" fontId="105" fillId="0" borderId="26" applyNumberFormat="0" applyFill="0" applyAlignment="0" applyProtection="0">
      <alignment vertical="center"/>
    </xf>
    <xf numFmtId="0" fontId="106"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6" fillId="0" borderId="26" applyNumberFormat="0" applyFill="0" applyAlignment="0" applyProtection="0">
      <alignment vertical="center"/>
    </xf>
    <xf numFmtId="0" fontId="106"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6" fillId="0" borderId="26" applyNumberFormat="0" applyFill="0" applyAlignment="0" applyProtection="0">
      <alignment vertical="center"/>
    </xf>
    <xf numFmtId="0" fontId="62" fillId="0" borderId="1"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62" fillId="0" borderId="1" applyNumberFormat="0" applyFill="0" applyAlignment="0" applyProtection="0">
      <alignment vertical="center"/>
    </xf>
    <xf numFmtId="0" fontId="105" fillId="0" borderId="26" applyNumberFormat="0" applyFill="0" applyAlignment="0" applyProtection="0">
      <alignment vertical="center"/>
    </xf>
    <xf numFmtId="0" fontId="62" fillId="0" borderId="1" applyNumberFormat="0" applyFill="0" applyAlignment="0" applyProtection="0">
      <alignment vertical="center"/>
    </xf>
    <xf numFmtId="0" fontId="105" fillId="0" borderId="26" applyNumberFormat="0" applyFill="0" applyAlignment="0" applyProtection="0">
      <alignment vertical="center"/>
    </xf>
    <xf numFmtId="0" fontId="63" fillId="0" borderId="1" applyNumberFormat="0" applyFill="0" applyAlignment="0" applyProtection="0">
      <alignment vertical="center"/>
    </xf>
    <xf numFmtId="0" fontId="105" fillId="0" borderId="26" applyNumberFormat="0" applyFill="0" applyAlignment="0" applyProtection="0">
      <alignment vertical="center"/>
    </xf>
    <xf numFmtId="0" fontId="63" fillId="0" borderId="1" applyNumberFormat="0" applyFill="0" applyAlignment="0" applyProtection="0">
      <alignment vertical="center"/>
    </xf>
    <xf numFmtId="0" fontId="105" fillId="0" borderId="26" applyNumberFormat="0" applyFill="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7" fillId="0" borderId="27" applyNumberFormat="0" applyFill="0" applyAlignment="0" applyProtection="0">
      <alignment vertical="center"/>
    </xf>
    <xf numFmtId="0" fontId="108"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8" fillId="0" borderId="27" applyNumberFormat="0" applyFill="0" applyAlignment="0" applyProtection="0">
      <alignment vertical="center"/>
    </xf>
    <xf numFmtId="0" fontId="108"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8" fillId="0" borderId="27" applyNumberFormat="0" applyFill="0" applyAlignment="0" applyProtection="0">
      <alignment vertical="center"/>
    </xf>
    <xf numFmtId="0" fontId="65" fillId="0" borderId="2"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65" fillId="0" borderId="2" applyNumberFormat="0" applyFill="0" applyAlignment="0" applyProtection="0">
      <alignment vertical="center"/>
    </xf>
    <xf numFmtId="0" fontId="107" fillId="0" borderId="27" applyNumberFormat="0" applyFill="0" applyAlignment="0" applyProtection="0">
      <alignment vertical="center"/>
    </xf>
    <xf numFmtId="0" fontId="65" fillId="0" borderId="2" applyNumberFormat="0" applyFill="0" applyAlignment="0" applyProtection="0">
      <alignment vertical="center"/>
    </xf>
    <xf numFmtId="0" fontId="107" fillId="0" borderId="27" applyNumberFormat="0" applyFill="0" applyAlignment="0" applyProtection="0">
      <alignment vertical="center"/>
    </xf>
    <xf numFmtId="0" fontId="66" fillId="0" borderId="2" applyNumberFormat="0" applyFill="0" applyAlignment="0" applyProtection="0">
      <alignment vertical="center"/>
    </xf>
    <xf numFmtId="0" fontId="107" fillId="0" borderId="27" applyNumberFormat="0" applyFill="0" applyAlignment="0" applyProtection="0">
      <alignment vertical="center"/>
    </xf>
    <xf numFmtId="0" fontId="66" fillId="0" borderId="2" applyNumberFormat="0" applyFill="0" applyAlignment="0" applyProtection="0">
      <alignment vertical="center"/>
    </xf>
    <xf numFmtId="0" fontId="107" fillId="0" borderId="27" applyNumberFormat="0" applyFill="0" applyAlignment="0" applyProtection="0">
      <alignment vertical="center"/>
    </xf>
    <xf numFmtId="0" fontId="109" fillId="0" borderId="28" applyNumberFormat="0" applyFill="0" applyAlignment="0" applyProtection="0">
      <alignment vertical="center"/>
    </xf>
    <xf numFmtId="0" fontId="110"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10" fillId="0" borderId="28" applyNumberFormat="0" applyFill="0" applyAlignment="0" applyProtection="0">
      <alignment vertical="center"/>
    </xf>
    <xf numFmtId="0" fontId="110"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10" fillId="0" borderId="28" applyNumberFormat="0" applyFill="0" applyAlignment="0" applyProtection="0">
      <alignment vertical="center"/>
    </xf>
    <xf numFmtId="0" fontId="67" fillId="0" borderId="3"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67" fillId="0" borderId="3" applyNumberFormat="0" applyFill="0" applyAlignment="0" applyProtection="0">
      <alignment vertical="center"/>
    </xf>
    <xf numFmtId="0" fontId="109" fillId="0" borderId="28" applyNumberFormat="0" applyFill="0" applyAlignment="0" applyProtection="0">
      <alignment vertical="center"/>
    </xf>
    <xf numFmtId="0" fontId="67" fillId="0" borderId="3" applyNumberFormat="0" applyFill="0" applyAlignment="0" applyProtection="0">
      <alignment vertical="center"/>
    </xf>
    <xf numFmtId="0" fontId="109" fillId="0" borderId="28" applyNumberFormat="0" applyFill="0" applyAlignment="0" applyProtection="0">
      <alignment vertical="center"/>
    </xf>
    <xf numFmtId="0" fontId="68" fillId="0" borderId="3" applyNumberFormat="0" applyFill="0" applyAlignment="0" applyProtection="0">
      <alignment vertical="center"/>
    </xf>
    <xf numFmtId="0" fontId="109" fillId="0" borderId="28" applyNumberFormat="0" applyFill="0" applyAlignment="0" applyProtection="0">
      <alignment vertical="center"/>
    </xf>
    <xf numFmtId="0" fontId="68" fillId="0" borderId="3" applyNumberFormat="0" applyFill="0" applyAlignment="0" applyProtection="0">
      <alignment vertical="center"/>
    </xf>
    <xf numFmtId="0" fontId="109" fillId="0" borderId="28" applyNumberFormat="0" applyFill="0" applyAlignment="0" applyProtection="0">
      <alignment vertical="center"/>
    </xf>
    <xf numFmtId="0" fontId="109"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111" fillId="39" borderId="0" applyNumberFormat="0" applyBorder="0" applyAlignment="0" applyProtection="0">
      <alignment vertical="center"/>
    </xf>
    <xf numFmtId="0" fontId="112"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2" fillId="39" borderId="0" applyNumberFormat="0" applyBorder="0" applyAlignment="0" applyProtection="0">
      <alignment vertical="center"/>
    </xf>
    <xf numFmtId="0" fontId="112"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2" fillId="39" borderId="0" applyNumberFormat="0" applyBorder="0" applyAlignment="0" applyProtection="0">
      <alignment vertical="center"/>
    </xf>
    <xf numFmtId="0" fontId="69" fillId="2"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69" fillId="2" borderId="0" applyNumberFormat="0" applyBorder="0" applyAlignment="0" applyProtection="0">
      <alignment vertical="center"/>
    </xf>
    <xf numFmtId="0" fontId="111" fillId="39" borderId="0" applyNumberFormat="0" applyBorder="0" applyAlignment="0" applyProtection="0">
      <alignment vertical="center"/>
    </xf>
    <xf numFmtId="0" fontId="69" fillId="2" borderId="0" applyNumberFormat="0" applyBorder="0" applyAlignment="0" applyProtection="0">
      <alignment vertical="center"/>
    </xf>
    <xf numFmtId="0" fontId="111" fillId="39" borderId="0" applyNumberFormat="0" applyBorder="0" applyAlignment="0" applyProtection="0">
      <alignment vertical="center"/>
    </xf>
    <xf numFmtId="0" fontId="70" fillId="2" borderId="0" applyNumberFormat="0" applyBorder="0" applyAlignment="0" applyProtection="0">
      <alignment vertical="center"/>
    </xf>
    <xf numFmtId="0" fontId="111" fillId="39" borderId="0" applyNumberFormat="0" applyBorder="0" applyAlignment="0" applyProtection="0">
      <alignment vertical="center"/>
    </xf>
    <xf numFmtId="0" fontId="70" fillId="2" borderId="0" applyNumberFormat="0" applyBorder="0" applyAlignment="0" applyProtection="0">
      <alignment vertical="center"/>
    </xf>
    <xf numFmtId="0" fontId="111" fillId="39" borderId="0" applyNumberFormat="0" applyBorder="0" applyAlignment="0" applyProtection="0">
      <alignment vertical="center"/>
    </xf>
    <xf numFmtId="0" fontId="9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9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113" fillId="58" borderId="16" applyNumberFormat="0" applyFont="0" applyAlignment="0" applyProtection="0">
      <alignment vertical="center"/>
    </xf>
    <xf numFmtId="0" fontId="93" fillId="58" borderId="16" applyNumberFormat="0" applyFont="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4" fillId="38" borderId="0" applyNumberFormat="0" applyBorder="0" applyAlignment="0" applyProtection="0">
      <alignment vertical="center"/>
    </xf>
    <xf numFmtId="0" fontId="115" fillId="55" borderId="30" applyNumberFormat="0" applyAlignment="0" applyProtection="0">
      <alignment vertical="center"/>
    </xf>
    <xf numFmtId="0" fontId="116"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6" fillId="55" borderId="30" applyNumberFormat="0" applyAlignment="0" applyProtection="0">
      <alignment vertical="center"/>
    </xf>
    <xf numFmtId="0" fontId="116"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6" fillId="55" borderId="30" applyNumberFormat="0" applyAlignment="0" applyProtection="0">
      <alignment vertical="center"/>
    </xf>
    <xf numFmtId="0" fontId="71" fillId="6" borderId="5"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115" fillId="55" borderId="30" applyNumberFormat="0" applyAlignment="0" applyProtection="0">
      <alignment vertical="center"/>
    </xf>
    <xf numFmtId="0" fontId="71" fillId="6" borderId="5" applyNumberFormat="0" applyAlignment="0" applyProtection="0">
      <alignment vertical="center"/>
    </xf>
    <xf numFmtId="0" fontId="115" fillId="55" borderId="30" applyNumberFormat="0" applyAlignment="0" applyProtection="0">
      <alignment vertical="center"/>
    </xf>
    <xf numFmtId="0" fontId="71" fillId="6" borderId="5" applyNumberFormat="0" applyAlignment="0" applyProtection="0">
      <alignment vertical="center"/>
    </xf>
    <xf numFmtId="0" fontId="115" fillId="55" borderId="30" applyNumberFormat="0" applyAlignment="0" applyProtection="0">
      <alignment vertical="center"/>
    </xf>
    <xf numFmtId="0" fontId="72" fillId="6" borderId="5" applyNumberFormat="0" applyAlignment="0" applyProtection="0">
      <alignment vertical="center"/>
    </xf>
    <xf numFmtId="0" fontId="115" fillId="55" borderId="30" applyNumberFormat="0" applyAlignment="0" applyProtection="0">
      <alignment vertical="center"/>
    </xf>
    <xf numFmtId="0" fontId="72" fillId="6" borderId="5" applyNumberFormat="0" applyAlignment="0" applyProtection="0">
      <alignment vertical="center"/>
    </xf>
    <xf numFmtId="0" fontId="115" fillId="55" borderId="30" applyNumberFormat="0" applyAlignment="0" applyProtection="0">
      <alignment vertical="center"/>
    </xf>
    <xf numFmtId="42" fontId="44" fillId="0" borderId="0" applyFont="0" applyFill="0" applyBorder="0" applyAlignment="0" applyProtection="0">
      <alignment vertical="center"/>
    </xf>
    <xf numFmtId="42" fontId="44" fillId="0" borderId="0" applyFont="0" applyFill="0" applyBorder="0" applyAlignment="0" applyProtection="0">
      <alignment vertical="center"/>
    </xf>
    <xf numFmtId="0" fontId="120" fillId="0" borderId="0" applyNumberFormat="0" applyFill="0" applyBorder="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1" fillId="0" borderId="26"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2" fillId="0" borderId="27"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28" applyNumberFormat="0" applyFill="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3"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22" fillId="0" borderId="0">
      <alignment vertical="center"/>
    </xf>
    <xf numFmtId="0" fontId="18"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1"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18"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18"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5"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18"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18"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177" fontId="74" fillId="0" borderId="0">
      <alignment vertical="center"/>
    </xf>
    <xf numFmtId="0" fontId="22" fillId="0" borderId="0">
      <alignment vertical="center"/>
    </xf>
    <xf numFmtId="0" fontId="18"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117" fillId="0" borderId="0">
      <alignment vertical="center"/>
    </xf>
    <xf numFmtId="0" fontId="43" fillId="0" borderId="0">
      <alignment vertical="center"/>
    </xf>
    <xf numFmtId="0" fontId="18" fillId="0" borderId="0">
      <alignment vertical="center"/>
    </xf>
    <xf numFmtId="0" fontId="43" fillId="0" borderId="0">
      <alignment vertical="center"/>
    </xf>
    <xf numFmtId="0" fontId="25" fillId="0" borderId="0">
      <alignment vertical="center"/>
    </xf>
    <xf numFmtId="0" fontId="44" fillId="0" borderId="0">
      <alignment vertical="center"/>
    </xf>
    <xf numFmtId="0" fontId="117"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43" fillId="0" borderId="0"/>
    <xf numFmtId="0" fontId="43" fillId="0" borderId="0"/>
    <xf numFmtId="0" fontId="43" fillId="0" borderId="0"/>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25" fillId="0" borderId="0">
      <alignment vertical="center"/>
    </xf>
    <xf numFmtId="0" fontId="22"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4" fillId="0" borderId="0">
      <alignment vertical="center"/>
    </xf>
    <xf numFmtId="0" fontId="43"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43" fillId="0" borderId="0">
      <alignment vertical="center"/>
    </xf>
    <xf numFmtId="0" fontId="18" fillId="0" borderId="0">
      <alignment vertical="center"/>
    </xf>
    <xf numFmtId="0" fontId="43" fillId="0" borderId="0">
      <alignment vertical="center"/>
    </xf>
    <xf numFmtId="0" fontId="18"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18"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18"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18" fillId="0" borderId="0">
      <alignment vertical="center"/>
    </xf>
    <xf numFmtId="0" fontId="43" fillId="0" borderId="0">
      <alignment vertical="center"/>
    </xf>
    <xf numFmtId="0" fontId="43" fillId="0" borderId="0">
      <alignment vertical="center"/>
    </xf>
    <xf numFmtId="0" fontId="18" fillId="0" borderId="0">
      <alignment vertical="center"/>
    </xf>
    <xf numFmtId="0" fontId="43" fillId="0" borderId="0">
      <alignment vertical="center"/>
    </xf>
    <xf numFmtId="0" fontId="43" fillId="0" borderId="0">
      <alignment vertical="center"/>
    </xf>
    <xf numFmtId="0" fontId="25" fillId="0" borderId="0">
      <alignment vertical="center"/>
    </xf>
    <xf numFmtId="0" fontId="43" fillId="0" borderId="0">
      <alignment vertical="center"/>
    </xf>
    <xf numFmtId="0" fontId="43" fillId="0" borderId="0">
      <alignment vertical="center"/>
    </xf>
    <xf numFmtId="0" fontId="43" fillId="0" borderId="0">
      <alignment vertical="center"/>
    </xf>
    <xf numFmtId="0" fontId="18" fillId="0" borderId="0">
      <alignment vertical="center"/>
    </xf>
    <xf numFmtId="0" fontId="43" fillId="0" borderId="0">
      <alignment vertical="center"/>
    </xf>
    <xf numFmtId="0" fontId="43" fillId="0" borderId="0">
      <alignment vertical="center"/>
    </xf>
    <xf numFmtId="0" fontId="25"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4"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5" fillId="0" borderId="0">
      <alignment vertical="center"/>
    </xf>
    <xf numFmtId="0" fontId="22" fillId="0" borderId="0">
      <alignment vertical="center"/>
    </xf>
    <xf numFmtId="0" fontId="18"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75"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2" fillId="0" borderId="0">
      <alignment vertical="center"/>
    </xf>
    <xf numFmtId="0" fontId="18"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76" fillId="0" borderId="0"/>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2" fillId="0" borderId="0">
      <alignment vertical="center"/>
    </xf>
    <xf numFmtId="0" fontId="76" fillId="0" borderId="0"/>
    <xf numFmtId="0" fontId="22" fillId="0" borderId="0">
      <alignment vertical="center"/>
    </xf>
    <xf numFmtId="0" fontId="76" fillId="0" borderId="0"/>
    <xf numFmtId="0" fontId="22" fillId="0" borderId="0">
      <alignment vertical="center"/>
    </xf>
    <xf numFmtId="0" fontId="76" fillId="0" borderId="0"/>
    <xf numFmtId="0" fontId="22" fillId="0" borderId="0">
      <alignment vertical="center"/>
    </xf>
    <xf numFmtId="0" fontId="76" fillId="0" borderId="0"/>
    <xf numFmtId="0" fontId="22" fillId="0" borderId="0">
      <alignment vertical="center"/>
    </xf>
    <xf numFmtId="0" fontId="76" fillId="0" borderId="0"/>
    <xf numFmtId="0" fontId="22" fillId="0" borderId="0">
      <alignment vertical="center"/>
    </xf>
    <xf numFmtId="0" fontId="76" fillId="0" borderId="0"/>
    <xf numFmtId="0" fontId="22" fillId="0" borderId="0">
      <alignment vertical="center"/>
    </xf>
    <xf numFmtId="0" fontId="18" fillId="0" borderId="0">
      <alignment vertical="center"/>
    </xf>
    <xf numFmtId="0" fontId="57"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19" fillId="39" borderId="0" applyNumberFormat="0" applyBorder="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25" fillId="0" borderId="31" applyNumberFormat="0" applyFill="0" applyAlignment="0" applyProtection="0">
      <alignment vertical="center"/>
    </xf>
    <xf numFmtId="0" fontId="102" fillId="42" borderId="10" applyNumberFormat="0" applyAlignment="0" applyProtection="0">
      <alignment vertical="center"/>
    </xf>
    <xf numFmtId="0" fontId="126" fillId="55" borderId="10" applyNumberFormat="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39"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2"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4"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5"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0"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3"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30" fillId="46" borderId="0" applyNumberFormat="0" applyBorder="0" applyAlignment="0" applyProtection="0">
      <alignment vertical="center"/>
    </xf>
    <xf numFmtId="0" fontId="104" fillId="0" borderId="0" applyNumberFormat="0" applyFill="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102" fillId="42" borderId="10" applyNumberFormat="0" applyAlignment="0" applyProtection="0">
      <alignment vertical="center"/>
    </xf>
    <xf numFmtId="0" fontId="102" fillId="42"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26" fillId="55" borderId="10" applyNumberFormat="0" applyAlignment="0" applyProtection="0">
      <alignment vertical="center"/>
    </xf>
    <xf numFmtId="0" fontId="102" fillId="42"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7"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8"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39"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1"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2"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4"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5"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0"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3"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79" fillId="46" borderId="0" applyNumberFormat="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41" fontId="18" fillId="0" borderId="0" applyFont="0" applyFill="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6" fillId="12" borderId="0" applyNumberFormat="0" applyBorder="0" applyAlignment="0" applyProtection="0">
      <alignment vertical="center"/>
    </xf>
    <xf numFmtId="0" fontId="26" fillId="16" borderId="0" applyNumberFormat="0" applyBorder="0" applyAlignment="0" applyProtection="0">
      <alignment vertical="center"/>
    </xf>
    <xf numFmtId="0" fontId="26" fillId="20" borderId="0" applyNumberFormat="0" applyBorder="0" applyAlignment="0" applyProtection="0">
      <alignment vertical="center"/>
    </xf>
    <xf numFmtId="0" fontId="26" fillId="24" borderId="0" applyNumberFormat="0" applyBorder="0" applyAlignment="0" applyProtection="0">
      <alignment vertical="center"/>
    </xf>
    <xf numFmtId="0" fontId="26" fillId="28" borderId="0" applyNumberFormat="0" applyBorder="0" applyAlignment="0" applyProtection="0">
      <alignment vertical="center"/>
    </xf>
    <xf numFmtId="0" fontId="26" fillId="32" borderId="0" applyNumberFormat="0" applyBorder="0" applyAlignment="0" applyProtection="0">
      <alignment vertical="center"/>
    </xf>
    <xf numFmtId="0" fontId="26" fillId="9" borderId="0" applyNumberFormat="0" applyBorder="0" applyAlignment="0" applyProtection="0">
      <alignment vertical="center"/>
    </xf>
    <xf numFmtId="0" fontId="26" fillId="13" borderId="0" applyNumberFormat="0" applyBorder="0" applyAlignment="0" applyProtection="0">
      <alignment vertical="center"/>
    </xf>
    <xf numFmtId="0" fontId="26" fillId="17" borderId="0" applyNumberFormat="0" applyBorder="0" applyAlignment="0" applyProtection="0">
      <alignment vertical="center"/>
    </xf>
    <xf numFmtId="0" fontId="26" fillId="21" borderId="0" applyNumberFormat="0" applyBorder="0" applyAlignment="0" applyProtection="0">
      <alignment vertical="center"/>
    </xf>
    <xf numFmtId="0" fontId="26" fillId="25" borderId="0" applyNumberFormat="0" applyBorder="0" applyAlignment="0" applyProtection="0">
      <alignment vertical="center"/>
    </xf>
    <xf numFmtId="0" fontId="26" fillId="29" borderId="0" applyNumberFormat="0" applyBorder="0" applyAlignment="0" applyProtection="0">
      <alignment vertical="center"/>
    </xf>
    <xf numFmtId="0" fontId="34" fillId="0" borderId="0" applyNumberFormat="0" applyFill="0" applyBorder="0" applyAlignment="0" applyProtection="0">
      <alignment vertical="center"/>
    </xf>
    <xf numFmtId="0" fontId="36" fillId="6" borderId="4" applyNumberFormat="0" applyAlignment="0" applyProtection="0">
      <alignment vertical="center"/>
    </xf>
    <xf numFmtId="0" fontId="36" fillId="6" borderId="4" applyNumberFormat="0" applyAlignment="0" applyProtection="0">
      <alignment vertical="center"/>
    </xf>
    <xf numFmtId="0" fontId="36" fillId="6" borderId="4" applyNumberFormat="0" applyAlignment="0" applyProtection="0">
      <alignment vertical="center"/>
    </xf>
    <xf numFmtId="0" fontId="41" fillId="3" borderId="0" applyNumberFormat="0" applyBorder="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18" fillId="8" borderId="8" applyNumberFormat="0" applyFont="0" applyAlignment="0" applyProtection="0">
      <alignment vertical="center"/>
    </xf>
    <xf numFmtId="0" fontId="18" fillId="8" borderId="8" applyNumberFormat="0" applyFont="0" applyAlignment="0" applyProtection="0">
      <alignment vertical="center"/>
    </xf>
    <xf numFmtId="0" fontId="18" fillId="8" borderId="8" applyNumberFormat="0" applyFont="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45" fillId="0" borderId="0" applyFont="0" applyFill="0" applyBorder="0" applyAlignment="0" applyProtection="0">
      <alignment vertical="center"/>
    </xf>
    <xf numFmtId="0" fontId="47" fillId="4" borderId="0" applyNumberFormat="0" applyBorder="0" applyAlignment="0" applyProtection="0">
      <alignment vertical="center"/>
    </xf>
    <xf numFmtId="0" fontId="49" fillId="0" borderId="0" applyNumberFormat="0" applyFill="0" applyBorder="0" applyAlignment="0" applyProtection="0">
      <alignment vertical="center"/>
    </xf>
    <xf numFmtId="0" fontId="51" fillId="7" borderId="7" applyNumberFormat="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45" fillId="0" borderId="0" applyFont="0" applyFill="0" applyBorder="0" applyAlignment="0" applyProtection="0">
      <alignment vertical="center"/>
    </xf>
    <xf numFmtId="41" fontId="18" fillId="0" borderId="0" applyFont="0" applyFill="0" applyBorder="0" applyAlignment="0" applyProtection="0">
      <alignment vertical="center"/>
    </xf>
    <xf numFmtId="0" fontId="55" fillId="0" borderId="6" applyNumberFormat="0" applyFill="0" applyAlignment="0" applyProtection="0">
      <alignment vertical="center"/>
    </xf>
    <xf numFmtId="0" fontId="58" fillId="0" borderId="9" applyNumberFormat="0" applyFill="0" applyAlignment="0" applyProtection="0">
      <alignment vertical="center"/>
    </xf>
    <xf numFmtId="0" fontId="60" fillId="5" borderId="4" applyNumberFormat="0" applyAlignment="0" applyProtection="0">
      <alignment vertical="center"/>
    </xf>
    <xf numFmtId="0" fontId="62" fillId="0" borderId="1" applyNumberFormat="0" applyFill="0" applyAlignment="0" applyProtection="0">
      <alignment vertical="center"/>
    </xf>
    <xf numFmtId="0" fontId="65" fillId="0" borderId="2" applyNumberFormat="0" applyFill="0" applyAlignment="0" applyProtection="0">
      <alignment vertical="center"/>
    </xf>
    <xf numFmtId="0" fontId="67" fillId="0" borderId="3" applyNumberFormat="0" applyFill="0" applyAlignment="0" applyProtection="0">
      <alignment vertical="center"/>
    </xf>
    <xf numFmtId="0" fontId="67" fillId="0" borderId="0" applyNumberFormat="0" applyFill="0" applyBorder="0" applyAlignment="0" applyProtection="0">
      <alignment vertical="center"/>
    </xf>
    <xf numFmtId="0" fontId="69" fillId="2" borderId="0" applyNumberFormat="0" applyBorder="0" applyAlignment="0" applyProtection="0">
      <alignment vertical="center"/>
    </xf>
    <xf numFmtId="0" fontId="71" fillId="6" borderId="5" applyNumberFormat="0" applyAlignment="0" applyProtection="0">
      <alignment vertical="center"/>
    </xf>
    <xf numFmtId="42" fontId="21" fillId="0" borderId="0" applyFont="0" applyFill="0" applyBorder="0" applyAlignment="0" applyProtection="0">
      <alignment vertical="center"/>
    </xf>
    <xf numFmtId="0" fontId="18" fillId="0" borderId="0">
      <alignment vertical="center"/>
    </xf>
    <xf numFmtId="0" fontId="24" fillId="0" borderId="0">
      <alignment vertical="center"/>
    </xf>
    <xf numFmtId="0" fontId="18" fillId="0" borderId="0">
      <alignment vertical="center"/>
    </xf>
    <xf numFmtId="0" fontId="22" fillId="0" borderId="0"/>
    <xf numFmtId="41" fontId="22" fillId="0" borderId="0" applyFont="0" applyFill="0" applyBorder="0" applyAlignment="0" applyProtection="0"/>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18" fillId="0" borderId="0">
      <alignment vertical="center"/>
    </xf>
    <xf numFmtId="41" fontId="18"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9" fillId="0" borderId="0">
      <alignment vertical="center"/>
    </xf>
    <xf numFmtId="0" fontId="9" fillId="0" borderId="0">
      <alignment vertical="center"/>
    </xf>
    <xf numFmtId="0" fontId="9" fillId="0" borderId="0">
      <alignment vertical="center"/>
    </xf>
    <xf numFmtId="0" fontId="104" fillId="0" borderId="0" applyNumberFormat="0" applyFill="0" applyBorder="0" applyAlignment="0" applyProtection="0">
      <alignment vertical="center"/>
    </xf>
    <xf numFmtId="0" fontId="86" fillId="55" borderId="10" applyNumberFormat="0" applyAlignment="0" applyProtection="0">
      <alignment vertical="center"/>
    </xf>
    <xf numFmtId="0" fontId="86" fillId="55" borderId="10" applyNumberFormat="0" applyAlignment="0" applyProtection="0">
      <alignment vertical="center"/>
    </xf>
    <xf numFmtId="0" fontId="104" fillId="0" borderId="0" applyNumberForma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9" fillId="0" borderId="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9" fillId="0" borderId="0">
      <alignment vertical="center"/>
    </xf>
    <xf numFmtId="0" fontId="9" fillId="0" borderId="0">
      <alignment vertical="center"/>
    </xf>
    <xf numFmtId="41" fontId="9" fillId="0" borderId="0" applyFont="0" applyFill="0" applyBorder="0" applyAlignment="0" applyProtection="0">
      <alignment vertical="center"/>
    </xf>
    <xf numFmtId="9" fontId="18"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9" fontId="18"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9" fillId="0" borderId="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41" fontId="9" fillId="0" borderId="0" applyFont="0" applyFill="0" applyBorder="0" applyAlignment="0" applyProtection="0">
      <alignment vertical="center"/>
    </xf>
    <xf numFmtId="0" fontId="9" fillId="0" borderId="0">
      <alignment vertical="center"/>
    </xf>
    <xf numFmtId="0" fontId="8" fillId="0" borderId="0">
      <alignment vertical="center"/>
    </xf>
    <xf numFmtId="0" fontId="22" fillId="0" borderId="0"/>
    <xf numFmtId="0" fontId="28" fillId="0" borderId="0"/>
    <xf numFmtId="0" fontId="7" fillId="0" borderId="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3" fillId="40" borderId="0" applyNumberFormat="0" applyBorder="0" applyAlignment="0" applyProtection="0">
      <alignment vertical="center"/>
    </xf>
    <xf numFmtId="0" fontId="43" fillId="43" borderId="0" applyNumberFormat="0" applyBorder="0" applyAlignment="0" applyProtection="0">
      <alignment vertical="center"/>
    </xf>
    <xf numFmtId="0" fontId="43" fillId="46" borderId="0" applyNumberFormat="0" applyBorder="0" applyAlignment="0" applyProtection="0">
      <alignment vertical="center"/>
    </xf>
    <xf numFmtId="0" fontId="80" fillId="47" borderId="0" applyNumberFormat="0" applyBorder="0" applyAlignment="0" applyProtection="0">
      <alignment vertical="center"/>
    </xf>
    <xf numFmtId="0" fontId="80" fillId="44" borderId="0" applyNumberFormat="0" applyBorder="0" applyAlignment="0" applyProtection="0">
      <alignment vertical="center"/>
    </xf>
    <xf numFmtId="0" fontId="80" fillId="45"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0" fillId="50" borderId="0" applyNumberFormat="0" applyBorder="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80" fillId="51" borderId="0" applyNumberFormat="0" applyBorder="0" applyAlignment="0" applyProtection="0">
      <alignment vertical="center"/>
    </xf>
    <xf numFmtId="0" fontId="80" fillId="52" borderId="0" applyNumberFormat="0" applyBorder="0" applyAlignment="0" applyProtection="0">
      <alignment vertical="center"/>
    </xf>
    <xf numFmtId="0" fontId="80" fillId="53"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0" fillId="54" borderId="0" applyNumberFormat="0" applyBorder="0" applyAlignment="0" applyProtection="0">
      <alignment vertical="center"/>
    </xf>
    <xf numFmtId="0" fontId="83" fillId="0" borderId="0" applyNumberFormat="0" applyFill="0" applyBorder="0" applyAlignment="0" applyProtection="0">
      <alignment vertical="center"/>
    </xf>
    <xf numFmtId="0" fontId="86" fillId="55" borderId="44" applyNumberFormat="0" applyAlignment="0" applyProtection="0">
      <alignment vertical="center"/>
    </xf>
    <xf numFmtId="0" fontId="89" fillId="38" borderId="0" applyNumberFormat="0" applyBorder="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91" fillId="57" borderId="0" applyNumberFormat="0" applyBorder="0" applyAlignment="0" applyProtection="0">
      <alignment vertical="center"/>
    </xf>
    <xf numFmtId="0" fontId="94" fillId="0" borderId="0" applyNumberFormat="0" applyFill="0" applyBorder="0" applyAlignment="0" applyProtection="0">
      <alignment vertical="center"/>
    </xf>
    <xf numFmtId="0" fontId="96" fillId="56" borderId="25" applyNumberFormat="0" applyAlignment="0" applyProtection="0">
      <alignment vertical="center"/>
    </xf>
    <xf numFmtId="0" fontId="98" fillId="0" borderId="29" applyNumberFormat="0" applyFill="0" applyAlignment="0" applyProtection="0">
      <alignment vertical="center"/>
    </xf>
    <xf numFmtId="0" fontId="100" fillId="0" borderId="45" applyNumberFormat="0" applyFill="0" applyAlignment="0" applyProtection="0">
      <alignment vertical="center"/>
    </xf>
    <xf numFmtId="0" fontId="102" fillId="42" borderId="44" applyNumberFormat="0" applyAlignment="0" applyProtection="0">
      <alignment vertical="center"/>
    </xf>
    <xf numFmtId="0" fontId="105" fillId="0" borderId="26" applyNumberFormat="0" applyFill="0" applyAlignment="0" applyProtection="0">
      <alignment vertical="center"/>
    </xf>
    <xf numFmtId="0" fontId="104" fillId="0" borderId="0" applyNumberFormat="0" applyFill="0" applyBorder="0" applyAlignment="0" applyProtection="0">
      <alignment vertical="center"/>
    </xf>
    <xf numFmtId="0" fontId="107" fillId="0" borderId="27"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0" applyNumberFormat="0" applyFill="0" applyBorder="0" applyAlignment="0" applyProtection="0">
      <alignment vertical="center"/>
    </xf>
    <xf numFmtId="0" fontId="111" fillId="39" borderId="0" applyNumberFormat="0" applyBorder="0" applyAlignment="0" applyProtection="0">
      <alignment vertical="center"/>
    </xf>
    <xf numFmtId="0" fontId="115" fillId="55" borderId="46" applyNumberFormat="0" applyAlignment="0" applyProtection="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6" fillId="0" borderId="0">
      <alignment vertical="center"/>
    </xf>
    <xf numFmtId="0" fontId="18" fillId="0" borderId="0">
      <alignment vertical="center"/>
    </xf>
    <xf numFmtId="41" fontId="18" fillId="0" borderId="0" applyFont="0" applyFill="0" applyBorder="0" applyAlignment="0" applyProtection="0">
      <alignment vertical="center"/>
    </xf>
    <xf numFmtId="0" fontId="30" fillId="0" borderId="47">
      <alignment horizontal="left" vertical="center"/>
    </xf>
    <xf numFmtId="9" fontId="18"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0" fontId="6" fillId="0" borderId="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00" fillId="0" borderId="45" applyNumberFormat="0" applyFill="0" applyAlignment="0" applyProtection="0">
      <alignment vertical="center"/>
    </xf>
    <xf numFmtId="0" fontId="101"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1" fillId="0" borderId="45" applyNumberFormat="0" applyFill="0" applyAlignment="0" applyProtection="0">
      <alignment vertical="center"/>
    </xf>
    <xf numFmtId="0" fontId="101"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1"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15" fillId="55" borderId="46" applyNumberFormat="0" applyAlignment="0" applyProtection="0">
      <alignment vertical="center"/>
    </xf>
    <xf numFmtId="0" fontId="116"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6" fillId="55" borderId="46" applyNumberFormat="0" applyAlignment="0" applyProtection="0">
      <alignment vertical="center"/>
    </xf>
    <xf numFmtId="0" fontId="116"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6"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0" fontId="6" fillId="0" borderId="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41" fontId="6"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86" fillId="55" borderId="10" applyNumberForma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22" fillId="58" borderId="16" applyNumberFormat="0" applyFont="0" applyAlignment="0" applyProtection="0">
      <alignment vertical="center"/>
    </xf>
    <xf numFmtId="0" fontId="43" fillId="58" borderId="16" applyNumberFormat="0" applyFont="0" applyAlignment="0" applyProtection="0">
      <alignment vertical="center"/>
    </xf>
    <xf numFmtId="0" fontId="43" fillId="58" borderId="16" applyNumberFormat="0" applyFont="0" applyAlignment="0" applyProtection="0">
      <alignment vertical="center"/>
    </xf>
    <xf numFmtId="0" fontId="102" fillId="42" borderId="10" applyNumberFormat="0" applyAlignment="0" applyProtection="0">
      <alignment vertical="center"/>
    </xf>
    <xf numFmtId="0" fontId="8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02" fillId="42" borderId="44" applyNumberForma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43" fillId="58" borderId="43" applyNumberFormat="0" applyFont="0" applyAlignment="0" applyProtection="0">
      <alignment vertical="center"/>
    </xf>
    <xf numFmtId="0" fontId="126" fillId="55" borderId="44" applyNumberForma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126" fillId="55" borderId="44" applyNumberFormat="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102" fillId="42"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7"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43" fillId="58" borderId="43" applyNumberFormat="0" applyFon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86" fillId="55" borderId="44" applyNumberFormat="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7"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7"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43" fillId="58" borderId="43" applyNumberFormat="0" applyFont="0" applyAlignment="0" applyProtection="0">
      <alignment vertical="center"/>
    </xf>
    <xf numFmtId="0" fontId="44"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4" fillId="58" borderId="43" applyNumberFormat="0" applyFont="0" applyAlignment="0" applyProtection="0">
      <alignment vertical="center"/>
    </xf>
    <xf numFmtId="0" fontId="44"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4"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7" fillId="42" borderId="44"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8" fillId="55" borderId="46"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00" fillId="0" borderId="45" applyNumberFormat="0" applyFill="0" applyAlignment="0" applyProtection="0">
      <alignment vertical="center"/>
    </xf>
    <xf numFmtId="0" fontId="101"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1" fillId="0" borderId="45" applyNumberFormat="0" applyFill="0" applyAlignment="0" applyProtection="0">
      <alignment vertical="center"/>
    </xf>
    <xf numFmtId="0" fontId="101"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1"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2" fillId="42" borderId="44" applyNumberFormat="0" applyAlignment="0" applyProtection="0">
      <alignment vertical="center"/>
    </xf>
    <xf numFmtId="0" fontId="103"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3" fillId="42" borderId="44" applyNumberFormat="0" applyAlignment="0" applyProtection="0">
      <alignment vertical="center"/>
    </xf>
    <xf numFmtId="0" fontId="103"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3"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43" fillId="58" borderId="43" applyNumberFormat="0" applyFont="0" applyAlignment="0" applyProtection="0">
      <alignment vertical="center"/>
    </xf>
    <xf numFmtId="0" fontId="9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9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3" fillId="58" borderId="43" applyNumberFormat="0" applyFont="0" applyAlignment="0" applyProtection="0">
      <alignment vertical="center"/>
    </xf>
    <xf numFmtId="0" fontId="115" fillId="55" borderId="46" applyNumberFormat="0" applyAlignment="0" applyProtection="0">
      <alignment vertical="center"/>
    </xf>
    <xf numFmtId="0" fontId="116"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6" fillId="55" borderId="46" applyNumberFormat="0" applyAlignment="0" applyProtection="0">
      <alignment vertical="center"/>
    </xf>
    <xf numFmtId="0" fontId="116"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6"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30" fillId="0" borderId="56">
      <alignment horizontal="lef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25" fillId="0" borderId="45" applyNumberFormat="0" applyFill="0" applyAlignment="0" applyProtection="0">
      <alignment vertical="center"/>
    </xf>
    <xf numFmtId="0" fontId="102" fillId="42"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02" fillId="42"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86" fillId="55" borderId="44" applyNumberForma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100" fillId="0" borderId="45" applyNumberFormat="0" applyFill="0" applyAlignment="0" applyProtection="0">
      <alignment vertical="center"/>
    </xf>
    <xf numFmtId="0" fontId="102" fillId="42" borderId="44" applyNumberFormat="0" applyAlignment="0" applyProtection="0">
      <alignment vertical="center"/>
    </xf>
    <xf numFmtId="0" fontId="115" fillId="55" borderId="46"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02" fillId="42" borderId="44" applyNumberFormat="0" applyAlignment="0" applyProtection="0">
      <alignment vertical="center"/>
    </xf>
    <xf numFmtId="0" fontId="100" fillId="0" borderId="45" applyNumberFormat="0" applyFill="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86" fillId="55" borderId="44" applyNumberForma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100" fillId="0" borderId="45" applyNumberFormat="0" applyFill="0" applyAlignment="0" applyProtection="0">
      <alignment vertical="center"/>
    </xf>
    <xf numFmtId="0" fontId="102" fillId="42" borderId="44"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22" fillId="58" borderId="77" applyNumberFormat="0" applyFont="0" applyAlignment="0" applyProtection="0">
      <alignment vertical="center"/>
    </xf>
    <xf numFmtId="0" fontId="22" fillId="58" borderId="77" applyNumberFormat="0" applyFont="0" applyAlignment="0" applyProtection="0">
      <alignment vertical="center"/>
    </xf>
    <xf numFmtId="0" fontId="86" fillId="55" borderId="78"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66"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87" fillId="55" borderId="73" applyNumberForma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30" fillId="0" borderId="58">
      <alignment horizontal="lef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100" fillId="0" borderId="74" applyNumberFormat="0" applyFill="0" applyAlignment="0" applyProtection="0">
      <alignment vertical="center"/>
    </xf>
    <xf numFmtId="0" fontId="30" fillId="0" borderId="76">
      <alignment horizontal="left" vertical="center"/>
    </xf>
    <xf numFmtId="0" fontId="115" fillId="55" borderId="84"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100" fillId="0" borderId="83" applyNumberFormat="0" applyFill="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5" fillId="0" borderId="74" applyNumberFormat="0" applyFill="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44"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93" fillId="58" borderId="72" applyNumberFormat="0" applyFont="0" applyAlignment="0" applyProtection="0">
      <alignment vertical="center"/>
    </xf>
    <xf numFmtId="0" fontId="93" fillId="58" borderId="72" applyNumberFormat="0" applyFont="0" applyAlignment="0" applyProtection="0">
      <alignment vertical="center"/>
    </xf>
    <xf numFmtId="0" fontId="93" fillId="58" borderId="72" applyNumberFormat="0" applyFont="0" applyAlignment="0" applyProtection="0">
      <alignment vertical="center"/>
    </xf>
    <xf numFmtId="0" fontId="113" fillId="58" borderId="72" applyNumberFormat="0" applyFont="0" applyAlignment="0" applyProtection="0">
      <alignment vertical="center"/>
    </xf>
    <xf numFmtId="0" fontId="115" fillId="55" borderId="75" applyNumberFormat="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86" fillId="55" borderId="73" applyNumberForma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87" fillId="55" borderId="73" applyNumberFormat="0" applyAlignment="0" applyProtection="0">
      <alignment vertical="center"/>
    </xf>
    <xf numFmtId="0" fontId="86" fillId="55" borderId="66"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22" fillId="58" borderId="72" applyNumberFormat="0" applyFont="0" applyAlignment="0" applyProtection="0">
      <alignment vertical="center"/>
    </xf>
    <xf numFmtId="0" fontId="115" fillId="55" borderId="75" applyNumberFormat="0" applyAlignment="0" applyProtection="0">
      <alignment vertical="center"/>
    </xf>
    <xf numFmtId="0" fontId="128"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26" fillId="55" borderId="82" applyNumberFormat="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126" fillId="55" borderId="7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102" fillId="42" borderId="7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15" fillId="55" borderId="84" applyNumberFormat="0" applyAlignment="0" applyProtection="0">
      <alignment vertical="center"/>
    </xf>
    <xf numFmtId="0" fontId="125" fillId="0" borderId="79" applyNumberFormat="0" applyFill="0" applyAlignment="0" applyProtection="0">
      <alignment vertical="center"/>
    </xf>
    <xf numFmtId="0" fontId="102" fillId="42" borderId="78" applyNumberFormat="0" applyAlignment="0" applyProtection="0">
      <alignment vertical="center"/>
    </xf>
    <xf numFmtId="0" fontId="128" fillId="55" borderId="80" applyNumberFormat="0" applyAlignment="0" applyProtection="0">
      <alignment vertical="center"/>
    </xf>
    <xf numFmtId="0" fontId="127" fillId="42" borderId="78" applyNumberFormat="0" applyAlignment="0" applyProtection="0">
      <alignment vertical="center"/>
    </xf>
    <xf numFmtId="0" fontId="127" fillId="42"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43" fillId="58" borderId="77"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22" fillId="58" borderId="81"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0" fillId="0" borderId="83" applyNumberFormat="0" applyFill="0" applyAlignment="0" applyProtection="0">
      <alignment vertical="center"/>
    </xf>
    <xf numFmtId="0" fontId="103" fillId="42" borderId="82" applyNumberFormat="0" applyAlignment="0" applyProtection="0">
      <alignment vertical="center"/>
    </xf>
    <xf numFmtId="0" fontId="87" fillId="55" borderId="73" applyNumberFormat="0" applyAlignment="0" applyProtection="0">
      <alignment vertical="center"/>
    </xf>
    <xf numFmtId="0" fontId="100" fillId="0" borderId="83" applyNumberFormat="0" applyFill="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15" fillId="55" borderId="84"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5" fillId="55" borderId="84"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15" fillId="55" borderId="84" applyNumberFormat="0" applyAlignment="0" applyProtection="0">
      <alignment vertical="center"/>
    </xf>
    <xf numFmtId="0" fontId="43" fillId="58" borderId="77" applyNumberFormat="0" applyFon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43" fillId="58" borderId="77" applyNumberFormat="0" applyFont="0" applyAlignment="0" applyProtection="0">
      <alignment vertical="center"/>
    </xf>
    <xf numFmtId="0" fontId="126" fillId="55" borderId="73" applyNumberFormat="0" applyAlignment="0" applyProtection="0">
      <alignment vertical="center"/>
    </xf>
    <xf numFmtId="0" fontId="22" fillId="58" borderId="77" applyNumberFormat="0" applyFont="0" applyAlignment="0" applyProtection="0">
      <alignment vertical="center"/>
    </xf>
    <xf numFmtId="0" fontId="22" fillId="58" borderId="77" applyNumberFormat="0" applyFont="0" applyAlignment="0" applyProtection="0">
      <alignment vertical="center"/>
    </xf>
    <xf numFmtId="0" fontId="43" fillId="58" borderId="77" applyNumberFormat="0" applyFont="0" applyAlignment="0" applyProtection="0">
      <alignment vertical="center"/>
    </xf>
    <xf numFmtId="0" fontId="22" fillId="58" borderId="77" applyNumberFormat="0" applyFont="0" applyAlignment="0" applyProtection="0">
      <alignment vertical="center"/>
    </xf>
    <xf numFmtId="0" fontId="43" fillId="58" borderId="77"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8"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86" fillId="55" borderId="73" applyNumberFormat="0" applyAlignment="0" applyProtection="0">
      <alignment vertical="center"/>
    </xf>
    <xf numFmtId="0" fontId="126" fillId="55" borderId="78"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100" fillId="0" borderId="79" applyNumberFormat="0" applyFill="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86" fillId="55"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116" fillId="55" borderId="84" applyNumberFormat="0" applyAlignment="0" applyProtection="0">
      <alignment vertical="center"/>
    </xf>
    <xf numFmtId="0" fontId="86" fillId="55" borderId="73" applyNumberFormat="0" applyAlignment="0" applyProtection="0">
      <alignment vertical="center"/>
    </xf>
    <xf numFmtId="0" fontId="22" fillId="58" borderId="81" applyNumberFormat="0" applyFont="0" applyAlignment="0" applyProtection="0">
      <alignment vertical="center"/>
    </xf>
    <xf numFmtId="0" fontId="87" fillId="55" borderId="73" applyNumberFormat="0" applyAlignment="0" applyProtection="0">
      <alignment vertical="center"/>
    </xf>
    <xf numFmtId="0" fontId="87" fillId="55" borderId="7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8" fillId="55" borderId="84"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73" applyNumberFormat="0" applyAlignment="0" applyProtection="0">
      <alignment vertical="center"/>
    </xf>
    <xf numFmtId="0" fontId="115" fillId="55" borderId="84" applyNumberFormat="0" applyAlignment="0" applyProtection="0">
      <alignment vertical="center"/>
    </xf>
    <xf numFmtId="0" fontId="22" fillId="58" borderId="77"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73"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44"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100" fillId="0" borderId="83" applyNumberFormat="0" applyFill="0" applyAlignment="0" applyProtection="0">
      <alignment vertical="center"/>
    </xf>
    <xf numFmtId="0" fontId="115" fillId="55" borderId="84" applyNumberFormat="0" applyAlignment="0" applyProtection="0">
      <alignment vertical="center"/>
    </xf>
    <xf numFmtId="0" fontId="102" fillId="42" borderId="82" applyNumberForma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00" fillId="0" borderId="61" applyNumberFormat="0" applyFill="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00" fillId="0" borderId="61" applyNumberFormat="0" applyFill="0" applyAlignment="0" applyProtection="0">
      <alignment vertical="center"/>
    </xf>
    <xf numFmtId="0" fontId="127" fillId="42"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22"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1" fillId="0" borderId="61" applyNumberFormat="0" applyFill="0" applyAlignment="0" applyProtection="0">
      <alignment vertical="center"/>
    </xf>
    <xf numFmtId="0" fontId="43" fillId="58" borderId="59" applyNumberFormat="0" applyFon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66" applyNumberFormat="0" applyAlignment="0" applyProtection="0">
      <alignment vertical="center"/>
    </xf>
    <xf numFmtId="0" fontId="9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43" fillId="58" borderId="59" applyNumberFormat="0" applyFon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86" fillId="55" borderId="73"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8" fillId="55" borderId="84" applyNumberFormat="0" applyAlignment="0" applyProtection="0">
      <alignment vertical="center"/>
    </xf>
    <xf numFmtId="0" fontId="86" fillId="55" borderId="73" applyNumberFormat="0" applyAlignment="0" applyProtection="0">
      <alignment vertical="center"/>
    </xf>
    <xf numFmtId="0" fontId="128" fillId="55" borderId="84"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115" fillId="55" borderId="75" applyNumberForma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15" fillId="55" borderId="84" applyNumberFormat="0" applyAlignment="0" applyProtection="0">
      <alignment vertical="center"/>
    </xf>
    <xf numFmtId="0" fontId="102" fillId="42" borderId="82"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87"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7"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87"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7"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43" fillId="58" borderId="59" applyNumberFormat="0" applyFont="0" applyAlignment="0" applyProtection="0">
      <alignment vertical="center"/>
    </xf>
    <xf numFmtId="0" fontId="128" fillId="55" borderId="84" applyNumberFormat="0" applyAlignment="0" applyProtection="0">
      <alignment vertical="center"/>
    </xf>
    <xf numFmtId="0" fontId="100" fillId="0" borderId="74" applyNumberFormat="0" applyFill="0" applyAlignment="0" applyProtection="0">
      <alignment vertical="center"/>
    </xf>
    <xf numFmtId="0" fontId="115"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15" fillId="55" borderId="75" applyNumberFormat="0" applyAlignment="0" applyProtection="0">
      <alignment vertical="center"/>
    </xf>
    <xf numFmtId="0" fontId="116"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6" fillId="55" borderId="75" applyNumberFormat="0" applyAlignment="0" applyProtection="0">
      <alignment vertical="center"/>
    </xf>
    <xf numFmtId="0" fontId="116"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01" fillId="0" borderId="74" applyNumberFormat="0" applyFill="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87" fillId="55" borderId="73" applyNumberFormat="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43" fillId="58" borderId="81" applyNumberFormat="0" applyFont="0" applyAlignment="0" applyProtection="0">
      <alignment vertical="center"/>
    </xf>
    <xf numFmtId="0" fontId="116" fillId="55" borderId="75"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7" fillId="42" borderId="82" applyNumberFormat="0" applyAlignment="0" applyProtection="0">
      <alignment vertical="center"/>
    </xf>
    <xf numFmtId="0" fontId="86" fillId="55" borderId="73" applyNumberFormat="0" applyAlignment="0" applyProtection="0">
      <alignment vertical="center"/>
    </xf>
    <xf numFmtId="0" fontId="22" fillId="58" borderId="81" applyNumberFormat="0" applyFont="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128" fillId="55" borderId="84"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26" fillId="55" borderId="73"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7" fillId="42" borderId="57"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28" fillId="55" borderId="60" applyNumberForma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4" fillId="58" borderId="72" applyNumberFormat="0" applyFont="0" applyAlignment="0" applyProtection="0">
      <alignment vertical="center"/>
    </xf>
    <xf numFmtId="0" fontId="44" fillId="58" borderId="72" applyNumberFormat="0" applyFont="0" applyAlignment="0" applyProtection="0">
      <alignment vertical="center"/>
    </xf>
    <xf numFmtId="0" fontId="102" fillId="42" borderId="73" applyNumberFormat="0" applyAlignment="0" applyProtection="0">
      <alignment vertical="center"/>
    </xf>
    <xf numFmtId="0" fontId="100" fillId="0" borderId="74" applyNumberFormat="0" applyFill="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6" fillId="55" borderId="73" applyNumberFormat="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3"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3" fillId="42" borderId="73" applyNumberForma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2" fillId="42" borderId="73" applyNumberFormat="0" applyAlignment="0" applyProtection="0">
      <alignment vertical="center"/>
    </xf>
    <xf numFmtId="0" fontId="100" fillId="0" borderId="61" applyNumberFormat="0" applyFill="0" applyAlignment="0" applyProtection="0">
      <alignment vertical="center"/>
    </xf>
    <xf numFmtId="0" fontId="102" fillId="42" borderId="73" applyNumberFormat="0" applyAlignment="0" applyProtection="0">
      <alignment vertical="center"/>
    </xf>
    <xf numFmtId="0" fontId="100" fillId="0" borderId="61" applyNumberFormat="0" applyFill="0" applyAlignment="0" applyProtection="0">
      <alignment vertical="center"/>
    </xf>
    <xf numFmtId="0" fontId="103" fillId="42" borderId="73" applyNumberFormat="0" applyAlignment="0" applyProtection="0">
      <alignment vertical="center"/>
    </xf>
    <xf numFmtId="0" fontId="100" fillId="0" borderId="61" applyNumberFormat="0" applyFill="0" applyAlignment="0" applyProtection="0">
      <alignment vertical="center"/>
    </xf>
    <xf numFmtId="0" fontId="102" fillId="42" borderId="73" applyNumberFormat="0" applyAlignment="0" applyProtection="0">
      <alignment vertical="center"/>
    </xf>
    <xf numFmtId="0" fontId="100" fillId="0" borderId="61" applyNumberFormat="0" applyFill="0" applyAlignment="0" applyProtection="0">
      <alignment vertical="center"/>
    </xf>
    <xf numFmtId="0" fontId="102" fillId="42" borderId="57" applyNumberFormat="0" applyAlignment="0" applyProtection="0">
      <alignment vertical="center"/>
    </xf>
    <xf numFmtId="0" fontId="103"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3" fillId="42" borderId="57" applyNumberFormat="0" applyAlignment="0" applyProtection="0">
      <alignment vertical="center"/>
    </xf>
    <xf numFmtId="0" fontId="103"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3" fillId="42" borderId="57" applyNumberFormat="0" applyAlignment="0" applyProtection="0">
      <alignment vertical="center"/>
    </xf>
    <xf numFmtId="0" fontId="102" fillId="42" borderId="73"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02" fillId="42" borderId="73" applyNumberFormat="0" applyAlignment="0" applyProtection="0">
      <alignment vertical="center"/>
    </xf>
    <xf numFmtId="0" fontId="102" fillId="42" borderId="57" applyNumberFormat="0" applyAlignment="0" applyProtection="0">
      <alignment vertical="center"/>
    </xf>
    <xf numFmtId="0" fontId="102" fillId="42" borderId="73" applyNumberFormat="0" applyAlignment="0" applyProtection="0">
      <alignment vertical="center"/>
    </xf>
    <xf numFmtId="0" fontId="102" fillId="42" borderId="57" applyNumberFormat="0" applyAlignment="0" applyProtection="0">
      <alignment vertical="center"/>
    </xf>
    <xf numFmtId="0" fontId="102" fillId="42" borderId="73" applyNumberFormat="0" applyAlignment="0" applyProtection="0">
      <alignment vertical="center"/>
    </xf>
    <xf numFmtId="0" fontId="102" fillId="42" borderId="57" applyNumberFormat="0" applyAlignment="0" applyProtection="0">
      <alignment vertical="center"/>
    </xf>
    <xf numFmtId="0" fontId="43" fillId="58" borderId="72" applyNumberFormat="0" applyFont="0" applyAlignment="0" applyProtection="0">
      <alignment vertical="center"/>
    </xf>
    <xf numFmtId="0" fontId="102" fillId="42" borderId="57" applyNumberForma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102" fillId="42" borderId="73" applyNumberFormat="0" applyAlignment="0" applyProtection="0">
      <alignment vertical="center"/>
    </xf>
    <xf numFmtId="0" fontId="100" fillId="0" borderId="74" applyNumberFormat="0" applyFill="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93" fillId="58" borderId="72" applyNumberFormat="0" applyFont="0" applyAlignment="0" applyProtection="0">
      <alignment vertical="center"/>
    </xf>
    <xf numFmtId="0" fontId="113" fillId="58" borderId="72" applyNumberFormat="0" applyFont="0" applyAlignment="0" applyProtection="0">
      <alignment vertical="center"/>
    </xf>
    <xf numFmtId="0" fontId="93" fillId="58" borderId="72" applyNumberFormat="0" applyFont="0" applyAlignment="0" applyProtection="0">
      <alignment vertical="center"/>
    </xf>
    <xf numFmtId="0" fontId="93" fillId="58" borderId="72" applyNumberFormat="0" applyFont="0" applyAlignment="0" applyProtection="0">
      <alignment vertical="center"/>
    </xf>
    <xf numFmtId="0" fontId="93" fillId="58" borderId="72" applyNumberFormat="0" applyFont="0" applyAlignment="0" applyProtection="0">
      <alignment vertical="center"/>
    </xf>
    <xf numFmtId="0" fontId="93" fillId="58" borderId="72" applyNumberFormat="0" applyFont="0" applyAlignment="0" applyProtection="0">
      <alignment vertical="center"/>
    </xf>
    <xf numFmtId="0" fontId="9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5" fillId="55" borderId="75"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6" fillId="55" borderId="75" applyNumberForma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5" fillId="55" borderId="75" applyNumberFormat="0" applyAlignment="0" applyProtection="0">
      <alignment vertical="center"/>
    </xf>
    <xf numFmtId="0" fontId="116"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5" fillId="0" borderId="74" applyNumberFormat="0" applyFill="0" applyAlignment="0" applyProtection="0">
      <alignment vertical="center"/>
    </xf>
    <xf numFmtId="0" fontId="126" fillId="55" borderId="73" applyNumberFormat="0" applyAlignment="0" applyProtection="0">
      <alignment vertical="center"/>
    </xf>
    <xf numFmtId="0" fontId="102" fillId="42" borderId="73" applyNumberForma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5" fillId="0" borderId="74" applyNumberFormat="0" applyFill="0" applyAlignment="0" applyProtection="0">
      <alignment vertical="center"/>
    </xf>
    <xf numFmtId="0" fontId="115" fillId="55" borderId="75"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102" fillId="42" borderId="73" applyNumberFormat="0" applyAlignment="0" applyProtection="0">
      <alignment vertical="center"/>
    </xf>
    <xf numFmtId="0" fontId="22" fillId="58" borderId="72" applyNumberFormat="0" applyFon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3" fillId="42"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84" applyNumberForma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9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15" fillId="55" borderId="60" applyNumberFormat="0" applyAlignment="0" applyProtection="0">
      <alignment vertical="center"/>
    </xf>
    <xf numFmtId="0" fontId="116"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6" fillId="55" borderId="60" applyNumberFormat="0" applyAlignment="0" applyProtection="0">
      <alignment vertical="center"/>
    </xf>
    <xf numFmtId="0" fontId="116"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6"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15" fillId="55" borderId="60" applyNumberFormat="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73"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28" fillId="55" borderId="84" applyNumberFormat="0" applyAlignment="0" applyProtection="0">
      <alignment vertical="center"/>
    </xf>
    <xf numFmtId="0" fontId="86" fillId="55" borderId="78" applyNumberFormat="0" applyAlignment="0" applyProtection="0">
      <alignment vertical="center"/>
    </xf>
    <xf numFmtId="0" fontId="115" fillId="55" borderId="80" applyNumberFormat="0" applyAlignment="0" applyProtection="0">
      <alignment vertical="center"/>
    </xf>
    <xf numFmtId="0" fontId="115" fillId="55" borderId="80" applyNumberFormat="0" applyAlignment="0" applyProtection="0">
      <alignment vertical="center"/>
    </xf>
    <xf numFmtId="0" fontId="93" fillId="58" borderId="77" applyNumberFormat="0" applyFon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02" fillId="42" borderId="78" applyNumberFormat="0" applyAlignment="0" applyProtection="0">
      <alignment vertical="center"/>
    </xf>
    <xf numFmtId="0" fontId="100" fillId="0" borderId="79" applyNumberFormat="0" applyFill="0" applyAlignment="0" applyProtection="0">
      <alignment vertical="center"/>
    </xf>
    <xf numFmtId="0" fontId="128" fillId="55" borderId="80"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87" fillId="55" borderId="78" applyNumberFormat="0" applyAlignment="0" applyProtection="0">
      <alignment vertical="center"/>
    </xf>
    <xf numFmtId="0" fontId="102" fillId="42" borderId="78" applyNumberFormat="0" applyAlignment="0" applyProtection="0">
      <alignment vertical="center"/>
    </xf>
    <xf numFmtId="0" fontId="22" fillId="58" borderId="77" applyNumberFormat="0" applyFon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82"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78" applyNumberFormat="0" applyAlignment="0" applyProtection="0">
      <alignment vertical="center"/>
    </xf>
    <xf numFmtId="0" fontId="115" fillId="55" borderId="80" applyNumberFormat="0" applyAlignment="0" applyProtection="0">
      <alignment vertical="center"/>
    </xf>
    <xf numFmtId="0" fontId="115" fillId="55" borderId="80" applyNumberFormat="0" applyAlignment="0" applyProtection="0">
      <alignment vertical="center"/>
    </xf>
    <xf numFmtId="0" fontId="93" fillId="58" borderId="77" applyNumberFormat="0" applyFon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02" fillId="42" borderId="78" applyNumberFormat="0" applyAlignment="0" applyProtection="0">
      <alignment vertical="center"/>
    </xf>
    <xf numFmtId="0" fontId="100" fillId="0" borderId="79" applyNumberFormat="0" applyFill="0" applyAlignment="0" applyProtection="0">
      <alignment vertical="center"/>
    </xf>
    <xf numFmtId="0" fontId="128" fillId="55" borderId="80"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87" fillId="55" borderId="78" applyNumberFormat="0" applyAlignment="0" applyProtection="0">
      <alignment vertical="center"/>
    </xf>
    <xf numFmtId="0" fontId="126" fillId="55" borderId="78" applyNumberFormat="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43" fillId="58" borderId="77" applyNumberFormat="0" applyFont="0" applyAlignment="0" applyProtection="0">
      <alignment vertical="center"/>
    </xf>
    <xf numFmtId="0" fontId="87" fillId="55" borderId="66"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5" fillId="0" borderId="79" applyNumberFormat="0" applyFill="0" applyAlignment="0" applyProtection="0">
      <alignment vertical="center"/>
    </xf>
    <xf numFmtId="0" fontId="86" fillId="55" borderId="78" applyNumberFormat="0" applyAlignment="0" applyProtection="0">
      <alignment vertical="center"/>
    </xf>
    <xf numFmtId="0" fontId="125" fillId="0" borderId="79" applyNumberFormat="0" applyFill="0" applyAlignment="0" applyProtection="0">
      <alignment vertical="center"/>
    </xf>
    <xf numFmtId="0" fontId="102" fillId="42" borderId="78" applyNumberFormat="0" applyAlignment="0" applyProtection="0">
      <alignment vertical="center"/>
    </xf>
    <xf numFmtId="0" fontId="100" fillId="0" borderId="79" applyNumberFormat="0" applyFill="0" applyAlignment="0" applyProtection="0">
      <alignment vertical="center"/>
    </xf>
    <xf numFmtId="0" fontId="128" fillId="55" borderId="80" applyNumberFormat="0" applyAlignment="0" applyProtection="0">
      <alignment vertical="center"/>
    </xf>
    <xf numFmtId="0" fontId="127" fillId="42"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26" fillId="55" borderId="78"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43" fillId="58" borderId="77" applyNumberFormat="0" applyFon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27" fillId="42" borderId="66" applyNumberFormat="0" applyAlignment="0" applyProtection="0">
      <alignment vertical="center"/>
    </xf>
    <xf numFmtId="0" fontId="43" fillId="58" borderId="59" applyNumberFormat="0" applyFont="0" applyAlignment="0" applyProtection="0">
      <alignment vertical="center"/>
    </xf>
    <xf numFmtId="0" fontId="127" fillId="42" borderId="66" applyNumberForma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86" fillId="55" borderId="66"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8" fillId="55" borderId="75" applyNumberFormat="0" applyAlignment="0" applyProtection="0">
      <alignment vertical="center"/>
    </xf>
    <xf numFmtId="0" fontId="100" fillId="0" borderId="74" applyNumberFormat="0" applyFill="0" applyAlignment="0" applyProtection="0">
      <alignment vertical="center"/>
    </xf>
    <xf numFmtId="0" fontId="115" fillId="55" borderId="75" applyNumberFormat="0" applyAlignment="0" applyProtection="0">
      <alignment vertical="center"/>
    </xf>
    <xf numFmtId="0" fontId="128"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25" fillId="0" borderId="74" applyNumberFormat="0" applyFill="0" applyAlignment="0" applyProtection="0">
      <alignment vertical="center"/>
    </xf>
    <xf numFmtId="0" fontId="115" fillId="55" borderId="84"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9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3" fillId="58" borderId="72" applyNumberFormat="0" applyFont="0" applyAlignment="0" applyProtection="0">
      <alignment vertical="center"/>
    </xf>
    <xf numFmtId="0" fontId="116"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126" fillId="55" borderId="73" applyNumberFormat="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02" fillId="42" borderId="57" applyNumberFormat="0" applyAlignment="0" applyProtection="0">
      <alignment vertical="center"/>
    </xf>
    <xf numFmtId="0" fontId="126" fillId="55" borderId="57" applyNumberFormat="0" applyAlignment="0" applyProtection="0">
      <alignment vertical="center"/>
    </xf>
    <xf numFmtId="0" fontId="43" fillId="58" borderId="77" applyNumberFormat="0" applyFon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100" fillId="0" borderId="79" applyNumberFormat="0" applyFill="0" applyAlignment="0" applyProtection="0">
      <alignment vertical="center"/>
    </xf>
    <xf numFmtId="0" fontId="86" fillId="55" borderId="78" applyNumberFormat="0" applyAlignment="0" applyProtection="0">
      <alignment vertical="center"/>
    </xf>
    <xf numFmtId="0" fontId="126" fillId="55" borderId="73" applyNumberFormat="0" applyAlignment="0" applyProtection="0">
      <alignment vertical="center"/>
    </xf>
    <xf numFmtId="0" fontId="116" fillId="55" borderId="84"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5" fillId="55" borderId="80" applyNumberFormat="0" applyAlignment="0" applyProtection="0">
      <alignment vertical="center"/>
    </xf>
    <xf numFmtId="0" fontId="113" fillId="58" borderId="77" applyNumberFormat="0" applyFont="0" applyAlignment="0" applyProtection="0">
      <alignment vertical="center"/>
    </xf>
    <xf numFmtId="0" fontId="126" fillId="55" borderId="78" applyNumberFormat="0" applyAlignment="0" applyProtection="0">
      <alignment vertical="center"/>
    </xf>
    <xf numFmtId="0" fontId="126" fillId="55" borderId="73" applyNumberFormat="0" applyAlignment="0" applyProtection="0">
      <alignment vertical="center"/>
    </xf>
    <xf numFmtId="0" fontId="115" fillId="55" borderId="75"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116" fillId="55" borderId="75" applyNumberFormat="0" applyAlignment="0" applyProtection="0">
      <alignment vertical="center"/>
    </xf>
    <xf numFmtId="0" fontId="100" fillId="0" borderId="79" applyNumberFormat="0" applyFill="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102" fillId="42" borderId="57" applyNumberFormat="0" applyAlignment="0" applyProtection="0">
      <alignment vertical="center"/>
    </xf>
    <xf numFmtId="0" fontId="102" fillId="42"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26" fillId="55" borderId="57" applyNumberFormat="0" applyAlignment="0" applyProtection="0">
      <alignment vertical="center"/>
    </xf>
    <xf numFmtId="0" fontId="102" fillId="42" borderId="57" applyNumberFormat="0" applyAlignment="0" applyProtection="0">
      <alignment vertical="center"/>
    </xf>
    <xf numFmtId="0" fontId="86" fillId="55" borderId="57" applyNumberFormat="0" applyAlignment="0" applyProtection="0">
      <alignment vertical="center"/>
    </xf>
    <xf numFmtId="0" fontId="115" fillId="55" borderId="75"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5" fillId="55" borderId="75"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115" fillId="55" borderId="75" applyNumberFormat="0" applyAlignment="0" applyProtection="0">
      <alignment vertical="center"/>
    </xf>
    <xf numFmtId="0" fontId="102" fillId="42" borderId="73" applyNumberFormat="0" applyAlignment="0" applyProtection="0">
      <alignment vertical="center"/>
    </xf>
    <xf numFmtId="0" fontId="115" fillId="55" borderId="75"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13" fillId="58" borderId="77" applyNumberFormat="0" applyFon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22" fillId="58" borderId="77" applyNumberFormat="0" applyFont="0" applyAlignment="0" applyProtection="0">
      <alignment vertical="center"/>
    </xf>
    <xf numFmtId="0" fontId="86" fillId="55" borderId="7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93" fillId="58" borderId="77" applyNumberFormat="0" applyFont="0" applyAlignment="0" applyProtection="0">
      <alignment vertical="center"/>
    </xf>
    <xf numFmtId="0" fontId="126" fillId="55" borderId="66" applyNumberFormat="0" applyAlignment="0" applyProtection="0">
      <alignment vertical="center"/>
    </xf>
    <xf numFmtId="0" fontId="126" fillId="55" borderId="73"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57" applyNumberFormat="0" applyAlignment="0" applyProtection="0">
      <alignment vertical="center"/>
    </xf>
    <xf numFmtId="0" fontId="43" fillId="58" borderId="81" applyNumberFormat="0" applyFon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43" fillId="58" borderId="77" applyNumberFormat="0" applyFont="0" applyAlignment="0" applyProtection="0">
      <alignment vertical="center"/>
    </xf>
    <xf numFmtId="0" fontId="86" fillId="55" borderId="66" applyNumberFormat="0" applyAlignment="0" applyProtection="0">
      <alignment vertical="center"/>
    </xf>
    <xf numFmtId="0" fontId="86" fillId="55" borderId="82" applyNumberFormat="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113" fillId="58" borderId="81" applyNumberFormat="0" applyFont="0" applyAlignment="0" applyProtection="0">
      <alignment vertical="center"/>
    </xf>
    <xf numFmtId="0" fontId="43" fillId="58" borderId="72"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5" fillId="55" borderId="84" applyNumberFormat="0" applyAlignment="0" applyProtection="0">
      <alignment vertical="center"/>
    </xf>
    <xf numFmtId="0" fontId="102" fillId="42" borderId="73" applyNumberFormat="0" applyAlignment="0" applyProtection="0">
      <alignment vertical="center"/>
    </xf>
    <xf numFmtId="0" fontId="43" fillId="58" borderId="72"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100" fillId="0" borderId="74" applyNumberFormat="0" applyFill="0" applyAlignment="0" applyProtection="0">
      <alignment vertical="center"/>
    </xf>
    <xf numFmtId="0" fontId="103" fillId="42" borderId="73" applyNumberFormat="0" applyAlignment="0" applyProtection="0">
      <alignment vertical="center"/>
    </xf>
    <xf numFmtId="0" fontId="102" fillId="42" borderId="73" applyNumberFormat="0" applyAlignment="0" applyProtection="0">
      <alignment vertical="center"/>
    </xf>
    <xf numFmtId="0" fontId="113" fillId="58" borderId="72" applyNumberFormat="0" applyFon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66" applyNumberFormat="0" applyAlignment="0" applyProtection="0">
      <alignment vertical="center"/>
    </xf>
    <xf numFmtId="0" fontId="87" fillId="55" borderId="7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102" fillId="42" borderId="7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86" fillId="55" borderId="57" applyNumberFormat="0" applyAlignment="0" applyProtection="0">
      <alignment vertical="center"/>
    </xf>
    <xf numFmtId="0" fontId="86" fillId="55" borderId="57"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44" fillId="58" borderId="59" applyNumberFormat="0" applyFont="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86" fillId="55" borderId="73" applyNumberFormat="0" applyAlignment="0" applyProtection="0">
      <alignment vertical="center"/>
    </xf>
    <xf numFmtId="0" fontId="101" fillId="0" borderId="83" applyNumberFormat="0" applyFill="0" applyAlignment="0" applyProtection="0">
      <alignment vertical="center"/>
    </xf>
    <xf numFmtId="0" fontId="86" fillId="55" borderId="63" applyNumberForma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102" fillId="42" borderId="73" applyNumberFormat="0" applyAlignment="0" applyProtection="0">
      <alignment vertical="center"/>
    </xf>
    <xf numFmtId="0" fontId="100" fillId="0" borderId="64" applyNumberFormat="0" applyFill="0" applyAlignment="0" applyProtection="0">
      <alignment vertical="center"/>
    </xf>
    <xf numFmtId="0" fontId="102" fillId="42" borderId="63" applyNumberFormat="0" applyAlignment="0" applyProtection="0">
      <alignment vertical="center"/>
    </xf>
    <xf numFmtId="0" fontId="93" fillId="58" borderId="72" applyNumberFormat="0" applyFont="0" applyAlignment="0" applyProtection="0">
      <alignment vertical="center"/>
    </xf>
    <xf numFmtId="0" fontId="113" fillId="58" borderId="72" applyNumberFormat="0" applyFont="0" applyAlignment="0" applyProtection="0">
      <alignment vertical="center"/>
    </xf>
    <xf numFmtId="0" fontId="102" fillId="42" borderId="73" applyNumberForma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100" fillId="0" borderId="74" applyNumberFormat="0" applyFill="0" applyAlignment="0" applyProtection="0">
      <alignment vertical="center"/>
    </xf>
    <xf numFmtId="0" fontId="102" fillId="42" borderId="73" applyNumberFormat="0" applyAlignment="0" applyProtection="0">
      <alignment vertical="center"/>
    </xf>
    <xf numFmtId="0" fontId="115" fillId="55" borderId="75"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100" fillId="0" borderId="74" applyNumberFormat="0" applyFill="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100" fillId="0" borderId="74" applyNumberFormat="0" applyFill="0" applyAlignment="0" applyProtection="0">
      <alignment vertical="center"/>
    </xf>
    <xf numFmtId="0" fontId="115" fillId="55" borderId="75" applyNumberFormat="0" applyAlignment="0" applyProtection="0">
      <alignment vertical="center"/>
    </xf>
    <xf numFmtId="0" fontId="115" fillId="55" borderId="75"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5" fillId="55" borderId="65"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0" fillId="0" borderId="61" applyNumberFormat="0" applyFill="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87"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7"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87"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7"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44"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4" fillId="58" borderId="62" applyNumberFormat="0" applyFont="0" applyAlignment="0" applyProtection="0">
      <alignment vertical="center"/>
    </xf>
    <xf numFmtId="0" fontId="44"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4"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7" fillId="42" borderId="63"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00" fillId="0" borderId="64" applyNumberFormat="0" applyFill="0" applyAlignment="0" applyProtection="0">
      <alignment vertical="center"/>
    </xf>
    <xf numFmtId="0" fontId="101"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1" fillId="0" borderId="64" applyNumberFormat="0" applyFill="0" applyAlignment="0" applyProtection="0">
      <alignment vertical="center"/>
    </xf>
    <xf numFmtId="0" fontId="101"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1"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0" fillId="0" borderId="64" applyNumberFormat="0" applyFill="0" applyAlignment="0" applyProtection="0">
      <alignment vertical="center"/>
    </xf>
    <xf numFmtId="0" fontId="102" fillId="42" borderId="63" applyNumberFormat="0" applyAlignment="0" applyProtection="0">
      <alignment vertical="center"/>
    </xf>
    <xf numFmtId="0" fontId="103"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3" fillId="42" borderId="63" applyNumberFormat="0" applyAlignment="0" applyProtection="0">
      <alignment vertical="center"/>
    </xf>
    <xf numFmtId="0" fontId="103"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3"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9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9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3" fillId="58" borderId="62" applyNumberFormat="0" applyFon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25" fillId="0" borderId="64" applyNumberFormat="0" applyFill="0" applyAlignment="0" applyProtection="0">
      <alignment vertical="center"/>
    </xf>
    <xf numFmtId="0" fontId="102" fillId="42" borderId="63" applyNumberFormat="0" applyAlignment="0" applyProtection="0">
      <alignment vertical="center"/>
    </xf>
    <xf numFmtId="0" fontId="12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102" fillId="42" borderId="63" applyNumberFormat="0" applyAlignment="0" applyProtection="0">
      <alignment vertical="center"/>
    </xf>
    <xf numFmtId="0" fontId="102" fillId="42"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26" fillId="55" borderId="63" applyNumberFormat="0" applyAlignment="0" applyProtection="0">
      <alignment vertical="center"/>
    </xf>
    <xf numFmtId="0" fontId="102" fillId="42"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86" fillId="55" borderId="63" applyNumberFormat="0" applyAlignment="0" applyProtection="0">
      <alignment vertical="center"/>
    </xf>
    <xf numFmtId="0" fontId="86" fillId="55" borderId="63"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15" fillId="55" borderId="65" applyNumberFormat="0" applyAlignment="0" applyProtection="0">
      <alignment vertical="center"/>
    </xf>
    <xf numFmtId="0" fontId="5" fillId="0" borderId="0">
      <alignment vertical="center"/>
    </xf>
    <xf numFmtId="0" fontId="102" fillId="42" borderId="73" applyNumberFormat="0" applyAlignment="0" applyProtection="0">
      <alignment vertical="center"/>
    </xf>
    <xf numFmtId="0" fontId="30" fillId="0" borderId="67">
      <alignment horizontal="left" vertical="center"/>
    </xf>
    <xf numFmtId="0" fontId="115" fillId="55" borderId="75"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86" fillId="55" borderId="63" applyNumberForma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22" fillId="58" borderId="62" applyNumberFormat="0" applyFont="0" applyAlignment="0" applyProtection="0">
      <alignment vertical="center"/>
    </xf>
    <xf numFmtId="0" fontId="43" fillId="58" borderId="62" applyNumberFormat="0" applyFont="0" applyAlignment="0" applyProtection="0">
      <alignment vertical="center"/>
    </xf>
    <xf numFmtId="0" fontId="43" fillId="58" borderId="62" applyNumberFormat="0" applyFont="0" applyAlignment="0" applyProtection="0">
      <alignment vertical="center"/>
    </xf>
    <xf numFmtId="0" fontId="102" fillId="42" borderId="63"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66" applyNumberForma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43" fillId="58" borderId="59" applyNumberFormat="0" applyFont="0" applyAlignment="0" applyProtection="0">
      <alignment vertical="center"/>
    </xf>
    <xf numFmtId="0" fontId="126" fillId="55" borderId="66" applyNumberForma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43" fillId="58" borderId="59" applyNumberFormat="0" applyFon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86" fillId="55" borderId="66" applyNumberFormat="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4"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7" fillId="42" borderId="66"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8" fillId="55" borderId="65"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1"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3" fillId="42" borderId="66" applyNumberFormat="0" applyAlignment="0" applyProtection="0">
      <alignmen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3"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43" fillId="58" borderId="59" applyNumberFormat="0" applyFont="0" applyAlignment="0" applyProtection="0">
      <alignment vertical="center"/>
    </xf>
    <xf numFmtId="0" fontId="9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9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3" fillId="58" borderId="59" applyNumberFormat="0" applyFon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6"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30" fillId="0" borderId="58">
      <alignment horizontal="lef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15" fillId="55" borderId="65"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100" fillId="0" borderId="61" applyNumberFormat="0" applyFill="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00" fillId="0" borderId="61" applyNumberFormat="0" applyFill="0" applyAlignment="0" applyProtection="0">
      <alignment vertical="center"/>
    </xf>
    <xf numFmtId="0" fontId="102" fillId="42" borderId="66" applyNumberFormat="0" applyAlignment="0" applyProtection="0">
      <alignment vertical="center"/>
    </xf>
    <xf numFmtId="0" fontId="115" fillId="55" borderId="65" applyNumberFormat="0" applyAlignment="0" applyProtection="0">
      <alignment vertical="center"/>
    </xf>
    <xf numFmtId="0" fontId="115" fillId="55" borderId="65"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02" fillId="42"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41" fontId="5" fillId="0" borderId="0" applyFont="0" applyFill="0" applyBorder="0" applyAlignment="0" applyProtection="0">
      <alignment vertical="center"/>
    </xf>
    <xf numFmtId="0" fontId="5" fillId="0" borderId="0">
      <alignment vertical="center"/>
    </xf>
    <xf numFmtId="0" fontId="5" fillId="0" borderId="0">
      <alignment vertical="center"/>
    </xf>
    <xf numFmtId="0" fontId="5" fillId="0" borderId="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86" fillId="55" borderId="66" applyNumberForma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22" fillId="58" borderId="59" applyNumberFormat="0" applyFont="0" applyAlignment="0" applyProtection="0">
      <alignment vertical="center"/>
    </xf>
    <xf numFmtId="0" fontId="43" fillId="58" borderId="59" applyNumberFormat="0" applyFont="0" applyAlignment="0" applyProtection="0">
      <alignment vertical="center"/>
    </xf>
    <xf numFmtId="0" fontId="43" fillId="58" borderId="59" applyNumberFormat="0" applyFont="0" applyAlignment="0" applyProtection="0">
      <alignment vertical="center"/>
    </xf>
    <xf numFmtId="0" fontId="102" fillId="42" borderId="66"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8" fillId="55" borderId="84"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43" fillId="58" borderId="72"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0" fillId="0" borderId="74" applyNumberFormat="0" applyFill="0" applyAlignment="0" applyProtection="0">
      <alignment vertical="center"/>
    </xf>
    <xf numFmtId="0" fontId="102" fillId="42" borderId="73" applyNumberFormat="0" applyAlignment="0" applyProtection="0">
      <alignment vertical="center"/>
    </xf>
    <xf numFmtId="0" fontId="43" fillId="58" borderId="72" applyNumberFormat="0" applyFon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22" fillId="58" borderId="72" applyNumberFormat="0" applyFont="0" applyAlignment="0" applyProtection="0">
      <alignment vertical="center"/>
    </xf>
    <xf numFmtId="0" fontId="126" fillId="55" borderId="73" applyNumberFormat="0" applyAlignment="0" applyProtection="0">
      <alignment vertical="center"/>
    </xf>
    <xf numFmtId="0" fontId="102" fillId="42" borderId="73" applyNumberFormat="0" applyAlignment="0" applyProtection="0">
      <alignment vertical="center"/>
    </xf>
    <xf numFmtId="0" fontId="22" fillId="58" borderId="72" applyNumberFormat="0" applyFont="0" applyAlignment="0" applyProtection="0">
      <alignment vertical="center"/>
    </xf>
    <xf numFmtId="0" fontId="126" fillId="55" borderId="73" applyNumberFormat="0" applyAlignment="0" applyProtection="0">
      <alignment vertical="center"/>
    </xf>
    <xf numFmtId="0" fontId="86" fillId="55" borderId="82" applyNumberFormat="0" applyAlignment="0" applyProtection="0">
      <alignment vertical="center"/>
    </xf>
    <xf numFmtId="0" fontId="128" fillId="55" borderId="84"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22" fillId="58" borderId="72" applyNumberFormat="0" applyFon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73" applyNumberFormat="0" applyAlignment="0" applyProtection="0">
      <alignment vertical="center"/>
    </xf>
    <xf numFmtId="0" fontId="126" fillId="55"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4"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0" fillId="0" borderId="74" applyNumberFormat="0" applyFill="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86" fillId="55" borderId="7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73" applyNumberFormat="0" applyAlignment="0" applyProtection="0">
      <alignment vertical="center"/>
    </xf>
    <xf numFmtId="0" fontId="127" fillId="42" borderId="82" applyNumberFormat="0" applyAlignment="0" applyProtection="0">
      <alignment vertical="center"/>
    </xf>
    <xf numFmtId="0" fontId="43" fillId="58" borderId="72" applyNumberFormat="0" applyFont="0" applyAlignment="0" applyProtection="0">
      <alignment vertical="center"/>
    </xf>
    <xf numFmtId="0" fontId="125" fillId="0" borderId="74" applyNumberFormat="0" applyFill="0" applyAlignment="0" applyProtection="0">
      <alignment vertical="center"/>
    </xf>
    <xf numFmtId="0" fontId="113" fillId="58" borderId="72" applyNumberFormat="0" applyFont="0" applyAlignment="0" applyProtection="0">
      <alignment vertical="center"/>
    </xf>
    <xf numFmtId="0" fontId="102" fillId="42" borderId="73" applyNumberFormat="0" applyAlignment="0" applyProtection="0">
      <alignment vertical="center"/>
    </xf>
    <xf numFmtId="0" fontId="100" fillId="0" borderId="74" applyNumberFormat="0" applyFill="0" applyAlignment="0" applyProtection="0">
      <alignment vertical="center"/>
    </xf>
    <xf numFmtId="0" fontId="101" fillId="0" borderId="83" applyNumberFormat="0" applyFill="0" applyAlignment="0" applyProtection="0">
      <alignment vertical="center"/>
    </xf>
    <xf numFmtId="0" fontId="126" fillId="55" borderId="73" applyNumberFormat="0" applyAlignment="0" applyProtection="0">
      <alignment vertical="center"/>
    </xf>
    <xf numFmtId="0" fontId="43" fillId="58" borderId="81" applyNumberFormat="0" applyFont="0" applyAlignment="0" applyProtection="0">
      <alignment vertical="center"/>
    </xf>
    <xf numFmtId="0" fontId="102" fillId="42" borderId="66" applyNumberFormat="0" applyAlignment="0" applyProtection="0">
      <alignment vertical="center"/>
    </xf>
    <xf numFmtId="0" fontId="43" fillId="58" borderId="81" applyNumberFormat="0" applyFont="0" applyAlignment="0" applyProtection="0">
      <alignment vertical="center"/>
    </xf>
    <xf numFmtId="0" fontId="43" fillId="58" borderId="59" applyNumberFormat="0" applyFon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02" fillId="42" borderId="66"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6" fillId="55" borderId="73" applyNumberFormat="0" applyAlignment="0" applyProtection="0">
      <alignment vertical="center"/>
    </xf>
    <xf numFmtId="0" fontId="126" fillId="55" borderId="78"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43" fillId="58" borderId="77" applyNumberFormat="0" applyFont="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102" fillId="42" borderId="78" applyNumberForma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43" fillId="58" borderId="81" applyNumberFormat="0" applyFont="0" applyAlignment="0" applyProtection="0">
      <alignment vertical="center"/>
    </xf>
    <xf numFmtId="0" fontId="86" fillId="55" borderId="66" applyNumberFormat="0" applyAlignment="0" applyProtection="0">
      <alignment vertical="center"/>
    </xf>
    <xf numFmtId="0" fontId="22" fillId="58" borderId="77" applyNumberFormat="0" applyFon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44" fillId="58" borderId="77" applyNumberFormat="0" applyFont="0" applyAlignment="0" applyProtection="0">
      <alignment vertical="center"/>
    </xf>
    <xf numFmtId="0" fontId="103" fillId="42" borderId="78" applyNumberFormat="0" applyAlignment="0" applyProtection="0">
      <alignment vertical="center"/>
    </xf>
    <xf numFmtId="0" fontId="113" fillId="58" borderId="77" applyNumberFormat="0" applyFont="0" applyAlignment="0" applyProtection="0">
      <alignment vertical="center"/>
    </xf>
    <xf numFmtId="0" fontId="93" fillId="58" borderId="77" applyNumberFormat="0" applyFont="0" applyAlignment="0" applyProtection="0">
      <alignment vertical="center"/>
    </xf>
    <xf numFmtId="0" fontId="115" fillId="55" borderId="80"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7" fillId="42" borderId="78" applyNumberFormat="0" applyAlignment="0" applyProtection="0">
      <alignment vertical="center"/>
    </xf>
    <xf numFmtId="0" fontId="125" fillId="0" borderId="79" applyNumberFormat="0" applyFill="0" applyAlignment="0" applyProtection="0">
      <alignment vertical="center"/>
    </xf>
    <xf numFmtId="0" fontId="126" fillId="55" borderId="73" applyNumberFormat="0" applyAlignment="0" applyProtection="0">
      <alignment vertical="center"/>
    </xf>
    <xf numFmtId="0" fontId="22" fillId="58" borderId="81" applyNumberFormat="0" applyFont="0" applyAlignment="0" applyProtection="0">
      <alignment vertical="center"/>
    </xf>
    <xf numFmtId="0" fontId="86" fillId="55" borderId="66" applyNumberFormat="0" applyAlignment="0" applyProtection="0">
      <alignment vertical="center"/>
    </xf>
    <xf numFmtId="0" fontId="126" fillId="55" borderId="82" applyNumberFormat="0" applyAlignment="0" applyProtection="0">
      <alignment vertical="center"/>
    </xf>
    <xf numFmtId="0" fontId="115" fillId="55" borderId="80" applyNumberFormat="0" applyAlignment="0" applyProtection="0">
      <alignment vertical="center"/>
    </xf>
    <xf numFmtId="0" fontId="113" fillId="58" borderId="77" applyNumberFormat="0" applyFont="0" applyAlignment="0" applyProtection="0">
      <alignment vertical="center"/>
    </xf>
    <xf numFmtId="0" fontId="86" fillId="55" borderId="7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100" fillId="0" borderId="79" applyNumberFormat="0" applyFill="0" applyAlignment="0" applyProtection="0">
      <alignment vertical="center"/>
    </xf>
    <xf numFmtId="0" fontId="43" fillId="58" borderId="77" applyNumberFormat="0" applyFont="0" applyAlignment="0" applyProtection="0">
      <alignment vertical="center"/>
    </xf>
    <xf numFmtId="0" fontId="126" fillId="55" borderId="73" applyNumberForma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100" fillId="0" borderId="79" applyNumberFormat="0" applyFill="0" applyAlignment="0" applyProtection="0">
      <alignment vertical="center"/>
    </xf>
    <xf numFmtId="0" fontId="113" fillId="58" borderId="77"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126" fillId="55" borderId="78" applyNumberFormat="0" applyAlignment="0" applyProtection="0">
      <alignment vertical="center"/>
    </xf>
    <xf numFmtId="0" fontId="128" fillId="55" borderId="80" applyNumberFormat="0" applyAlignment="0" applyProtection="0">
      <alignment vertical="center"/>
    </xf>
    <xf numFmtId="0" fontId="86" fillId="55" borderId="78" applyNumberFormat="0" applyAlignment="0" applyProtection="0">
      <alignment vertical="center"/>
    </xf>
    <xf numFmtId="0" fontId="86" fillId="55" borderId="73" applyNumberFormat="0" applyAlignment="0" applyProtection="0">
      <alignment vertical="center"/>
    </xf>
    <xf numFmtId="0" fontId="103"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5" fillId="55" borderId="75" applyNumberFormat="0" applyAlignment="0" applyProtection="0">
      <alignment vertical="center"/>
    </xf>
    <xf numFmtId="0" fontId="113" fillId="58" borderId="72" applyNumberFormat="0" applyFont="0" applyAlignment="0" applyProtection="0">
      <alignment vertical="center"/>
    </xf>
    <xf numFmtId="0" fontId="100" fillId="0" borderId="74" applyNumberFormat="0" applyFill="0" applyAlignment="0" applyProtection="0">
      <alignment vertical="center"/>
    </xf>
    <xf numFmtId="0" fontId="100" fillId="0" borderId="74" applyNumberFormat="0" applyFill="0" applyAlignment="0" applyProtection="0">
      <alignment vertical="center"/>
    </xf>
    <xf numFmtId="0" fontId="101" fillId="0" borderId="74" applyNumberFormat="0" applyFill="0" applyAlignment="0" applyProtection="0">
      <alignment vertical="center"/>
    </xf>
    <xf numFmtId="0" fontId="100" fillId="0" borderId="74" applyNumberFormat="0" applyFill="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8" fillId="55" borderId="75"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7" fillId="42" borderId="73" applyNumberFormat="0" applyAlignment="0" applyProtection="0">
      <alignment vertical="center"/>
    </xf>
    <xf numFmtId="0" fontId="126" fillId="55" borderId="73" applyNumberFormat="0" applyAlignment="0" applyProtection="0">
      <alignment vertical="center"/>
    </xf>
    <xf numFmtId="0" fontId="115" fillId="55" borderId="75" applyNumberFormat="0" applyAlignment="0" applyProtection="0">
      <alignment vertical="center"/>
    </xf>
    <xf numFmtId="0" fontId="22" fillId="58" borderId="72" applyNumberFormat="0" applyFont="0" applyAlignment="0" applyProtection="0">
      <alignment vertical="center"/>
    </xf>
    <xf numFmtId="0" fontId="86" fillId="55" borderId="73" applyNumberForma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100" fillId="0" borderId="61" applyNumberFormat="0" applyFill="0" applyAlignment="0" applyProtection="0">
      <alignment vertical="center"/>
    </xf>
    <xf numFmtId="0" fontId="43" fillId="58" borderId="59" applyNumberFormat="0" applyFon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02" fillId="42" borderId="66" applyNumberFormat="0" applyAlignment="0" applyProtection="0">
      <alignment vertical="center"/>
    </xf>
    <xf numFmtId="0" fontId="86" fillId="55" borderId="69" applyNumberForma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100" fillId="0" borderId="70" applyNumberFormat="0" applyFill="0" applyAlignment="0" applyProtection="0">
      <alignment vertical="center"/>
    </xf>
    <xf numFmtId="0" fontId="102" fillId="42" borderId="69"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15" fillId="55" borderId="71" applyNumberFormat="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73" applyNumberFormat="0" applyAlignment="0" applyProtection="0">
      <alignment vertical="center"/>
    </xf>
    <xf numFmtId="0" fontId="22" fillId="58" borderId="77" applyNumberFormat="0" applyFont="0" applyAlignment="0" applyProtection="0">
      <alignment vertical="center"/>
    </xf>
    <xf numFmtId="0" fontId="125" fillId="0" borderId="79" applyNumberFormat="0" applyFill="0" applyAlignment="0" applyProtection="0">
      <alignment vertical="center"/>
    </xf>
    <xf numFmtId="0" fontId="86" fillId="55"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5" fillId="55" borderId="84"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28" fillId="55" borderId="80" applyNumberFormat="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93" fillId="58" borderId="77" applyNumberFormat="0" applyFont="0" applyAlignment="0" applyProtection="0">
      <alignment vertical="center"/>
    </xf>
    <xf numFmtId="0" fontId="115" fillId="55" borderId="80" applyNumberFormat="0" applyAlignment="0" applyProtection="0">
      <alignment vertical="center"/>
    </xf>
    <xf numFmtId="0" fontId="115" fillId="55" borderId="80" applyNumberFormat="0" applyAlignment="0" applyProtection="0">
      <alignment vertical="center"/>
    </xf>
    <xf numFmtId="0" fontId="86" fillId="55" borderId="78" applyNumberFormat="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0" fillId="0" borderId="79" applyNumberFormat="0" applyFill="0" applyAlignment="0" applyProtection="0">
      <alignment vertical="center"/>
    </xf>
    <xf numFmtId="0" fontId="127" fillId="42" borderId="78" applyNumberForma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5" fillId="55" borderId="80"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126" fillId="55" borderId="73"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87"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7"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87"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7"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44"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4" fillId="58" borderId="68" applyNumberFormat="0" applyFont="0" applyAlignment="0" applyProtection="0">
      <alignment vertical="center"/>
    </xf>
    <xf numFmtId="0" fontId="44"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4"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7" fillId="42" borderId="69"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28" fillId="55" borderId="71" applyNumberFormat="0" applyAlignment="0" applyProtection="0">
      <alignment vertical="center"/>
    </xf>
    <xf numFmtId="0" fontId="100" fillId="0" borderId="70" applyNumberFormat="0" applyFill="0" applyAlignment="0" applyProtection="0">
      <alignment vertical="center"/>
    </xf>
    <xf numFmtId="0" fontId="101"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1" fillId="0" borderId="70" applyNumberFormat="0" applyFill="0" applyAlignment="0" applyProtection="0">
      <alignment vertical="center"/>
    </xf>
    <xf numFmtId="0" fontId="101"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1"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0" fillId="0" borderId="70" applyNumberFormat="0" applyFill="0" applyAlignment="0" applyProtection="0">
      <alignment vertical="center"/>
    </xf>
    <xf numFmtId="0" fontId="102" fillId="42" borderId="69" applyNumberFormat="0" applyAlignment="0" applyProtection="0">
      <alignment vertical="center"/>
    </xf>
    <xf numFmtId="0" fontId="103"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3" fillId="42" borderId="69" applyNumberFormat="0" applyAlignment="0" applyProtection="0">
      <alignment vertical="center"/>
    </xf>
    <xf numFmtId="0" fontId="103"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3"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9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9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3" fillId="58" borderId="68" applyNumberFormat="0" applyFont="0" applyAlignment="0" applyProtection="0">
      <alignment vertical="center"/>
    </xf>
    <xf numFmtId="0" fontId="115" fillId="55" borderId="71" applyNumberFormat="0" applyAlignment="0" applyProtection="0">
      <alignment vertical="center"/>
    </xf>
    <xf numFmtId="0" fontId="116"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6" fillId="55" borderId="71" applyNumberFormat="0" applyAlignment="0" applyProtection="0">
      <alignment vertical="center"/>
    </xf>
    <xf numFmtId="0" fontId="116"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6"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15" fillId="55" borderId="71" applyNumberFormat="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25" fillId="0" borderId="70" applyNumberFormat="0" applyFill="0" applyAlignment="0" applyProtection="0">
      <alignment vertical="center"/>
    </xf>
    <xf numFmtId="0" fontId="102" fillId="42" borderId="69" applyNumberFormat="0" applyAlignment="0" applyProtection="0">
      <alignment vertical="center"/>
    </xf>
    <xf numFmtId="0" fontId="12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102" fillId="42" borderId="69" applyNumberFormat="0" applyAlignment="0" applyProtection="0">
      <alignment vertical="center"/>
    </xf>
    <xf numFmtId="0" fontId="102" fillId="42"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26" fillId="55" borderId="69" applyNumberFormat="0" applyAlignment="0" applyProtection="0">
      <alignment vertical="center"/>
    </xf>
    <xf numFmtId="0" fontId="102" fillId="42"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66"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126" fillId="55" borderId="78" applyNumberFormat="0" applyAlignment="0" applyProtection="0">
      <alignment vertical="center"/>
    </xf>
    <xf numFmtId="0" fontId="86" fillId="55"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22" fillId="58" borderId="77" applyNumberFormat="0" applyFon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93" fillId="58" borderId="77" applyNumberFormat="0" applyFont="0" applyAlignment="0" applyProtection="0">
      <alignment vertical="center"/>
    </xf>
    <xf numFmtId="0" fontId="115" fillId="55" borderId="80" applyNumberFormat="0" applyAlignment="0" applyProtection="0">
      <alignment vertical="center"/>
    </xf>
    <xf numFmtId="0" fontId="86" fillId="55" borderId="69" applyNumberFormat="0" applyAlignment="0" applyProtection="0">
      <alignment vertical="center"/>
    </xf>
    <xf numFmtId="0" fontId="86" fillId="55" borderId="69" applyNumberFormat="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127" fillId="42" borderId="78" applyNumberFormat="0" applyAlignment="0" applyProtection="0">
      <alignment vertical="center"/>
    </xf>
    <xf numFmtId="0" fontId="113" fillId="58" borderId="81" applyNumberFormat="0" applyFont="0" applyAlignment="0" applyProtection="0">
      <alignment vertical="center"/>
    </xf>
    <xf numFmtId="0" fontId="125" fillId="0" borderId="79" applyNumberFormat="0" applyFill="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126" fillId="55" borderId="73" applyNumberFormat="0" applyAlignment="0" applyProtection="0">
      <alignment vertical="center"/>
    </xf>
    <xf numFmtId="0" fontId="115" fillId="55" borderId="80" applyNumberFormat="0" applyAlignment="0" applyProtection="0">
      <alignment vertical="center"/>
    </xf>
    <xf numFmtId="0" fontId="113" fillId="58" borderId="77"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86" fillId="55" borderId="82"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100" fillId="0" borderId="79" applyNumberFormat="0" applyFill="0" applyAlignment="0" applyProtection="0">
      <alignment vertical="center"/>
    </xf>
    <xf numFmtId="0" fontId="43" fillId="58" borderId="77" applyNumberFormat="0" applyFont="0" applyAlignment="0" applyProtection="0">
      <alignment vertical="center"/>
    </xf>
    <xf numFmtId="0" fontId="126" fillId="55" borderId="73" applyNumberFormat="0" applyAlignment="0" applyProtection="0">
      <alignment vertical="center"/>
    </xf>
    <xf numFmtId="0" fontId="102" fillId="42" borderId="78" applyNumberFormat="0" applyAlignment="0" applyProtection="0">
      <alignment vertical="center"/>
    </xf>
    <xf numFmtId="0" fontId="86" fillId="55" borderId="66" applyNumberFormat="0" applyAlignment="0" applyProtection="0">
      <alignment vertical="center"/>
    </xf>
    <xf numFmtId="0" fontId="113" fillId="58" borderId="77" applyNumberFormat="0" applyFont="0" applyAlignment="0" applyProtection="0">
      <alignment vertical="center"/>
    </xf>
    <xf numFmtId="0" fontId="113" fillId="58" borderId="81"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100" fillId="0" borderId="79" applyNumberFormat="0" applyFill="0" applyAlignment="0" applyProtection="0">
      <alignment vertical="center"/>
    </xf>
    <xf numFmtId="0" fontId="113" fillId="58" borderId="77" applyNumberFormat="0" applyFont="0" applyAlignment="0" applyProtection="0">
      <alignment vertical="center"/>
    </xf>
    <xf numFmtId="0" fontId="126" fillId="55" borderId="78" applyNumberFormat="0" applyAlignment="0" applyProtection="0">
      <alignment vertical="center"/>
    </xf>
    <xf numFmtId="0" fontId="128" fillId="55" borderId="80" applyNumberFormat="0" applyAlignment="0" applyProtection="0">
      <alignment vertical="center"/>
    </xf>
    <xf numFmtId="0" fontId="86" fillId="55" borderId="78" applyNumberFormat="0" applyAlignment="0" applyProtection="0">
      <alignment vertical="center"/>
    </xf>
    <xf numFmtId="0" fontId="126" fillId="55" borderId="73" applyNumberFormat="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02" fillId="42" borderId="78" applyNumberFormat="0" applyAlignment="0" applyProtection="0">
      <alignment vertical="center"/>
    </xf>
    <xf numFmtId="0" fontId="93" fillId="58" borderId="81" applyNumberFormat="0" applyFon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87"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28" fillId="55" borderId="80" applyNumberFormat="0" applyAlignment="0" applyProtection="0">
      <alignment vertical="center"/>
    </xf>
    <xf numFmtId="0" fontId="101" fillId="0" borderId="79" applyNumberFormat="0" applyFill="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93" fillId="58" borderId="77" applyNumberFormat="0" applyFont="0" applyAlignment="0" applyProtection="0">
      <alignment vertical="center"/>
    </xf>
    <xf numFmtId="0" fontId="115" fillId="55" borderId="80" applyNumberFormat="0" applyAlignment="0" applyProtection="0">
      <alignment vertical="center"/>
    </xf>
    <xf numFmtId="0" fontId="115" fillId="55" borderId="80" applyNumberFormat="0" applyAlignment="0" applyProtection="0">
      <alignment vertical="center"/>
    </xf>
    <xf numFmtId="0" fontId="102" fillId="42" borderId="78" applyNumberFormat="0" applyAlignment="0" applyProtection="0">
      <alignment vertical="center"/>
    </xf>
    <xf numFmtId="0" fontId="126" fillId="55" borderId="7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43" fillId="58" borderId="77" applyNumberFormat="0" applyFont="0" applyAlignment="0" applyProtection="0">
      <alignment vertical="center"/>
    </xf>
    <xf numFmtId="0" fontId="86" fillId="55" borderId="73" applyNumberFormat="0" applyAlignment="0" applyProtection="0">
      <alignment vertical="center"/>
    </xf>
    <xf numFmtId="0" fontId="102" fillId="42" borderId="66" applyNumberForma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44" fillId="58" borderId="77" applyNumberFormat="0" applyFon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1" fillId="0" borderId="79" applyNumberFormat="0" applyFill="0" applyAlignment="0" applyProtection="0">
      <alignment vertical="center"/>
    </xf>
    <xf numFmtId="0" fontId="100" fillId="0" borderId="79" applyNumberFormat="0" applyFill="0" applyAlignment="0" applyProtection="0">
      <alignment vertical="center"/>
    </xf>
    <xf numFmtId="0" fontId="103" fillId="42" borderId="78"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5" fillId="55" borderId="80" applyNumberFormat="0" applyAlignment="0" applyProtection="0">
      <alignment vertical="center"/>
    </xf>
    <xf numFmtId="0" fontId="125" fillId="0" borderId="79" applyNumberFormat="0" applyFill="0" applyAlignment="0" applyProtection="0">
      <alignment vertical="center"/>
    </xf>
    <xf numFmtId="0" fontId="86" fillId="55" borderId="78"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8"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93" fillId="58" borderId="81" applyNumberFormat="0" applyFont="0" applyAlignment="0" applyProtection="0">
      <alignment vertical="center"/>
    </xf>
    <xf numFmtId="0" fontId="115" fillId="55" borderId="84"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4" fillId="58" borderId="77" applyNumberFormat="0" applyFont="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102" fillId="42" borderId="78" applyNumberFormat="0" applyAlignment="0" applyProtection="0">
      <alignment vertical="center"/>
    </xf>
    <xf numFmtId="0" fontId="86" fillId="55"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22" fillId="58" borderId="81" applyNumberFormat="0" applyFon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22" fillId="58" borderId="77" applyNumberFormat="0" applyFon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44" fillId="58" borderId="77" applyNumberFormat="0" applyFont="0" applyAlignment="0" applyProtection="0">
      <alignment vertical="center"/>
    </xf>
    <xf numFmtId="0" fontId="103" fillId="42" borderId="78" applyNumberFormat="0" applyAlignment="0" applyProtection="0">
      <alignment vertical="center"/>
    </xf>
    <xf numFmtId="0" fontId="102" fillId="42" borderId="78" applyNumberFormat="0" applyAlignment="0" applyProtection="0">
      <alignment vertical="center"/>
    </xf>
    <xf numFmtId="0" fontId="93" fillId="58" borderId="77" applyNumberFormat="0" applyFont="0" applyAlignment="0" applyProtection="0">
      <alignment vertical="center"/>
    </xf>
    <xf numFmtId="0" fontId="116" fillId="55" borderId="80" applyNumberFormat="0" applyAlignment="0" applyProtection="0">
      <alignment vertical="center"/>
    </xf>
    <xf numFmtId="0" fontId="86" fillId="55" borderId="73" applyNumberFormat="0" applyAlignment="0" applyProtection="0">
      <alignment vertical="center"/>
    </xf>
    <xf numFmtId="0" fontId="127" fillId="42" borderId="78" applyNumberFormat="0" applyAlignment="0" applyProtection="0">
      <alignment vertical="center"/>
    </xf>
    <xf numFmtId="0" fontId="125" fillId="0" borderId="79" applyNumberFormat="0" applyFill="0" applyAlignment="0" applyProtection="0">
      <alignment vertical="center"/>
    </xf>
    <xf numFmtId="0" fontId="22" fillId="58" borderId="81" applyNumberFormat="0" applyFont="0" applyAlignment="0" applyProtection="0">
      <alignment vertical="center"/>
    </xf>
    <xf numFmtId="0" fontId="126" fillId="55" borderId="66" applyNumberFormat="0" applyAlignment="0" applyProtection="0">
      <alignment vertical="center"/>
    </xf>
    <xf numFmtId="0" fontId="86" fillId="55" borderId="82" applyNumberFormat="0" applyAlignment="0" applyProtection="0">
      <alignment vertical="center"/>
    </xf>
    <xf numFmtId="0" fontId="116" fillId="55" borderId="80" applyNumberFormat="0" applyAlignment="0" applyProtection="0">
      <alignment vertical="center"/>
    </xf>
    <xf numFmtId="0" fontId="113" fillId="58" borderId="77" applyNumberFormat="0" applyFont="0" applyAlignment="0" applyProtection="0">
      <alignment vertical="center"/>
    </xf>
    <xf numFmtId="0" fontId="86" fillId="55" borderId="78" applyNumberFormat="0" applyAlignment="0" applyProtection="0">
      <alignment vertical="center"/>
    </xf>
    <xf numFmtId="0" fontId="86" fillId="55" borderId="66"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101" fillId="0" borderId="79" applyNumberFormat="0" applyFill="0" applyAlignment="0" applyProtection="0">
      <alignment vertical="center"/>
    </xf>
    <xf numFmtId="0" fontId="43" fillId="58" borderId="77"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02" fillId="42" borderId="78" applyNumberFormat="0" applyAlignment="0" applyProtection="0">
      <alignment vertical="center"/>
    </xf>
    <xf numFmtId="0" fontId="87" fillId="55" borderId="66" applyNumberFormat="0" applyAlignment="0" applyProtection="0">
      <alignment vertical="center"/>
    </xf>
    <xf numFmtId="0" fontId="113" fillId="58" borderId="77" applyNumberFormat="0" applyFont="0" applyAlignment="0" applyProtection="0">
      <alignment vertical="center"/>
    </xf>
    <xf numFmtId="0" fontId="126" fillId="55" borderId="73" applyNumberFormat="0" applyAlignment="0" applyProtection="0">
      <alignment vertical="center"/>
    </xf>
    <xf numFmtId="0" fontId="128" fillId="55" borderId="84" applyNumberFormat="0" applyAlignment="0" applyProtection="0">
      <alignment vertical="center"/>
    </xf>
    <xf numFmtId="0" fontId="100" fillId="0" borderId="79" applyNumberFormat="0" applyFill="0" applyAlignment="0" applyProtection="0">
      <alignment vertical="center"/>
    </xf>
    <xf numFmtId="0" fontId="113" fillId="58" borderId="77"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26" fillId="55" borderId="78" applyNumberFormat="0" applyAlignment="0" applyProtection="0">
      <alignment vertical="center"/>
    </xf>
    <xf numFmtId="0" fontId="128" fillId="55" borderId="80" applyNumberFormat="0" applyAlignment="0" applyProtection="0">
      <alignment vertical="center"/>
    </xf>
    <xf numFmtId="0" fontId="86" fillId="55" borderId="78" applyNumberForma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86" fillId="55" borderId="69" applyNumberForma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22" fillId="58" borderId="68" applyNumberFormat="0" applyFont="0" applyAlignment="0" applyProtection="0">
      <alignment vertical="center"/>
    </xf>
    <xf numFmtId="0" fontId="43" fillId="58" borderId="68" applyNumberFormat="0" applyFont="0" applyAlignment="0" applyProtection="0">
      <alignment vertical="center"/>
    </xf>
    <xf numFmtId="0" fontId="43" fillId="58" borderId="68" applyNumberFormat="0" applyFont="0" applyAlignment="0" applyProtection="0">
      <alignment vertical="center"/>
    </xf>
    <xf numFmtId="0" fontId="102" fillId="42" borderId="69"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5" fillId="0" borderId="79" applyNumberFormat="0" applyFill="0" applyAlignment="0" applyProtection="0">
      <alignment vertical="center"/>
    </xf>
    <xf numFmtId="0" fontId="100" fillId="0" borderId="83" applyNumberFormat="0" applyFill="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7" fillId="55" borderId="66" applyNumberFormat="0" applyAlignment="0" applyProtection="0">
      <alignment vertical="center"/>
    </xf>
    <xf numFmtId="0" fontId="87" fillId="55" borderId="66" applyNumberFormat="0" applyAlignment="0" applyProtection="0">
      <alignment vertical="center"/>
    </xf>
    <xf numFmtId="0" fontId="126" fillId="55" borderId="66"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86" fillId="55" borderId="78" applyNumberFormat="0" applyAlignment="0" applyProtection="0">
      <alignment vertical="center"/>
    </xf>
    <xf numFmtId="0" fontId="100" fillId="0" borderId="79" applyNumberFormat="0" applyFill="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78" applyNumberFormat="0" applyAlignment="0" applyProtection="0">
      <alignment vertical="center"/>
    </xf>
    <xf numFmtId="0" fontId="125" fillId="0" borderId="61" applyNumberFormat="0" applyFill="0" applyAlignment="0" applyProtection="0">
      <alignment vertical="center"/>
    </xf>
    <xf numFmtId="0" fontId="126" fillId="55" borderId="73"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22" fillId="58" borderId="77" applyNumberFormat="0" applyFont="0" applyAlignment="0" applyProtection="0">
      <alignment vertical="center"/>
    </xf>
    <xf numFmtId="0" fontId="22" fillId="58" borderId="77" applyNumberFormat="0" applyFont="0" applyAlignment="0" applyProtection="0">
      <alignment vertical="center"/>
    </xf>
    <xf numFmtId="0" fontId="22" fillId="58" borderId="77" applyNumberFormat="0" applyFont="0" applyAlignment="0" applyProtection="0">
      <alignment vertical="center"/>
    </xf>
    <xf numFmtId="0" fontId="22" fillId="58" borderId="77" applyNumberFormat="0" applyFont="0" applyAlignment="0" applyProtection="0">
      <alignment vertical="center"/>
    </xf>
    <xf numFmtId="0" fontId="22" fillId="58" borderId="77"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1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22" fillId="58" borderId="77" applyNumberFormat="0" applyFont="0" applyAlignment="0" applyProtection="0">
      <alignment vertical="center"/>
    </xf>
    <xf numFmtId="0" fontId="126" fillId="55" borderId="73" applyNumberFormat="0" applyAlignment="0" applyProtection="0">
      <alignment vertical="center"/>
    </xf>
    <xf numFmtId="0" fontId="93" fillId="58" borderId="81" applyNumberFormat="0" applyFont="0" applyAlignment="0" applyProtection="0">
      <alignment vertical="center"/>
    </xf>
    <xf numFmtId="0" fontId="115" fillId="55" borderId="84"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5" fillId="0" borderId="61" applyNumberFormat="0" applyFill="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100" fillId="0" borderId="83" applyNumberFormat="0" applyFill="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27" fillId="42" borderId="78" applyNumberForma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100" fillId="0" borderId="79" applyNumberFormat="0" applyFill="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87" fillId="55" borderId="82"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28" fillId="55" borderId="80" applyNumberFormat="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93" fillId="58" borderId="77" applyNumberFormat="0" applyFont="0" applyAlignment="0" applyProtection="0">
      <alignment vertical="center"/>
    </xf>
    <xf numFmtId="0" fontId="115" fillId="55" borderId="80" applyNumberFormat="0" applyAlignment="0" applyProtection="0">
      <alignment vertical="center"/>
    </xf>
    <xf numFmtId="0" fontId="115" fillId="55" borderId="80" applyNumberFormat="0" applyAlignment="0" applyProtection="0">
      <alignment vertical="center"/>
    </xf>
    <xf numFmtId="0" fontId="86" fillId="55" borderId="78" applyNumberFormat="0" applyAlignment="0" applyProtection="0">
      <alignment vertical="center"/>
    </xf>
    <xf numFmtId="0" fontId="22"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43" fillId="58" borderId="81" applyNumberFormat="0" applyFont="0" applyAlignment="0" applyProtection="0">
      <alignment vertical="center"/>
    </xf>
    <xf numFmtId="0" fontId="22" fillId="58" borderId="77" applyNumberFormat="0" applyFont="0" applyAlignment="0" applyProtection="0">
      <alignment vertical="center"/>
    </xf>
    <xf numFmtId="0" fontId="86" fillId="55" borderId="73" applyNumberForma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0" fillId="0" borderId="79" applyNumberFormat="0" applyFill="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6" fillId="55" borderId="80" applyNumberFormat="0" applyAlignment="0" applyProtection="0">
      <alignment vertical="center"/>
    </xf>
    <xf numFmtId="0" fontId="86" fillId="55" borderId="78" applyNumberFormat="0" applyAlignment="0" applyProtection="0">
      <alignment vertical="center"/>
    </xf>
    <xf numFmtId="0" fontId="86" fillId="55" borderId="78" applyNumberFormat="0" applyAlignment="0" applyProtection="0">
      <alignment vertical="center"/>
    </xf>
    <xf numFmtId="0" fontId="87" fillId="55" borderId="73" applyNumberFormat="0" applyAlignment="0" applyProtection="0">
      <alignment vertical="center"/>
    </xf>
    <xf numFmtId="0" fontId="86" fillId="55" borderId="66" applyNumberFormat="0" applyAlignment="0" applyProtection="0">
      <alignment vertical="center"/>
    </xf>
    <xf numFmtId="0" fontId="125" fillId="0" borderId="83" applyNumberFormat="0" applyFill="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115" fillId="55" borderId="80"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126" fillId="55" borderId="78" applyNumberFormat="0" applyAlignment="0" applyProtection="0">
      <alignment vertical="center"/>
    </xf>
    <xf numFmtId="0" fontId="86" fillId="55" borderId="82"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5" fillId="55" borderId="84" applyNumberFormat="0" applyAlignment="0" applyProtection="0">
      <alignment vertical="center"/>
    </xf>
    <xf numFmtId="0" fontId="126" fillId="55" borderId="73" applyNumberFormat="0" applyAlignment="0" applyProtection="0">
      <alignment vertical="center"/>
    </xf>
    <xf numFmtId="0" fontId="87" fillId="55" borderId="66"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86" fillId="55" borderId="82" applyNumberFormat="0" applyAlignment="0" applyProtection="0">
      <alignment vertical="center"/>
    </xf>
    <xf numFmtId="0" fontId="86" fillId="55" borderId="73" applyNumberFormat="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5" fillId="55" borderId="80"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7" fillId="42" borderId="78" applyNumberFormat="0" applyAlignment="0" applyProtection="0">
      <alignment vertical="center"/>
    </xf>
    <xf numFmtId="0" fontId="125" fillId="0" borderId="79" applyNumberFormat="0" applyFill="0" applyAlignment="0" applyProtection="0">
      <alignment vertical="center"/>
    </xf>
    <xf numFmtId="0" fontId="86" fillId="55" borderId="66" applyNumberFormat="0" applyAlignment="0" applyProtection="0">
      <alignment vertical="center"/>
    </xf>
    <xf numFmtId="0" fontId="115" fillId="55" borderId="80" applyNumberFormat="0" applyAlignment="0" applyProtection="0">
      <alignment vertical="center"/>
    </xf>
    <xf numFmtId="0" fontId="113" fillId="58" borderId="77" applyNumberFormat="0" applyFont="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22" fillId="58" borderId="77" applyNumberFormat="0" applyFon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00" fillId="0" borderId="79" applyNumberFormat="0" applyFill="0" applyAlignment="0" applyProtection="0">
      <alignment vertical="center"/>
    </xf>
    <xf numFmtId="0" fontId="43" fillId="58" borderId="77" applyNumberFormat="0" applyFont="0" applyAlignment="0" applyProtection="0">
      <alignment vertical="center"/>
    </xf>
    <xf numFmtId="0" fontId="86" fillId="55" borderId="73" applyNumberFormat="0" applyAlignment="0" applyProtection="0">
      <alignment vertical="center"/>
    </xf>
    <xf numFmtId="0" fontId="102" fillId="42" borderId="78" applyNumberFormat="0" applyAlignment="0" applyProtection="0">
      <alignment vertical="center"/>
    </xf>
    <xf numFmtId="0" fontId="126" fillId="55" borderId="66" applyNumberFormat="0" applyAlignment="0" applyProtection="0">
      <alignment vertical="center"/>
    </xf>
    <xf numFmtId="0" fontId="113" fillId="58" borderId="77" applyNumberFormat="0" applyFon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100" fillId="0" borderId="79" applyNumberFormat="0" applyFill="0" applyAlignment="0" applyProtection="0">
      <alignment vertical="center"/>
    </xf>
    <xf numFmtId="0" fontId="113" fillId="58" borderId="77" applyNumberFormat="0" applyFont="0" applyAlignment="0" applyProtection="0">
      <alignment vertical="center"/>
    </xf>
    <xf numFmtId="0" fontId="126" fillId="55" borderId="73" applyNumberFormat="0" applyAlignment="0" applyProtection="0">
      <alignment vertical="center"/>
    </xf>
    <xf numFmtId="0" fontId="126" fillId="55" borderId="78" applyNumberFormat="0" applyAlignment="0" applyProtection="0">
      <alignment vertical="center"/>
    </xf>
    <xf numFmtId="0" fontId="100" fillId="0" borderId="79" applyNumberFormat="0" applyFill="0" applyAlignment="0" applyProtection="0">
      <alignment vertical="center"/>
    </xf>
    <xf numFmtId="0" fontId="86" fillId="55" borderId="78" applyNumberFormat="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126" fillId="55" borderId="66"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86" fillId="55" borderId="78" applyNumberFormat="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87"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27" fillId="42" borderId="78" applyNumberFormat="0" applyAlignment="0" applyProtection="0">
      <alignment vertical="center"/>
    </xf>
    <xf numFmtId="0" fontId="101" fillId="0" borderId="79" applyNumberFormat="0" applyFill="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93" fillId="58" borderId="77" applyNumberFormat="0" applyFont="0" applyAlignment="0" applyProtection="0">
      <alignment vertical="center"/>
    </xf>
    <xf numFmtId="0" fontId="115" fillId="55" borderId="80" applyNumberFormat="0" applyAlignment="0" applyProtection="0">
      <alignment vertical="center"/>
    </xf>
    <xf numFmtId="0" fontId="115" fillId="55" borderId="80" applyNumberFormat="0" applyAlignment="0" applyProtection="0">
      <alignment vertical="center"/>
    </xf>
    <xf numFmtId="0" fontId="86" fillId="55" borderId="78"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66" applyNumberFormat="0" applyAlignment="0" applyProtection="0">
      <alignment vertical="center"/>
    </xf>
    <xf numFmtId="0" fontId="126" fillId="55" borderId="66" applyNumberFormat="0" applyAlignment="0" applyProtection="0">
      <alignment vertical="center"/>
    </xf>
    <xf numFmtId="0" fontId="86" fillId="55" borderId="66" applyNumberFormat="0" applyAlignment="0" applyProtection="0">
      <alignment vertical="center"/>
    </xf>
    <xf numFmtId="0" fontId="126" fillId="55" borderId="66" applyNumberFormat="0" applyAlignment="0" applyProtection="0">
      <alignment vertical="center"/>
    </xf>
    <xf numFmtId="0" fontId="43" fillId="58" borderId="77" applyNumberFormat="0" applyFont="0" applyAlignment="0" applyProtection="0">
      <alignment vertical="center"/>
    </xf>
    <xf numFmtId="0" fontId="22" fillId="58" borderId="77" applyNumberFormat="0" applyFont="0" applyAlignment="0" applyProtection="0">
      <alignment vertical="center"/>
    </xf>
    <xf numFmtId="0" fontId="86" fillId="55" borderId="73" applyNumberFormat="0" applyAlignment="0" applyProtection="0">
      <alignment vertical="center"/>
    </xf>
    <xf numFmtId="0" fontId="102" fillId="42" borderId="78" applyNumberFormat="0" applyAlignment="0" applyProtection="0">
      <alignment vertical="center"/>
    </xf>
    <xf numFmtId="0" fontId="102" fillId="42"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0" fillId="0" borderId="79" applyNumberFormat="0" applyFill="0" applyAlignment="0" applyProtection="0">
      <alignment vertical="center"/>
    </xf>
    <xf numFmtId="0" fontId="100" fillId="0" borderId="79" applyNumberFormat="0" applyFill="0" applyAlignment="0" applyProtection="0">
      <alignment vertical="center"/>
    </xf>
    <xf numFmtId="0" fontId="102" fillId="42" borderId="78" applyNumberForma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3" fillId="58" borderId="77" applyNumberFormat="0" applyFont="0" applyAlignment="0" applyProtection="0">
      <alignment vertical="center"/>
    </xf>
    <xf numFmtId="0" fontId="115" fillId="55" borderId="80" applyNumberFormat="0" applyAlignment="0" applyProtection="0">
      <alignment vertical="center"/>
    </xf>
    <xf numFmtId="0" fontId="126" fillId="55" borderId="78" applyNumberFormat="0" applyAlignment="0" applyProtection="0">
      <alignment vertical="center"/>
    </xf>
    <xf numFmtId="0" fontId="86" fillId="55" borderId="78" applyNumberFormat="0" applyAlignment="0" applyProtection="0">
      <alignment vertical="center"/>
    </xf>
    <xf numFmtId="0" fontId="22" fillId="58" borderId="81" applyNumberFormat="0" applyFon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66" applyNumberForma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86" fillId="55" borderId="78" applyNumberFormat="0" applyAlignment="0" applyProtection="0">
      <alignment vertical="center"/>
    </xf>
    <xf numFmtId="0" fontId="86" fillId="55" borderId="78" applyNumberFormat="0" applyAlignment="0" applyProtection="0">
      <alignment vertical="center"/>
    </xf>
    <xf numFmtId="0" fontId="43" fillId="58" borderId="77" applyNumberFormat="0" applyFont="0" applyAlignment="0" applyProtection="0">
      <alignment vertical="center"/>
    </xf>
    <xf numFmtId="0" fontId="43" fillId="58" borderId="77" applyNumberFormat="0" applyFont="0" applyAlignment="0" applyProtection="0">
      <alignment vertical="center"/>
    </xf>
    <xf numFmtId="0" fontId="103" fillId="42" borderId="78" applyNumberFormat="0" applyAlignment="0" applyProtection="0">
      <alignment vertical="center"/>
    </xf>
    <xf numFmtId="0" fontId="102" fillId="42" borderId="78" applyNumberFormat="0" applyAlignment="0" applyProtection="0">
      <alignment vertical="center"/>
    </xf>
    <xf numFmtId="0" fontId="115" fillId="55" borderId="80" applyNumberFormat="0" applyAlignment="0" applyProtection="0">
      <alignment vertical="center"/>
    </xf>
    <xf numFmtId="0" fontId="126" fillId="55" borderId="78"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43" fillId="58" borderId="81" applyNumberFormat="0" applyFont="0" applyAlignment="0" applyProtection="0">
      <alignment vertical="center"/>
    </xf>
    <xf numFmtId="0" fontId="86" fillId="55" borderId="66" applyNumberFormat="0" applyAlignment="0" applyProtection="0">
      <alignment vertical="center"/>
    </xf>
    <xf numFmtId="0" fontId="86" fillId="55" borderId="66" applyNumberFormat="0" applyAlignment="0" applyProtection="0">
      <alignment vertical="center"/>
    </xf>
    <xf numFmtId="0" fontId="22" fillId="58" borderId="77" applyNumberFormat="0" applyFont="0" applyAlignment="0" applyProtection="0">
      <alignment vertical="center"/>
    </xf>
    <xf numFmtId="0" fontId="102" fillId="42" borderId="78" applyNumberFormat="0" applyAlignment="0" applyProtection="0">
      <alignment vertical="center"/>
    </xf>
    <xf numFmtId="0" fontId="86" fillId="55" borderId="78" applyNumberFormat="0" applyAlignment="0" applyProtection="0">
      <alignment vertical="center"/>
    </xf>
    <xf numFmtId="0" fontId="43" fillId="58" borderId="77" applyNumberFormat="0" applyFont="0" applyAlignment="0" applyProtection="0">
      <alignment vertical="center"/>
    </xf>
    <xf numFmtId="0" fontId="102" fillId="42" borderId="78" applyNumberFormat="0" applyAlignment="0" applyProtection="0">
      <alignment vertical="center"/>
    </xf>
    <xf numFmtId="0" fontId="100" fillId="0" borderId="79" applyNumberFormat="0" applyFill="0" applyAlignment="0" applyProtection="0">
      <alignment vertical="center"/>
    </xf>
    <xf numFmtId="0" fontId="93" fillId="58" borderId="77" applyNumberFormat="0" applyFont="0" applyAlignment="0" applyProtection="0">
      <alignment vertical="center"/>
    </xf>
    <xf numFmtId="0" fontId="116" fillId="55" borderId="80" applyNumberFormat="0" applyAlignment="0" applyProtection="0">
      <alignment vertical="center"/>
    </xf>
    <xf numFmtId="0" fontId="86" fillId="55" borderId="73" applyNumberFormat="0" applyAlignment="0" applyProtection="0">
      <alignment vertical="center"/>
    </xf>
    <xf numFmtId="0" fontId="115" fillId="55" borderId="84" applyNumberFormat="0" applyAlignment="0" applyProtection="0">
      <alignment vertical="center"/>
    </xf>
    <xf numFmtId="0" fontId="127" fillId="42" borderId="78" applyNumberFormat="0" applyAlignment="0" applyProtection="0">
      <alignment vertical="center"/>
    </xf>
    <xf numFmtId="0" fontId="86" fillId="55" borderId="73" applyNumberFormat="0" applyAlignment="0" applyProtection="0">
      <alignment vertical="center"/>
    </xf>
    <xf numFmtId="0" fontId="125" fillId="0" borderId="79" applyNumberFormat="0" applyFill="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66" applyNumberFormat="0" applyAlignment="0" applyProtection="0">
      <alignment vertical="center"/>
    </xf>
    <xf numFmtId="0" fontId="102" fillId="42" borderId="82" applyNumberFormat="0" applyAlignment="0" applyProtection="0">
      <alignment vertical="center"/>
    </xf>
    <xf numFmtId="0" fontId="115" fillId="55" borderId="80" applyNumberFormat="0" applyAlignment="0" applyProtection="0">
      <alignment vertical="center"/>
    </xf>
    <xf numFmtId="0" fontId="113" fillId="58" borderId="77" applyNumberFormat="0" applyFont="0" applyAlignment="0" applyProtection="0">
      <alignment vertical="center"/>
    </xf>
    <xf numFmtId="0" fontId="86" fillId="55" borderId="78" applyNumberFormat="0" applyAlignment="0" applyProtection="0">
      <alignment vertical="center"/>
    </xf>
    <xf numFmtId="0" fontId="86" fillId="55" borderId="73" applyNumberFormat="0" applyAlignment="0" applyProtection="0">
      <alignment vertical="center"/>
    </xf>
    <xf numFmtId="0" fontId="126" fillId="55" borderId="82" applyNumberFormat="0" applyAlignment="0" applyProtection="0">
      <alignment vertical="center"/>
    </xf>
    <xf numFmtId="0" fontId="87" fillId="55" borderId="73" applyNumberFormat="0" applyAlignment="0" applyProtection="0">
      <alignment vertical="center"/>
    </xf>
    <xf numFmtId="0" fontId="86" fillId="55" borderId="82" applyNumberFormat="0" applyAlignment="0" applyProtection="0">
      <alignment vertical="center"/>
    </xf>
    <xf numFmtId="0" fontId="126" fillId="55" borderId="78" applyNumberFormat="0" applyAlignment="0" applyProtection="0">
      <alignment vertical="center"/>
    </xf>
    <xf numFmtId="0" fontId="126" fillId="55" borderId="78" applyNumberFormat="0" applyAlignment="0" applyProtection="0">
      <alignment vertical="center"/>
    </xf>
    <xf numFmtId="0" fontId="100" fillId="0" borderId="79" applyNumberFormat="0" applyFill="0" applyAlignment="0" applyProtection="0">
      <alignment vertical="center"/>
    </xf>
    <xf numFmtId="0" fontId="43" fillId="58" borderId="77" applyNumberFormat="0" applyFon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102" fillId="42" borderId="78" applyNumberFormat="0" applyAlignment="0" applyProtection="0">
      <alignment vertical="center"/>
    </xf>
    <xf numFmtId="0" fontId="126" fillId="55" borderId="66" applyNumberFormat="0" applyAlignment="0" applyProtection="0">
      <alignment vertical="center"/>
    </xf>
    <xf numFmtId="0" fontId="113" fillId="58" borderId="77" applyNumberFormat="0" applyFont="0" applyAlignment="0" applyProtection="0">
      <alignment vertical="center"/>
    </xf>
    <xf numFmtId="0" fontId="86" fillId="55" borderId="73" applyNumberFormat="0" applyAlignment="0" applyProtection="0">
      <alignment vertical="center"/>
    </xf>
    <xf numFmtId="0" fontId="44" fillId="58" borderId="81" applyNumberFormat="0" applyFont="0" applyAlignment="0" applyProtection="0">
      <alignment vertical="center"/>
    </xf>
    <xf numFmtId="0" fontId="86" fillId="55" borderId="66" applyNumberFormat="0" applyAlignment="0" applyProtection="0">
      <alignment vertical="center"/>
    </xf>
    <xf numFmtId="0" fontId="100" fillId="0" borderId="79" applyNumberFormat="0" applyFill="0" applyAlignment="0" applyProtection="0">
      <alignment vertical="center"/>
    </xf>
    <xf numFmtId="0" fontId="100" fillId="0" borderId="79" applyNumberFormat="0" applyFill="0" applyAlignment="0" applyProtection="0">
      <alignment vertical="center"/>
    </xf>
    <xf numFmtId="0" fontId="113" fillId="58" borderId="77" applyNumberFormat="0" applyFont="0" applyAlignment="0" applyProtection="0">
      <alignment vertical="center"/>
    </xf>
    <xf numFmtId="0" fontId="126" fillId="55" borderId="73" applyNumberFormat="0" applyAlignment="0" applyProtection="0">
      <alignment vertical="center"/>
    </xf>
    <xf numFmtId="0" fontId="22" fillId="58" borderId="81" applyNumberFormat="0" applyFont="0" applyAlignment="0" applyProtection="0">
      <alignment vertical="center"/>
    </xf>
    <xf numFmtId="0" fontId="126" fillId="55" borderId="78" applyNumberFormat="0" applyAlignment="0" applyProtection="0">
      <alignment vertical="center"/>
    </xf>
    <xf numFmtId="0" fontId="128" fillId="55" borderId="80" applyNumberFormat="0" applyAlignment="0" applyProtection="0">
      <alignment vertical="center"/>
    </xf>
    <xf numFmtId="0" fontId="86" fillId="55" borderId="78" applyNumberFormat="0" applyAlignment="0" applyProtection="0">
      <alignment vertical="center"/>
    </xf>
    <xf numFmtId="0" fontId="86" fillId="55" borderId="73" applyNumberFormat="0" applyAlignment="0" applyProtection="0">
      <alignment vertical="center"/>
    </xf>
    <xf numFmtId="0" fontId="125" fillId="0" borderId="61" applyNumberFormat="0" applyFill="0" applyAlignment="0" applyProtection="0">
      <alignment vertical="center"/>
    </xf>
    <xf numFmtId="0" fontId="125" fillId="0" borderId="61"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115" fillId="55" borderId="84"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02" fillId="42" borderId="82"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1" fillId="0" borderId="83" applyNumberFormat="0" applyFill="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16" fillId="55" borderId="84" applyNumberFormat="0" applyAlignment="0" applyProtection="0">
      <alignment vertical="center"/>
    </xf>
    <xf numFmtId="0" fontId="86" fillId="55" borderId="82" applyNumberFormat="0" applyAlignment="0" applyProtection="0">
      <alignment vertical="center"/>
    </xf>
    <xf numFmtId="0" fontId="126" fillId="55" borderId="73" applyNumberFormat="0" applyAlignment="0" applyProtection="0">
      <alignment vertical="center"/>
    </xf>
    <xf numFmtId="0" fontId="43" fillId="58" borderId="81" applyNumberFormat="0" applyFont="0" applyAlignment="0" applyProtection="0">
      <alignment vertical="center"/>
    </xf>
    <xf numFmtId="0" fontId="86" fillId="55" borderId="7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86" fillId="55" borderId="73" applyNumberFormat="0" applyAlignment="0" applyProtection="0">
      <alignment vertical="center"/>
    </xf>
    <xf numFmtId="0" fontId="22" fillId="58" borderId="81" applyNumberFormat="0" applyFon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8" fillId="55" borderId="84" applyNumberFormat="0" applyAlignment="0" applyProtection="0">
      <alignment vertical="center"/>
    </xf>
    <xf numFmtId="0" fontId="86" fillId="55" borderId="82" applyNumberFormat="0" applyAlignment="0" applyProtection="0">
      <alignment vertical="center"/>
    </xf>
    <xf numFmtId="0" fontId="87" fillId="55" borderId="73" applyNumberFormat="0" applyAlignment="0" applyProtection="0">
      <alignment vertical="center"/>
    </xf>
    <xf numFmtId="0" fontId="128" fillId="55" borderId="84"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93" fillId="58" borderId="81"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86" fillId="55" borderId="73" applyNumberForma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22" fillId="58" borderId="72" applyNumberFormat="0" applyFont="0" applyAlignment="0" applyProtection="0">
      <alignment vertical="center"/>
    </xf>
    <xf numFmtId="0" fontId="43" fillId="58" borderId="72" applyNumberFormat="0" applyFont="0" applyAlignment="0" applyProtection="0">
      <alignment vertical="center"/>
    </xf>
    <xf numFmtId="0" fontId="43" fillId="58" borderId="72" applyNumberFormat="0" applyFon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93" fillId="58" borderId="81" applyNumberFormat="0" applyFon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87"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7"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86" fillId="55" borderId="73" applyNumberFormat="0" applyAlignment="0" applyProtection="0">
      <alignment vertical="center"/>
    </xf>
    <xf numFmtId="0" fontId="28" fillId="0" borderId="0"/>
    <xf numFmtId="0" fontId="126" fillId="55"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02" fillId="42" borderId="73" applyNumberFormat="0" applyAlignment="0" applyProtection="0">
      <alignment vertical="center"/>
    </xf>
    <xf numFmtId="0" fontId="126" fillId="55" borderId="73" applyNumberFormat="0" applyAlignment="0" applyProtection="0">
      <alignment vertical="center"/>
    </xf>
    <xf numFmtId="0" fontId="126" fillId="55" borderId="73" applyNumberFormat="0" applyAlignment="0" applyProtection="0">
      <alignment vertical="center"/>
    </xf>
    <xf numFmtId="0" fontId="86" fillId="55" borderId="73"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25" fillId="0" borderId="109"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116" fillId="55" borderId="110"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13" fillId="58" borderId="104" applyNumberFormat="0" applyFont="0" applyAlignment="0" applyProtection="0">
      <alignment vertical="center"/>
    </xf>
    <xf numFmtId="0" fontId="93" fillId="58" borderId="104" applyNumberFormat="0" applyFont="0" applyAlignment="0" applyProtection="0">
      <alignment vertical="center"/>
    </xf>
    <xf numFmtId="0" fontId="126" fillId="55" borderId="103"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86" fillId="55" borderId="100" applyNumberForma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13" fillId="58" borderId="104" applyNumberFormat="0" applyFont="0" applyAlignment="0" applyProtection="0">
      <alignment vertical="center"/>
    </xf>
    <xf numFmtId="0" fontId="128" fillId="55" borderId="10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9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8" fillId="55" borderId="105" applyNumberFormat="0" applyAlignment="0" applyProtection="0">
      <alignment vertical="center"/>
    </xf>
    <xf numFmtId="0" fontId="43" fillId="58" borderId="107" applyNumberFormat="0" applyFont="0" applyAlignment="0" applyProtection="0">
      <alignment vertical="center"/>
    </xf>
    <xf numFmtId="0" fontId="116" fillId="55" borderId="97" applyNumberFormat="0" applyAlignment="0" applyProtection="0">
      <alignment vertical="center"/>
    </xf>
    <xf numFmtId="0" fontId="126" fillId="55" borderId="103"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26" fillId="55" borderId="100" applyNumberFormat="0" applyAlignment="0" applyProtection="0">
      <alignment vertical="center"/>
    </xf>
    <xf numFmtId="0" fontId="125"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106" applyNumberFormat="0" applyFill="0" applyAlignment="0" applyProtection="0">
      <alignment vertical="center"/>
    </xf>
    <xf numFmtId="0" fontId="115" fillId="55" borderId="110" applyNumberFormat="0" applyAlignment="0" applyProtection="0">
      <alignment vertical="center"/>
    </xf>
    <xf numFmtId="0" fontId="115" fillId="55" borderId="102"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02" fillId="42" borderId="100"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103" fillId="42" borderId="100" applyNumberFormat="0" applyAlignment="0" applyProtection="0">
      <alignment vertical="center"/>
    </xf>
    <xf numFmtId="0" fontId="86" fillId="55" borderId="100"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3" fillId="42"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03"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7" fillId="55" borderId="95"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4"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86" fillId="55" borderId="100"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22" fillId="58" borderId="99"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113" fillId="58" borderId="104" applyNumberFormat="0" applyFon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104" applyNumberFormat="0" applyFon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1"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16" fillId="55" borderId="97"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106" applyNumberFormat="0" applyFill="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6" fillId="55" borderId="110" applyNumberFormat="0" applyAlignment="0" applyProtection="0">
      <alignment vertical="center"/>
    </xf>
    <xf numFmtId="0" fontId="127" fillId="42" borderId="103"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22" fillId="58" borderId="104" applyNumberFormat="0" applyFont="0" applyAlignment="0" applyProtection="0">
      <alignment vertical="center"/>
    </xf>
    <xf numFmtId="0" fontId="100" fillId="0" borderId="106" applyNumberFormat="0" applyFill="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3" fillId="42"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15" fillId="55" borderId="105"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0" applyNumberFormat="0" applyAlignment="0" applyProtection="0">
      <alignment vertical="center"/>
    </xf>
    <xf numFmtId="0" fontId="86" fillId="55" borderId="10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13" fillId="58" borderId="104" applyNumberFormat="0" applyFont="0" applyAlignment="0" applyProtection="0">
      <alignment vertical="center"/>
    </xf>
    <xf numFmtId="0" fontId="22"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87" fillId="55" borderId="108" applyNumberFormat="0" applyAlignment="0" applyProtection="0">
      <alignment vertical="center"/>
    </xf>
    <xf numFmtId="0" fontId="43" fillId="58" borderId="104" applyNumberFormat="0" applyFont="0" applyAlignment="0" applyProtection="0">
      <alignment vertical="center"/>
    </xf>
    <xf numFmtId="0" fontId="115" fillId="55" borderId="105" applyNumberForma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25" fillId="0" borderId="101" applyNumberFormat="0" applyFill="0" applyAlignment="0" applyProtection="0">
      <alignment vertical="center"/>
    </xf>
    <xf numFmtId="0" fontId="93" fillId="58" borderId="99" applyNumberFormat="0" applyFon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8" fillId="55" borderId="102" applyNumberForma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22" fillId="58" borderId="104" applyNumberFormat="0" applyFont="0" applyAlignment="0" applyProtection="0">
      <alignment vertical="center"/>
    </xf>
    <xf numFmtId="0" fontId="22" fillId="58" borderId="104" applyNumberFormat="0" applyFont="0" applyAlignment="0" applyProtection="0">
      <alignment vertical="center"/>
    </xf>
    <xf numFmtId="0" fontId="102" fillId="42" borderId="103" applyNumberFormat="0" applyAlignment="0" applyProtection="0">
      <alignment vertical="center"/>
    </xf>
    <xf numFmtId="0" fontId="87"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0" applyNumberFormat="0" applyAlignment="0" applyProtection="0">
      <alignment vertical="center"/>
    </xf>
    <xf numFmtId="0" fontId="126" fillId="55" borderId="108" applyNumberFormat="0" applyAlignment="0" applyProtection="0">
      <alignment vertical="center"/>
    </xf>
    <xf numFmtId="0" fontId="87"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8" fillId="55" borderId="102" applyNumberForma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86" fillId="55" borderId="95" applyNumberFormat="0" applyAlignment="0" applyProtection="0">
      <alignment vertical="center"/>
    </xf>
    <xf numFmtId="0" fontId="22" fillId="58" borderId="104" applyNumberFormat="0" applyFont="0" applyAlignment="0" applyProtection="0">
      <alignment vertical="center"/>
    </xf>
    <xf numFmtId="0" fontId="87" fillId="55" borderId="103" applyNumberFormat="0" applyAlignment="0" applyProtection="0">
      <alignment vertical="center"/>
    </xf>
    <xf numFmtId="0" fontId="102" fillId="42" borderId="103"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00" fillId="0" borderId="109" applyNumberFormat="0" applyFill="0" applyAlignment="0" applyProtection="0">
      <alignment vertical="center"/>
    </xf>
    <xf numFmtId="0" fontId="100" fillId="0" borderId="106" applyNumberFormat="0" applyFill="0" applyAlignment="0" applyProtection="0">
      <alignment vertical="center"/>
    </xf>
    <xf numFmtId="0" fontId="113" fillId="58" borderId="104" applyNumberFormat="0" applyFon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15" fillId="55" borderId="105" applyNumberFormat="0" applyAlignment="0" applyProtection="0">
      <alignment vertical="center"/>
    </xf>
    <xf numFmtId="0" fontId="103"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16"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00"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01" fillId="0" borderId="106"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13" fillId="58" borderId="104" applyNumberFormat="0" applyFont="0" applyAlignment="0" applyProtection="0">
      <alignment vertical="center"/>
    </xf>
    <xf numFmtId="0" fontId="125" fillId="0" borderId="106"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6" fillId="55" borderId="105"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5" fillId="0" borderId="106" applyNumberFormat="0" applyFill="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03" fillId="42"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44" fillId="58" borderId="107" applyNumberFormat="0" applyFont="0" applyAlignment="0" applyProtection="0">
      <alignment vertical="center"/>
    </xf>
    <xf numFmtId="0" fontId="102" fillId="42" borderId="108" applyNumberFormat="0" applyAlignment="0" applyProtection="0">
      <alignment vertical="center"/>
    </xf>
    <xf numFmtId="0" fontId="100" fillId="0" borderId="106"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4"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22" fillId="58" borderId="94" applyNumberFormat="0" applyFont="0" applyAlignment="0" applyProtection="0">
      <alignment vertical="center"/>
    </xf>
    <xf numFmtId="0" fontId="126" fillId="55" borderId="103" applyNumberForma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127" fillId="42" borderId="103"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125" fillId="0" borderId="101" applyNumberFormat="0" applyFill="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43" fillId="58" borderId="99" applyNumberFormat="0" applyFont="0" applyAlignment="0" applyProtection="0">
      <alignment vertical="center"/>
    </xf>
    <xf numFmtId="0" fontId="86" fillId="55" borderId="108" applyNumberFormat="0" applyAlignment="0" applyProtection="0">
      <alignment vertical="center"/>
    </xf>
    <xf numFmtId="0" fontId="128" fillId="55" borderId="102" applyNumberFormat="0" applyAlignment="0" applyProtection="0">
      <alignment vertical="center"/>
    </xf>
    <xf numFmtId="0" fontId="103" fillId="42"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13" fillId="58" borderId="104" applyNumberFormat="0" applyFont="0" applyAlignment="0" applyProtection="0">
      <alignment vertical="center"/>
    </xf>
    <xf numFmtId="0" fontId="113" fillId="58" borderId="99" applyNumberFormat="0" applyFon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10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101" fillId="0" borderId="109" applyNumberFormat="0" applyFill="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86" fillId="55" borderId="95"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0" applyNumberFormat="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103" fillId="42" borderId="100" applyNumberFormat="0" applyAlignment="0" applyProtection="0">
      <alignment vertical="center"/>
    </xf>
    <xf numFmtId="0" fontId="101" fillId="0" borderId="101" applyNumberFormat="0" applyFill="0" applyAlignment="0" applyProtection="0">
      <alignment vertical="center"/>
    </xf>
    <xf numFmtId="0" fontId="127" fillId="42" borderId="100" applyNumberFormat="0" applyAlignment="0" applyProtection="0">
      <alignment vertical="center"/>
    </xf>
    <xf numFmtId="0" fontId="43" fillId="58" borderId="99" applyNumberFormat="0" applyFont="0" applyAlignment="0" applyProtection="0">
      <alignment vertical="center"/>
    </xf>
    <xf numFmtId="0" fontId="86" fillId="55" borderId="100" applyNumberFormat="0" applyAlignment="0" applyProtection="0">
      <alignment vertical="center"/>
    </xf>
    <xf numFmtId="0" fontId="126" fillId="55" borderId="100" applyNumberFormat="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22" fillId="58" borderId="99" applyNumberFormat="0" applyFont="0" applyAlignment="0" applyProtection="0">
      <alignment vertical="center"/>
    </xf>
    <xf numFmtId="0" fontId="86" fillId="55" borderId="103"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00" fillId="0" borderId="96" applyNumberFormat="0" applyFill="0" applyAlignment="0" applyProtection="0">
      <alignment vertical="center"/>
    </xf>
    <xf numFmtId="0" fontId="30" fillId="0" borderId="111">
      <alignment horizontal="lef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01" fillId="0" borderId="106" applyNumberFormat="0" applyFill="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86" fillId="55" borderId="100" applyNumberFormat="0" applyAlignment="0" applyProtection="0">
      <alignment vertical="center"/>
    </xf>
    <xf numFmtId="0" fontId="43" fillId="58" borderId="99" applyNumberFormat="0" applyFont="0" applyAlignment="0" applyProtection="0">
      <alignment vertical="center"/>
    </xf>
    <xf numFmtId="0" fontId="86" fillId="55" borderId="100"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2" fillId="42" borderId="100"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86" fillId="55" borderId="108" applyNumberFormat="0" applyAlignment="0" applyProtection="0">
      <alignment vertical="center"/>
    </xf>
    <xf numFmtId="0" fontId="22" fillId="58" borderId="99" applyNumberFormat="0" applyFont="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00" fillId="0" borderId="101" applyNumberFormat="0" applyFill="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22" fillId="58" borderId="104" applyNumberFormat="0" applyFon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44"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02" fillId="42" borderId="82"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8" fillId="55" borderId="97"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5" fillId="0" borderId="96"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126" fillId="55" borderId="82"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82"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113" fillId="58" borderId="94" applyNumberFormat="0" applyFont="0" applyAlignment="0" applyProtection="0">
      <alignment vertical="center"/>
    </xf>
    <xf numFmtId="0" fontId="86" fillId="55" borderId="82" applyNumberFormat="0" applyAlignment="0" applyProtection="0">
      <alignment vertical="center"/>
    </xf>
    <xf numFmtId="0" fontId="113" fillId="58" borderId="104"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6" fillId="55" borderId="100" applyNumberFormat="0" applyAlignment="0" applyProtection="0">
      <alignment vertical="center"/>
    </xf>
    <xf numFmtId="0" fontId="125" fillId="0" borderId="101" applyNumberFormat="0" applyFill="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8" fillId="55" borderId="102" applyNumberForma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22" fillId="58" borderId="94"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86" fillId="55" borderId="103" applyNumberFormat="0" applyAlignment="0" applyProtection="0">
      <alignment vertical="center"/>
    </xf>
    <xf numFmtId="0" fontId="116"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01" fillId="0" borderId="96" applyNumberFormat="0" applyFill="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7" fillId="55" borderId="108" applyNumberFormat="0" applyAlignment="0" applyProtection="0">
      <alignment vertical="center"/>
    </xf>
    <xf numFmtId="0" fontId="22" fillId="58" borderId="104" applyNumberFormat="0" applyFont="0" applyAlignment="0" applyProtection="0">
      <alignment vertical="center"/>
    </xf>
    <xf numFmtId="0" fontId="101" fillId="0" borderId="101" applyNumberFormat="0" applyFill="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44" fillId="58" borderId="99" applyNumberFormat="0" applyFont="0" applyAlignment="0" applyProtection="0">
      <alignment vertical="center"/>
    </xf>
    <xf numFmtId="0" fontId="126" fillId="55" borderId="100"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93" fillId="58" borderId="107" applyNumberFormat="0" applyFont="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1"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116" fillId="55" borderId="97" applyNumberFormat="0" applyAlignment="0" applyProtection="0">
      <alignment vertical="center"/>
    </xf>
    <xf numFmtId="0" fontId="87" fillId="55" borderId="95" applyNumberFormat="0" applyAlignment="0" applyProtection="0">
      <alignment vertical="center"/>
    </xf>
    <xf numFmtId="0" fontId="103" fillId="42"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6" fillId="55" borderId="97"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93" fillId="58" borderId="94" applyNumberFormat="0" applyFon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7"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30" fillId="0" borderId="98">
      <alignment horizontal="lef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7" fillId="42"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03" fillId="42"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1" fillId="0" borderId="96" applyNumberFormat="0" applyFill="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25" fillId="0" borderId="96" applyNumberFormat="0" applyFill="0" applyAlignment="0" applyProtection="0">
      <alignment vertical="center"/>
    </xf>
    <xf numFmtId="0" fontId="101"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01" fillId="0" borderId="96" applyNumberFormat="0" applyFill="0" applyAlignment="0" applyProtection="0">
      <alignment vertical="center"/>
    </xf>
    <xf numFmtId="0" fontId="101" fillId="0" borderId="96" applyNumberFormat="0" applyFill="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101"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25" fillId="0" borderId="96" applyNumberFormat="0" applyFill="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8" fillId="55" borderId="97"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115" fillId="55" borderId="97" applyNumberFormat="0" applyAlignment="0" applyProtection="0">
      <alignment vertical="center"/>
    </xf>
    <xf numFmtId="0" fontId="128" fillId="55" borderId="97" applyNumberFormat="0" applyAlignment="0" applyProtection="0">
      <alignment vertical="center"/>
    </xf>
    <xf numFmtId="0" fontId="103" fillId="42"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115" fillId="55" borderId="97" applyNumberFormat="0" applyAlignment="0" applyProtection="0">
      <alignment vertical="center"/>
    </xf>
    <xf numFmtId="0" fontId="128" fillId="55" borderId="97"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22" fillId="58" borderId="99" applyNumberFormat="0" applyFont="0" applyAlignment="0" applyProtection="0">
      <alignment vertical="center"/>
    </xf>
    <xf numFmtId="0" fontId="115" fillId="55" borderId="110" applyNumberFormat="0" applyAlignment="0" applyProtection="0">
      <alignment vertical="center"/>
    </xf>
    <xf numFmtId="0" fontId="125" fillId="0" borderId="106" applyNumberFormat="0" applyFill="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44" fillId="58" borderId="104"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02" fillId="42" borderId="100" applyNumberFormat="0" applyAlignment="0" applyProtection="0">
      <alignment vertical="center"/>
    </xf>
    <xf numFmtId="0" fontId="113" fillId="58" borderId="104" applyNumberFormat="0" applyFont="0" applyAlignment="0" applyProtection="0">
      <alignment vertical="center"/>
    </xf>
    <xf numFmtId="0" fontId="86" fillId="55" borderId="95"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15" fillId="55" borderId="105" applyNumberFormat="0" applyAlignment="0" applyProtection="0">
      <alignment vertical="center"/>
    </xf>
    <xf numFmtId="0" fontId="86" fillId="55" borderId="95" applyNumberFormat="0" applyAlignment="0" applyProtection="0">
      <alignment vertical="center"/>
    </xf>
    <xf numFmtId="0" fontId="22" fillId="58" borderId="107" applyNumberFormat="0" applyFont="0" applyAlignment="0" applyProtection="0">
      <alignment vertical="center"/>
    </xf>
    <xf numFmtId="0" fontId="93" fillId="58" borderId="104" applyNumberFormat="0" applyFont="0" applyAlignment="0" applyProtection="0">
      <alignment vertical="center"/>
    </xf>
    <xf numFmtId="0" fontId="113" fillId="58" borderId="99" applyNumberFormat="0" applyFont="0" applyAlignment="0" applyProtection="0">
      <alignment vertical="center"/>
    </xf>
    <xf numFmtId="0" fontId="86" fillId="55" borderId="108" applyNumberFormat="0" applyAlignment="0" applyProtection="0">
      <alignment vertical="center"/>
    </xf>
    <xf numFmtId="0" fontId="125" fillId="0" borderId="101" applyNumberFormat="0" applyFill="0" applyAlignment="0" applyProtection="0">
      <alignment vertical="center"/>
    </xf>
    <xf numFmtId="0" fontId="116" fillId="55" borderId="110"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87" fillId="55" borderId="103" applyNumberFormat="0" applyAlignment="0" applyProtection="0">
      <alignment vertical="center"/>
    </xf>
    <xf numFmtId="0" fontId="93" fillId="58" borderId="107" applyNumberFormat="0" applyFont="0" applyAlignment="0" applyProtection="0">
      <alignment vertical="center"/>
    </xf>
    <xf numFmtId="0" fontId="87"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22" fillId="58" borderId="99" applyNumberFormat="0" applyFon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100" fillId="0" borderId="106" applyNumberFormat="0" applyFill="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6" fillId="55" borderId="110"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02" fillId="42" borderId="103" applyNumberFormat="0" applyAlignment="0" applyProtection="0">
      <alignment vertical="center"/>
    </xf>
    <xf numFmtId="0" fontId="22" fillId="58" borderId="104" applyNumberFormat="0" applyFont="0" applyAlignment="0" applyProtection="0">
      <alignment vertical="center"/>
    </xf>
    <xf numFmtId="0" fontId="113" fillId="58" borderId="107" applyNumberFormat="0" applyFont="0" applyAlignment="0" applyProtection="0">
      <alignment vertical="center"/>
    </xf>
    <xf numFmtId="0" fontId="43" fillId="58" borderId="99" applyNumberFormat="0" applyFont="0" applyAlignment="0" applyProtection="0">
      <alignment vertical="center"/>
    </xf>
    <xf numFmtId="0" fontId="126" fillId="55" borderId="95"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127" fillId="42" borderId="103"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93" fillId="58" borderId="104"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95" applyNumberFormat="0" applyAlignment="0" applyProtection="0">
      <alignment vertical="center"/>
    </xf>
    <xf numFmtId="0" fontId="113" fillId="58" borderId="107" applyNumberFormat="0" applyFont="0" applyAlignment="0" applyProtection="0">
      <alignment vertical="center"/>
    </xf>
    <xf numFmtId="0" fontId="126" fillId="55" borderId="100" applyNumberFormat="0" applyAlignment="0" applyProtection="0">
      <alignment vertical="center"/>
    </xf>
    <xf numFmtId="0" fontId="116" fillId="55" borderId="10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0" fillId="0" borderId="96" applyNumberFormat="0" applyFill="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22" fillId="58" borderId="104" applyNumberFormat="0" applyFont="0" applyAlignment="0" applyProtection="0">
      <alignment vertical="center"/>
    </xf>
    <xf numFmtId="0" fontId="22" fillId="58" borderId="104" applyNumberFormat="0" applyFont="0" applyAlignment="0" applyProtection="0">
      <alignment vertical="center"/>
    </xf>
    <xf numFmtId="0" fontId="86" fillId="55" borderId="100" applyNumberForma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108" applyNumberFormat="0" applyAlignment="0" applyProtection="0">
      <alignment vertical="center"/>
    </xf>
    <xf numFmtId="0" fontId="113" fillId="58" borderId="104" applyNumberFormat="0" applyFont="0" applyAlignment="0" applyProtection="0">
      <alignment vertical="center"/>
    </xf>
    <xf numFmtId="0" fontId="93" fillId="58" borderId="107" applyNumberFormat="0" applyFon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3"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8" fillId="55" borderId="105" applyNumberFormat="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0" applyNumberFormat="0" applyAlignment="0" applyProtection="0">
      <alignment vertical="center"/>
    </xf>
    <xf numFmtId="0" fontId="86" fillId="55" borderId="108" applyNumberFormat="0" applyAlignment="0" applyProtection="0">
      <alignment vertical="center"/>
    </xf>
    <xf numFmtId="0" fontId="30" fillId="0" borderId="98">
      <alignment horizontal="lef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03" fillId="42" borderId="108" applyNumberFormat="0" applyAlignment="0" applyProtection="0">
      <alignment vertical="center"/>
    </xf>
    <xf numFmtId="0" fontId="44"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86" fillId="55" borderId="108" applyNumberFormat="0" applyAlignment="0" applyProtection="0">
      <alignment vertical="center"/>
    </xf>
    <xf numFmtId="0" fontId="93" fillId="58" borderId="99"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4" applyNumberFormat="0" applyFon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100"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01" fillId="0" borderId="96" applyNumberFormat="0" applyFill="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43" fillId="58" borderId="99"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93" fillId="58" borderId="99" applyNumberFormat="0" applyFont="0" applyAlignment="0" applyProtection="0">
      <alignment vertical="center"/>
    </xf>
    <xf numFmtId="0" fontId="22" fillId="58" borderId="107" applyNumberFormat="0" applyFont="0" applyAlignment="0" applyProtection="0">
      <alignment vertical="center"/>
    </xf>
    <xf numFmtId="0" fontId="127" fillId="42" borderId="100" applyNumberFormat="0" applyAlignment="0" applyProtection="0">
      <alignment vertical="center"/>
    </xf>
    <xf numFmtId="0" fontId="113" fillId="58" borderId="99" applyNumberFormat="0" applyFon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13" fillId="58" borderId="104" applyNumberFormat="0" applyFont="0" applyAlignment="0" applyProtection="0">
      <alignment vertical="center"/>
    </xf>
    <xf numFmtId="0" fontId="93" fillId="58" borderId="104" applyNumberFormat="0" applyFon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87"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82" applyNumberFormat="0" applyAlignment="0" applyProtection="0">
      <alignment vertical="center"/>
    </xf>
    <xf numFmtId="0" fontId="87" fillId="55" borderId="108" applyNumberForma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7" fillId="42" borderId="108"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4"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26" fillId="55" borderId="82" applyNumberFormat="0" applyAlignment="0" applyProtection="0">
      <alignment vertical="center"/>
    </xf>
    <xf numFmtId="0" fontId="113" fillId="58" borderId="94"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0" fillId="0" borderId="106" applyNumberFormat="0" applyFill="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95" applyNumberFormat="0" applyAlignment="0" applyProtection="0">
      <alignment vertical="center"/>
    </xf>
    <xf numFmtId="0" fontId="126" fillId="55" borderId="82"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128" fillId="55" borderId="105"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108"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22" fillId="58" borderId="94" applyNumberFormat="0" applyFon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3"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82"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0" applyNumberFormat="0" applyAlignment="0" applyProtection="0">
      <alignment vertical="center"/>
    </xf>
    <xf numFmtId="0" fontId="102" fillId="42" borderId="103"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108" applyNumberFormat="0" applyAlignment="0" applyProtection="0">
      <alignment vertical="center"/>
    </xf>
    <xf numFmtId="0" fontId="115" fillId="55" borderId="102" applyNumberFormat="0" applyAlignment="0" applyProtection="0">
      <alignment vertical="center"/>
    </xf>
    <xf numFmtId="0" fontId="87" fillId="55" borderId="10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108" applyNumberFormat="0" applyAlignment="0" applyProtection="0">
      <alignment vertical="center"/>
    </xf>
    <xf numFmtId="0" fontId="100" fillId="0" borderId="106" applyNumberFormat="0" applyFill="0" applyAlignment="0" applyProtection="0">
      <alignment vertical="center"/>
    </xf>
    <xf numFmtId="0" fontId="86" fillId="55" borderId="95"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126" fillId="55" borderId="108" applyNumberFormat="0" applyAlignment="0" applyProtection="0">
      <alignment vertical="center"/>
    </xf>
    <xf numFmtId="0" fontId="125" fillId="0" borderId="96" applyNumberFormat="0" applyFill="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113" fillId="58" borderId="94" applyNumberFormat="0" applyFon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115" fillId="55" borderId="110" applyNumberFormat="0" applyAlignment="0" applyProtection="0">
      <alignment vertical="center"/>
    </xf>
    <xf numFmtId="0" fontId="4" fillId="0" borderId="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86" fillId="55" borderId="95" applyNumberFormat="0" applyAlignment="0" applyProtection="0">
      <alignment vertical="center"/>
    </xf>
    <xf numFmtId="0" fontId="22" fillId="58" borderId="104" applyNumberFormat="0" applyFont="0" applyAlignment="0" applyProtection="0">
      <alignment vertical="center"/>
    </xf>
    <xf numFmtId="0" fontId="100" fillId="0" borderId="101" applyNumberFormat="0" applyFill="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15" fillId="55" borderId="105" applyNumberFormat="0" applyAlignment="0" applyProtection="0">
      <alignment vertical="center"/>
    </xf>
    <xf numFmtId="0" fontId="115" fillId="55" borderId="110" applyNumberFormat="0" applyAlignment="0" applyProtection="0">
      <alignment vertical="center"/>
    </xf>
    <xf numFmtId="0" fontId="43" fillId="58" borderId="94" applyNumberFormat="0" applyFont="0" applyAlignment="0" applyProtection="0">
      <alignment vertical="center"/>
    </xf>
    <xf numFmtId="0" fontId="102" fillId="42" borderId="108" applyNumberFormat="0" applyAlignment="0" applyProtection="0">
      <alignment vertical="center"/>
    </xf>
    <xf numFmtId="0" fontId="100" fillId="0" borderId="96" applyNumberFormat="0" applyFill="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87" fillId="55" borderId="82"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86" fillId="55" borderId="95"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88"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115" fillId="55" borderId="97"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126" fillId="55" borderId="103" applyNumberFormat="0" applyAlignment="0" applyProtection="0">
      <alignment vertical="center"/>
    </xf>
    <xf numFmtId="0" fontId="113" fillId="58" borderId="10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4" fillId="0" borderId="0">
      <alignment vertical="center"/>
    </xf>
    <xf numFmtId="0" fontId="102" fillId="42" borderId="108" applyNumberFormat="0" applyAlignment="0" applyProtection="0">
      <alignment vertical="center"/>
    </xf>
    <xf numFmtId="0" fontId="115" fillId="55" borderId="97" applyNumberFormat="0" applyAlignment="0" applyProtection="0">
      <alignment vertical="center"/>
    </xf>
    <xf numFmtId="0" fontId="30" fillId="0" borderId="89">
      <alignment horizontal="left" vertical="center"/>
    </xf>
    <xf numFmtId="0" fontId="100" fillId="0" borderId="96" applyNumberFormat="0" applyFill="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107" applyNumberFormat="0" applyFont="0" applyAlignment="0" applyProtection="0">
      <alignment vertical="center"/>
    </xf>
    <xf numFmtId="0" fontId="125" fillId="0" borderId="106" applyNumberFormat="0" applyFill="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95"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30" fillId="0" borderId="89">
      <alignment horizontal="lef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87"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30" fillId="0" borderId="89">
      <alignment horizontal="lef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00" fillId="0" borderId="87" applyNumberFormat="0" applyFill="0" applyAlignment="0" applyProtection="0">
      <alignment vertical="center"/>
    </xf>
    <xf numFmtId="0" fontId="30" fillId="0" borderId="89">
      <alignment horizontal="lef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127"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125" fillId="0" borderId="87" applyNumberFormat="0" applyFill="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115" fillId="55" borderId="88" applyNumberFormat="0" applyAlignment="0" applyProtection="0">
      <alignment vertical="center"/>
    </xf>
    <xf numFmtId="0" fontId="128"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26"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102" fillId="42"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128" fillId="55" borderId="88"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03" fillId="42" borderId="86" applyNumberFormat="0" applyAlignment="0" applyProtection="0">
      <alignment vertical="center"/>
    </xf>
    <xf numFmtId="0" fontId="87"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27" fillId="42" borderId="86" applyNumberForma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116" fillId="55" borderId="88"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44"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7" fillId="42" borderId="86"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128" fillId="55" borderId="88"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1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15" fillId="55" borderId="88"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01" fillId="0" borderId="87" applyNumberFormat="0" applyFill="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87"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43" fillId="58" borderId="85" applyNumberFormat="0" applyFont="0" applyAlignment="0" applyProtection="0">
      <alignment vertical="center"/>
    </xf>
    <xf numFmtId="0" fontId="116" fillId="55" borderId="88"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7" fillId="42"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26" fillId="55" borderId="86"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4"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3" fillId="42"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3" fillId="42"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6"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6" applyNumberFormat="0" applyAlignment="0" applyProtection="0">
      <alignment vertical="center"/>
    </xf>
    <xf numFmtId="0" fontId="102" fillId="42" borderId="82" applyNumberFormat="0" applyAlignment="0" applyProtection="0">
      <alignment vertical="center"/>
    </xf>
    <xf numFmtId="0" fontId="102" fillId="42" borderId="86" applyNumberFormat="0" applyAlignment="0" applyProtection="0">
      <alignment vertical="center"/>
    </xf>
    <xf numFmtId="0" fontId="102" fillId="42" borderId="82" applyNumberFormat="0" applyAlignment="0" applyProtection="0">
      <alignment vertical="center"/>
    </xf>
    <xf numFmtId="0" fontId="102" fillId="42" borderId="86" applyNumberFormat="0" applyAlignment="0" applyProtection="0">
      <alignment vertical="center"/>
    </xf>
    <xf numFmtId="0" fontId="102" fillId="42" borderId="82" applyNumberFormat="0" applyAlignment="0" applyProtection="0">
      <alignment vertical="center"/>
    </xf>
    <xf numFmtId="0" fontId="43" fillId="58" borderId="85" applyNumberFormat="0" applyFont="0" applyAlignment="0" applyProtection="0">
      <alignment vertical="center"/>
    </xf>
    <xf numFmtId="0" fontId="102" fillId="42" borderId="82"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3" fillId="42" borderId="86" applyNumberFormat="0" applyAlignment="0" applyProtection="0">
      <alignment vertical="center"/>
    </xf>
    <xf numFmtId="0" fontId="11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7"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28" fillId="55" borderId="88"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28" fillId="55" borderId="88"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43" fillId="58" borderId="85" applyNumberFormat="0" applyFont="0" applyAlignment="0" applyProtection="0">
      <alignment vertical="center"/>
    </xf>
    <xf numFmtId="0" fontId="87"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28" fillId="55" borderId="88" applyNumberFormat="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28"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15" fillId="55" borderId="88" applyNumberForma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6" fillId="55" borderId="88" applyNumberForma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6" fillId="55" borderId="88"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9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2"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1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5" fillId="0" borderId="87" applyNumberFormat="0" applyFill="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102" fillId="42"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4"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1" fillId="0" borderId="87" applyNumberFormat="0" applyFill="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4" fillId="0" borderId="0">
      <alignment vertical="center"/>
    </xf>
    <xf numFmtId="0" fontId="102" fillId="42" borderId="86" applyNumberFormat="0" applyAlignment="0" applyProtection="0">
      <alignment vertical="center"/>
    </xf>
    <xf numFmtId="0" fontId="30" fillId="0" borderId="89">
      <alignment horizontal="left" vertical="center"/>
    </xf>
    <xf numFmtId="0" fontId="115" fillId="55" borderId="88"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30" fillId="0" borderId="89">
      <alignment horizontal="lef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8" fillId="55" borderId="88"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22" fillId="58" borderId="85" applyNumberFormat="0" applyFon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125" fillId="0" borderId="87" applyNumberFormat="0" applyFill="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44" fillId="58" borderId="85" applyNumberFormat="0" applyFont="0" applyAlignment="0" applyProtection="0">
      <alignment vertical="center"/>
    </xf>
    <xf numFmtId="0" fontId="103" fillId="42" borderId="86"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7" fillId="42" borderId="86" applyNumberFormat="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3" fillId="42"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00" fillId="0" borderId="87" applyNumberFormat="0" applyFill="0" applyAlignment="0" applyProtection="0">
      <alignment vertical="center"/>
    </xf>
    <xf numFmtId="0" fontId="127" fillId="42"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27" fillId="42"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7" fillId="42" borderId="86"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7" fillId="42" borderId="86" applyNumberFormat="0" applyAlignment="0" applyProtection="0">
      <alignment vertical="center"/>
    </xf>
    <xf numFmtId="0" fontId="113" fillId="58" borderId="85" applyNumberFormat="0" applyFont="0" applyAlignment="0" applyProtection="0">
      <alignment vertical="center"/>
    </xf>
    <xf numFmtId="0" fontId="125" fillId="0" borderId="87" applyNumberFormat="0" applyFill="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8" fillId="55" borderId="88" applyNumberFormat="0" applyAlignment="0" applyProtection="0">
      <alignment vertical="center"/>
    </xf>
    <xf numFmtId="0" fontId="101"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4"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1" fillId="0" borderId="87" applyNumberFormat="0" applyFill="0" applyAlignment="0" applyProtection="0">
      <alignment vertical="center"/>
    </xf>
    <xf numFmtId="0" fontId="100" fillId="0" borderId="87" applyNumberFormat="0" applyFill="0" applyAlignment="0" applyProtection="0">
      <alignment vertical="center"/>
    </xf>
    <xf numFmtId="0" fontId="103" fillId="42"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16" fillId="55" borderId="88"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4" fillId="58" borderId="85" applyNumberFormat="0" applyFon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4" fillId="58" borderId="85" applyNumberFormat="0" applyFon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93" fillId="58" borderId="85" applyNumberFormat="0" applyFont="0" applyAlignment="0" applyProtection="0">
      <alignment vertical="center"/>
    </xf>
    <xf numFmtId="0" fontId="116" fillId="55" borderId="88" applyNumberFormat="0" applyAlignment="0" applyProtection="0">
      <alignment vertical="center"/>
    </xf>
    <xf numFmtId="0" fontId="86" fillId="55" borderId="86" applyNumberFormat="0" applyAlignment="0" applyProtection="0">
      <alignment vertical="center"/>
    </xf>
    <xf numFmtId="0" fontId="127" fillId="42" borderId="86" applyNumberFormat="0" applyAlignment="0" applyProtection="0">
      <alignment vertical="center"/>
    </xf>
    <xf numFmtId="0" fontId="125" fillId="0" borderId="87" applyNumberFormat="0" applyFill="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6" fillId="55" borderId="88"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1" fillId="0" borderId="87" applyNumberFormat="0" applyFill="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7"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7"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27"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100"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8" fillId="55" borderId="88" applyNumberFormat="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6"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7" fillId="42" borderId="86" applyNumberFormat="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01"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93" fillId="58" borderId="85" applyNumberFormat="0" applyFont="0" applyAlignment="0" applyProtection="0">
      <alignment vertical="center"/>
    </xf>
    <xf numFmtId="0" fontId="115" fillId="55" borderId="88"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0" fillId="0" borderId="87" applyNumberFormat="0" applyFill="0" applyAlignment="0" applyProtection="0">
      <alignment vertical="center"/>
    </xf>
    <xf numFmtId="0" fontId="93" fillId="58" borderId="85" applyNumberFormat="0" applyFont="0" applyAlignment="0" applyProtection="0">
      <alignment vertical="center"/>
    </xf>
    <xf numFmtId="0" fontId="116" fillId="55" borderId="88" applyNumberFormat="0" applyAlignment="0" applyProtection="0">
      <alignment vertical="center"/>
    </xf>
    <xf numFmtId="0" fontId="86" fillId="55" borderId="86" applyNumberFormat="0" applyAlignment="0" applyProtection="0">
      <alignment vertical="center"/>
    </xf>
    <xf numFmtId="0" fontId="115" fillId="55" borderId="88" applyNumberFormat="0" applyAlignment="0" applyProtection="0">
      <alignment vertical="center"/>
    </xf>
    <xf numFmtId="0" fontId="127" fillId="42"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44" fillId="58" borderId="85" applyNumberFormat="0" applyFont="0" applyAlignment="0" applyProtection="0">
      <alignment vertical="center"/>
    </xf>
    <xf numFmtId="0" fontId="86"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22" fillId="58" borderId="85" applyNumberFormat="0" applyFont="0" applyAlignment="0" applyProtection="0">
      <alignment vertical="center"/>
    </xf>
    <xf numFmtId="0" fontId="126" fillId="55"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25" fillId="0" borderId="87" applyNumberFormat="0" applyFill="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15" fillId="55" borderId="88"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125" fillId="0" borderId="87" applyNumberFormat="0" applyFill="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1" fillId="0" borderId="87" applyNumberFormat="0" applyFill="0" applyAlignment="0" applyProtection="0">
      <alignment vertical="center"/>
    </xf>
    <xf numFmtId="0" fontId="103" fillId="42" borderId="86" applyNumberFormat="0" applyAlignment="0" applyProtection="0">
      <alignment vertical="center"/>
    </xf>
    <xf numFmtId="0" fontId="102" fillId="42" borderId="86" applyNumberFormat="0" applyAlignment="0" applyProtection="0">
      <alignment vertical="center"/>
    </xf>
    <xf numFmtId="0" fontId="116" fillId="55" borderId="88"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43" fillId="58" borderId="85" applyNumberFormat="0" applyFont="0" applyAlignment="0" applyProtection="0">
      <alignment vertical="center"/>
    </xf>
    <xf numFmtId="0" fontId="127" fillId="42" borderId="86" applyNumberFormat="0" applyAlignment="0" applyProtection="0">
      <alignment vertical="center"/>
    </xf>
    <xf numFmtId="0" fontId="102" fillId="42" borderId="86" applyNumberFormat="0" applyAlignment="0" applyProtection="0">
      <alignment vertical="center"/>
    </xf>
    <xf numFmtId="0" fontId="115" fillId="55" borderId="88" applyNumberFormat="0" applyAlignment="0" applyProtection="0">
      <alignment vertical="center"/>
    </xf>
    <xf numFmtId="0" fontId="86" fillId="55" borderId="86" applyNumberFormat="0" applyAlignment="0" applyProtection="0">
      <alignment vertical="center"/>
    </xf>
    <xf numFmtId="0" fontId="22" fillId="58" borderId="85" applyNumberFormat="0" applyFon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13" fillId="58" borderId="85" applyNumberFormat="0" applyFon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100" fillId="0" borderId="87" applyNumberFormat="0" applyFill="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8" fillId="55" borderId="88"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128" fillId="55" borderId="88" applyNumberForma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02" fillId="42"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00" fillId="0" borderId="87" applyNumberFormat="0" applyFill="0" applyAlignment="0" applyProtection="0">
      <alignment vertical="center"/>
    </xf>
    <xf numFmtId="0" fontId="43" fillId="58" borderId="85" applyNumberFormat="0" applyFont="0" applyAlignment="0" applyProtection="0">
      <alignment vertical="center"/>
    </xf>
    <xf numFmtId="0" fontId="9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86" fillId="55" borderId="86" applyNumberForma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22" fillId="58" borderId="85" applyNumberFormat="0" applyFont="0" applyAlignment="0" applyProtection="0">
      <alignment vertical="center"/>
    </xf>
    <xf numFmtId="0" fontId="43" fillId="58" borderId="85" applyNumberFormat="0" applyFont="0" applyAlignment="0" applyProtection="0">
      <alignment vertical="center"/>
    </xf>
    <xf numFmtId="0" fontId="43" fillId="58" borderId="85" applyNumberFormat="0" applyFon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93" fillId="58" borderId="85" applyNumberFormat="0" applyFon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7"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7"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86" fillId="55" borderId="86" applyNumberFormat="0" applyAlignment="0" applyProtection="0">
      <alignment vertical="center"/>
    </xf>
    <xf numFmtId="0" fontId="86" fillId="55" borderId="95"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02" fillId="42" borderId="86" applyNumberFormat="0" applyAlignment="0" applyProtection="0">
      <alignment vertical="center"/>
    </xf>
    <xf numFmtId="0" fontId="126" fillId="55" borderId="86" applyNumberFormat="0" applyAlignment="0" applyProtection="0">
      <alignment vertical="center"/>
    </xf>
    <xf numFmtId="0" fontId="126" fillId="55" borderId="86" applyNumberFormat="0" applyAlignment="0" applyProtection="0">
      <alignment vertical="center"/>
    </xf>
    <xf numFmtId="0" fontId="86" fillId="55" borderId="86" applyNumberForma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113" fillId="58" borderId="85" applyNumberFormat="0" applyFon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7"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8" fillId="55" borderId="10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22" fillId="58" borderId="104" applyNumberFormat="0" applyFont="0" applyAlignment="0" applyProtection="0">
      <alignment vertical="center"/>
    </xf>
    <xf numFmtId="0" fontId="43" fillId="58" borderId="107"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03"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5" fillId="0" borderId="101" applyNumberFormat="0" applyFill="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6" fillId="55" borderId="102" applyNumberFormat="0" applyAlignment="0" applyProtection="0">
      <alignment vertical="center"/>
    </xf>
    <xf numFmtId="0" fontId="102" fillId="42" borderId="100" applyNumberForma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8" fillId="55" borderId="105"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25" fillId="0" borderId="106" applyNumberFormat="0" applyFill="0" applyAlignment="0" applyProtection="0">
      <alignment vertical="center"/>
    </xf>
    <xf numFmtId="0" fontId="115" fillId="55" borderId="102" applyNumberFormat="0" applyAlignment="0" applyProtection="0">
      <alignment vertical="center"/>
    </xf>
    <xf numFmtId="0" fontId="116" fillId="55" borderId="105" applyNumberFormat="0" applyAlignment="0" applyProtection="0">
      <alignment vertical="center"/>
    </xf>
    <xf numFmtId="0" fontId="103" fillId="42" borderId="103"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16" fillId="55" borderId="110" applyNumberForma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22"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100" fillId="0" borderId="109" applyNumberFormat="0" applyFill="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44" fillId="58" borderId="104"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0"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86" fillId="55" borderId="103" applyNumberFormat="0" applyAlignment="0" applyProtection="0">
      <alignment vertical="center"/>
    </xf>
    <xf numFmtId="0" fontId="125" fillId="0" borderId="109" applyNumberFormat="0" applyFill="0" applyAlignment="0" applyProtection="0">
      <alignment vertical="center"/>
    </xf>
    <xf numFmtId="0" fontId="100" fillId="0" borderId="109" applyNumberFormat="0" applyFill="0" applyAlignment="0" applyProtection="0">
      <alignment vertical="center"/>
    </xf>
    <xf numFmtId="0" fontId="22" fillId="58" borderId="99"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4" applyNumberFormat="0" applyFon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02" fillId="42" borderId="100" applyNumberFormat="0" applyAlignment="0" applyProtection="0">
      <alignment vertical="center"/>
    </xf>
    <xf numFmtId="0" fontId="101" fillId="0" borderId="106" applyNumberFormat="0" applyFill="0" applyAlignment="0" applyProtection="0">
      <alignment vertical="center"/>
    </xf>
    <xf numFmtId="0" fontId="115" fillId="55" borderId="110"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13" fillId="58" borderId="104" applyNumberFormat="0" applyFon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100" fillId="0" borderId="96" applyNumberFormat="0" applyFill="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5" fillId="0" borderId="106" applyNumberFormat="0" applyFill="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00" fillId="0" borderId="106" applyNumberFormat="0" applyFill="0" applyAlignment="0" applyProtection="0">
      <alignment vertical="center"/>
    </xf>
    <xf numFmtId="0" fontId="87" fillId="55" borderId="82"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13" fillId="58" borderId="99"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22" fillId="58" borderId="104" applyNumberFormat="0" applyFont="0" applyAlignment="0" applyProtection="0">
      <alignment vertical="center"/>
    </xf>
    <xf numFmtId="0" fontId="113" fillId="58" borderId="107" applyNumberFormat="0" applyFont="0" applyAlignment="0" applyProtection="0">
      <alignment vertical="center"/>
    </xf>
    <xf numFmtId="0" fontId="127" fillId="42" borderId="108" applyNumberFormat="0" applyAlignment="0" applyProtection="0">
      <alignment vertical="center"/>
    </xf>
    <xf numFmtId="0" fontId="100" fillId="0" borderId="106" applyNumberFormat="0" applyFill="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22" fillId="58" borderId="99" applyNumberFormat="0" applyFont="0" applyAlignment="0" applyProtection="0">
      <alignment vertical="center"/>
    </xf>
    <xf numFmtId="0" fontId="86" fillId="55" borderId="82" applyNumberFormat="0" applyAlignment="0" applyProtection="0">
      <alignment vertical="center"/>
    </xf>
    <xf numFmtId="0" fontId="93" fillId="58" borderId="94" applyNumberFormat="0" applyFon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44"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8" fillId="55" borderId="110"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1" applyNumberFormat="0" applyAlignment="0" applyProtection="0">
      <alignment vertical="center"/>
    </xf>
    <xf numFmtId="0" fontId="126" fillId="55" borderId="108" applyNumberForma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87" fillId="55" borderId="108" applyNumberFormat="0" applyAlignment="0" applyProtection="0">
      <alignment vertical="center"/>
    </xf>
    <xf numFmtId="0" fontId="126" fillId="55" borderId="82" applyNumberFormat="0" applyAlignment="0" applyProtection="0">
      <alignment vertical="center"/>
    </xf>
    <xf numFmtId="0" fontId="100" fillId="0" borderId="92" applyNumberFormat="0" applyFill="0" applyAlignment="0" applyProtection="0">
      <alignment vertical="center"/>
    </xf>
    <xf numFmtId="0" fontId="102" fillId="42" borderId="91"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03" fillId="42" borderId="108" applyNumberFormat="0" applyAlignment="0" applyProtection="0">
      <alignment vertical="center"/>
    </xf>
    <xf numFmtId="0" fontId="100" fillId="0" borderId="106" applyNumberFormat="0" applyFill="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00" fillId="0" borderId="109" applyNumberFormat="0" applyFill="0" applyAlignment="0" applyProtection="0">
      <alignment vertical="center"/>
    </xf>
    <xf numFmtId="0" fontId="100" fillId="0" borderId="106" applyNumberFormat="0" applyFill="0" applyAlignment="0" applyProtection="0">
      <alignment vertical="center"/>
    </xf>
    <xf numFmtId="0" fontId="125" fillId="0" borderId="109" applyNumberFormat="0" applyFill="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27" fillId="42" borderId="103"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25" fillId="0" borderId="101" applyNumberFormat="0" applyFill="0" applyAlignment="0" applyProtection="0">
      <alignment vertical="center"/>
    </xf>
    <xf numFmtId="0" fontId="22" fillId="58" borderId="104" applyNumberFormat="0" applyFon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126" fillId="55" borderId="108" applyNumberFormat="0" applyAlignment="0" applyProtection="0">
      <alignment vertical="center"/>
    </xf>
    <xf numFmtId="0" fontId="101" fillId="0" borderId="109" applyNumberFormat="0" applyFill="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93" fillId="58" borderId="104" applyNumberFormat="0" applyFon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43" fillId="58" borderId="99" applyNumberFormat="0" applyFont="0" applyAlignment="0" applyProtection="0">
      <alignment vertical="center"/>
    </xf>
    <xf numFmtId="0" fontId="87" fillId="55" borderId="82" applyNumberFormat="0" applyAlignment="0" applyProtection="0">
      <alignment vertical="center"/>
    </xf>
    <xf numFmtId="0" fontId="87" fillId="55" borderId="108" applyNumberForma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109" applyNumberFormat="0" applyFill="0" applyAlignment="0" applyProtection="0">
      <alignment vertical="center"/>
    </xf>
    <xf numFmtId="0" fontId="128" fillId="55" borderId="10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86" fillId="55" borderId="100" applyNumberFormat="0" applyAlignment="0" applyProtection="0">
      <alignment vertical="center"/>
    </xf>
    <xf numFmtId="0" fontId="125" fillId="0" borderId="106" applyNumberFormat="0" applyFill="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86" fillId="55" borderId="100" applyNumberFormat="0" applyAlignment="0" applyProtection="0">
      <alignment vertical="center"/>
    </xf>
    <xf numFmtId="0" fontId="128" fillId="55" borderId="110"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15" fillId="55" borderId="102"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106" applyNumberFormat="0" applyFill="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22" fillId="58" borderId="104" applyNumberFormat="0" applyFon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93" fillId="58" borderId="104" applyNumberFormat="0" applyFon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43" fillId="58" borderId="104" applyNumberFormat="0" applyFon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93" fillId="58" borderId="104" applyNumberFormat="0" applyFont="0" applyAlignment="0" applyProtection="0">
      <alignment vertical="center"/>
    </xf>
    <xf numFmtId="0" fontId="126" fillId="55" borderId="108" applyNumberFormat="0" applyAlignment="0" applyProtection="0">
      <alignment vertical="center"/>
    </xf>
    <xf numFmtId="0" fontId="116" fillId="55" borderId="105"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7" fillId="42" borderId="108"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87"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7"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87"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7"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44"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4" fillId="58" borderId="90" applyNumberFormat="0" applyFont="0" applyAlignment="0" applyProtection="0">
      <alignment vertical="center"/>
    </xf>
    <xf numFmtId="0" fontId="44"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4"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7" fillId="42" borderId="91"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0" fillId="0" borderId="92" applyNumberFormat="0" applyFill="0" applyAlignment="0" applyProtection="0">
      <alignment vertical="center"/>
    </xf>
    <xf numFmtId="0" fontId="101"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1" fillId="0" borderId="92" applyNumberFormat="0" applyFill="0" applyAlignment="0" applyProtection="0">
      <alignment vertical="center"/>
    </xf>
    <xf numFmtId="0" fontId="101"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1"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0" fillId="0" borderId="92" applyNumberFormat="0" applyFill="0" applyAlignment="0" applyProtection="0">
      <alignment vertical="center"/>
    </xf>
    <xf numFmtId="0" fontId="102" fillId="42" borderId="91" applyNumberFormat="0" applyAlignment="0" applyProtection="0">
      <alignment vertical="center"/>
    </xf>
    <xf numFmtId="0" fontId="103"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3" fillId="42" borderId="91" applyNumberFormat="0" applyAlignment="0" applyProtection="0">
      <alignment vertical="center"/>
    </xf>
    <xf numFmtId="0" fontId="103"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3"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9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9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3" fillId="58" borderId="90"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25" fillId="0" borderId="92" applyNumberFormat="0" applyFill="0" applyAlignment="0" applyProtection="0">
      <alignment vertical="center"/>
    </xf>
    <xf numFmtId="0" fontId="102" fillId="42" borderId="91" applyNumberFormat="0" applyAlignment="0" applyProtection="0">
      <alignment vertical="center"/>
    </xf>
    <xf numFmtId="0" fontId="12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102" fillId="42" borderId="91" applyNumberFormat="0" applyAlignment="0" applyProtection="0">
      <alignment vertical="center"/>
    </xf>
    <xf numFmtId="0" fontId="102" fillId="42"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26" fillId="55" borderId="91" applyNumberFormat="0" applyAlignment="0" applyProtection="0">
      <alignment vertical="center"/>
    </xf>
    <xf numFmtId="0" fontId="102" fillId="42"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43" fillId="58" borderId="99" applyNumberFormat="0" applyFont="0" applyAlignment="0" applyProtection="0">
      <alignment vertical="center"/>
    </xf>
    <xf numFmtId="0" fontId="125" fillId="0" borderId="109" applyNumberFormat="0" applyFill="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25" fillId="0" borderId="106" applyNumberFormat="0" applyFill="0" applyAlignment="0" applyProtection="0">
      <alignment vertical="center"/>
    </xf>
    <xf numFmtId="0" fontId="86" fillId="55" borderId="103"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22" fillId="58" borderId="99"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2" fillId="42" borderId="100" applyNumberFormat="0" applyAlignment="0" applyProtection="0">
      <alignment vertical="center"/>
    </xf>
    <xf numFmtId="0" fontId="86" fillId="55" borderId="91" applyNumberFormat="0" applyAlignment="0" applyProtection="0">
      <alignment vertical="center"/>
    </xf>
    <xf numFmtId="0" fontId="86" fillId="55" borderId="91"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0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95" applyNumberFormat="0" applyAlignment="0" applyProtection="0">
      <alignment vertical="center"/>
    </xf>
    <xf numFmtId="0" fontId="43" fillId="58" borderId="99" applyNumberFormat="0" applyFont="0" applyAlignment="0" applyProtection="0">
      <alignment vertical="center"/>
    </xf>
    <xf numFmtId="0" fontId="100" fillId="0" borderId="109" applyNumberFormat="0" applyFill="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115" fillId="55" borderId="105"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102" fillId="42" borderId="108" applyNumberFormat="0" applyAlignment="0" applyProtection="0">
      <alignment vertical="center"/>
    </xf>
    <xf numFmtId="0" fontId="113" fillId="58" borderId="104" applyNumberFormat="0" applyFon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86" fillId="55" borderId="82" applyNumberFormat="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115" fillId="55" borderId="102"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3"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26" fillId="55" borderId="103"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43" fillId="58" borderId="104" applyNumberFormat="0" applyFont="0" applyAlignment="0" applyProtection="0">
      <alignment vertical="center"/>
    </xf>
    <xf numFmtId="0" fontId="101" fillId="0" borderId="106" applyNumberFormat="0" applyFill="0" applyAlignment="0" applyProtection="0">
      <alignment vertical="center"/>
    </xf>
    <xf numFmtId="0" fontId="86" fillId="55" borderId="103" applyNumberFormat="0" applyAlignment="0" applyProtection="0">
      <alignment vertical="center"/>
    </xf>
    <xf numFmtId="0" fontId="128" fillId="55" borderId="110" applyNumberFormat="0" applyAlignment="0" applyProtection="0">
      <alignment vertical="center"/>
    </xf>
    <xf numFmtId="0" fontId="128" fillId="55" borderId="105"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13" fillId="58" borderId="99" applyNumberFormat="0" applyFon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22" fillId="58" borderId="99" applyNumberFormat="0" applyFont="0" applyAlignment="0" applyProtection="0">
      <alignment vertical="center"/>
    </xf>
    <xf numFmtId="0" fontId="86" fillId="55" borderId="103" applyNumberFormat="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44"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102" fillId="42" borderId="100" applyNumberFormat="0" applyAlignment="0" applyProtection="0">
      <alignment vertical="center"/>
    </xf>
    <xf numFmtId="0" fontId="43" fillId="58" borderId="104" applyNumberFormat="0" applyFont="0" applyAlignment="0" applyProtection="0">
      <alignment vertical="center"/>
    </xf>
    <xf numFmtId="0" fontId="115" fillId="55" borderId="110"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1" fillId="0" borderId="109" applyNumberFormat="0" applyFill="0" applyAlignment="0" applyProtection="0">
      <alignment vertical="center"/>
    </xf>
    <xf numFmtId="0" fontId="113" fillId="58" borderId="99" applyNumberFormat="0" applyFon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22" fillId="58" borderId="104" applyNumberFormat="0" applyFont="0" applyAlignment="0" applyProtection="0">
      <alignment vertical="center"/>
    </xf>
    <xf numFmtId="0" fontId="103" fillId="42" borderId="100"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44" fillId="58" borderId="99" applyNumberFormat="0" applyFon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3" fillId="42" borderId="103"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22" fillId="58" borderId="104" applyNumberFormat="0" applyFon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43" fillId="58" borderId="99"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103" fillId="42" borderId="108"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0" applyNumberFormat="0" applyAlignment="0" applyProtection="0">
      <alignment vertical="center"/>
    </xf>
    <xf numFmtId="0" fontId="128" fillId="55" borderId="102"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22" fillId="58" borderId="104" applyNumberFormat="0" applyFont="0" applyAlignment="0" applyProtection="0">
      <alignment vertical="center"/>
    </xf>
    <xf numFmtId="0" fontId="100" fillId="0" borderId="106" applyNumberFormat="0" applyFill="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103"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0" fillId="0" borderId="106" applyNumberFormat="0" applyFill="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22" fillId="58" borderId="99"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7" fillId="55" borderId="103" applyNumberForma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43" fillId="58" borderId="104" applyNumberFormat="0" applyFont="0" applyAlignment="0" applyProtection="0">
      <alignment vertical="center"/>
    </xf>
    <xf numFmtId="0" fontId="115" fillId="55" borderId="102" applyNumberForma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86" fillId="55" borderId="100" applyNumberFormat="0" applyAlignment="0" applyProtection="0">
      <alignment vertical="center"/>
    </xf>
    <xf numFmtId="0" fontId="102" fillId="42" borderId="108" applyNumberFormat="0" applyAlignment="0" applyProtection="0">
      <alignment vertical="center"/>
    </xf>
    <xf numFmtId="0" fontId="22" fillId="58" borderId="104" applyNumberFormat="0" applyFon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86" fillId="55" borderId="91" applyNumberForma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22" fillId="58" borderId="90" applyNumberFormat="0" applyFont="0" applyAlignment="0" applyProtection="0">
      <alignment vertical="center"/>
    </xf>
    <xf numFmtId="0" fontId="43" fillId="58" borderId="90" applyNumberFormat="0" applyFont="0" applyAlignment="0" applyProtection="0">
      <alignment vertical="center"/>
    </xf>
    <xf numFmtId="0" fontId="43" fillId="58" borderId="90" applyNumberFormat="0" applyFont="0" applyAlignment="0" applyProtection="0">
      <alignment vertical="center"/>
    </xf>
    <xf numFmtId="0" fontId="102" fillId="42" borderId="91"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95"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7" fillId="55" borderId="82" applyNumberFormat="0" applyAlignment="0" applyProtection="0">
      <alignment vertical="center"/>
    </xf>
    <xf numFmtId="0" fontId="102" fillId="42" borderId="108"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110"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13" fillId="58" borderId="81" applyNumberFormat="0" applyFont="0" applyAlignment="0" applyProtection="0">
      <alignment vertical="center"/>
    </xf>
    <xf numFmtId="0" fontId="128"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4" fillId="58" borderId="81" applyNumberFormat="0" applyFont="0" applyAlignment="0" applyProtection="0">
      <alignment vertical="center"/>
    </xf>
    <xf numFmtId="0" fontId="100" fillId="0" borderId="83" applyNumberFormat="0" applyFill="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9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5" fillId="0" borderId="96" applyNumberFormat="0" applyFill="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1"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1"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7" fillId="55" borderId="103"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126" fillId="55" borderId="100" applyNumberFormat="0" applyAlignment="0" applyProtection="0">
      <alignment vertical="center"/>
    </xf>
    <xf numFmtId="0" fontId="115" fillId="55" borderId="102" applyNumberFormat="0" applyAlignment="0" applyProtection="0">
      <alignment vertical="center"/>
    </xf>
    <xf numFmtId="0" fontId="86" fillId="55" borderId="100" applyNumberFormat="0" applyAlignment="0" applyProtection="0">
      <alignment vertical="center"/>
    </xf>
    <xf numFmtId="0" fontId="126" fillId="55" borderId="108" applyNumberFormat="0" applyAlignment="0" applyProtection="0">
      <alignment vertical="center"/>
    </xf>
    <xf numFmtId="0" fontId="126" fillId="55" borderId="100" applyNumberForma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100" fillId="0" borderId="106" applyNumberFormat="0" applyFill="0" applyAlignment="0" applyProtection="0">
      <alignment vertical="center"/>
    </xf>
    <xf numFmtId="0" fontId="115" fillId="55" borderId="110"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5" fillId="0" borderId="106" applyNumberFormat="0" applyFill="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43" fillId="58" borderId="99"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44" fillId="58" borderId="107"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5" fillId="0" borderId="106" applyNumberFormat="0" applyFill="0" applyAlignment="0" applyProtection="0">
      <alignment vertical="center"/>
    </xf>
    <xf numFmtId="0" fontId="128" fillId="55" borderId="110" applyNumberFormat="0" applyAlignment="0" applyProtection="0">
      <alignment vertical="center"/>
    </xf>
    <xf numFmtId="0" fontId="93" fillId="58" borderId="99" applyNumberFormat="0" applyFon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95" applyNumberFormat="0" applyAlignment="0" applyProtection="0">
      <alignment vertical="center"/>
    </xf>
    <xf numFmtId="0" fontId="44"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3" fillId="42" borderId="103"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7" fillId="55" borderId="108" applyNumberFormat="0" applyAlignment="0" applyProtection="0">
      <alignment vertical="center"/>
    </xf>
    <xf numFmtId="0" fontId="126" fillId="55" borderId="103" applyNumberFormat="0" applyAlignment="0" applyProtection="0">
      <alignment vertical="center"/>
    </xf>
    <xf numFmtId="0" fontId="22" fillId="58" borderId="104" applyNumberFormat="0" applyFont="0" applyAlignment="0" applyProtection="0">
      <alignment vertical="center"/>
    </xf>
    <xf numFmtId="0" fontId="113" fillId="58" borderId="104"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4"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7" fillId="42"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43" fillId="58" borderId="94"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03"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02" fillId="42" borderId="95"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6" fillId="55" borderId="93"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22" fillId="58" borderId="81" applyNumberFormat="0" applyFont="0" applyAlignment="0" applyProtection="0">
      <alignment vertical="center"/>
    </xf>
    <xf numFmtId="0" fontId="102" fillId="42" borderId="108"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93" fillId="58" borderId="81" applyNumberFormat="0" applyFon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6" fillId="55" borderId="108"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8" fillId="55" borderId="97" applyNumberForma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15" fillId="55" borderId="97"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7" fillId="42"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30" fillId="0" borderId="76">
      <alignment horizontal="lef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1" fillId="0" borderId="83" applyNumberFormat="0" applyFill="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9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87" fillId="55"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02" fillId="42" borderId="95"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102" fillId="42" borderId="82" applyNumberForma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7"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4"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1" fillId="0" borderId="83" applyNumberFormat="0" applyFill="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94"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127" fillId="42"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1" fillId="0" borderId="83" applyNumberFormat="0" applyFill="0" applyAlignment="0" applyProtection="0">
      <alignment vertical="center"/>
    </xf>
    <xf numFmtId="0" fontId="125" fillId="0" borderId="83" applyNumberFormat="0" applyFill="0" applyAlignment="0" applyProtection="0">
      <alignment vertical="center"/>
    </xf>
    <xf numFmtId="0" fontId="87" fillId="55" borderId="82" applyNumberFormat="0" applyAlignment="0" applyProtection="0">
      <alignment vertical="center"/>
    </xf>
    <xf numFmtId="0" fontId="102" fillId="42" borderId="95"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3" fillId="42"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1" fillId="0" borderId="83" applyNumberFormat="0" applyFill="0" applyAlignment="0" applyProtection="0">
      <alignment vertical="center"/>
    </xf>
    <xf numFmtId="0" fontId="115" fillId="55" borderId="93"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43" fillId="58" borderId="81" applyNumberFormat="0" applyFon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108"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101"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95" applyNumberForma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9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44" fillId="58" borderId="81" applyNumberFormat="0" applyFont="0" applyAlignment="0" applyProtection="0">
      <alignment vertical="center"/>
    </xf>
    <xf numFmtId="0" fontId="127" fillId="42"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95"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9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01" fillId="0" borderId="83" applyNumberFormat="0" applyFill="0" applyAlignment="0" applyProtection="0">
      <alignment vertical="center"/>
    </xf>
    <xf numFmtId="0" fontId="126" fillId="55" borderId="82" applyNumberFormat="0" applyAlignment="0" applyProtection="0">
      <alignment vertical="center"/>
    </xf>
    <xf numFmtId="0" fontId="100" fillId="0" borderId="96"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5" fillId="0" borderId="83" applyNumberFormat="0" applyFill="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03" fillId="42"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103" fillId="42"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103"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7"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22" fillId="58" borderId="94" applyNumberFormat="0" applyFon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00" fillId="0" borderId="83" applyNumberFormat="0" applyFill="0" applyAlignment="0" applyProtection="0">
      <alignment vertical="center"/>
    </xf>
    <xf numFmtId="0" fontId="113" fillId="58" borderId="107"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87" fillId="55" borderId="82" applyNumberFormat="0" applyAlignment="0" applyProtection="0">
      <alignment vertical="center"/>
    </xf>
    <xf numFmtId="0" fontId="115" fillId="55" borderId="93"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7"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02" fillId="42" borderId="95"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87" fillId="55" borderId="103" applyNumberFormat="0" applyAlignment="0" applyProtection="0">
      <alignment vertical="center"/>
    </xf>
    <xf numFmtId="0" fontId="125" fillId="0" borderId="96"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113" fillId="58" borderId="104" applyNumberFormat="0" applyFont="0" applyAlignment="0" applyProtection="0">
      <alignment vertical="center"/>
    </xf>
    <xf numFmtId="0" fontId="126" fillId="55" borderId="95"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94" applyNumberFormat="0" applyFon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44" fillId="58" borderId="81" applyNumberFormat="0" applyFon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103"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22" fillId="58" borderId="104" applyNumberFormat="0" applyFon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44" fillId="58" borderId="81" applyNumberFormat="0" applyFon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9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95"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95" applyNumberForma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26" fillId="55" borderId="108" applyNumberFormat="0" applyAlignment="0" applyProtection="0">
      <alignment vertical="center"/>
    </xf>
    <xf numFmtId="0" fontId="43" fillId="58" borderId="94"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93" fillId="58" borderId="81" applyNumberFormat="0" applyFont="0" applyAlignment="0" applyProtection="0">
      <alignment vertical="center"/>
    </xf>
    <xf numFmtId="0" fontId="115" fillId="55" borderId="93" applyNumberFormat="0" applyAlignment="0" applyProtection="0">
      <alignment vertical="center"/>
    </xf>
    <xf numFmtId="0" fontId="9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3" fillId="42"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16"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6"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7"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7" fillId="42"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30" fillId="0" borderId="76">
      <alignment horizontal="lef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95"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7"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3" fillId="58" borderId="107"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3" fillId="42" borderId="100"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27" fillId="42" borderId="103" applyNumberFormat="0" applyAlignment="0" applyProtection="0">
      <alignment vertical="center"/>
    </xf>
    <xf numFmtId="0" fontId="87" fillId="55" borderId="103"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44" fillId="58" borderId="99" applyNumberFormat="0" applyFont="0" applyAlignment="0" applyProtection="0">
      <alignment vertical="center"/>
    </xf>
    <xf numFmtId="0" fontId="100"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125" fillId="0" borderId="101" applyNumberFormat="0" applyFill="0" applyAlignment="0" applyProtection="0">
      <alignment vertical="center"/>
    </xf>
    <xf numFmtId="0" fontId="86" fillId="55" borderId="100" applyNumberFormat="0" applyAlignment="0" applyProtection="0">
      <alignment vertical="center"/>
    </xf>
    <xf numFmtId="0" fontId="87" fillId="55" borderId="108"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43" fillId="58" borderId="99"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7" fillId="55" borderId="10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7" fillId="42" borderId="108" applyNumberFormat="0" applyAlignment="0" applyProtection="0">
      <alignment vertical="center"/>
    </xf>
    <xf numFmtId="0" fontId="102" fillId="42" borderId="10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00" fillId="0" borderId="109" applyNumberFormat="0" applyFill="0" applyAlignment="0" applyProtection="0">
      <alignment vertical="center"/>
    </xf>
    <xf numFmtId="0" fontId="113" fillId="58" borderId="81" applyNumberFormat="0" applyFon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103"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13" fillId="58" borderId="107" applyNumberFormat="0" applyFont="0" applyAlignment="0" applyProtection="0">
      <alignment vertical="center"/>
    </xf>
    <xf numFmtId="0" fontId="102" fillId="42" borderId="10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7"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1" fillId="0" borderId="106"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115" fillId="55" borderId="97"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3"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108" applyNumberForma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86" fillId="55" borderId="95"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43" fillId="58" borderId="99" applyNumberFormat="0" applyFont="0" applyAlignment="0" applyProtection="0">
      <alignment vertical="center"/>
    </xf>
    <xf numFmtId="0" fontId="101" fillId="0" borderId="101" applyNumberFormat="0" applyFill="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100" fillId="0" borderId="106" applyNumberFormat="0" applyFill="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44" fillId="58" borderId="104" applyNumberFormat="0" applyFon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0"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1" fillId="0" borderId="109" applyNumberFormat="0" applyFill="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43" fillId="58" borderId="99" applyNumberFormat="0" applyFont="0" applyAlignment="0" applyProtection="0">
      <alignment vertical="center"/>
    </xf>
    <xf numFmtId="0" fontId="126" fillId="55" borderId="82"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1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01" fillId="0" borderId="109" applyNumberFormat="0" applyFill="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87" fillId="55" borderId="82"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87"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13" fillId="58" borderId="107" applyNumberFormat="0" applyFont="0" applyAlignment="0" applyProtection="0">
      <alignment vertical="center"/>
    </xf>
    <xf numFmtId="0" fontId="43" fillId="58" borderId="99" applyNumberFormat="0" applyFon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109" applyNumberFormat="0" applyFill="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128" fillId="55" borderId="105" applyNumberFormat="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0"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22" fillId="58" borderId="104" applyNumberFormat="0" applyFon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99"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104" applyNumberFormat="0" applyFon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95" applyNumberFormat="0" applyAlignment="0" applyProtection="0">
      <alignment vertical="center"/>
    </xf>
    <xf numFmtId="0" fontId="127" fillId="42" borderId="108"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127" fillId="42" borderId="10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15" fillId="55" borderId="105" applyNumberFormat="0" applyAlignment="0" applyProtection="0">
      <alignment vertical="center"/>
    </xf>
    <xf numFmtId="0" fontId="87" fillId="55" borderId="103"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113" fillId="58" borderId="104" applyNumberFormat="0" applyFont="0" applyAlignment="0" applyProtection="0">
      <alignment vertical="center"/>
    </xf>
    <xf numFmtId="0" fontId="103" fillId="42" borderId="103" applyNumberFormat="0" applyAlignment="0" applyProtection="0">
      <alignment vertical="center"/>
    </xf>
    <xf numFmtId="0" fontId="86" fillId="55" borderId="82" applyNumberFormat="0" applyAlignment="0" applyProtection="0">
      <alignment vertical="center"/>
    </xf>
    <xf numFmtId="0" fontId="103" fillId="42" borderId="103"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15" fillId="55" borderId="105"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30" fillId="0" borderId="76">
      <alignment horizontal="left" vertical="center"/>
    </xf>
    <xf numFmtId="0" fontId="86" fillId="55" borderId="82" applyNumberFormat="0" applyAlignment="0" applyProtection="0">
      <alignment vertical="center"/>
    </xf>
    <xf numFmtId="0" fontId="126" fillId="55" borderId="100" applyNumberFormat="0" applyAlignment="0" applyProtection="0">
      <alignment vertical="center"/>
    </xf>
    <xf numFmtId="0" fontId="86" fillId="55" borderId="108" applyNumberFormat="0" applyAlignment="0" applyProtection="0">
      <alignment vertical="center"/>
    </xf>
    <xf numFmtId="0" fontId="22" fillId="58" borderId="104" applyNumberFormat="0" applyFont="0" applyAlignment="0" applyProtection="0">
      <alignment vertical="center"/>
    </xf>
    <xf numFmtId="0" fontId="113" fillId="58" borderId="104" applyNumberFormat="0" applyFont="0" applyAlignment="0" applyProtection="0">
      <alignment vertical="center"/>
    </xf>
    <xf numFmtId="0" fontId="128" fillId="55" borderId="105"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44" fillId="58" borderId="107" applyNumberFormat="0" applyFont="0" applyAlignment="0" applyProtection="0">
      <alignment vertical="center"/>
    </xf>
    <xf numFmtId="0" fontId="126" fillId="55" borderId="103" applyNumberFormat="0" applyAlignment="0" applyProtection="0">
      <alignment vertical="center"/>
    </xf>
    <xf numFmtId="0" fontId="115" fillId="55" borderId="10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43" fillId="58" borderId="99"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02"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93" fillId="58" borderId="99"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22" fillId="58" borderId="104" applyNumberFormat="0" applyFont="0" applyAlignment="0" applyProtection="0">
      <alignment vertical="center"/>
    </xf>
    <xf numFmtId="0" fontId="125"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9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8" fillId="55" borderId="105"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7" fillId="42" borderId="108" applyNumberFormat="0" applyAlignment="0" applyProtection="0">
      <alignment vertical="center"/>
    </xf>
    <xf numFmtId="0" fontId="115" fillId="55" borderId="105" applyNumberForma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93" fillId="58" borderId="104" applyNumberFormat="0" applyFon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87"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95" applyNumberFormat="0" applyAlignment="0" applyProtection="0">
      <alignment vertical="center"/>
    </xf>
    <xf numFmtId="0" fontId="126" fillId="55" borderId="100"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43" fillId="58" borderId="104" applyNumberFormat="0" applyFont="0" applyAlignment="0" applyProtection="0">
      <alignment vertical="center"/>
    </xf>
    <xf numFmtId="0" fontId="101" fillId="0" borderId="106" applyNumberFormat="0" applyFill="0" applyAlignment="0" applyProtection="0">
      <alignment vertical="center"/>
    </xf>
    <xf numFmtId="0" fontId="126" fillId="55" borderId="103" applyNumberFormat="0" applyAlignment="0" applyProtection="0">
      <alignment vertical="center"/>
    </xf>
    <xf numFmtId="0" fontId="30" fillId="0" borderId="111">
      <alignment horizontal="lef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3" applyNumberFormat="0" applyAlignment="0" applyProtection="0">
      <alignment vertical="center"/>
    </xf>
    <xf numFmtId="0" fontId="100" fillId="0" borderId="106" applyNumberFormat="0" applyFill="0" applyAlignment="0" applyProtection="0">
      <alignment vertical="center"/>
    </xf>
    <xf numFmtId="0" fontId="102" fillId="42" borderId="108" applyNumberFormat="0" applyAlignment="0" applyProtection="0">
      <alignment vertical="center"/>
    </xf>
    <xf numFmtId="0" fontId="127" fillId="42" borderId="108"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103" fillId="42" borderId="103"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22" fillId="58" borderId="104" applyNumberFormat="0" applyFon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93" fillId="58" borderId="107" applyNumberFormat="0" applyFont="0" applyAlignment="0" applyProtection="0">
      <alignment vertical="center"/>
    </xf>
    <xf numFmtId="0" fontId="22" fillId="58" borderId="99" applyNumberFormat="0" applyFon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100" fillId="0" borderId="109" applyNumberFormat="0" applyFill="0" applyAlignment="0" applyProtection="0">
      <alignment vertical="center"/>
    </xf>
    <xf numFmtId="0" fontId="43" fillId="58" borderId="99" applyNumberFormat="0" applyFont="0" applyAlignment="0" applyProtection="0">
      <alignment vertical="center"/>
    </xf>
    <xf numFmtId="0" fontId="87" fillId="55" borderId="82" applyNumberFormat="0" applyAlignment="0" applyProtection="0">
      <alignment vertical="center"/>
    </xf>
    <xf numFmtId="0" fontId="102" fillId="42" borderId="10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1" fillId="0" borderId="109" applyNumberFormat="0" applyFill="0" applyAlignment="0" applyProtection="0">
      <alignment vertical="center"/>
    </xf>
    <xf numFmtId="0" fontId="87" fillId="55" borderId="82"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113" fillId="58" borderId="104" applyNumberFormat="0" applyFon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26" fillId="55" borderId="100"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87" fillId="55" borderId="103"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22" fillId="58" borderId="99" applyNumberFormat="0" applyFont="0" applyAlignment="0" applyProtection="0">
      <alignment vertical="center"/>
    </xf>
    <xf numFmtId="0" fontId="87" fillId="55" borderId="82" applyNumberFormat="0" applyAlignment="0" applyProtection="0">
      <alignment vertical="center"/>
    </xf>
    <xf numFmtId="0" fontId="103" fillId="42"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15" fillId="55" borderId="105"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127" fillId="42" borderId="108"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26" fillId="55" borderId="108" applyNumberFormat="0" applyAlignment="0" applyProtection="0">
      <alignment vertical="center"/>
    </xf>
    <xf numFmtId="0" fontId="43" fillId="58" borderId="99" applyNumberFormat="0" applyFont="0" applyAlignment="0" applyProtection="0">
      <alignment vertical="center"/>
    </xf>
    <xf numFmtId="0" fontId="100" fillId="0" borderId="101" applyNumberFormat="0" applyFill="0" applyAlignment="0" applyProtection="0">
      <alignment vertical="center"/>
    </xf>
    <xf numFmtId="0" fontId="126" fillId="55" borderId="95" applyNumberFormat="0" applyAlignment="0" applyProtection="0">
      <alignment vertical="center"/>
    </xf>
    <xf numFmtId="0" fontId="102" fillId="42" borderId="108" applyNumberFormat="0" applyAlignment="0" applyProtection="0">
      <alignment vertical="center"/>
    </xf>
    <xf numFmtId="0" fontId="43" fillId="58" borderId="104" applyNumberFormat="0" applyFont="0" applyAlignment="0" applyProtection="0">
      <alignment vertical="center"/>
    </xf>
    <xf numFmtId="0" fontId="113" fillId="58" borderId="104" applyNumberFormat="0" applyFont="0" applyAlignment="0" applyProtection="0">
      <alignment vertical="center"/>
    </xf>
    <xf numFmtId="0" fontId="43" fillId="58" borderId="104" applyNumberFormat="0" applyFont="0" applyAlignment="0" applyProtection="0">
      <alignment vertical="center"/>
    </xf>
    <xf numFmtId="0" fontId="125" fillId="0" borderId="106" applyNumberFormat="0" applyFill="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1" fillId="0" borderId="109" applyNumberFormat="0" applyFill="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22" fillId="58" borderId="99"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3"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22" fillId="58" borderId="104" applyNumberFormat="0" applyFon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43" fillId="58" borderId="99"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0" fillId="0" borderId="109" applyNumberFormat="0" applyFill="0" applyAlignment="0" applyProtection="0">
      <alignment vertical="center"/>
    </xf>
    <xf numFmtId="0" fontId="43" fillId="58" borderId="104"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3" fillId="42" borderId="108" applyNumberFormat="0" applyAlignment="0" applyProtection="0">
      <alignment vertical="center"/>
    </xf>
    <xf numFmtId="0" fontId="113" fillId="58" borderId="104" applyNumberFormat="0" applyFon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93" fillId="58" borderId="107" applyNumberFormat="0" applyFont="0" applyAlignment="0" applyProtection="0">
      <alignment vertical="center"/>
    </xf>
    <xf numFmtId="0" fontId="43" fillId="58" borderId="99" applyNumberFormat="0" applyFon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93" fillId="58" borderId="104"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9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1" fillId="0" borderId="109" applyNumberFormat="0" applyFill="0" applyAlignment="0" applyProtection="0">
      <alignment vertical="center"/>
    </xf>
    <xf numFmtId="0" fontId="126" fillId="55" borderId="108" applyNumberFormat="0" applyAlignment="0" applyProtection="0">
      <alignment vertical="center"/>
    </xf>
    <xf numFmtId="0" fontId="101" fillId="0" borderId="106" applyNumberFormat="0" applyFill="0" applyAlignment="0" applyProtection="0">
      <alignment vertical="center"/>
    </xf>
    <xf numFmtId="0" fontId="43" fillId="58" borderId="107" applyNumberFormat="0" applyFont="0" applyAlignment="0" applyProtection="0">
      <alignment vertical="center"/>
    </xf>
    <xf numFmtId="0" fontId="9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93" fillId="58" borderId="104" applyNumberFormat="0" applyFont="0" applyAlignment="0" applyProtection="0">
      <alignment vertical="center"/>
    </xf>
    <xf numFmtId="0" fontId="101" fillId="0" borderId="106" applyNumberFormat="0" applyFill="0" applyAlignment="0" applyProtection="0">
      <alignment vertical="center"/>
    </xf>
    <xf numFmtId="0" fontId="102" fillId="42" borderId="108"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01" fillId="0" borderId="101" applyNumberFormat="0" applyFill="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26" fillId="55" borderId="103" applyNumberFormat="0" applyAlignment="0" applyProtection="0">
      <alignment vertical="center"/>
    </xf>
    <xf numFmtId="0" fontId="22" fillId="58" borderId="107" applyNumberFormat="0" applyFont="0" applyAlignment="0" applyProtection="0">
      <alignment vertical="center"/>
    </xf>
    <xf numFmtId="0" fontId="87" fillId="55" borderId="108" applyNumberForma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28" fillId="55" borderId="105" applyNumberFormat="0" applyAlignment="0" applyProtection="0">
      <alignment vertical="center"/>
    </xf>
    <xf numFmtId="0" fontId="86" fillId="55" borderId="103" applyNumberFormat="0" applyAlignment="0" applyProtection="0">
      <alignment vertical="center"/>
    </xf>
    <xf numFmtId="0" fontId="116"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6" fillId="55" borderId="105" applyNumberForma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126" fillId="55" borderId="100" applyNumberFormat="0" applyAlignment="0" applyProtection="0">
      <alignment vertical="center"/>
    </xf>
    <xf numFmtId="0" fontId="86" fillId="55" borderId="82" applyNumberFormat="0" applyAlignment="0" applyProtection="0">
      <alignment vertical="center"/>
    </xf>
    <xf numFmtId="0" fontId="103"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27" fillId="42" borderId="108" applyNumberFormat="0" applyAlignment="0" applyProtection="0">
      <alignment vertical="center"/>
    </xf>
    <xf numFmtId="0" fontId="102" fillId="42" borderId="100"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43" fillId="58" borderId="107" applyNumberFormat="0" applyFont="0" applyAlignment="0" applyProtection="0">
      <alignment vertical="center"/>
    </xf>
    <xf numFmtId="0" fontId="22"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99"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01" fillId="0" borderId="109" applyNumberFormat="0" applyFill="0" applyAlignment="0" applyProtection="0">
      <alignment vertical="center"/>
    </xf>
    <xf numFmtId="0" fontId="126" fillId="55" borderId="103"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100" fillId="0" borderId="101" applyNumberFormat="0" applyFill="0" applyAlignment="0" applyProtection="0">
      <alignment vertical="center"/>
    </xf>
    <xf numFmtId="0" fontId="86" fillId="55" borderId="108" applyNumberFormat="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4" applyNumberFormat="0" applyFont="0" applyAlignment="0" applyProtection="0">
      <alignment vertical="center"/>
    </xf>
    <xf numFmtId="0" fontId="44" fillId="58" borderId="107" applyNumberFormat="0" applyFont="0" applyAlignment="0" applyProtection="0">
      <alignment vertical="center"/>
    </xf>
    <xf numFmtId="0" fontId="86" fillId="55" borderId="103" applyNumberFormat="0" applyAlignment="0" applyProtection="0">
      <alignment vertical="center"/>
    </xf>
    <xf numFmtId="0" fontId="116" fillId="55" borderId="105"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1"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104"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1" fillId="0" borderId="106" applyNumberFormat="0" applyFill="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27" fillId="42" borderId="103"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43" fillId="58" borderId="104"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87" fillId="55" borderId="108" applyNumberFormat="0" applyAlignment="0" applyProtection="0">
      <alignment vertical="center"/>
    </xf>
    <xf numFmtId="0" fontId="113" fillId="58" borderId="99"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100" applyNumberFormat="0" applyAlignment="0" applyProtection="0">
      <alignment vertical="center"/>
    </xf>
    <xf numFmtId="0" fontId="43" fillId="58" borderId="104" applyNumberFormat="0" applyFont="0" applyAlignment="0" applyProtection="0">
      <alignment vertical="center"/>
    </xf>
    <xf numFmtId="0" fontId="86" fillId="55" borderId="95"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3" fillId="42" borderId="108"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0" fillId="0" borderId="106" applyNumberFormat="0" applyFill="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99" applyNumberFormat="0" applyFon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13" fillId="58" borderId="99" applyNumberFormat="0" applyFon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125" fillId="0" borderId="106" applyNumberFormat="0" applyFill="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44" fillId="58" borderId="107" applyNumberFormat="0" applyFont="0" applyAlignment="0" applyProtection="0">
      <alignment vertical="center"/>
    </xf>
    <xf numFmtId="0" fontId="126" fillId="55" borderId="100" applyNumberFormat="0" applyAlignment="0" applyProtection="0">
      <alignment vertical="center"/>
    </xf>
    <xf numFmtId="0" fontId="22" fillId="58" borderId="104" applyNumberFormat="0" applyFon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43" fillId="58" borderId="104" applyNumberFormat="0" applyFon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7" fillId="42" borderId="100"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22" fillId="58" borderId="104"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26" fillId="55" borderId="103" applyNumberFormat="0" applyAlignment="0" applyProtection="0">
      <alignment vertical="center"/>
    </xf>
    <xf numFmtId="0" fontId="22" fillId="58" borderId="104" applyNumberFormat="0" applyFont="0" applyAlignment="0" applyProtection="0">
      <alignment vertical="center"/>
    </xf>
    <xf numFmtId="0" fontId="113" fillId="58" borderId="104"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13" fillId="58" borderId="99" applyNumberFormat="0" applyFont="0" applyAlignment="0" applyProtection="0">
      <alignment vertical="center"/>
    </xf>
    <xf numFmtId="0" fontId="43" fillId="58" borderId="104" applyNumberFormat="0" applyFont="0" applyAlignment="0" applyProtection="0">
      <alignment vertical="center"/>
    </xf>
    <xf numFmtId="0" fontId="102" fillId="42" borderId="100"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1"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26" fillId="55" borderId="95" applyNumberForma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87" fillId="55" borderId="103"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44" fillId="58" borderId="104" applyNumberFormat="0" applyFont="0" applyAlignment="0" applyProtection="0">
      <alignment vertical="center"/>
    </xf>
    <xf numFmtId="0" fontId="115" fillId="55" borderId="110" applyNumberFormat="0" applyAlignment="0" applyProtection="0">
      <alignment vertical="center"/>
    </xf>
    <xf numFmtId="0" fontId="43" fillId="58" borderId="104" applyNumberFormat="0" applyFon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28" fillId="55" borderId="110"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93" fillId="58" borderId="104" applyNumberFormat="0" applyFont="0" applyAlignment="0" applyProtection="0">
      <alignment vertical="center"/>
    </xf>
    <xf numFmtId="0" fontId="102" fillId="42" borderId="108" applyNumberFormat="0" applyAlignment="0" applyProtection="0">
      <alignment vertical="center"/>
    </xf>
    <xf numFmtId="0" fontId="103" fillId="42" borderId="103"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6" fillId="55" borderId="110" applyNumberFormat="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22" fillId="58" borderId="99"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93" fillId="58" borderId="99"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0" fillId="0" borderId="106"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100"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28" fillId="55" borderId="105" applyNumberForma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4" fillId="58" borderId="107" applyNumberFormat="0" applyFon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15" fillId="55" borderId="110" applyNumberFormat="0" applyAlignment="0" applyProtection="0">
      <alignment vertical="center"/>
    </xf>
    <xf numFmtId="0" fontId="100" fillId="0" borderId="106" applyNumberFormat="0" applyFill="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00" fillId="0" borderId="109" applyNumberFormat="0" applyFill="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16"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16"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1"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5" fillId="55" borderId="97"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3"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0" fillId="0" borderId="83" applyNumberFormat="0" applyFill="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13" fillId="58" borderId="99" applyNumberFormat="0" applyFon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22" fillId="58" borderId="104"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6" fillId="55" borderId="93"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7"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43" fillId="58" borderId="104"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4"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9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1" fillId="0" borderId="83" applyNumberFormat="0" applyFill="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95"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5" fillId="0" borderId="83" applyNumberFormat="0" applyFill="0" applyAlignment="0" applyProtection="0">
      <alignment vertical="center"/>
    </xf>
    <xf numFmtId="0" fontId="113" fillId="58" borderId="104" applyNumberFormat="0" applyFon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0" fillId="0" borderId="96" applyNumberFormat="0" applyFill="0" applyAlignment="0" applyProtection="0">
      <alignment vertical="center"/>
    </xf>
    <xf numFmtId="0" fontId="115" fillId="55" borderId="93"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2" fillId="42" borderId="100" applyNumberFormat="0" applyAlignment="0" applyProtection="0">
      <alignment vertical="center"/>
    </xf>
    <xf numFmtId="0" fontId="86" fillId="55" borderId="108"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96"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3"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95"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86" fillId="55" borderId="103" applyNumberFormat="0" applyAlignment="0" applyProtection="0">
      <alignment vertical="center"/>
    </xf>
    <xf numFmtId="0" fontId="100" fillId="0" borderId="106" applyNumberFormat="0" applyFill="0" applyAlignment="0" applyProtection="0">
      <alignment vertical="center"/>
    </xf>
    <xf numFmtId="0" fontId="22" fillId="58" borderId="94"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5" fillId="0" borderId="96" applyNumberFormat="0" applyFill="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28" fillId="55" borderId="84"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6"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15" fillId="55" borderId="84"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5" fillId="55" borderId="97" applyNumberFormat="0" applyAlignment="0" applyProtection="0">
      <alignment vertical="center"/>
    </xf>
    <xf numFmtId="0" fontId="100" fillId="0" borderId="83" applyNumberFormat="0" applyFill="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126" fillId="55" borderId="95"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13" fillId="58" borderId="81" applyNumberFormat="0" applyFont="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95" applyNumberFormat="0" applyAlignment="0" applyProtection="0">
      <alignment vertical="center"/>
    </xf>
    <xf numFmtId="0" fontId="102" fillId="42" borderId="108" applyNumberFormat="0" applyAlignment="0" applyProtection="0">
      <alignment vertical="center"/>
    </xf>
    <xf numFmtId="0" fontId="43" fillId="58" borderId="99" applyNumberFormat="0" applyFont="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7" fillId="42" borderId="103" applyNumberFormat="0" applyAlignment="0" applyProtection="0">
      <alignment vertical="center"/>
    </xf>
    <xf numFmtId="0" fontId="116" fillId="55" borderId="93"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116" fillId="55" borderId="93" applyNumberFormat="0" applyAlignment="0" applyProtection="0">
      <alignment vertical="center"/>
    </xf>
    <xf numFmtId="0" fontId="126" fillId="55" borderId="82"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10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95"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44" fillId="58" borderId="104"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115" fillId="55" borderId="93" applyNumberFormat="0" applyAlignment="0" applyProtection="0">
      <alignment vertical="center"/>
    </xf>
    <xf numFmtId="0" fontId="126" fillId="55" borderId="95"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95"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00" fillId="0" borderId="9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7" fillId="42" borderId="82" applyNumberFormat="0" applyAlignment="0" applyProtection="0">
      <alignment vertical="center"/>
    </xf>
    <xf numFmtId="0" fontId="86" fillId="55" borderId="95"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108" applyNumberFormat="0" applyAlignment="0" applyProtection="0">
      <alignment vertical="center"/>
    </xf>
    <xf numFmtId="0" fontId="87" fillId="55" borderId="103" applyNumberFormat="0" applyAlignment="0" applyProtection="0">
      <alignment vertical="center"/>
    </xf>
    <xf numFmtId="0" fontId="116" fillId="55" borderId="97" applyNumberFormat="0" applyAlignment="0" applyProtection="0">
      <alignment vertical="center"/>
    </xf>
    <xf numFmtId="0" fontId="102" fillId="42" borderId="108" applyNumberFormat="0" applyAlignment="0" applyProtection="0">
      <alignment vertical="center"/>
    </xf>
    <xf numFmtId="0" fontId="115" fillId="55" borderId="93" applyNumberFormat="0" applyAlignment="0" applyProtection="0">
      <alignment vertical="center"/>
    </xf>
    <xf numFmtId="0" fontId="86" fillId="55" borderId="95" applyNumberFormat="0" applyAlignment="0" applyProtection="0">
      <alignment vertical="center"/>
    </xf>
    <xf numFmtId="0" fontId="43" fillId="58" borderId="107" applyNumberFormat="0" applyFont="0" applyAlignment="0" applyProtection="0">
      <alignment vertical="center"/>
    </xf>
    <xf numFmtId="0" fontId="43" fillId="58" borderId="81" applyNumberFormat="0" applyFon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1" fillId="0" borderId="83" applyNumberFormat="0" applyFill="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87"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0"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95" applyNumberFormat="0" applyAlignment="0" applyProtection="0">
      <alignment vertical="center"/>
    </xf>
    <xf numFmtId="0" fontId="86" fillId="55" borderId="108" applyNumberFormat="0" applyAlignment="0" applyProtection="0">
      <alignment vertical="center"/>
    </xf>
    <xf numFmtId="0" fontId="87" fillId="55" borderId="95"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01" fillId="0" borderId="83" applyNumberFormat="0" applyFill="0" applyAlignment="0" applyProtection="0">
      <alignment vertical="center"/>
    </xf>
    <xf numFmtId="0" fontId="100" fillId="0" borderId="96" applyNumberFormat="0" applyFill="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95"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100" fillId="0" borderId="109" applyNumberFormat="0" applyFill="0" applyAlignment="0" applyProtection="0">
      <alignment vertical="center"/>
    </xf>
    <xf numFmtId="0" fontId="86" fillId="55" borderId="95"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02" fillId="42" borderId="100"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43" fillId="58" borderId="81" applyNumberFormat="0" applyFont="0" applyAlignment="0" applyProtection="0">
      <alignment vertical="center"/>
    </xf>
    <xf numFmtId="0" fontId="115" fillId="55" borderId="10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100"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95" applyNumberFormat="0" applyAlignment="0" applyProtection="0">
      <alignment vertical="center"/>
    </xf>
    <xf numFmtId="0" fontId="86" fillId="55" borderId="108"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13" fillId="58" borderId="81" applyNumberFormat="0" applyFont="0" applyAlignment="0" applyProtection="0">
      <alignment vertical="center"/>
    </xf>
    <xf numFmtId="0" fontId="125" fillId="0" borderId="96"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94"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95" applyNumberFormat="0" applyAlignment="0" applyProtection="0">
      <alignment vertical="center"/>
    </xf>
    <xf numFmtId="0" fontId="115" fillId="55" borderId="93"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6"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113" fillId="58" borderId="94" applyNumberFormat="0" applyFont="0" applyAlignment="0" applyProtection="0">
      <alignment vertical="center"/>
    </xf>
    <xf numFmtId="0" fontId="87" fillId="55" borderId="95" applyNumberForma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115" fillId="55" borderId="110" applyNumberFormat="0" applyAlignment="0" applyProtection="0">
      <alignment vertical="center"/>
    </xf>
    <xf numFmtId="0" fontId="43" fillId="58" borderId="94"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95"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6" fillId="55" borderId="93" applyNumberFormat="0" applyAlignment="0" applyProtection="0">
      <alignment vertical="center"/>
    </xf>
    <xf numFmtId="0" fontId="125" fillId="0" borderId="96" applyNumberFormat="0" applyFill="0" applyAlignment="0" applyProtection="0">
      <alignment vertical="center"/>
    </xf>
    <xf numFmtId="0" fontId="93" fillId="58" borderId="81" applyNumberFormat="0" applyFont="0" applyAlignment="0" applyProtection="0">
      <alignment vertical="center"/>
    </xf>
    <xf numFmtId="0" fontId="22" fillId="58" borderId="81" applyNumberFormat="0" applyFon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43" fillId="58" borderId="99"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86" fillId="55" borderId="95" applyNumberFormat="0" applyAlignment="0" applyProtection="0">
      <alignment vertical="center"/>
    </xf>
    <xf numFmtId="0" fontId="101" fillId="0" borderId="83" applyNumberFormat="0" applyFill="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93" fillId="58" borderId="81" applyNumberFormat="0" applyFon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30" fillId="0" borderId="76">
      <alignment horizontal="lef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26" fillId="55" borderId="95" applyNumberFormat="0" applyAlignment="0" applyProtection="0">
      <alignment vertical="center"/>
    </xf>
    <xf numFmtId="0" fontId="43" fillId="58" borderId="81" applyNumberFormat="0" applyFont="0" applyAlignment="0" applyProtection="0">
      <alignment vertical="center"/>
    </xf>
    <xf numFmtId="0" fontId="43" fillId="58" borderId="107" applyNumberFormat="0" applyFont="0" applyAlignment="0" applyProtection="0">
      <alignment vertical="center"/>
    </xf>
    <xf numFmtId="0" fontId="86" fillId="55" borderId="95" applyNumberFormat="0" applyAlignment="0" applyProtection="0">
      <alignment vertical="center"/>
    </xf>
    <xf numFmtId="0" fontId="102" fillId="42" borderId="108" applyNumberForma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107" applyNumberFormat="0" applyFont="0" applyAlignment="0" applyProtection="0">
      <alignment vertical="center"/>
    </xf>
    <xf numFmtId="0" fontId="116" fillId="55" borderId="93"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28" fillId="55" borderId="105"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7" fillId="42"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5" fillId="0" borderId="9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15" fillId="55" borderId="97" applyNumberFormat="0" applyAlignment="0" applyProtection="0">
      <alignment vertical="center"/>
    </xf>
    <xf numFmtId="0" fontId="128"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3"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95"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4" fillId="58" borderId="81" applyNumberFormat="0" applyFon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8"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4" fillId="58" borderId="81" applyNumberFormat="0" applyFon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15" fillId="55" borderId="93" applyNumberFormat="0" applyAlignment="0" applyProtection="0">
      <alignment vertical="center"/>
    </xf>
    <xf numFmtId="0" fontId="115" fillId="55" borderId="97" applyNumberFormat="0" applyAlignment="0" applyProtection="0">
      <alignment vertical="center"/>
    </xf>
    <xf numFmtId="0" fontId="115" fillId="55" borderId="110" applyNumberFormat="0" applyAlignment="0" applyProtection="0">
      <alignment vertical="center"/>
    </xf>
    <xf numFmtId="0" fontId="86" fillId="55" borderId="95"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116" fillId="55" borderId="97"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22" fillId="58" borderId="94" applyNumberFormat="0" applyFont="0" applyAlignment="0" applyProtection="0">
      <alignment vertical="center"/>
    </xf>
    <xf numFmtId="0" fontId="125" fillId="0" borderId="83" applyNumberFormat="0" applyFill="0" applyAlignment="0" applyProtection="0">
      <alignment vertical="center"/>
    </xf>
    <xf numFmtId="0" fontId="87" fillId="55" borderId="82" applyNumberFormat="0" applyAlignment="0" applyProtection="0">
      <alignment vertical="center"/>
    </xf>
    <xf numFmtId="0" fontId="22" fillId="58" borderId="81" applyNumberFormat="0" applyFont="0" applyAlignment="0" applyProtection="0">
      <alignment vertical="center"/>
    </xf>
    <xf numFmtId="0" fontId="113" fillId="58" borderId="81" applyNumberFormat="0" applyFon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86" fillId="55" borderId="95" applyNumberFormat="0" applyAlignment="0" applyProtection="0">
      <alignment vertical="center"/>
    </xf>
    <xf numFmtId="0" fontId="128" fillId="55" borderId="93" applyNumberFormat="0" applyAlignment="0" applyProtection="0">
      <alignment vertical="center"/>
    </xf>
    <xf numFmtId="0" fontId="126" fillId="55" borderId="95" applyNumberFormat="0" applyAlignment="0" applyProtection="0">
      <alignment vertical="center"/>
    </xf>
    <xf numFmtId="0" fontId="8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6" fillId="55" borderId="93" applyNumberFormat="0" applyAlignment="0" applyProtection="0">
      <alignment vertical="center"/>
    </xf>
    <xf numFmtId="0" fontId="113" fillId="58" borderId="81" applyNumberFormat="0" applyFont="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95"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102" fillId="42" borderId="108" applyNumberFormat="0" applyAlignment="0" applyProtection="0">
      <alignment vertical="center"/>
    </xf>
    <xf numFmtId="0" fontId="127" fillId="42" borderId="100" applyNumberFormat="0" applyAlignment="0" applyProtection="0">
      <alignment vertical="center"/>
    </xf>
    <xf numFmtId="0" fontId="87" fillId="55" borderId="95"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100"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87" fillId="55" borderId="82"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8" fillId="55" borderId="93" applyNumberForma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87" fillId="55" borderId="82" applyNumberFormat="0" applyAlignment="0" applyProtection="0">
      <alignment vertical="center"/>
    </xf>
    <xf numFmtId="0" fontId="86" fillId="55" borderId="10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94" applyNumberFormat="0" applyFont="0" applyAlignment="0" applyProtection="0">
      <alignment vertical="center"/>
    </xf>
    <xf numFmtId="0" fontId="115" fillId="55" borderId="93"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02" fillId="42" borderId="95" applyNumberFormat="0" applyAlignment="0" applyProtection="0">
      <alignment vertical="center"/>
    </xf>
    <xf numFmtId="0" fontId="86" fillId="55" borderId="108"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27" fillId="42"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6" fillId="55" borderId="93"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01" fillId="0" borderId="83" applyNumberFormat="0" applyFill="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01"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25" fillId="0" borderId="83" applyNumberFormat="0" applyFill="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4" fillId="58" borderId="81" applyNumberFormat="0" applyFon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0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1" fillId="0" borderId="83" applyNumberFormat="0" applyFill="0" applyAlignment="0" applyProtection="0">
      <alignment vertical="center"/>
    </xf>
    <xf numFmtId="0" fontId="44"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25" fillId="0" borderId="83" applyNumberFormat="0" applyFill="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01"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16" fillId="55" borderId="93"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0" fillId="0" borderId="83" applyNumberFormat="0" applyFill="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5" fillId="0" borderId="83" applyNumberFormat="0" applyFill="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1" fillId="0" borderId="83" applyNumberFormat="0" applyFill="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44" fillId="58" borderId="81" applyNumberFormat="0" applyFon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25" fillId="0" borderId="96" applyNumberFormat="0" applyFill="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125" fillId="0" borderId="83" applyNumberFormat="0" applyFill="0" applyAlignment="0" applyProtection="0">
      <alignment vertical="center"/>
    </xf>
    <xf numFmtId="0" fontId="127" fillId="42" borderId="82" applyNumberFormat="0" applyAlignment="0" applyProtection="0">
      <alignment vertical="center"/>
    </xf>
    <xf numFmtId="0" fontId="100" fillId="0" borderId="83" applyNumberFormat="0" applyFill="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7"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26" fillId="55" borderId="9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97" applyNumberFormat="0" applyAlignment="0" applyProtection="0">
      <alignment vertical="center"/>
    </xf>
    <xf numFmtId="0" fontId="100" fillId="0" borderId="83" applyNumberFormat="0" applyFill="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8" fillId="55" borderId="93" applyNumberForma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01" fillId="0" borderId="83" applyNumberFormat="0" applyFill="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9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116" fillId="55" borderId="93" applyNumberForma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6"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127" fillId="42" borderId="108"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16" fillId="55" borderId="93"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93" fillId="58" borderId="81"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43" fillId="58" borderId="104" applyNumberFormat="0" applyFont="0" applyAlignment="0" applyProtection="0">
      <alignment vertical="center"/>
    </xf>
    <xf numFmtId="0" fontId="125" fillId="0" borderId="83" applyNumberFormat="0" applyFill="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103" fillId="42"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9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1" fillId="0" borderId="83" applyNumberFormat="0" applyFill="0" applyAlignment="0" applyProtection="0">
      <alignment vertical="center"/>
    </xf>
    <xf numFmtId="0" fontId="86" fillId="55" borderId="95" applyNumberFormat="0" applyAlignment="0" applyProtection="0">
      <alignment vertical="center"/>
    </xf>
    <xf numFmtId="0" fontId="103" fillId="42" borderId="82" applyNumberFormat="0" applyAlignment="0" applyProtection="0">
      <alignment vertical="center"/>
    </xf>
    <xf numFmtId="0" fontId="102" fillId="42" borderId="82" applyNumberFormat="0" applyAlignment="0" applyProtection="0">
      <alignment vertical="center"/>
    </xf>
    <xf numFmtId="0" fontId="125" fillId="0" borderId="83" applyNumberFormat="0" applyFill="0" applyAlignment="0" applyProtection="0">
      <alignment vertical="center"/>
    </xf>
    <xf numFmtId="0" fontId="102" fillId="42" borderId="95"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27" fillId="42" borderId="82" applyNumberFormat="0" applyAlignment="0" applyProtection="0">
      <alignment vertical="center"/>
    </xf>
    <xf numFmtId="0" fontId="43"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125" fillId="0" borderId="83" applyNumberFormat="0" applyFill="0" applyAlignment="0" applyProtection="0">
      <alignment vertical="center"/>
    </xf>
    <xf numFmtId="0" fontId="100" fillId="0" borderId="83" applyNumberFormat="0" applyFill="0" applyAlignment="0" applyProtection="0">
      <alignment vertical="center"/>
    </xf>
    <xf numFmtId="0" fontId="22" fillId="58" borderId="81" applyNumberFormat="0" applyFon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01" fillId="0" borderId="83" applyNumberFormat="0" applyFill="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30" fillId="0" borderId="76">
      <alignment horizontal="lef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43" fillId="58" borderId="81" applyNumberFormat="0" applyFont="0" applyAlignment="0" applyProtection="0">
      <alignment vertical="center"/>
    </xf>
    <xf numFmtId="0" fontId="128" fillId="55" borderId="93" applyNumberFormat="0" applyAlignment="0" applyProtection="0">
      <alignment vertical="center"/>
    </xf>
    <xf numFmtId="0" fontId="43" fillId="58" borderId="81" applyNumberFormat="0" applyFon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97"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86" fillId="55" borderId="95" applyNumberFormat="0" applyAlignment="0" applyProtection="0">
      <alignment vertical="center"/>
    </xf>
    <xf numFmtId="0" fontId="22"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4" fillId="58" borderId="81" applyNumberFormat="0" applyFont="0" applyAlignment="0" applyProtection="0">
      <alignment vertical="center"/>
    </xf>
    <xf numFmtId="0" fontId="126" fillId="55" borderId="82" applyNumberFormat="0" applyAlignment="0" applyProtection="0">
      <alignment vertical="center"/>
    </xf>
    <xf numFmtId="0" fontId="102" fillId="42" borderId="95" applyNumberForma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93" fillId="58" borderId="81" applyNumberFormat="0" applyFon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9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8" fillId="55" borderId="93"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81"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96" applyNumberFormat="0" applyFill="0" applyAlignment="0" applyProtection="0">
      <alignment vertical="center"/>
    </xf>
    <xf numFmtId="0" fontId="9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22"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83" applyNumberFormat="0" applyFill="0" applyAlignment="0" applyProtection="0">
      <alignment vertical="center"/>
    </xf>
    <xf numFmtId="0" fontId="93" fillId="58" borderId="81" applyNumberFormat="0" applyFon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116" fillId="55" borderId="93" applyNumberFormat="0" applyAlignment="0" applyProtection="0">
      <alignment vertical="center"/>
    </xf>
    <xf numFmtId="0" fontId="86" fillId="55" borderId="82" applyNumberFormat="0" applyAlignment="0" applyProtection="0">
      <alignment vertical="center"/>
    </xf>
    <xf numFmtId="0" fontId="125" fillId="0" borderId="83" applyNumberFormat="0" applyFill="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15" fillId="55" borderId="93"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13" fillId="58" borderId="81"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26" fillId="55"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00" fillId="0" borderId="83" applyNumberFormat="0" applyFill="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102" fillId="42" borderId="82" applyNumberFormat="0" applyAlignment="0" applyProtection="0">
      <alignment vertical="center"/>
    </xf>
    <xf numFmtId="0" fontId="115" fillId="55" borderId="93" applyNumberFormat="0" applyAlignment="0" applyProtection="0">
      <alignment vertical="center"/>
    </xf>
    <xf numFmtId="0" fontId="125" fillId="0" borderId="83" applyNumberFormat="0" applyFill="0" applyAlignment="0" applyProtection="0">
      <alignment vertical="center"/>
    </xf>
    <xf numFmtId="0" fontId="86" fillId="55" borderId="82" applyNumberFormat="0" applyAlignment="0" applyProtection="0">
      <alignment vertical="center"/>
    </xf>
    <xf numFmtId="0" fontId="113" fillId="58" borderId="81" applyNumberFormat="0" applyFont="0" applyAlignment="0" applyProtection="0">
      <alignment vertical="center"/>
    </xf>
    <xf numFmtId="0" fontId="125" fillId="0" borderId="83"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103" fillId="42" borderId="82" applyNumberFormat="0" applyAlignment="0" applyProtection="0">
      <alignment vertical="center"/>
    </xf>
    <xf numFmtId="0" fontId="113" fillId="58" borderId="81" applyNumberFormat="0" applyFont="0" applyAlignment="0" applyProtection="0">
      <alignment vertical="center"/>
    </xf>
    <xf numFmtId="0" fontId="93" fillId="58" borderId="81" applyNumberFormat="0" applyFon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00" fillId="0" borderId="83" applyNumberFormat="0" applyFill="0" applyAlignment="0" applyProtection="0">
      <alignment vertical="center"/>
    </xf>
    <xf numFmtId="0" fontId="100" fillId="0" borderId="83" applyNumberFormat="0" applyFill="0" applyAlignment="0" applyProtection="0">
      <alignment vertical="center"/>
    </xf>
    <xf numFmtId="0" fontId="86" fillId="55" borderId="82" applyNumberFormat="0" applyAlignment="0" applyProtection="0">
      <alignment vertical="center"/>
    </xf>
    <xf numFmtId="0" fontId="102" fillId="42"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127" fillId="42" borderId="82" applyNumberFormat="0" applyAlignment="0" applyProtection="0">
      <alignment vertical="center"/>
    </xf>
    <xf numFmtId="0" fontId="102" fillId="42"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100" fillId="0" borderId="83" applyNumberFormat="0" applyFill="0" applyAlignment="0" applyProtection="0">
      <alignment vertical="center"/>
    </xf>
    <xf numFmtId="0" fontId="115" fillId="55" borderId="93" applyNumberForma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0" fillId="0" borderId="83" applyNumberFormat="0" applyFill="0" applyAlignment="0" applyProtection="0">
      <alignment vertical="center"/>
    </xf>
    <xf numFmtId="0" fontId="43" fillId="58" borderId="81" applyNumberFormat="0" applyFont="0" applyAlignment="0" applyProtection="0">
      <alignment vertical="center"/>
    </xf>
    <xf numFmtId="0" fontId="93" fillId="58" borderId="81" applyNumberFormat="0" applyFont="0" applyAlignment="0" applyProtection="0">
      <alignment vertical="center"/>
    </xf>
    <xf numFmtId="0" fontId="102" fillId="42" borderId="95"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3" fillId="58" borderId="81" applyNumberFormat="0" applyFont="0" applyAlignment="0" applyProtection="0">
      <alignment vertical="center"/>
    </xf>
    <xf numFmtId="0" fontId="126" fillId="55" borderId="82" applyNumberFormat="0" applyAlignment="0" applyProtection="0">
      <alignment vertical="center"/>
    </xf>
    <xf numFmtId="0" fontId="113" fillId="58" borderId="81" applyNumberFormat="0" applyFon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86" fillId="55" borderId="82" applyNumberFormat="0" applyAlignment="0" applyProtection="0">
      <alignment vertical="center"/>
    </xf>
    <xf numFmtId="0" fontId="103" fillId="42" borderId="82" applyNumberFormat="0" applyAlignment="0" applyProtection="0">
      <alignment vertical="center"/>
    </xf>
    <xf numFmtId="0" fontId="115" fillId="55" borderId="93" applyNumberFormat="0" applyAlignment="0" applyProtection="0">
      <alignment vertical="center"/>
    </xf>
    <xf numFmtId="0" fontId="102" fillId="42" borderId="82" applyNumberFormat="0" applyAlignment="0" applyProtection="0">
      <alignment vertical="center"/>
    </xf>
    <xf numFmtId="0" fontId="126" fillId="55" borderId="95" applyNumberFormat="0" applyAlignment="0" applyProtection="0">
      <alignment vertical="center"/>
    </xf>
    <xf numFmtId="0" fontId="127" fillId="42"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102" fillId="42"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86" fillId="55" borderId="82" applyNumberForma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22" fillId="58" borderId="81" applyNumberFormat="0" applyFont="0" applyAlignment="0" applyProtection="0">
      <alignment vertical="center"/>
    </xf>
    <xf numFmtId="0" fontId="43" fillId="58" borderId="81" applyNumberFormat="0" applyFont="0" applyAlignment="0" applyProtection="0">
      <alignment vertical="center"/>
    </xf>
    <xf numFmtId="0" fontId="43" fillId="58" borderId="81" applyNumberFormat="0" applyFont="0" applyAlignment="0" applyProtection="0">
      <alignment vertical="center"/>
    </xf>
    <xf numFmtId="0" fontId="102" fillId="42" borderId="82"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0" fillId="0" borderId="96" applyNumberFormat="0" applyFill="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3" fillId="42"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6"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6"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30" fillId="0" borderId="98">
      <alignment horizontal="lef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13" fillId="58" borderId="104" applyNumberFormat="0" applyFon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7" fillId="42" borderId="108" applyNumberForma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86" fillId="55" borderId="100" applyNumberFormat="0" applyAlignment="0" applyProtection="0">
      <alignment vertical="center"/>
    </xf>
    <xf numFmtId="0" fontId="86" fillId="55" borderId="100"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28" fillId="55" borderId="110"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95" applyNumberFormat="0" applyAlignment="0" applyProtection="0">
      <alignment vertical="center"/>
    </xf>
    <xf numFmtId="0" fontId="86" fillId="55" borderId="103"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7" fillId="55" borderId="108" applyNumberFormat="0" applyAlignment="0" applyProtection="0">
      <alignment vertical="center"/>
    </xf>
    <xf numFmtId="0" fontId="86" fillId="55" borderId="103" applyNumberFormat="0" applyAlignment="0" applyProtection="0">
      <alignment vertical="center"/>
    </xf>
    <xf numFmtId="0" fontId="115" fillId="55" borderId="10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86" fillId="55" borderId="100" applyNumberFormat="0" applyAlignment="0" applyProtection="0">
      <alignment vertical="center"/>
    </xf>
    <xf numFmtId="0" fontId="100" fillId="0" borderId="106" applyNumberFormat="0" applyFill="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26" fillId="55" borderId="95"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113" fillId="58" borderId="99" applyNumberFormat="0" applyFont="0" applyAlignment="0" applyProtection="0">
      <alignment vertical="center"/>
    </xf>
    <xf numFmtId="0" fontId="43" fillId="58" borderId="99" applyNumberFormat="0" applyFont="0" applyAlignment="0" applyProtection="0">
      <alignment vertical="center"/>
    </xf>
    <xf numFmtId="0" fontId="100" fillId="0" borderId="101" applyNumberFormat="0" applyFill="0" applyAlignment="0" applyProtection="0">
      <alignment vertical="center"/>
    </xf>
    <xf numFmtId="0" fontId="126" fillId="55" borderId="100" applyNumberFormat="0" applyAlignment="0" applyProtection="0">
      <alignment vertical="center"/>
    </xf>
    <xf numFmtId="0" fontId="115" fillId="55" borderId="105" applyNumberFormat="0" applyAlignment="0" applyProtection="0">
      <alignment vertical="center"/>
    </xf>
    <xf numFmtId="0" fontId="22" fillId="58" borderId="99" applyNumberFormat="0" applyFont="0" applyAlignment="0" applyProtection="0">
      <alignment vertical="center"/>
    </xf>
    <xf numFmtId="0" fontId="87" fillId="55" borderId="103"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15" fillId="55" borderId="105" applyNumberFormat="0" applyAlignment="0" applyProtection="0">
      <alignment vertical="center"/>
    </xf>
    <xf numFmtId="0" fontId="126" fillId="55" borderId="100" applyNumberFormat="0" applyAlignment="0" applyProtection="0">
      <alignment vertical="center"/>
    </xf>
    <xf numFmtId="0" fontId="113" fillId="58" borderId="94" applyNumberFormat="0" applyFon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02" fillId="42"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02" fillId="42" borderId="10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128" fillId="55" borderId="105"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0" applyNumberFormat="0" applyAlignment="0" applyProtection="0">
      <alignment vertical="center"/>
    </xf>
    <xf numFmtId="0" fontId="127" fillId="42" borderId="100" applyNumberFormat="0" applyAlignment="0" applyProtection="0">
      <alignment vertical="center"/>
    </xf>
    <xf numFmtId="0" fontId="102" fillId="42" borderId="100"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02" fillId="42" borderId="108" applyNumberForma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7"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3"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7" fillId="42" borderId="103" applyNumberFormat="0" applyAlignment="0" applyProtection="0">
      <alignment vertical="center"/>
    </xf>
    <xf numFmtId="0" fontId="116" fillId="55" borderId="110" applyNumberFormat="0" applyAlignment="0" applyProtection="0">
      <alignment vertical="center"/>
    </xf>
    <xf numFmtId="0" fontId="103" fillId="42" borderId="108" applyNumberFormat="0" applyAlignment="0" applyProtection="0">
      <alignment vertical="center"/>
    </xf>
    <xf numFmtId="0" fontId="43" fillId="58" borderId="104" applyNumberFormat="0" applyFont="0" applyAlignment="0" applyProtection="0">
      <alignment vertical="center"/>
    </xf>
    <xf numFmtId="0" fontId="115" fillId="55" borderId="105" applyNumberForma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125" fillId="0" borderId="101" applyNumberFormat="0" applyFill="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9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02" fillId="42" borderId="108" applyNumberFormat="0" applyAlignment="0" applyProtection="0">
      <alignment vertical="center"/>
    </xf>
    <xf numFmtId="0" fontId="127" fillId="42" borderId="108" applyNumberFormat="0" applyAlignment="0" applyProtection="0">
      <alignment vertical="center"/>
    </xf>
    <xf numFmtId="0" fontId="44" fillId="58" borderId="107" applyNumberFormat="0" applyFon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00" fillId="0" borderId="106" applyNumberFormat="0" applyFill="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13" fillId="58" borderId="107" applyNumberFormat="0" applyFont="0" applyAlignment="0" applyProtection="0">
      <alignment vertical="center"/>
    </xf>
    <xf numFmtId="0" fontId="101" fillId="0" borderId="109" applyNumberFormat="0" applyFill="0" applyAlignment="0" applyProtection="0">
      <alignment vertical="center"/>
    </xf>
    <xf numFmtId="0" fontId="126" fillId="55" borderId="95" applyNumberFormat="0" applyAlignment="0" applyProtection="0">
      <alignment vertical="center"/>
    </xf>
    <xf numFmtId="0" fontId="126" fillId="55" borderId="103" applyNumberFormat="0" applyAlignment="0" applyProtection="0">
      <alignment vertical="center"/>
    </xf>
    <xf numFmtId="0" fontId="93" fillId="58" borderId="107" applyNumberFormat="0" applyFon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13" fillId="58" borderId="104"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104" applyNumberFormat="0" applyFont="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93" fillId="58" borderId="99" applyNumberFormat="0" applyFont="0" applyAlignment="0" applyProtection="0">
      <alignment vertical="center"/>
    </xf>
    <xf numFmtId="0" fontId="86" fillId="55" borderId="100" applyNumberFormat="0" applyAlignment="0" applyProtection="0">
      <alignment vertical="center"/>
    </xf>
    <xf numFmtId="0" fontId="100" fillId="0" borderId="109" applyNumberFormat="0" applyFill="0" applyAlignment="0" applyProtection="0">
      <alignment vertical="center"/>
    </xf>
    <xf numFmtId="0" fontId="86" fillId="55" borderId="100" applyNumberFormat="0" applyAlignment="0" applyProtection="0">
      <alignment vertical="center"/>
    </xf>
    <xf numFmtId="0" fontId="115" fillId="55" borderId="102" applyNumberForma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7" fillId="42" borderId="100" applyNumberForma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15" fillId="55" borderId="102" applyNumberFormat="0" applyAlignment="0" applyProtection="0">
      <alignment vertical="center"/>
    </xf>
    <xf numFmtId="0" fontId="102" fillId="42" borderId="100" applyNumberFormat="0" applyAlignment="0" applyProtection="0">
      <alignment vertical="center"/>
    </xf>
    <xf numFmtId="0" fontId="128" fillId="55" borderId="110"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22" fillId="58" borderId="99" applyNumberFormat="0" applyFont="0" applyAlignment="0" applyProtection="0">
      <alignment vertical="center"/>
    </xf>
    <xf numFmtId="0" fontId="128" fillId="55" borderId="105"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4" fillId="58" borderId="104" applyNumberFormat="0" applyFon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109" applyNumberFormat="0" applyFill="0" applyAlignment="0" applyProtection="0">
      <alignment vertical="center"/>
    </xf>
    <xf numFmtId="0" fontId="87"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27" fillId="42" borderId="103"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44" fillId="58" borderId="104" applyNumberFormat="0" applyFon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22" fillId="58" borderId="107"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22" fillId="58" borderId="104" applyNumberFormat="0" applyFon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86" fillId="55" borderId="100" applyNumberFormat="0" applyAlignment="0" applyProtection="0">
      <alignment vertical="center"/>
    </xf>
    <xf numFmtId="0" fontId="86" fillId="55" borderId="100" applyNumberFormat="0" applyAlignment="0" applyProtection="0">
      <alignment vertical="center"/>
    </xf>
    <xf numFmtId="0" fontId="126" fillId="55" borderId="103"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103"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115" fillId="55" borderId="10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6" applyNumberFormat="0" applyFill="0" applyAlignment="0" applyProtection="0">
      <alignment vertical="center"/>
    </xf>
    <xf numFmtId="0" fontId="102" fillId="42" borderId="100" applyNumberFormat="0" applyAlignment="0" applyProtection="0">
      <alignment vertical="center"/>
    </xf>
    <xf numFmtId="0" fontId="126" fillId="55" borderId="103" applyNumberForma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86" fillId="55" borderId="100"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22" fillId="58" borderId="107" applyNumberFormat="0" applyFont="0" applyAlignment="0" applyProtection="0">
      <alignment vertical="center"/>
    </xf>
    <xf numFmtId="0" fontId="115" fillId="55" borderId="105" applyNumberFormat="0" applyAlignment="0" applyProtection="0">
      <alignment vertical="center"/>
    </xf>
    <xf numFmtId="0" fontId="115" fillId="55" borderId="102" applyNumberFormat="0" applyAlignment="0" applyProtection="0">
      <alignment vertical="center"/>
    </xf>
    <xf numFmtId="0" fontId="43" fillId="58" borderId="99" applyNumberFormat="0" applyFont="0" applyAlignment="0" applyProtection="0">
      <alignment vertical="center"/>
    </xf>
    <xf numFmtId="0" fontId="100" fillId="0" borderId="101" applyNumberFormat="0" applyFill="0" applyAlignment="0" applyProtection="0">
      <alignment vertical="center"/>
    </xf>
    <xf numFmtId="0" fontId="125" fillId="0" borderId="106" applyNumberFormat="0" applyFill="0" applyAlignment="0" applyProtection="0">
      <alignment vertical="center"/>
    </xf>
    <xf numFmtId="0" fontId="87" fillId="55" borderId="100" applyNumberFormat="0" applyAlignment="0" applyProtection="0">
      <alignment vertical="center"/>
    </xf>
    <xf numFmtId="0" fontId="113" fillId="58" borderId="104" applyNumberFormat="0" applyFont="0" applyAlignment="0" applyProtection="0">
      <alignment vertical="center"/>
    </xf>
    <xf numFmtId="0" fontId="43" fillId="58" borderId="99" applyNumberFormat="0" applyFon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126" fillId="55" borderId="10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102" fillId="42" borderId="10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26" fillId="55" borderId="100" applyNumberFormat="0" applyAlignment="0" applyProtection="0">
      <alignment vertical="center"/>
    </xf>
    <xf numFmtId="0" fontId="128" fillId="55" borderId="102" applyNumberFormat="0" applyAlignment="0" applyProtection="0">
      <alignment vertical="center"/>
    </xf>
    <xf numFmtId="0" fontId="102" fillId="42" borderId="100"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100" fillId="0" borderId="106"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5" fillId="55" borderId="105" applyNumberFormat="0" applyAlignment="0" applyProtection="0">
      <alignment vertical="center"/>
    </xf>
    <xf numFmtId="0" fontId="128" fillId="55" borderId="10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15" fillId="55" borderId="93" applyNumberFormat="0" applyAlignment="0" applyProtection="0">
      <alignment vertical="center"/>
    </xf>
    <xf numFmtId="0" fontId="126" fillId="55" borderId="108" applyNumberFormat="0" applyAlignment="0" applyProtection="0">
      <alignment vertical="center"/>
    </xf>
    <xf numFmtId="0" fontId="30" fillId="0" borderId="98">
      <alignment horizontal="left" vertical="center"/>
    </xf>
    <xf numFmtId="0" fontId="86" fillId="55" borderId="95"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02" fillId="42" borderId="100" applyNumberFormat="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95"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22" fillId="58" borderId="104" applyNumberFormat="0" applyFont="0" applyAlignment="0" applyProtection="0">
      <alignment vertical="center"/>
    </xf>
    <xf numFmtId="0" fontId="100" fillId="0" borderId="106" applyNumberFormat="0" applyFill="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99"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0" applyNumberFormat="0" applyAlignment="0" applyProtection="0">
      <alignment vertical="center"/>
    </xf>
    <xf numFmtId="0" fontId="115" fillId="55" borderId="102" applyNumberForma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7" fillId="42" borderId="100" applyNumberForma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0" fillId="0" borderId="101" applyNumberFormat="0" applyFill="0" applyAlignment="0" applyProtection="0">
      <alignment vertical="center"/>
    </xf>
    <xf numFmtId="0" fontId="102" fillId="42" borderId="100"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22" fillId="58" borderId="99"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44" fillId="58" borderId="104"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15" fillId="55" borderId="105"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87" fillId="55" borderId="108" applyNumberFormat="0" applyAlignment="0" applyProtection="0">
      <alignment vertical="center"/>
    </xf>
    <xf numFmtId="0" fontId="128" fillId="55" borderId="110"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22" fillId="58" borderId="104" applyNumberFormat="0" applyFon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16" fillId="55" borderId="110"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8" fillId="55" borderId="105" applyNumberFormat="0" applyAlignment="0" applyProtection="0">
      <alignment vertical="center"/>
    </xf>
    <xf numFmtId="0" fontId="126" fillId="55" borderId="103" applyNumberFormat="0" applyAlignment="0" applyProtection="0">
      <alignment vertical="center"/>
    </xf>
    <xf numFmtId="0" fontId="100" fillId="0" borderId="106" applyNumberFormat="0" applyFill="0" applyAlignment="0" applyProtection="0">
      <alignment vertical="center"/>
    </xf>
    <xf numFmtId="0" fontId="101"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2" fillId="42" borderId="103" applyNumberFormat="0" applyAlignment="0" applyProtection="0">
      <alignment vertical="center"/>
    </xf>
    <xf numFmtId="0" fontId="128" fillId="55" borderId="105" applyNumberFormat="0" applyAlignment="0" applyProtection="0">
      <alignment vertical="center"/>
    </xf>
    <xf numFmtId="0" fontId="103"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02" applyNumberFormat="0" applyAlignment="0" applyProtection="0">
      <alignment vertical="center"/>
    </xf>
    <xf numFmtId="0" fontId="93" fillId="58" borderId="99" applyNumberFormat="0" applyFon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43" fillId="58" borderId="99" applyNumberFormat="0" applyFont="0" applyAlignment="0" applyProtection="0">
      <alignment vertical="center"/>
    </xf>
    <xf numFmtId="0" fontId="86" fillId="55" borderId="100"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27" fillId="42" borderId="103" applyNumberFormat="0" applyAlignment="0" applyProtection="0">
      <alignment vertical="center"/>
    </xf>
    <xf numFmtId="0" fontId="93" fillId="58" borderId="107"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103"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25" fillId="0" borderId="101"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126" fillId="55" borderId="100" applyNumberForma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43" fillId="58" borderId="99" applyNumberFormat="0" applyFont="0" applyAlignment="0" applyProtection="0">
      <alignment vertical="center"/>
    </xf>
    <xf numFmtId="0" fontId="86" fillId="55" borderId="103" applyNumberFormat="0" applyAlignment="0" applyProtection="0">
      <alignment vertical="center"/>
    </xf>
    <xf numFmtId="0" fontId="22" fillId="58" borderId="107" applyNumberFormat="0" applyFon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15" fillId="55" borderId="102" applyNumberFormat="0" applyAlignment="0" applyProtection="0">
      <alignment vertical="center"/>
    </xf>
    <xf numFmtId="0" fontId="86" fillId="55" borderId="103" applyNumberFormat="0" applyAlignment="0" applyProtection="0">
      <alignment vertical="center"/>
    </xf>
    <xf numFmtId="0" fontId="44" fillId="58" borderId="99" applyNumberFormat="0" applyFont="0" applyAlignment="0" applyProtection="0">
      <alignment vertical="center"/>
    </xf>
    <xf numFmtId="0" fontId="100" fillId="0" borderId="101" applyNumberFormat="0" applyFill="0" applyAlignment="0" applyProtection="0">
      <alignment vertical="center"/>
    </xf>
    <xf numFmtId="0" fontId="86" fillId="55" borderId="100" applyNumberForma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7" fillId="55" borderId="103"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26" fillId="55" borderId="10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22" fillId="58" borderId="107" applyNumberFormat="0" applyFont="0" applyAlignment="0" applyProtection="0">
      <alignment vertical="center"/>
    </xf>
    <xf numFmtId="0" fontId="102" fillId="42" borderId="100" applyNumberForma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0" applyNumberFormat="0" applyAlignment="0" applyProtection="0">
      <alignment vertical="center"/>
    </xf>
    <xf numFmtId="0" fontId="128" fillId="55" borderId="102" applyNumberFormat="0" applyAlignment="0" applyProtection="0">
      <alignment vertical="center"/>
    </xf>
    <xf numFmtId="0" fontId="102" fillId="42" borderId="100" applyNumberForma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3" fillId="42" borderId="108"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103" fillId="42" borderId="108" applyNumberFormat="0" applyAlignment="0" applyProtection="0">
      <alignment vertical="center"/>
    </xf>
    <xf numFmtId="0" fontId="126" fillId="55" borderId="108"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2" fillId="42" borderId="103" applyNumberFormat="0" applyAlignment="0" applyProtection="0">
      <alignment vertical="center"/>
    </xf>
    <xf numFmtId="0" fontId="100" fillId="0" borderId="106" applyNumberFormat="0" applyFill="0" applyAlignment="0" applyProtection="0">
      <alignment vertical="center"/>
    </xf>
    <xf numFmtId="0" fontId="103"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86" fillId="55" borderId="103" applyNumberForma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125" fillId="0" borderId="106" applyNumberFormat="0" applyFill="0" applyAlignment="0" applyProtection="0">
      <alignment vertical="center"/>
    </xf>
    <xf numFmtId="0" fontId="126" fillId="55" borderId="103" applyNumberFormat="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22" fillId="58" borderId="104" applyNumberFormat="0" applyFon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95"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10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4" applyNumberFormat="0" applyFont="0" applyAlignment="0" applyProtection="0">
      <alignment vertical="center"/>
    </xf>
    <xf numFmtId="0" fontId="43" fillId="58" borderId="104" applyNumberFormat="0" applyFon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01" fillId="0" borderId="106" applyNumberFormat="0" applyFill="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5" fillId="0" borderId="101" applyNumberFormat="0" applyFill="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8" fillId="55" borderId="102" applyNumberForma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43" fillId="58" borderId="99" applyNumberFormat="0" applyFon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13" fillId="58" borderId="104" applyNumberFormat="0" applyFont="0" applyAlignment="0" applyProtection="0">
      <alignment vertical="center"/>
    </xf>
    <xf numFmtId="0" fontId="113" fillId="58" borderId="107" applyNumberFormat="0" applyFon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7" fillId="55" borderId="103" applyNumberFormat="0" applyAlignment="0" applyProtection="0">
      <alignment vertical="center"/>
    </xf>
    <xf numFmtId="0" fontId="43" fillId="58" borderId="104" applyNumberFormat="0" applyFon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104" applyNumberFormat="0" applyFon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93" fillId="58" borderId="99" applyNumberFormat="0" applyFont="0" applyAlignment="0" applyProtection="0">
      <alignment vertical="center"/>
    </xf>
    <xf numFmtId="0" fontId="86" fillId="55" borderId="100"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86" fillId="55" borderId="100" applyNumberFormat="0" applyAlignment="0" applyProtection="0">
      <alignment vertical="center"/>
    </xf>
    <xf numFmtId="0" fontId="115" fillId="55" borderId="102" applyNumberFormat="0" applyAlignment="0" applyProtection="0">
      <alignment vertical="center"/>
    </xf>
    <xf numFmtId="0" fontId="12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7" fillId="42" borderId="100" applyNumberForma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102" fillId="42" borderId="100"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99" applyNumberFormat="0" applyFont="0" applyAlignment="0" applyProtection="0">
      <alignment vertical="center"/>
    </xf>
    <xf numFmtId="0" fontId="93" fillId="58" borderId="104" applyNumberFormat="0" applyFon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95"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22" fillId="58" borderId="107"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87" fillId="55" borderId="108"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93" fillId="58" borderId="104" applyNumberFormat="0" applyFon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5" fillId="55" borderId="102" applyNumberFormat="0" applyAlignment="0" applyProtection="0">
      <alignment vertical="center"/>
    </xf>
    <xf numFmtId="0" fontId="113" fillId="58" borderId="99" applyNumberFormat="0" applyFont="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100" fillId="0" borderId="106" applyNumberFormat="0" applyFill="0" applyAlignment="0" applyProtection="0">
      <alignment vertical="center"/>
    </xf>
    <xf numFmtId="0" fontId="126" fillId="55" borderId="103"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13" fillId="58" borderId="107" applyNumberFormat="0" applyFon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86" fillId="55" borderId="100" applyNumberFormat="0" applyAlignment="0" applyProtection="0">
      <alignment vertical="center"/>
    </xf>
    <xf numFmtId="0" fontId="126" fillId="55" borderId="100" applyNumberFormat="0" applyAlignment="0" applyProtection="0">
      <alignment vertical="center"/>
    </xf>
    <xf numFmtId="0" fontId="86" fillId="55" borderId="103" applyNumberFormat="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43" fillId="58" borderId="107" applyNumberFormat="0" applyFont="0" applyAlignment="0" applyProtection="0">
      <alignment vertical="center"/>
    </xf>
    <xf numFmtId="0" fontId="125" fillId="0" borderId="106" applyNumberFormat="0" applyFill="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87" fillId="55" borderId="103" applyNumberFormat="0" applyAlignment="0" applyProtection="0">
      <alignment vertical="center"/>
    </xf>
    <xf numFmtId="0" fontId="86" fillId="55" borderId="108" applyNumberFormat="0" applyAlignment="0" applyProtection="0">
      <alignment vertical="center"/>
    </xf>
    <xf numFmtId="0" fontId="115" fillId="55" borderId="102"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102" fillId="42" borderId="100" applyNumberFormat="0" applyAlignment="0" applyProtection="0">
      <alignment vertical="center"/>
    </xf>
    <xf numFmtId="0" fontId="43" fillId="58" borderId="104" applyNumberFormat="0" applyFon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95" applyNumberFormat="0" applyAlignment="0" applyProtection="0">
      <alignment vertical="center"/>
    </xf>
    <xf numFmtId="0" fontId="115" fillId="55" borderId="110" applyNumberFormat="0" applyAlignment="0" applyProtection="0">
      <alignment vertical="center"/>
    </xf>
    <xf numFmtId="0" fontId="102" fillId="42" borderId="95"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113" fillId="58" borderId="99" applyNumberFormat="0" applyFont="0" applyAlignment="0" applyProtection="0">
      <alignment vertical="center"/>
    </xf>
    <xf numFmtId="0" fontId="43" fillId="58" borderId="99" applyNumberFormat="0" applyFont="0" applyAlignment="0" applyProtection="0">
      <alignment vertical="center"/>
    </xf>
    <xf numFmtId="0" fontId="100" fillId="0" borderId="101" applyNumberFormat="0" applyFill="0" applyAlignment="0" applyProtection="0">
      <alignment vertical="center"/>
    </xf>
    <xf numFmtId="0" fontId="86" fillId="55" borderId="100" applyNumberFormat="0" applyAlignment="0" applyProtection="0">
      <alignment vertical="center"/>
    </xf>
    <xf numFmtId="0" fontId="93" fillId="58" borderId="104" applyNumberFormat="0" applyFont="0" applyAlignment="0" applyProtection="0">
      <alignment vertical="center"/>
    </xf>
    <xf numFmtId="0" fontId="22" fillId="58" borderId="99"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26" fillId="55" borderId="10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43" fillId="58" borderId="107" applyNumberFormat="0" applyFont="0" applyAlignment="0" applyProtection="0">
      <alignment vertical="center"/>
    </xf>
    <xf numFmtId="0" fontId="102" fillId="42" borderId="100" applyNumberForma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43" fillId="58" borderId="104" applyNumberFormat="0" applyFont="0" applyAlignment="0" applyProtection="0">
      <alignment vertical="center"/>
    </xf>
    <xf numFmtId="0" fontId="128" fillId="55" borderId="105"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0" applyNumberFormat="0" applyAlignment="0" applyProtection="0">
      <alignment vertical="center"/>
    </xf>
    <xf numFmtId="0" fontId="128" fillId="55" borderId="102" applyNumberFormat="0" applyAlignment="0" applyProtection="0">
      <alignment vertical="center"/>
    </xf>
    <xf numFmtId="0" fontId="102" fillId="42" borderId="100"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100" fillId="0" borderId="106"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128" fillId="55" borderId="105" applyNumberFormat="0" applyAlignment="0" applyProtection="0">
      <alignment vertical="center"/>
    </xf>
    <xf numFmtId="0" fontId="113" fillId="58" borderId="107" applyNumberFormat="0" applyFont="0" applyAlignment="0" applyProtection="0">
      <alignment vertical="center"/>
    </xf>
    <xf numFmtId="0" fontId="115" fillId="55" borderId="105" applyNumberFormat="0" applyAlignment="0" applyProtection="0">
      <alignment vertical="center"/>
    </xf>
    <xf numFmtId="0" fontId="126" fillId="55" borderId="100" applyNumberFormat="0" applyAlignment="0" applyProtection="0">
      <alignment vertical="center"/>
    </xf>
    <xf numFmtId="0" fontId="116" fillId="55" borderId="102" applyNumberFormat="0" applyAlignment="0" applyProtection="0">
      <alignment vertical="center"/>
    </xf>
    <xf numFmtId="0" fontId="113" fillId="58" borderId="99" applyNumberFormat="0" applyFon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43" fillId="58" borderId="99" applyNumberFormat="0" applyFon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126" fillId="55" borderId="100" applyNumberFormat="0" applyAlignment="0" applyProtection="0">
      <alignment vertical="center"/>
    </xf>
    <xf numFmtId="0" fontId="102" fillId="42" borderId="100" applyNumberFormat="0" applyAlignment="0" applyProtection="0">
      <alignment vertical="center"/>
    </xf>
    <xf numFmtId="0" fontId="125" fillId="0" borderId="106" applyNumberFormat="0" applyFill="0" applyAlignment="0" applyProtection="0">
      <alignment vertical="center"/>
    </xf>
    <xf numFmtId="0" fontId="22" fillId="58" borderId="104" applyNumberFormat="0" applyFon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0" fillId="0" borderId="106" applyNumberFormat="0" applyFill="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95" applyNumberFormat="0" applyAlignment="0" applyProtection="0">
      <alignment vertical="center"/>
    </xf>
    <xf numFmtId="0" fontId="43" fillId="58" borderId="104" applyNumberFormat="0" applyFont="0" applyAlignment="0" applyProtection="0">
      <alignment vertical="center"/>
    </xf>
    <xf numFmtId="0" fontId="101" fillId="0" borderId="106" applyNumberFormat="0" applyFill="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87" fillId="55" borderId="103"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3" fillId="58" borderId="99"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0" applyNumberFormat="0" applyAlignment="0" applyProtection="0">
      <alignment vertical="center"/>
    </xf>
    <xf numFmtId="0" fontId="115" fillId="55" borderId="102" applyNumberFormat="0" applyAlignment="0" applyProtection="0">
      <alignment vertical="center"/>
    </xf>
    <xf numFmtId="0" fontId="12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100" fillId="0" borderId="101" applyNumberFormat="0" applyFill="0" applyAlignment="0" applyProtection="0">
      <alignment vertical="center"/>
    </xf>
    <xf numFmtId="0" fontId="127" fillId="42" borderId="100" applyNumberForma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86" fillId="55" borderId="100" applyNumberFormat="0" applyAlignment="0" applyProtection="0">
      <alignment vertical="center"/>
    </xf>
    <xf numFmtId="0" fontId="100" fillId="0" borderId="101" applyNumberFormat="0" applyFill="0" applyAlignment="0" applyProtection="0">
      <alignment vertical="center"/>
    </xf>
    <xf numFmtId="0" fontId="102" fillId="42" borderId="100"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22" fillId="58" borderId="99" applyNumberFormat="0" applyFon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22" fillId="58" borderId="104" applyNumberFormat="0" applyFon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22" fillId="58" borderId="107" applyNumberFormat="0" applyFont="0" applyAlignment="0" applyProtection="0">
      <alignment vertical="center"/>
    </xf>
    <xf numFmtId="0" fontId="115" fillId="55" borderId="105"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4"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16" fillId="55" borderId="110"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6" fillId="55" borderId="102" applyNumberFormat="0" applyAlignment="0" applyProtection="0">
      <alignment vertical="center"/>
    </xf>
    <xf numFmtId="0" fontId="93" fillId="58" borderId="99" applyNumberFormat="0" applyFont="0" applyAlignment="0" applyProtection="0">
      <alignment vertical="center"/>
    </xf>
    <xf numFmtId="0" fontId="127" fillId="42" borderId="100" applyNumberFormat="0" applyAlignment="0" applyProtection="0">
      <alignment vertical="center"/>
    </xf>
    <xf numFmtId="0" fontId="43" fillId="58" borderId="99" applyNumberFormat="0" applyFont="0" applyAlignment="0" applyProtection="0">
      <alignment vertical="center"/>
    </xf>
    <xf numFmtId="0" fontId="86" fillId="55" borderId="100" applyNumberFormat="0" applyAlignment="0" applyProtection="0">
      <alignment vertical="center"/>
    </xf>
    <xf numFmtId="0" fontId="102" fillId="42" borderId="100"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44" fillId="58" borderId="107" applyNumberFormat="0" applyFon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86" fillId="55" borderId="95"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86" fillId="55" borderId="100" applyNumberFormat="0" applyAlignment="0" applyProtection="0">
      <alignment vertical="center"/>
    </xf>
    <xf numFmtId="0" fontId="113" fillId="58" borderId="99" applyNumberFormat="0" applyFont="0" applyAlignment="0" applyProtection="0">
      <alignment vertical="center"/>
    </xf>
    <xf numFmtId="0" fontId="102" fillId="42" borderId="100" applyNumberFormat="0" applyAlignment="0" applyProtection="0">
      <alignment vertical="center"/>
    </xf>
    <xf numFmtId="0" fontId="43" fillId="58" borderId="99" applyNumberFormat="0" applyFont="0" applyAlignment="0" applyProtection="0">
      <alignment vertical="center"/>
    </xf>
    <xf numFmtId="0" fontId="126" fillId="55" borderId="100"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22" fillId="58" borderId="107" applyNumberFormat="0" applyFon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93" fillId="58" borderId="104" applyNumberFormat="0" applyFont="0" applyAlignment="0" applyProtection="0">
      <alignment vertical="center"/>
    </xf>
    <xf numFmtId="0" fontId="126" fillId="55" borderId="108" applyNumberFormat="0" applyAlignment="0" applyProtection="0">
      <alignment vertical="center"/>
    </xf>
    <xf numFmtId="0" fontId="125" fillId="0" borderId="101"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26" fillId="55" borderId="100" applyNumberFormat="0" applyAlignment="0" applyProtection="0">
      <alignment vertical="center"/>
    </xf>
    <xf numFmtId="0" fontId="100" fillId="0" borderId="101" applyNumberFormat="0" applyFill="0" applyAlignment="0" applyProtection="0">
      <alignment vertical="center"/>
    </xf>
    <xf numFmtId="0" fontId="113" fillId="58" borderId="99" applyNumberFormat="0" applyFont="0" applyAlignment="0" applyProtection="0">
      <alignment vertical="center"/>
    </xf>
    <xf numFmtId="0" fontId="113" fillId="58" borderId="107" applyNumberFormat="0" applyFont="0" applyAlignment="0" applyProtection="0">
      <alignment vertical="center"/>
    </xf>
    <xf numFmtId="0" fontId="43" fillId="58" borderId="99" applyNumberFormat="0" applyFont="0" applyAlignment="0" applyProtection="0">
      <alignment vertical="center"/>
    </xf>
    <xf numFmtId="0" fontId="126" fillId="55" borderId="103" applyNumberForma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3" applyNumberFormat="0" applyAlignment="0" applyProtection="0">
      <alignment vertical="center"/>
    </xf>
    <xf numFmtId="0" fontId="100" fillId="0" borderId="106" applyNumberFormat="0" applyFill="0" applyAlignment="0" applyProtection="0">
      <alignment vertical="center"/>
    </xf>
    <xf numFmtId="0" fontId="115" fillId="55" borderId="102" applyNumberFormat="0" applyAlignment="0" applyProtection="0">
      <alignment vertical="center"/>
    </xf>
    <xf numFmtId="0" fontId="43" fillId="58" borderId="99" applyNumberFormat="0" applyFont="0" applyAlignment="0" applyProtection="0">
      <alignment vertical="center"/>
    </xf>
    <xf numFmtId="0" fontId="100" fillId="0" borderId="101" applyNumberFormat="0" applyFill="0" applyAlignment="0" applyProtection="0">
      <alignment vertical="center"/>
    </xf>
    <xf numFmtId="0" fontId="126" fillId="55" borderId="100" applyNumberFormat="0" applyAlignment="0" applyProtection="0">
      <alignment vertical="center"/>
    </xf>
    <xf numFmtId="0" fontId="43" fillId="58" borderId="104" applyNumberFormat="0" applyFon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100" fillId="0" borderId="109" applyNumberFormat="0" applyFill="0" applyAlignment="0" applyProtection="0">
      <alignment vertical="center"/>
    </xf>
    <xf numFmtId="0" fontId="127" fillId="42"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03" fillId="42" borderId="103" applyNumberFormat="0" applyAlignment="0" applyProtection="0">
      <alignment vertical="center"/>
    </xf>
    <xf numFmtId="0" fontId="126" fillId="55" borderId="100" applyNumberFormat="0" applyAlignment="0" applyProtection="0">
      <alignment vertical="center"/>
    </xf>
    <xf numFmtId="0" fontId="87" fillId="55" borderId="108" applyNumberForma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02" fillId="42" borderId="100" applyNumberFormat="0" applyAlignment="0" applyProtection="0">
      <alignment vertical="center"/>
    </xf>
    <xf numFmtId="0" fontId="127" fillId="42" borderId="108" applyNumberForma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0" applyNumberFormat="0" applyAlignment="0" applyProtection="0">
      <alignment vertical="center"/>
    </xf>
    <xf numFmtId="0" fontId="128" fillId="55" borderId="102" applyNumberFormat="0" applyAlignment="0" applyProtection="0">
      <alignment vertical="center"/>
    </xf>
    <xf numFmtId="0" fontId="102" fillId="42" borderId="100" applyNumberFormat="0" applyAlignment="0" applyProtection="0">
      <alignment vertical="center"/>
    </xf>
    <xf numFmtId="0" fontId="22" fillId="58" borderId="107" applyNumberFormat="0" applyFont="0" applyAlignment="0" applyProtection="0">
      <alignment vertical="center"/>
    </xf>
    <xf numFmtId="0" fontId="126" fillId="55" borderId="103" applyNumberForma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0"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6"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16"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1"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3"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0" fillId="0" borderId="96" applyNumberFormat="0" applyFill="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16" fillId="55" borderId="97"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4"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9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1" fillId="0" borderId="96" applyNumberFormat="0" applyFill="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22" fillId="58" borderId="94" applyNumberFormat="0" applyFon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1"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3"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03" fillId="42"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43" fillId="58" borderId="107" applyNumberFormat="0" applyFon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113" fillId="58" borderId="104" applyNumberFormat="0" applyFon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28" fillId="55" borderId="93" applyNumberFormat="0" applyAlignment="0" applyProtection="0">
      <alignment vertical="center"/>
    </xf>
    <xf numFmtId="0" fontId="113" fillId="58" borderId="104" applyNumberFormat="0" applyFont="0" applyAlignment="0" applyProtection="0">
      <alignment vertical="center"/>
    </xf>
    <xf numFmtId="0" fontId="103" fillId="42" borderId="103"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4"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7" fillId="42" borderId="103" applyNumberFormat="0" applyAlignment="0" applyProtection="0">
      <alignment vertical="center"/>
    </xf>
    <xf numFmtId="0" fontId="128" fillId="55" borderId="105" applyNumberFormat="0" applyAlignment="0" applyProtection="0">
      <alignment vertical="center"/>
    </xf>
    <xf numFmtId="0" fontId="127" fillId="42" borderId="103" applyNumberFormat="0" applyAlignment="0" applyProtection="0">
      <alignment vertical="center"/>
    </xf>
    <xf numFmtId="0" fontId="43" fillId="58" borderId="104" applyNumberFormat="0" applyFon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22"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86" fillId="55" borderId="103"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26" fillId="55" borderId="103" applyNumberFormat="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22" fillId="58" borderId="104" applyNumberFormat="0" applyFont="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6"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115" fillId="55" borderId="93"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82" applyNumberFormat="0" applyAlignment="0" applyProtection="0">
      <alignment vertical="center"/>
    </xf>
    <xf numFmtId="0" fontId="93" fillId="58" borderId="107"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6"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44"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30" fillId="0" borderId="98">
      <alignment horizontal="lef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44"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1" fillId="0" borderId="96" applyNumberFormat="0" applyFill="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1"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93" fillId="58" borderId="94" applyNumberFormat="0" applyFont="0" applyAlignment="0" applyProtection="0">
      <alignment vertical="center"/>
    </xf>
    <xf numFmtId="0" fontId="116"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6" fillId="55" borderId="97" applyNumberFormat="0" applyAlignment="0" applyProtection="0">
      <alignment vertical="center"/>
    </xf>
    <xf numFmtId="0" fontId="22" fillId="58" borderId="94" applyNumberFormat="0" applyFont="0" applyAlignment="0" applyProtection="0">
      <alignment vertical="center"/>
    </xf>
    <xf numFmtId="0" fontId="93" fillId="58" borderId="94" applyNumberFormat="0" applyFont="0" applyAlignment="0" applyProtection="0">
      <alignment vertical="center"/>
    </xf>
    <xf numFmtId="0" fontId="22" fillId="58" borderId="94" applyNumberFormat="0" applyFon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1" fillId="0" borderId="96" applyNumberFormat="0" applyFill="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30" fillId="0" borderId="98">
      <alignment horizontal="lef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16" fillId="55" borderId="97"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7" fillId="42"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1"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8"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4" fillId="58" borderId="94" applyNumberFormat="0" applyFon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87" fillId="55" borderId="95" applyNumberForma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93" fillId="58" borderId="94" applyNumberFormat="0" applyFon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6" fillId="55" borderId="97"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7"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6" fillId="55" borderId="97"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44"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01" fillId="0" borderId="96" applyNumberFormat="0" applyFill="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01"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25" fillId="0" borderId="96" applyNumberFormat="0" applyFill="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4"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1" fillId="0" borderId="96" applyNumberFormat="0" applyFill="0" applyAlignment="0" applyProtection="0">
      <alignment vertical="center"/>
    </xf>
    <xf numFmtId="0" fontId="44"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25" fillId="0" borderId="96" applyNumberFormat="0" applyFill="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1"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6" fillId="55" borderId="97"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87" fillId="55"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00" fillId="0" borderId="96" applyNumberFormat="0" applyFill="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5" fillId="0" borderId="96" applyNumberFormat="0" applyFill="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1" fillId="0" borderId="96" applyNumberFormat="0" applyFill="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44" fillId="58" borderId="94" applyNumberFormat="0" applyFon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25" fillId="0" borderId="96" applyNumberFormat="0" applyFill="0" applyAlignment="0" applyProtection="0">
      <alignment vertical="center"/>
    </xf>
    <xf numFmtId="0" fontId="127" fillId="42" borderId="95"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6"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7"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8" fillId="55" borderId="97" applyNumberFormat="0" applyAlignment="0" applyProtection="0">
      <alignment vertical="center"/>
    </xf>
    <xf numFmtId="0" fontId="44"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7"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01" fillId="0" borderId="96" applyNumberFormat="0" applyFill="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9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16" fillId="55" borderId="97" applyNumberForma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6"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16" fillId="55" borderId="97"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103"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1" fillId="0" borderId="96" applyNumberFormat="0" applyFill="0" applyAlignment="0" applyProtection="0">
      <alignment vertical="center"/>
    </xf>
    <xf numFmtId="0" fontId="86" fillId="55"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27" fillId="42" borderId="95" applyNumberForma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125" fillId="0" borderId="96" applyNumberFormat="0" applyFill="0" applyAlignment="0" applyProtection="0">
      <alignment vertical="center"/>
    </xf>
    <xf numFmtId="0" fontId="100" fillId="0" borderId="96" applyNumberFormat="0" applyFill="0" applyAlignment="0" applyProtection="0">
      <alignment vertical="center"/>
    </xf>
    <xf numFmtId="0" fontId="22" fillId="58" borderId="94" applyNumberFormat="0" applyFont="0" applyAlignment="0" applyProtection="0">
      <alignment vertical="center"/>
    </xf>
    <xf numFmtId="0" fontId="128" fillId="55" borderId="97" applyNumberFormat="0" applyAlignment="0" applyProtection="0">
      <alignment vertical="center"/>
    </xf>
    <xf numFmtId="0" fontId="128"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01" fillId="0" borderId="96" applyNumberFormat="0" applyFill="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30" fillId="0" borderId="98">
      <alignment horizontal="lef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128" fillId="55" borderId="97" applyNumberFormat="0" applyAlignment="0" applyProtection="0">
      <alignment vertical="center"/>
    </xf>
    <xf numFmtId="0" fontId="43" fillId="58" borderId="94" applyNumberFormat="0" applyFon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93" fillId="58" borderId="94" applyNumberFormat="0" applyFon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8" fillId="55" borderId="97"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9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8" fillId="55" borderId="97" applyNumberForma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5" fillId="0" borderId="96" applyNumberFormat="0" applyFill="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16" fillId="55" borderId="97" applyNumberFormat="0" applyAlignment="0" applyProtection="0">
      <alignment vertical="center"/>
    </xf>
    <xf numFmtId="0" fontId="86" fillId="55" borderId="95" applyNumberFormat="0" applyAlignment="0" applyProtection="0">
      <alignment vertical="center"/>
    </xf>
    <xf numFmtId="0" fontId="125" fillId="0" borderId="96" applyNumberFormat="0" applyFill="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15" fillId="55" borderId="97"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86" fillId="55" borderId="95"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00" fillId="0" borderId="96" applyNumberFormat="0" applyFill="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15" fillId="55" borderId="97" applyNumberFormat="0" applyAlignment="0" applyProtection="0">
      <alignment vertical="center"/>
    </xf>
    <xf numFmtId="0" fontId="125" fillId="0" borderId="96" applyNumberFormat="0" applyFill="0" applyAlignment="0" applyProtection="0">
      <alignment vertical="center"/>
    </xf>
    <xf numFmtId="0" fontId="86" fillId="55" borderId="95" applyNumberFormat="0" applyAlignment="0" applyProtection="0">
      <alignment vertical="center"/>
    </xf>
    <xf numFmtId="0" fontId="113" fillId="58" borderId="94" applyNumberFormat="0" applyFont="0" applyAlignment="0" applyProtection="0">
      <alignment vertical="center"/>
    </xf>
    <xf numFmtId="0" fontId="125" fillId="0" borderId="96" applyNumberFormat="0" applyFill="0" applyAlignment="0" applyProtection="0">
      <alignment vertical="center"/>
    </xf>
    <xf numFmtId="0" fontId="115" fillId="55" borderId="97"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103" fillId="42" borderId="95" applyNumberForma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00" fillId="0" borderId="96" applyNumberFormat="0" applyFill="0" applyAlignment="0" applyProtection="0">
      <alignment vertical="center"/>
    </xf>
    <xf numFmtId="0" fontId="100" fillId="0" borderId="96" applyNumberFormat="0" applyFill="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02" fillId="42"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100" fillId="0" borderId="96" applyNumberFormat="0" applyFill="0" applyAlignment="0" applyProtection="0">
      <alignment vertical="center"/>
    </xf>
    <xf numFmtId="0" fontId="115" fillId="55" borderId="97" applyNumberForma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0" fillId="0" borderId="96" applyNumberFormat="0" applyFill="0" applyAlignment="0" applyProtection="0">
      <alignment vertical="center"/>
    </xf>
    <xf numFmtId="0" fontId="43" fillId="58" borderId="94" applyNumberFormat="0" applyFont="0" applyAlignment="0" applyProtection="0">
      <alignment vertical="center"/>
    </xf>
    <xf numFmtId="0" fontId="93" fillId="58" borderId="94" applyNumberFormat="0" applyFon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15" fillId="55" borderId="97" applyNumberFormat="0" applyAlignment="0" applyProtection="0">
      <alignment vertical="center"/>
    </xf>
    <xf numFmtId="0" fontId="113" fillId="58" borderId="94" applyNumberFormat="0" applyFont="0" applyAlignment="0" applyProtection="0">
      <alignment vertical="center"/>
    </xf>
    <xf numFmtId="0" fontId="126" fillId="55" borderId="95" applyNumberForma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128" fillId="55" borderId="97" applyNumberFormat="0" applyAlignment="0" applyProtection="0">
      <alignment vertical="center"/>
    </xf>
    <xf numFmtId="0" fontId="86" fillId="55" borderId="95" applyNumberFormat="0" applyAlignment="0" applyProtection="0">
      <alignment vertical="center"/>
    </xf>
    <xf numFmtId="0" fontId="103" fillId="42" borderId="95" applyNumberFormat="0" applyAlignment="0" applyProtection="0">
      <alignment vertical="center"/>
    </xf>
    <xf numFmtId="0" fontId="115" fillId="55" borderId="97" applyNumberFormat="0" applyAlignment="0" applyProtection="0">
      <alignment vertical="center"/>
    </xf>
    <xf numFmtId="0" fontId="102" fillId="42"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126" fillId="55" borderId="103" applyNumberFormat="0" applyAlignment="0" applyProtection="0">
      <alignment vertical="center"/>
    </xf>
    <xf numFmtId="0" fontId="127" fillId="42" borderId="103" applyNumberForma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3"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00" fillId="0" borderId="109" applyNumberFormat="0" applyFill="0" applyAlignment="0" applyProtection="0">
      <alignment vertical="center"/>
    </xf>
    <xf numFmtId="0" fontId="125" fillId="0" borderId="106" applyNumberFormat="0" applyFill="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0" fillId="0" borderId="106" applyNumberFormat="0" applyFill="0" applyAlignment="0" applyProtection="0">
      <alignment vertical="center"/>
    </xf>
    <xf numFmtId="0" fontId="128" fillId="55" borderId="105" applyNumberFormat="0" applyAlignment="0" applyProtection="0">
      <alignment vertical="center"/>
    </xf>
    <xf numFmtId="0" fontId="127" fillId="42" borderId="10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8" fillId="55" borderId="105"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30" fillId="0" borderId="111">
      <alignment horizontal="lef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101" fillId="0" borderId="109" applyNumberFormat="0" applyFill="0" applyAlignment="0" applyProtection="0">
      <alignment vertical="center"/>
    </xf>
    <xf numFmtId="0" fontId="101" fillId="0" borderId="109" applyNumberFormat="0" applyFill="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22" fillId="58" borderId="104"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44" fillId="58" borderId="107" applyNumberFormat="0" applyFon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22" fillId="58" borderId="104"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125" fillId="0" borderId="106" applyNumberFormat="0" applyFill="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7"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28" fillId="55" borderId="105"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1" fillId="0" borderId="109" applyNumberFormat="0" applyFill="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5" fillId="0" borderId="109" applyNumberFormat="0" applyFill="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28" fillId="55" borderId="105" applyNumberFormat="0" applyAlignment="0" applyProtection="0">
      <alignment vertical="center"/>
    </xf>
    <xf numFmtId="0" fontId="127" fillId="42" borderId="103" applyNumberFormat="0" applyAlignment="0" applyProtection="0">
      <alignment vertical="center"/>
    </xf>
    <xf numFmtId="0" fontId="100" fillId="0" borderId="106" applyNumberFormat="0" applyFill="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25" fillId="0" borderId="106" applyNumberFormat="0" applyFill="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5" fillId="0" borderId="109" applyNumberFormat="0" applyFill="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8" fillId="55" borderId="110" applyNumberForma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22" fillId="58" borderId="107"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128" fillId="55" borderId="105" applyNumberForma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00" fillId="0" borderId="109" applyNumberFormat="0" applyFill="0" applyAlignment="0" applyProtection="0">
      <alignment vertical="center"/>
    </xf>
    <xf numFmtId="0" fontId="125" fillId="0" borderId="106" applyNumberFormat="0" applyFill="0" applyAlignment="0" applyProtection="0">
      <alignment vertical="center"/>
    </xf>
    <xf numFmtId="0" fontId="43" fillId="58" borderId="10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103" applyNumberFormat="0" applyAlignment="0" applyProtection="0">
      <alignment vertical="center"/>
    </xf>
    <xf numFmtId="0" fontId="102" fillId="42" borderId="95" applyNumberFormat="0" applyAlignment="0" applyProtection="0">
      <alignment vertical="center"/>
    </xf>
    <xf numFmtId="0" fontId="126" fillId="55" borderId="103"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15" fillId="55" borderId="105" applyNumberFormat="0" applyAlignment="0" applyProtection="0">
      <alignment vertical="center"/>
    </xf>
    <xf numFmtId="0" fontId="102" fillId="42" borderId="103" applyNumberFormat="0" applyAlignment="0" applyProtection="0">
      <alignment vertical="center"/>
    </xf>
    <xf numFmtId="0" fontId="22" fillId="58" borderId="104"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22" fillId="58" borderId="107" applyNumberFormat="0" applyFont="0" applyAlignment="0" applyProtection="0">
      <alignment vertical="center"/>
    </xf>
    <xf numFmtId="0" fontId="86" fillId="55" borderId="103" applyNumberFormat="0" applyAlignment="0" applyProtection="0">
      <alignment vertical="center"/>
    </xf>
    <xf numFmtId="0" fontId="125" fillId="0" borderId="106" applyNumberFormat="0" applyFill="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7"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7"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102" fillId="42" borderId="103" applyNumberFormat="0" applyAlignment="0" applyProtection="0">
      <alignment vertical="center"/>
    </xf>
    <xf numFmtId="0" fontId="125" fillId="0" borderId="106" applyNumberFormat="0" applyFill="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5" fillId="0" borderId="109" applyNumberFormat="0" applyFill="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1" fillId="0" borderId="109" applyNumberFormat="0" applyFill="0" applyAlignment="0" applyProtection="0">
      <alignment vertical="center"/>
    </xf>
    <xf numFmtId="0" fontId="22" fillId="58" borderId="107"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125" fillId="0" borderId="109" applyNumberFormat="0" applyFill="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22" fillId="58" borderId="107" applyNumberFormat="0" applyFon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16" fillId="55" borderId="105" applyNumberFormat="0" applyAlignment="0" applyProtection="0">
      <alignment vertical="center"/>
    </xf>
    <xf numFmtId="0" fontId="86" fillId="55" borderId="103" applyNumberFormat="0" applyAlignment="0" applyProtection="0">
      <alignment vertical="center"/>
    </xf>
    <xf numFmtId="0" fontId="128" fillId="55" borderId="105" applyNumberForma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116" fillId="55" borderId="110" applyNumberFormat="0" applyAlignment="0" applyProtection="0">
      <alignment vertical="center"/>
    </xf>
    <xf numFmtId="0" fontId="126" fillId="55" borderId="103" applyNumberFormat="0" applyAlignment="0" applyProtection="0">
      <alignment vertical="center"/>
    </xf>
    <xf numFmtId="0" fontId="44" fillId="58" borderId="104" applyNumberFormat="0" applyFon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126" fillId="55" borderId="95" applyNumberForma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0" fillId="0" borderId="106" applyNumberFormat="0" applyFill="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93" fillId="58" borderId="104" applyNumberFormat="0" applyFon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108"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86" fillId="55" borderId="95" applyNumberForma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22"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02" fillId="42" borderId="103" applyNumberFormat="0" applyAlignment="0" applyProtection="0">
      <alignment vertical="center"/>
    </xf>
    <xf numFmtId="0" fontId="102" fillId="42" borderId="95"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3" fillId="42" borderId="108" applyNumberFormat="0" applyAlignment="0" applyProtection="0">
      <alignment vertical="center"/>
    </xf>
    <xf numFmtId="0" fontId="101" fillId="0" borderId="109" applyNumberFormat="0" applyFill="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26" fillId="55" borderId="103" applyNumberFormat="0" applyAlignment="0" applyProtection="0">
      <alignment vertical="center"/>
    </xf>
    <xf numFmtId="0" fontId="116"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28" fillId="55" borderId="105"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22" fillId="58" borderId="104" applyNumberFormat="0" applyFont="0" applyAlignment="0" applyProtection="0">
      <alignment vertical="center"/>
    </xf>
    <xf numFmtId="0" fontId="116" fillId="55" borderId="110" applyNumberFormat="0" applyAlignment="0" applyProtection="0">
      <alignment vertical="center"/>
    </xf>
    <xf numFmtId="0" fontId="102" fillId="42" borderId="108"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125" fillId="0" borderId="106" applyNumberFormat="0" applyFill="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7"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15" fillId="55" borderId="10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22" fillId="58" borderId="107"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43" fillId="58" borderId="104" applyNumberFormat="0" applyFont="0" applyAlignment="0" applyProtection="0">
      <alignment vertical="center"/>
    </xf>
    <xf numFmtId="0" fontId="22" fillId="58" borderId="104"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86" fillId="55" borderId="103" applyNumberFormat="0" applyAlignment="0" applyProtection="0">
      <alignment vertical="center"/>
    </xf>
    <xf numFmtId="0" fontId="128" fillId="55" borderId="105" applyNumberForma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8" applyNumberFormat="0" applyAlignment="0" applyProtection="0">
      <alignment vertical="center"/>
    </xf>
    <xf numFmtId="0" fontId="103" fillId="42" borderId="108" applyNumberForma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22" fillId="58" borderId="104" applyNumberFormat="0" applyFont="0" applyAlignment="0" applyProtection="0">
      <alignment vertical="center"/>
    </xf>
    <xf numFmtId="0" fontId="100" fillId="0" borderId="109" applyNumberFormat="0" applyFill="0" applyAlignment="0" applyProtection="0">
      <alignment vertical="center"/>
    </xf>
    <xf numFmtId="0" fontId="125" fillId="0" borderId="106" applyNumberFormat="0" applyFill="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6" fillId="55" borderId="110" applyNumberFormat="0" applyAlignment="0" applyProtection="0">
      <alignment vertical="center"/>
    </xf>
    <xf numFmtId="0" fontId="101" fillId="0" borderId="109" applyNumberFormat="0" applyFill="0" applyAlignment="0" applyProtection="0">
      <alignment vertical="center"/>
    </xf>
    <xf numFmtId="0" fontId="30" fillId="0" borderId="111">
      <alignment horizontal="left" vertical="center"/>
    </xf>
    <xf numFmtId="0" fontId="86" fillId="55" borderId="103"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00" fillId="0" borderId="106" applyNumberFormat="0" applyFill="0" applyAlignment="0" applyProtection="0">
      <alignment vertical="center"/>
    </xf>
    <xf numFmtId="0" fontId="102" fillId="42" borderId="103" applyNumberFormat="0" applyAlignment="0" applyProtection="0">
      <alignment vertical="center"/>
    </xf>
    <xf numFmtId="0" fontId="22" fillId="58" borderId="104" applyNumberFormat="0" applyFon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03"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4"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22" fillId="58" borderId="107" applyNumberFormat="0" applyFont="0" applyAlignment="0" applyProtection="0">
      <alignment vertical="center"/>
    </xf>
    <xf numFmtId="0" fontId="86" fillId="55" borderId="103" applyNumberFormat="0" applyAlignment="0" applyProtection="0">
      <alignment vertical="center"/>
    </xf>
    <xf numFmtId="0" fontId="125" fillId="0" borderId="106" applyNumberFormat="0" applyFill="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7" fillId="42" borderId="103" applyNumberFormat="0" applyAlignment="0" applyProtection="0">
      <alignment vertical="center"/>
    </xf>
    <xf numFmtId="0" fontId="43" fillId="58" borderId="104" applyNumberFormat="0" applyFon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25" fillId="0" borderId="106" applyNumberFormat="0" applyFill="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16" fillId="55" borderId="110" applyNumberFormat="0" applyAlignment="0" applyProtection="0">
      <alignment vertical="center"/>
    </xf>
    <xf numFmtId="0" fontId="102" fillId="42" borderId="108" applyNumberFormat="0" applyAlignment="0" applyProtection="0">
      <alignment vertical="center"/>
    </xf>
    <xf numFmtId="0" fontId="116" fillId="55" borderId="110" applyNumberFormat="0" applyAlignment="0" applyProtection="0">
      <alignment vertical="center"/>
    </xf>
    <xf numFmtId="0" fontId="101" fillId="0" borderId="109" applyNumberFormat="0" applyFill="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5" fillId="0" borderId="109" applyNumberFormat="0" applyFill="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115" fillId="55" borderId="105" applyNumberForma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7" fillId="42"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113" fillId="58" borderId="104" applyNumberFormat="0" applyFont="0" applyAlignment="0" applyProtection="0">
      <alignment vertical="center"/>
    </xf>
    <xf numFmtId="0" fontId="100" fillId="0" borderId="106" applyNumberFormat="0" applyFill="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16" fillId="55" borderId="110" applyNumberFormat="0" applyAlignment="0" applyProtection="0">
      <alignment vertical="center"/>
    </xf>
    <xf numFmtId="0" fontId="128" fillId="55" borderId="110" applyNumberForma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01" fillId="0" borderId="109" applyNumberFormat="0" applyFill="0" applyAlignment="0" applyProtection="0">
      <alignment vertical="center"/>
    </xf>
    <xf numFmtId="0" fontId="86" fillId="55" borderId="103"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16" fillId="55" borderId="105" applyNumberFormat="0" applyAlignment="0" applyProtection="0">
      <alignment vertical="center"/>
    </xf>
    <xf numFmtId="0" fontId="44" fillId="58" borderId="104" applyNumberFormat="0" applyFont="0" applyAlignment="0" applyProtection="0">
      <alignment vertical="center"/>
    </xf>
    <xf numFmtId="0" fontId="128" fillId="55" borderId="105" applyNumberFormat="0" applyAlignment="0" applyProtection="0">
      <alignment vertical="center"/>
    </xf>
    <xf numFmtId="0" fontId="125" fillId="0" borderId="106" applyNumberFormat="0" applyFill="0" applyAlignment="0" applyProtection="0">
      <alignment vertical="center"/>
    </xf>
    <xf numFmtId="0" fontId="86" fillId="55" borderId="108" applyNumberFormat="0" applyAlignment="0" applyProtection="0">
      <alignment vertical="center"/>
    </xf>
    <xf numFmtId="0" fontId="86" fillId="55" borderId="103" applyNumberFormat="0" applyAlignment="0" applyProtection="0">
      <alignment vertical="center"/>
    </xf>
    <xf numFmtId="0" fontId="127" fillId="42" borderId="108" applyNumberFormat="0" applyAlignment="0" applyProtection="0">
      <alignment vertical="center"/>
    </xf>
    <xf numFmtId="0" fontId="102" fillId="42" borderId="103" applyNumberFormat="0" applyAlignment="0" applyProtection="0">
      <alignment vertical="center"/>
    </xf>
    <xf numFmtId="0" fontId="100" fillId="0" borderId="109" applyNumberFormat="0" applyFill="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4" applyNumberFormat="0" applyFont="0" applyAlignment="0" applyProtection="0">
      <alignment vertical="center"/>
    </xf>
    <xf numFmtId="0" fontId="100" fillId="0" borderId="109" applyNumberFormat="0" applyFill="0" applyAlignment="0" applyProtection="0">
      <alignment vertical="center"/>
    </xf>
    <xf numFmtId="0" fontId="126" fillId="55" borderId="103"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2" fillId="42" borderId="103" applyNumberFormat="0" applyAlignment="0" applyProtection="0">
      <alignment vertical="center"/>
    </xf>
    <xf numFmtId="0" fontId="115" fillId="55" borderId="110" applyNumberFormat="0" applyAlignment="0" applyProtection="0">
      <alignment vertical="center"/>
    </xf>
    <xf numFmtId="0" fontId="86" fillId="55" borderId="103" applyNumberFormat="0" applyAlignment="0" applyProtection="0">
      <alignment vertical="center"/>
    </xf>
    <xf numFmtId="0" fontId="43" fillId="58" borderId="104" applyNumberFormat="0" applyFon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128" fillId="55" borderId="10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3" fillId="42" borderId="108"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4" applyNumberFormat="0" applyFont="0" applyAlignment="0" applyProtection="0">
      <alignment vertical="center"/>
    </xf>
    <xf numFmtId="0" fontId="125" fillId="0" borderId="109" applyNumberFormat="0" applyFill="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95"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02" fillId="42" borderId="103"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6" fillId="55" borderId="105"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105" applyNumberFormat="0" applyAlignment="0" applyProtection="0">
      <alignment vertical="center"/>
    </xf>
    <xf numFmtId="0" fontId="126" fillId="55" borderId="82" applyNumberFormat="0" applyAlignment="0" applyProtection="0">
      <alignment vertical="center"/>
    </xf>
    <xf numFmtId="0" fontId="128" fillId="55" borderId="105"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8" fillId="55" borderId="105" applyNumberFormat="0" applyAlignment="0" applyProtection="0">
      <alignment vertical="center"/>
    </xf>
    <xf numFmtId="0" fontId="125" fillId="0" borderId="109" applyNumberFormat="0" applyFill="0" applyAlignment="0" applyProtection="0">
      <alignment vertical="center"/>
    </xf>
    <xf numFmtId="0" fontId="102" fillId="42" borderId="108" applyNumberFormat="0" applyAlignment="0" applyProtection="0">
      <alignment vertical="center"/>
    </xf>
    <xf numFmtId="0" fontId="127" fillId="42" borderId="103" applyNumberForma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7" fillId="42" borderId="108"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7"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7"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4"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43" fillId="58" borderId="94" applyNumberFormat="0" applyFon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127" fillId="42" borderId="95"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6" applyNumberFormat="0" applyFill="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3"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9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13" fillId="58" borderId="94" applyNumberFormat="0" applyFon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2" fillId="42" borderId="95" applyNumberFormat="0" applyAlignment="0" applyProtection="0">
      <alignment vertical="center"/>
    </xf>
    <xf numFmtId="0" fontId="102" fillId="42"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26" fillId="55" borderId="95" applyNumberFormat="0" applyAlignment="0" applyProtection="0">
      <alignment vertical="center"/>
    </xf>
    <xf numFmtId="0" fontId="102" fillId="42"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101" fillId="0" borderId="109" applyNumberFormat="0" applyFill="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7" fillId="55" borderId="82" applyNumberFormat="0" applyAlignment="0" applyProtection="0">
      <alignment vertical="center"/>
    </xf>
    <xf numFmtId="0" fontId="102" fillId="42" borderId="108" applyNumberFormat="0" applyAlignment="0" applyProtection="0">
      <alignment vertical="center"/>
    </xf>
    <xf numFmtId="0" fontId="103" fillId="42"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3"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95" applyNumberFormat="0" applyAlignment="0" applyProtection="0">
      <alignment vertical="center"/>
    </xf>
    <xf numFmtId="0" fontId="86" fillId="55" borderId="95"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1" fillId="0" borderId="106" applyNumberFormat="0" applyFill="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03" fillId="42" borderId="108"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27" fillId="42"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7" fillId="42" borderId="10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8" fillId="55" borderId="105" applyNumberForma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4"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00" fillId="0" borderId="109" applyNumberFormat="0" applyFill="0" applyAlignment="0" applyProtection="0">
      <alignment vertical="center"/>
    </xf>
    <xf numFmtId="0" fontId="87" fillId="55" borderId="82" applyNumberFormat="0" applyAlignment="0" applyProtection="0">
      <alignment vertical="center"/>
    </xf>
    <xf numFmtId="0" fontId="100" fillId="0" borderId="109" applyNumberFormat="0" applyFill="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44" fillId="58" borderId="107" applyNumberFormat="0" applyFont="0" applyAlignment="0" applyProtection="0">
      <alignment vertical="center"/>
    </xf>
    <xf numFmtId="0" fontId="116"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3" applyNumberFormat="0" applyAlignment="0" applyProtection="0">
      <alignment vertical="center"/>
    </xf>
    <xf numFmtId="0" fontId="87" fillId="55" borderId="103"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5" fillId="0" borderId="106" applyNumberFormat="0" applyFill="0" applyAlignment="0" applyProtection="0">
      <alignment vertical="center"/>
    </xf>
    <xf numFmtId="0" fontId="115" fillId="55" borderId="105" applyNumberForma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28" fillId="55" borderId="105" applyNumberFormat="0" applyAlignment="0" applyProtection="0">
      <alignment vertical="center"/>
    </xf>
    <xf numFmtId="0" fontId="100" fillId="0" borderId="106"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87"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03" fillId="42" borderId="103" applyNumberForma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28" fillId="55" borderId="105" applyNumberFormat="0" applyAlignment="0" applyProtection="0">
      <alignment vertical="center"/>
    </xf>
    <xf numFmtId="0" fontId="127" fillId="42"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5" fillId="0" borderId="106"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87" fillId="55" borderId="108" applyNumberForma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1" fillId="0" borderId="109" applyNumberFormat="0" applyFill="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7" fillId="42" borderId="103"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43" fillId="58" borderId="107" applyNumberFormat="0" applyFont="0" applyAlignment="0" applyProtection="0">
      <alignment vertical="center"/>
    </xf>
    <xf numFmtId="0" fontId="100" fillId="0" borderId="106" applyNumberFormat="0" applyFill="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3" fillId="42"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7" fillId="55" borderId="103" applyNumberForma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0" fillId="0" borderId="106" applyNumberFormat="0" applyFill="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3" applyNumberFormat="0" applyAlignment="0" applyProtection="0">
      <alignment vertical="center"/>
    </xf>
    <xf numFmtId="0" fontId="116" fillId="55" borderId="110" applyNumberFormat="0" applyAlignment="0" applyProtection="0">
      <alignment vertical="center"/>
    </xf>
    <xf numFmtId="0" fontId="113" fillId="58" borderId="107" applyNumberFormat="0" applyFon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7" fillId="55" borderId="82"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0" fillId="0" borderId="106" applyNumberFormat="0" applyFill="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3" fillId="42" borderId="108" applyNumberFormat="0" applyAlignment="0" applyProtection="0">
      <alignment vertical="center"/>
    </xf>
    <xf numFmtId="0" fontId="126" fillId="55" borderId="108" applyNumberFormat="0" applyAlignment="0" applyProtection="0">
      <alignment vertical="center"/>
    </xf>
    <xf numFmtId="0" fontId="103" fillId="42" borderId="108"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93" fillId="58" borderId="107" applyNumberFormat="0" applyFont="0" applyAlignment="0" applyProtection="0">
      <alignment vertical="center"/>
    </xf>
    <xf numFmtId="0" fontId="125" fillId="0" borderId="109" applyNumberFormat="0" applyFill="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6"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00" fillId="0" borderId="106" applyNumberFormat="0" applyFill="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15" fillId="55" borderId="105"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01" fillId="0" borderId="109" applyNumberFormat="0" applyFill="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3" fillId="58" borderId="107" applyNumberFormat="0" applyFont="0" applyAlignment="0" applyProtection="0">
      <alignment vertical="center"/>
    </xf>
    <xf numFmtId="0" fontId="116" fillId="55" borderId="110"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15" fillId="55" borderId="105"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02" fillId="42" borderId="103"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00" fillId="0" borderId="106" applyNumberFormat="0" applyFill="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01" fillId="0" borderId="106" applyNumberFormat="0" applyFill="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16" fillId="55" borderId="105"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93" fillId="58" borderId="104"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0" fillId="0" borderId="106"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25" fillId="0" borderId="109" applyNumberFormat="0" applyFill="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93" fillId="58" borderId="107" applyNumberFormat="0" applyFont="0" applyAlignment="0" applyProtection="0">
      <alignment vertical="center"/>
    </xf>
    <xf numFmtId="0" fontId="87" fillId="55" borderId="82"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7" fillId="55" borderId="82"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5" fillId="55" borderId="105" applyNumberFormat="0" applyAlignment="0" applyProtection="0">
      <alignment vertical="center"/>
    </xf>
    <xf numFmtId="0" fontId="115" fillId="55" borderId="110" applyNumberFormat="0" applyAlignment="0" applyProtection="0">
      <alignment vertical="center"/>
    </xf>
    <xf numFmtId="0" fontId="102" fillId="42" borderId="103" applyNumberFormat="0" applyAlignment="0" applyProtection="0">
      <alignment vertical="center"/>
    </xf>
    <xf numFmtId="0" fontId="115" fillId="55" borderId="105"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05"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7" fillId="42" borderId="103" applyNumberFormat="0" applyAlignment="0" applyProtection="0">
      <alignment vertical="center"/>
    </xf>
    <xf numFmtId="0" fontId="115" fillId="55" borderId="110" applyNumberFormat="0" applyAlignment="0" applyProtection="0">
      <alignment vertical="center"/>
    </xf>
    <xf numFmtId="0" fontId="100" fillId="0" borderId="106" applyNumberFormat="0" applyFill="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86" fillId="55" borderId="82"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01" fillId="0" borderId="106" applyNumberFormat="0" applyFill="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3" fillId="58" borderId="104"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93" fillId="58" borderId="107" applyNumberFormat="0" applyFont="0" applyAlignment="0" applyProtection="0">
      <alignment vertical="center"/>
    </xf>
    <xf numFmtId="0" fontId="125" fillId="0" borderId="109" applyNumberFormat="0" applyFill="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43" fillId="58" borderId="104" applyNumberFormat="0" applyFont="0" applyAlignment="0" applyProtection="0">
      <alignment vertical="center"/>
    </xf>
    <xf numFmtId="0" fontId="126" fillId="55" borderId="108" applyNumberFormat="0" applyAlignment="0" applyProtection="0">
      <alignment vertical="center"/>
    </xf>
    <xf numFmtId="0" fontId="86" fillId="55" borderId="82"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26" fillId="55" borderId="82" applyNumberFormat="0" applyAlignment="0" applyProtection="0">
      <alignment vertical="center"/>
    </xf>
    <xf numFmtId="0" fontId="115" fillId="55" borderId="105" applyNumberForma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3" applyNumberFormat="0" applyAlignment="0" applyProtection="0">
      <alignment vertical="center"/>
    </xf>
    <xf numFmtId="0" fontId="126"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3" applyNumberFormat="0" applyAlignment="0" applyProtection="0">
      <alignment vertical="center"/>
    </xf>
    <xf numFmtId="0" fontId="126" fillId="55" borderId="82"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16" fillId="55" borderId="110"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7" fillId="55" borderId="82"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15" fillId="55" borderId="105" applyNumberFormat="0" applyAlignment="0" applyProtection="0">
      <alignment vertical="center"/>
    </xf>
    <xf numFmtId="0" fontId="86" fillId="55" borderId="82"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02" fillId="42" borderId="103"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86" fillId="55" borderId="82" applyNumberFormat="0" applyAlignment="0" applyProtection="0">
      <alignment vertical="center"/>
    </xf>
    <xf numFmtId="0" fontId="86" fillId="55" borderId="82" applyNumberFormat="0" applyAlignment="0" applyProtection="0">
      <alignment vertical="center"/>
    </xf>
    <xf numFmtId="0" fontId="103"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02" fillId="42" borderId="103"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5" fillId="0" borderId="106"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00" fillId="0" borderId="106" applyNumberFormat="0" applyFill="0" applyAlignment="0" applyProtection="0">
      <alignment vertical="center"/>
    </xf>
    <xf numFmtId="0" fontId="22" fillId="58" borderId="107" applyNumberFormat="0" applyFont="0" applyAlignment="0" applyProtection="0">
      <alignment vertical="center"/>
    </xf>
    <xf numFmtId="0" fontId="100" fillId="0" borderId="106"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82" applyNumberFormat="0" applyAlignment="0" applyProtection="0">
      <alignment vertical="center"/>
    </xf>
    <xf numFmtId="0" fontId="128" fillId="55" borderId="105" applyNumberFormat="0" applyAlignment="0" applyProtection="0">
      <alignment vertical="center"/>
    </xf>
    <xf numFmtId="0" fontId="102" fillId="42" borderId="108" applyNumberFormat="0" applyAlignment="0" applyProtection="0">
      <alignment vertical="center"/>
    </xf>
    <xf numFmtId="0" fontId="113" fillId="58" borderId="104" applyNumberFormat="0" applyFont="0" applyAlignment="0" applyProtection="0">
      <alignment vertical="center"/>
    </xf>
    <xf numFmtId="0" fontId="102" fillId="42" borderId="103" applyNumberFormat="0" applyAlignment="0" applyProtection="0">
      <alignment vertical="center"/>
    </xf>
    <xf numFmtId="0" fontId="8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1" fillId="0" borderId="106" applyNumberFormat="0" applyFill="0" applyAlignment="0" applyProtection="0">
      <alignment vertical="center"/>
    </xf>
    <xf numFmtId="0" fontId="127" fillId="42" borderId="108" applyNumberFormat="0" applyAlignment="0" applyProtection="0">
      <alignment vertical="center"/>
    </xf>
    <xf numFmtId="0" fontId="102" fillId="42" borderId="103" applyNumberFormat="0" applyAlignment="0" applyProtection="0">
      <alignment vertical="center"/>
    </xf>
    <xf numFmtId="0" fontId="113" fillId="58" borderId="107" applyNumberFormat="0" applyFont="0" applyAlignment="0" applyProtection="0">
      <alignment vertical="center"/>
    </xf>
    <xf numFmtId="0" fontId="87" fillId="55" borderId="82" applyNumberFormat="0" applyAlignment="0" applyProtection="0">
      <alignment vertical="center"/>
    </xf>
    <xf numFmtId="0" fontId="87" fillId="55" borderId="82" applyNumberFormat="0" applyAlignment="0" applyProtection="0">
      <alignment vertical="center"/>
    </xf>
    <xf numFmtId="0" fontId="86" fillId="55" borderId="82" applyNumberFormat="0" applyAlignment="0" applyProtection="0">
      <alignment vertical="center"/>
    </xf>
    <xf numFmtId="0" fontId="86" fillId="55" borderId="103"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6" applyNumberFormat="0" applyFill="0" applyAlignment="0" applyProtection="0">
      <alignment vertical="center"/>
    </xf>
    <xf numFmtId="0" fontId="125" fillId="0" borderId="109" applyNumberFormat="0" applyFill="0" applyAlignment="0" applyProtection="0">
      <alignment vertical="center"/>
    </xf>
    <xf numFmtId="0" fontId="126" fillId="55" borderId="82" applyNumberFormat="0" applyAlignment="0" applyProtection="0">
      <alignment vertical="center"/>
    </xf>
    <xf numFmtId="0" fontId="102" fillId="42" borderId="108" applyNumberFormat="0" applyAlignment="0" applyProtection="0">
      <alignment vertical="center"/>
    </xf>
    <xf numFmtId="0" fontId="126" fillId="55" borderId="82"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22" fillId="58" borderId="107" applyNumberFormat="0" applyFont="0" applyAlignment="0" applyProtection="0">
      <alignment vertical="center"/>
    </xf>
    <xf numFmtId="0" fontId="128" fillId="55" borderId="105"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82" applyNumberFormat="0" applyAlignment="0" applyProtection="0">
      <alignment vertical="center"/>
    </xf>
    <xf numFmtId="0" fontId="128" fillId="55" borderId="105" applyNumberFormat="0" applyAlignment="0" applyProtection="0">
      <alignment vertical="center"/>
    </xf>
    <xf numFmtId="0" fontId="113" fillId="58" borderId="104"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126" fillId="55" borderId="82" applyNumberFormat="0" applyAlignment="0" applyProtection="0">
      <alignment vertical="center"/>
    </xf>
    <xf numFmtId="0" fontId="86" fillId="55" borderId="82" applyNumberFormat="0" applyAlignment="0" applyProtection="0">
      <alignment vertical="center"/>
    </xf>
    <xf numFmtId="0" fontId="102" fillId="42" borderId="108" applyNumberFormat="0" applyAlignment="0" applyProtection="0">
      <alignment vertical="center"/>
    </xf>
    <xf numFmtId="0" fontId="86" fillId="55" borderId="82"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3" fillId="42"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5" fillId="55" borderId="105"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22" fillId="58" borderId="107" applyNumberFormat="0" applyFon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1"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3"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3" fillId="42" borderId="108"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7"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7"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7"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7"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44"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4" fillId="58" borderId="104" applyNumberFormat="0" applyFont="0" applyAlignment="0" applyProtection="0">
      <alignment vertical="center"/>
    </xf>
    <xf numFmtId="0" fontId="44"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4"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43" fillId="58" borderId="104" applyNumberFormat="0" applyFon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7" fillId="42" borderId="103"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28" fillId="55" borderId="105" applyNumberFormat="0" applyAlignment="0" applyProtection="0">
      <alignment vertical="center"/>
    </xf>
    <xf numFmtId="0" fontId="100" fillId="0" borderId="106" applyNumberFormat="0" applyFill="0" applyAlignment="0" applyProtection="0">
      <alignment vertical="center"/>
    </xf>
    <xf numFmtId="0" fontId="101"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1" fillId="0" borderId="106" applyNumberFormat="0" applyFill="0" applyAlignment="0" applyProtection="0">
      <alignment vertical="center"/>
    </xf>
    <xf numFmtId="0" fontId="101"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1"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0" fillId="0" borderId="106" applyNumberFormat="0" applyFill="0" applyAlignment="0" applyProtection="0">
      <alignment vertical="center"/>
    </xf>
    <xf numFmtId="0" fontId="102" fillId="42" borderId="103" applyNumberFormat="0" applyAlignment="0" applyProtection="0">
      <alignment vertical="center"/>
    </xf>
    <xf numFmtId="0" fontId="103"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3" fillId="42" borderId="103" applyNumberFormat="0" applyAlignment="0" applyProtection="0">
      <alignment vertical="center"/>
    </xf>
    <xf numFmtId="0" fontId="103"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3"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9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3" fillId="58" borderId="104" applyNumberFormat="0" applyFont="0" applyAlignment="0" applyProtection="0">
      <alignment vertical="center"/>
    </xf>
    <xf numFmtId="0" fontId="115" fillId="55" borderId="105" applyNumberForma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6" fillId="55" borderId="105" applyNumberForma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6"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15" fillId="55" borderId="105" applyNumberFormat="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25" fillId="0" borderId="106" applyNumberFormat="0" applyFill="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102" fillId="42" borderId="103" applyNumberFormat="0" applyAlignment="0" applyProtection="0">
      <alignment vertical="center"/>
    </xf>
    <xf numFmtId="0" fontId="102" fillId="42"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26" fillId="55" borderId="103" applyNumberFormat="0" applyAlignment="0" applyProtection="0">
      <alignment vertical="center"/>
    </xf>
    <xf numFmtId="0" fontId="102" fillId="42"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3" applyNumberFormat="0" applyAlignment="0" applyProtection="0">
      <alignment vertical="center"/>
    </xf>
    <xf numFmtId="0" fontId="86" fillId="55" borderId="103"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6" fillId="55" borderId="110"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30" fillId="0" borderId="111">
      <alignment horizontal="lef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1" fillId="0" borderId="109" applyNumberFormat="0" applyFill="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1" fillId="0" borderId="109"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6"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01"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4" fillId="58" borderId="107" applyNumberFormat="0" applyFon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1" fillId="0" borderId="109"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3"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3" fillId="42" borderId="108" applyNumberFormat="0" applyAlignment="0" applyProtection="0">
      <alignment vertical="center"/>
    </xf>
    <xf numFmtId="0" fontId="103"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3"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6"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25"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4"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93" fillId="58" borderId="107" applyNumberFormat="0" applyFont="0" applyAlignment="0" applyProtection="0">
      <alignment vertical="center"/>
    </xf>
    <xf numFmtId="0" fontId="116"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6" fillId="55" borderId="110" applyNumberFormat="0" applyAlignment="0" applyProtection="0">
      <alignment vertical="center"/>
    </xf>
    <xf numFmtId="0" fontId="22" fillId="58" borderId="107" applyNumberFormat="0" applyFont="0" applyAlignment="0" applyProtection="0">
      <alignment vertical="center"/>
    </xf>
    <xf numFmtId="0" fontId="93" fillId="58" borderId="107" applyNumberFormat="0" applyFont="0" applyAlignment="0" applyProtection="0">
      <alignment vertical="center"/>
    </xf>
    <xf numFmtId="0" fontId="22" fillId="58" borderId="107" applyNumberFormat="0" applyFon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30" fillId="0" borderId="111">
      <alignment horizontal="lef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127" fillId="42"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1"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4" fillId="58" borderId="107" applyNumberFormat="0" applyFon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8"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4" fillId="58" borderId="107" applyNumberFormat="0" applyFon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87" fillId="55" borderId="108" applyNumberFormat="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93" fillId="58" borderId="107" applyNumberFormat="0" applyFon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6" fillId="55" borderId="110"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27" fillId="42"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1" fillId="0" borderId="109" applyNumberFormat="0" applyFill="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4" fillId="58" borderId="107" applyNumberFormat="0" applyFon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1" fillId="0" borderId="109" applyNumberFormat="0" applyFill="0" applyAlignment="0" applyProtection="0">
      <alignment vertical="center"/>
    </xf>
    <xf numFmtId="0" fontId="44"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5" fillId="0" borderId="109" applyNumberFormat="0" applyFill="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87" fillId="55"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00"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5" fillId="0" borderId="109" applyNumberFormat="0" applyFill="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1" fillId="0" borderId="109" applyNumberFormat="0" applyFill="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44" fillId="58" borderId="107" applyNumberFormat="0" applyFont="0" applyAlignment="0" applyProtection="0">
      <alignment vertical="center"/>
    </xf>
    <xf numFmtId="0" fontId="22" fillId="58" borderId="107" applyNumberFormat="0" applyFont="0" applyAlignment="0" applyProtection="0">
      <alignment vertical="center"/>
    </xf>
    <xf numFmtId="0" fontId="125"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125" fillId="0" borderId="109" applyNumberFormat="0" applyFill="0" applyAlignment="0" applyProtection="0">
      <alignment vertical="center"/>
    </xf>
    <xf numFmtId="0" fontId="127" fillId="42" borderId="108"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6"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8" fillId="55" borderId="110" applyNumberForma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01" fillId="0" borderId="109" applyNumberFormat="0" applyFill="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9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16" fillId="55" borderId="110" applyNumberForma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16"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16" fillId="55" borderId="110"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03" fillId="42"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1" fillId="0" borderId="109" applyNumberFormat="0" applyFill="0" applyAlignment="0" applyProtection="0">
      <alignment vertical="center"/>
    </xf>
    <xf numFmtId="0" fontId="86" fillId="55" borderId="108" applyNumberFormat="0" applyAlignment="0" applyProtection="0">
      <alignment vertical="center"/>
    </xf>
    <xf numFmtId="0" fontId="103" fillId="42" borderId="108" applyNumberFormat="0" applyAlignment="0" applyProtection="0">
      <alignment vertical="center"/>
    </xf>
    <xf numFmtId="0" fontId="102" fillId="42" borderId="108"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27" fillId="42" borderId="108" applyNumberFormat="0" applyAlignment="0" applyProtection="0">
      <alignment vertical="center"/>
    </xf>
    <xf numFmtId="0" fontId="4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125" fillId="0" borderId="109" applyNumberFormat="0" applyFill="0" applyAlignment="0" applyProtection="0">
      <alignment vertical="center"/>
    </xf>
    <xf numFmtId="0" fontId="100" fillId="0" borderId="109" applyNumberFormat="0" applyFill="0" applyAlignment="0" applyProtection="0">
      <alignment vertical="center"/>
    </xf>
    <xf numFmtId="0" fontId="22" fillId="58" borderId="107" applyNumberFormat="0" applyFont="0" applyAlignment="0" applyProtection="0">
      <alignment vertical="center"/>
    </xf>
    <xf numFmtId="0" fontId="128" fillId="55" borderId="110" applyNumberFormat="0" applyAlignment="0" applyProtection="0">
      <alignment vertical="center"/>
    </xf>
    <xf numFmtId="0" fontId="128"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01" fillId="0" borderId="109" applyNumberFormat="0" applyFill="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30" fillId="0" borderId="111">
      <alignment horizontal="lef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43" fillId="58" borderId="107" applyNumberFormat="0" applyFont="0" applyAlignment="0" applyProtection="0">
      <alignment vertical="center"/>
    </xf>
    <xf numFmtId="0" fontId="128" fillId="55" borderId="110" applyNumberFormat="0" applyAlignment="0" applyProtection="0">
      <alignment vertical="center"/>
    </xf>
    <xf numFmtId="0" fontId="43" fillId="58" borderId="107" applyNumberFormat="0" applyFon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4"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93" fillId="58" borderId="107" applyNumberFormat="0" applyFon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8" fillId="55" borderId="110"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22" fillId="58" borderId="107" applyNumberFormat="0" applyFont="0" applyAlignment="0" applyProtection="0">
      <alignment vertical="center"/>
    </xf>
    <xf numFmtId="0" fontId="9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22"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8" fillId="55" borderId="110" applyNumberForma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5" fillId="0" borderId="109" applyNumberFormat="0" applyFill="0" applyAlignment="0" applyProtection="0">
      <alignment vertical="center"/>
    </xf>
    <xf numFmtId="0" fontId="93" fillId="58" borderId="107" applyNumberFormat="0" applyFon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16" fillId="55" borderId="110" applyNumberFormat="0" applyAlignment="0" applyProtection="0">
      <alignment vertical="center"/>
    </xf>
    <xf numFmtId="0" fontId="86" fillId="55" borderId="108" applyNumberFormat="0" applyAlignment="0" applyProtection="0">
      <alignment vertical="center"/>
    </xf>
    <xf numFmtId="0" fontId="125" fillId="0" borderId="109" applyNumberFormat="0" applyFill="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15" fillId="55" borderId="110" applyNumberForma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13" fillId="58" borderId="107" applyNumberFormat="0" applyFon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86" fillId="55" borderId="108"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0" fillId="0" borderId="109" applyNumberFormat="0" applyFill="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102" fillId="42" borderId="108" applyNumberFormat="0" applyAlignment="0" applyProtection="0">
      <alignment vertical="center"/>
    </xf>
    <xf numFmtId="0" fontId="115" fillId="55" borderId="110" applyNumberFormat="0" applyAlignment="0" applyProtection="0">
      <alignment vertical="center"/>
    </xf>
    <xf numFmtId="0" fontId="125" fillId="0" borderId="109" applyNumberFormat="0" applyFill="0" applyAlignment="0" applyProtection="0">
      <alignment vertical="center"/>
    </xf>
    <xf numFmtId="0" fontId="86" fillId="55" borderId="108" applyNumberFormat="0" applyAlignment="0" applyProtection="0">
      <alignment vertical="center"/>
    </xf>
    <xf numFmtId="0" fontId="113" fillId="58" borderId="107" applyNumberFormat="0" applyFont="0" applyAlignment="0" applyProtection="0">
      <alignment vertical="center"/>
    </xf>
    <xf numFmtId="0" fontId="125" fillId="0" borderId="109" applyNumberFormat="0" applyFill="0" applyAlignment="0" applyProtection="0">
      <alignment vertical="center"/>
    </xf>
    <xf numFmtId="0" fontId="115" fillId="55" borderId="110"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103" fillId="42" borderId="108" applyNumberFormat="0" applyAlignment="0" applyProtection="0">
      <alignment vertical="center"/>
    </xf>
    <xf numFmtId="0" fontId="113" fillId="58" borderId="107" applyNumberFormat="0" applyFont="0" applyAlignment="0" applyProtection="0">
      <alignment vertical="center"/>
    </xf>
    <xf numFmtId="0" fontId="93" fillId="58" borderId="107" applyNumberFormat="0" applyFon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00" fillId="0" borderId="109" applyNumberFormat="0" applyFill="0" applyAlignment="0" applyProtection="0">
      <alignment vertical="center"/>
    </xf>
    <xf numFmtId="0" fontId="100" fillId="0" borderId="109" applyNumberFormat="0" applyFill="0" applyAlignment="0" applyProtection="0">
      <alignment vertical="center"/>
    </xf>
    <xf numFmtId="0" fontId="86" fillId="55" borderId="108" applyNumberFormat="0" applyAlignment="0" applyProtection="0">
      <alignment vertical="center"/>
    </xf>
    <xf numFmtId="0" fontId="102" fillId="42"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127" fillId="42" borderId="108" applyNumberFormat="0" applyAlignment="0" applyProtection="0">
      <alignment vertical="center"/>
    </xf>
    <xf numFmtId="0" fontId="102" fillId="42"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100" fillId="0" borderId="109" applyNumberFormat="0" applyFill="0" applyAlignment="0" applyProtection="0">
      <alignment vertical="center"/>
    </xf>
    <xf numFmtId="0" fontId="115" fillId="55" borderId="110" applyNumberForma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0" fillId="0" borderId="109" applyNumberFormat="0" applyFill="0" applyAlignment="0" applyProtection="0">
      <alignment vertical="center"/>
    </xf>
    <xf numFmtId="0" fontId="43" fillId="58" borderId="107" applyNumberFormat="0" applyFont="0" applyAlignment="0" applyProtection="0">
      <alignment vertical="center"/>
    </xf>
    <xf numFmtId="0" fontId="93" fillId="58" borderId="107" applyNumberFormat="0" applyFon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15" fillId="55" borderId="110" applyNumberFormat="0" applyAlignment="0" applyProtection="0">
      <alignment vertical="center"/>
    </xf>
    <xf numFmtId="0" fontId="113" fillId="58" borderId="107" applyNumberFormat="0" applyFont="0" applyAlignment="0" applyProtection="0">
      <alignment vertical="center"/>
    </xf>
    <xf numFmtId="0" fontId="126" fillId="55" borderId="108" applyNumberFormat="0" applyAlignment="0" applyProtection="0">
      <alignment vertical="center"/>
    </xf>
    <xf numFmtId="0" fontId="113" fillId="58" borderId="107" applyNumberFormat="0" applyFont="0" applyAlignment="0" applyProtection="0">
      <alignment vertical="center"/>
    </xf>
    <xf numFmtId="0" fontId="86" fillId="55" borderId="108" applyNumberFormat="0" applyAlignment="0" applyProtection="0">
      <alignment vertical="center"/>
    </xf>
    <xf numFmtId="0" fontId="128" fillId="55" borderId="110" applyNumberFormat="0" applyAlignment="0" applyProtection="0">
      <alignment vertical="center"/>
    </xf>
    <xf numFmtId="0" fontId="86" fillId="55" borderId="108" applyNumberFormat="0" applyAlignment="0" applyProtection="0">
      <alignment vertical="center"/>
    </xf>
    <xf numFmtId="0" fontId="103" fillId="42" borderId="108" applyNumberFormat="0" applyAlignment="0" applyProtection="0">
      <alignment vertical="center"/>
    </xf>
    <xf numFmtId="0" fontId="115" fillId="55" borderId="110" applyNumberFormat="0" applyAlignment="0" applyProtection="0">
      <alignment vertical="center"/>
    </xf>
    <xf numFmtId="0" fontId="102" fillId="42"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102" fillId="42"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7" fillId="55" borderId="108" applyNumberFormat="0" applyAlignment="0" applyProtection="0">
      <alignment vertical="center"/>
    </xf>
    <xf numFmtId="0" fontId="87"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6" fillId="55" borderId="108" applyNumberFormat="0" applyAlignment="0" applyProtection="0">
      <alignment vertical="center"/>
    </xf>
    <xf numFmtId="0" fontId="87"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8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12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86" fillId="55" borderId="108" applyNumberForma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22" fillId="58" borderId="107" applyNumberFormat="0" applyFont="0" applyAlignment="0" applyProtection="0">
      <alignment vertical="center"/>
    </xf>
    <xf numFmtId="0" fontId="43" fillId="58" borderId="107" applyNumberFormat="0" applyFont="0" applyAlignment="0" applyProtection="0">
      <alignment vertical="center"/>
    </xf>
    <xf numFmtId="0" fontId="43" fillId="58" borderId="107" applyNumberFormat="0" applyFont="0" applyAlignment="0" applyProtection="0">
      <alignment vertical="center"/>
    </xf>
    <xf numFmtId="0" fontId="102" fillId="42" borderId="108" applyNumberFormat="0" applyAlignment="0" applyProtection="0">
      <alignment vertical="center"/>
    </xf>
    <xf numFmtId="0" fontId="3" fillId="0" borderId="0">
      <alignment vertical="center"/>
    </xf>
    <xf numFmtId="0" fontId="30" fillId="0" borderId="58">
      <alignment horizontal="lef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0" fontId="43" fillId="0" borderId="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0" fillId="47" borderId="0" applyNumberFormat="0" applyBorder="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0" fillId="47" borderId="0" applyNumberFormat="0" applyBorder="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0" fillId="47" borderId="0" applyNumberFormat="0" applyBorder="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0" fillId="47" borderId="0" applyNumberFormat="0" applyBorder="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80" fillId="47" borderId="0" applyNumberFormat="0" applyBorder="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102" fillId="42" borderId="44" applyNumberFormat="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102" fillId="42" borderId="44" applyNumberFormat="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7"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12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6" fillId="55" borderId="44" applyNumberFormat="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43"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22"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0" fontId="43" fillId="58" borderId="43" applyNumberFormat="0" applyFont="0" applyAlignment="0" applyProtection="0">
      <alignment vertical="center"/>
    </xf>
    <xf numFmtId="9" fontId="18" fillId="0" borderId="0" applyFont="0" applyFill="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44" fillId="0" borderId="0" applyFont="0" applyFill="0" applyBorder="0" applyAlignment="0" applyProtection="0">
      <alignment vertical="center"/>
    </xf>
    <xf numFmtId="41" fontId="2" fillId="0" borderId="0" applyFont="0" applyFill="0" applyBorder="0" applyAlignment="0" applyProtection="0">
      <alignment vertical="center"/>
    </xf>
    <xf numFmtId="41" fontId="18" fillId="0" borderId="0" applyFont="0" applyFill="0" applyBorder="0" applyAlignment="0" applyProtection="0">
      <alignment vertical="center"/>
    </xf>
    <xf numFmtId="41" fontId="22" fillId="0" borderId="0" applyFont="0" applyFill="0" applyBorder="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0" fillId="0" borderId="45" applyNumberFormat="0" applyFill="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2" fillId="42" borderId="44" applyNumberFormat="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4" fillId="0" borderId="0" applyNumberFormat="0" applyFill="0" applyBorder="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115" fillId="55" borderId="46" applyNumberFormat="0" applyAlignment="0" applyProtection="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22" fillId="0" borderId="0">
      <alignment vertical="center"/>
    </xf>
    <xf numFmtId="0" fontId="22" fillId="0" borderId="0"/>
    <xf numFmtId="0" fontId="43" fillId="0" borderId="0">
      <alignment vertical="center"/>
    </xf>
    <xf numFmtId="0" fontId="43" fillId="0" borderId="0">
      <alignment vertical="center"/>
    </xf>
    <xf numFmtId="0" fontId="22" fillId="0" borderId="0">
      <alignment vertical="center"/>
    </xf>
    <xf numFmtId="0" fontId="18" fillId="0" borderId="0">
      <alignment vertical="center"/>
    </xf>
    <xf numFmtId="0" fontId="18" fillId="0" borderId="0">
      <alignment vertical="center"/>
    </xf>
    <xf numFmtId="0" fontId="18" fillId="0" borderId="0">
      <alignment vertical="center"/>
    </xf>
    <xf numFmtId="0" fontId="142" fillId="0" borderId="0">
      <alignment vertical="center"/>
    </xf>
    <xf numFmtId="0" fontId="18" fillId="0" borderId="0">
      <alignment vertical="center"/>
    </xf>
    <xf numFmtId="0" fontId="18" fillId="0" borderId="0">
      <alignment vertical="center"/>
    </xf>
    <xf numFmtId="0" fontId="18" fillId="0" borderId="0">
      <alignment vertical="center"/>
    </xf>
    <xf numFmtId="0" fontId="156" fillId="0" borderId="0">
      <alignment vertical="center"/>
    </xf>
    <xf numFmtId="0" fontId="22"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 fillId="0" borderId="0">
      <alignment vertical="center"/>
    </xf>
    <xf numFmtId="0" fontId="43" fillId="0" borderId="0">
      <alignment vertical="center"/>
    </xf>
    <xf numFmtId="0" fontId="43"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 fillId="0" borderId="0">
      <alignment vertical="center"/>
    </xf>
    <xf numFmtId="0" fontId="2" fillId="0" borderId="0">
      <alignment vertical="center"/>
    </xf>
    <xf numFmtId="0" fontId="18" fillId="0" borderId="0">
      <alignment vertical="center"/>
    </xf>
    <xf numFmtId="0" fontId="22" fillId="0" borderId="0">
      <alignment vertical="center"/>
    </xf>
    <xf numFmtId="0" fontId="43" fillId="0" borderId="0">
      <alignment vertical="center"/>
    </xf>
    <xf numFmtId="0" fontId="2" fillId="0" borderId="0">
      <alignment vertical="center"/>
    </xf>
    <xf numFmtId="0" fontId="43" fillId="0" borderId="0">
      <alignment vertical="center"/>
    </xf>
    <xf numFmtId="0" fontId="22" fillId="0" borderId="0">
      <alignment vertical="center"/>
    </xf>
    <xf numFmtId="0" fontId="43"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 fillId="0" borderId="0">
      <alignment vertical="center"/>
    </xf>
    <xf numFmtId="0" fontId="22" fillId="0" borderId="0">
      <alignment vertical="center"/>
    </xf>
    <xf numFmtId="0" fontId="22" fillId="0" borderId="0">
      <alignment vertical="center"/>
    </xf>
    <xf numFmtId="0" fontId="43"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18" fillId="0" borderId="0">
      <alignment vertical="center"/>
    </xf>
    <xf numFmtId="0" fontId="18" fillId="0" borderId="0">
      <alignment vertical="center"/>
    </xf>
    <xf numFmtId="0" fontId="18"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158" fillId="0" borderId="0">
      <alignment vertical="center"/>
    </xf>
    <xf numFmtId="0" fontId="158" fillId="0" borderId="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6" fillId="12" borderId="0" applyNumberFormat="0" applyBorder="0" applyAlignment="0" applyProtection="0">
      <alignment vertical="center"/>
    </xf>
    <xf numFmtId="0" fontId="26" fillId="16" borderId="0" applyNumberFormat="0" applyBorder="0" applyAlignment="0" applyProtection="0">
      <alignment vertical="center"/>
    </xf>
    <xf numFmtId="0" fontId="26" fillId="20" borderId="0" applyNumberFormat="0" applyBorder="0" applyAlignment="0" applyProtection="0">
      <alignment vertical="center"/>
    </xf>
    <xf numFmtId="0" fontId="26" fillId="24" borderId="0" applyNumberFormat="0" applyBorder="0" applyAlignment="0" applyProtection="0">
      <alignment vertical="center"/>
    </xf>
    <xf numFmtId="0" fontId="26" fillId="28" borderId="0" applyNumberFormat="0" applyBorder="0" applyAlignment="0" applyProtection="0">
      <alignment vertical="center"/>
    </xf>
    <xf numFmtId="0" fontId="26" fillId="32" borderId="0" applyNumberFormat="0" applyBorder="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26" fillId="9" borderId="0" applyNumberFormat="0" applyBorder="0" applyAlignment="0" applyProtection="0">
      <alignment vertical="center"/>
    </xf>
    <xf numFmtId="0" fontId="26" fillId="13" borderId="0" applyNumberFormat="0" applyBorder="0" applyAlignment="0" applyProtection="0">
      <alignment vertical="center"/>
    </xf>
    <xf numFmtId="0" fontId="26" fillId="17" borderId="0" applyNumberFormat="0" applyBorder="0" applyAlignment="0" applyProtection="0">
      <alignment vertical="center"/>
    </xf>
    <xf numFmtId="0" fontId="26" fillId="21" borderId="0" applyNumberFormat="0" applyBorder="0" applyAlignment="0" applyProtection="0">
      <alignment vertical="center"/>
    </xf>
    <xf numFmtId="0" fontId="26" fillId="25" borderId="0" applyNumberFormat="0" applyBorder="0" applyAlignment="0" applyProtection="0">
      <alignment vertical="center"/>
    </xf>
    <xf numFmtId="0" fontId="26" fillId="29" borderId="0" applyNumberFormat="0" applyBorder="0" applyAlignment="0" applyProtection="0">
      <alignment vertical="center"/>
    </xf>
    <xf numFmtId="0" fontId="34" fillId="0" borderId="0" applyNumberFormat="0" applyFill="0" applyBorder="0" applyAlignment="0" applyProtection="0">
      <alignment vertical="center"/>
    </xf>
    <xf numFmtId="0" fontId="41" fillId="3" borderId="0" applyNumberFormat="0" applyBorder="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18" fillId="8" borderId="8" applyNumberFormat="0" applyFont="0" applyAlignment="0" applyProtection="0">
      <alignment vertical="center"/>
    </xf>
    <xf numFmtId="0" fontId="18" fillId="8" borderId="8" applyNumberFormat="0" applyFont="0" applyAlignment="0" applyProtection="0">
      <alignment vertical="center"/>
    </xf>
    <xf numFmtId="0" fontId="18" fillId="8" borderId="8" applyNumberFormat="0" applyFont="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45" fillId="0" borderId="0" applyFont="0" applyFill="0" applyBorder="0" applyAlignment="0" applyProtection="0">
      <alignment vertical="center"/>
    </xf>
    <xf numFmtId="9" fontId="18" fillId="0" borderId="0" applyFont="0" applyFill="0" applyBorder="0" applyAlignment="0" applyProtection="0">
      <alignment vertical="center"/>
    </xf>
    <xf numFmtId="0" fontId="47" fillId="4" borderId="0" applyNumberFormat="0" applyBorder="0" applyAlignment="0" applyProtection="0">
      <alignment vertical="center"/>
    </xf>
    <xf numFmtId="0" fontId="49" fillId="0" borderId="0" applyNumberFormat="0" applyFill="0" applyBorder="0" applyAlignment="0" applyProtection="0">
      <alignment vertical="center"/>
    </xf>
    <xf numFmtId="0" fontId="51" fillId="7" borderId="7"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0" fontId="128" fillId="55" borderId="139" applyNumberFormat="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22" fillId="0" borderId="0" applyFont="0" applyFill="0" applyBorder="0" applyAlignment="0" applyProtection="0"/>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45" fillId="0" borderId="0" applyFont="0" applyFill="0" applyBorder="0" applyAlignment="0" applyProtection="0">
      <alignment vertical="center"/>
    </xf>
    <xf numFmtId="41" fontId="18" fillId="0" borderId="0" applyFont="0" applyFill="0" applyBorder="0" applyAlignment="0" applyProtection="0">
      <alignment vertical="center"/>
    </xf>
    <xf numFmtId="0" fontId="55" fillId="0" borderId="6" applyNumberFormat="0" applyFill="0" applyAlignment="0" applyProtection="0">
      <alignment vertical="center"/>
    </xf>
    <xf numFmtId="0" fontId="58" fillId="0" borderId="9" applyNumberFormat="0" applyFill="0" applyAlignment="0" applyProtection="0">
      <alignment vertical="center"/>
    </xf>
    <xf numFmtId="0" fontId="60" fillId="5" borderId="4" applyNumberFormat="0" applyAlignment="0" applyProtection="0">
      <alignment vertical="center"/>
    </xf>
    <xf numFmtId="0" fontId="62" fillId="0" borderId="1" applyNumberFormat="0" applyFill="0" applyAlignment="0" applyProtection="0">
      <alignment vertical="center"/>
    </xf>
    <xf numFmtId="0" fontId="65" fillId="0" borderId="2" applyNumberFormat="0" applyFill="0" applyAlignment="0" applyProtection="0">
      <alignment vertical="center"/>
    </xf>
    <xf numFmtId="0" fontId="67" fillId="0" borderId="3" applyNumberFormat="0" applyFill="0" applyAlignment="0" applyProtection="0">
      <alignment vertical="center"/>
    </xf>
    <xf numFmtId="0" fontId="67" fillId="0" borderId="0" applyNumberFormat="0" applyFill="0" applyBorder="0" applyAlignment="0" applyProtection="0">
      <alignment vertical="center"/>
    </xf>
    <xf numFmtId="0" fontId="69" fillId="2" borderId="0" applyNumberFormat="0" applyBorder="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116" fillId="55" borderId="139" applyNumberFormat="0" applyAlignment="0" applyProtection="0">
      <alignment vertical="center"/>
    </xf>
    <xf numFmtId="0" fontId="71" fillId="6" borderId="5"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42" fontId="21" fillId="0" borderId="0" applyFont="0" applyFill="0" applyBorder="0" applyAlignment="0" applyProtection="0">
      <alignment vertical="center"/>
    </xf>
    <xf numFmtId="0" fontId="18" fillId="0" borderId="0">
      <alignment vertical="center"/>
    </xf>
    <xf numFmtId="0" fontId="18" fillId="0" borderId="0">
      <alignment vertical="center"/>
    </xf>
    <xf numFmtId="0" fontId="158" fillId="0" borderId="0">
      <alignment vertical="center"/>
    </xf>
    <xf numFmtId="0" fontId="25" fillId="0" borderId="0">
      <alignment vertical="center"/>
    </xf>
    <xf numFmtId="0" fontId="24" fillId="0" borderId="0">
      <alignment vertical="center"/>
    </xf>
    <xf numFmtId="0" fontId="18" fillId="0" borderId="0">
      <alignment vertical="center"/>
    </xf>
    <xf numFmtId="0" fontId="158" fillId="0" borderId="0">
      <alignment vertical="center"/>
    </xf>
    <xf numFmtId="0" fontId="158" fillId="0" borderId="0">
      <alignment vertical="center"/>
    </xf>
    <xf numFmtId="0" fontId="158" fillId="0" borderId="0">
      <alignment vertical="center"/>
    </xf>
    <xf numFmtId="0" fontId="1" fillId="0" borderId="0">
      <alignment vertical="center"/>
    </xf>
    <xf numFmtId="0" fontId="28" fillId="0" borderId="0"/>
    <xf numFmtId="0" fontId="181" fillId="0" borderId="0"/>
    <xf numFmtId="0" fontId="28" fillId="0" borderId="0"/>
    <xf numFmtId="0" fontId="28" fillId="0" borderId="0"/>
    <xf numFmtId="43" fontId="22" fillId="0" borderId="0" applyFont="0" applyFill="0" applyBorder="0" applyAlignment="0" applyProtection="0"/>
    <xf numFmtId="0" fontId="182" fillId="0" borderId="0" applyNumberFormat="0" applyFill="0" applyBorder="0" applyAlignment="0" applyProtection="0"/>
    <xf numFmtId="24" fontId="183" fillId="0" borderId="0" applyFont="0" applyFill="0" applyBorder="0" applyAlignment="0" applyProtection="0"/>
    <xf numFmtId="197" fontId="183" fillId="0" borderId="0" applyNumberFormat="0" applyFont="0" applyFill="0" applyBorder="0" applyAlignment="0" applyProtection="0"/>
    <xf numFmtId="197" fontId="183" fillId="0" borderId="0" applyNumberFormat="0" applyFont="0" applyFill="0" applyBorder="0" applyAlignment="0" applyProtection="0"/>
    <xf numFmtId="198" fontId="183" fillId="0" borderId="0" applyNumberFormat="0" applyFont="0" applyFill="0" applyBorder="0" applyAlignment="0" applyProtection="0"/>
    <xf numFmtId="199" fontId="184" fillId="0" borderId="0">
      <protection locked="0"/>
    </xf>
    <xf numFmtId="200" fontId="73" fillId="0" borderId="0" applyFont="0" applyFill="0" applyBorder="0" applyAlignment="0" applyProtection="0"/>
    <xf numFmtId="0" fontId="73" fillId="0" borderId="0"/>
    <xf numFmtId="0" fontId="73" fillId="0" borderId="0"/>
    <xf numFmtId="0" fontId="73" fillId="0" borderId="0"/>
    <xf numFmtId="0" fontId="73" fillId="0" borderId="0"/>
    <xf numFmtId="0" fontId="73" fillId="0" borderId="0"/>
    <xf numFmtId="0" fontId="185" fillId="0" borderId="0" applyNumberFormat="0" applyFill="0" applyBorder="0" applyAlignment="0" applyProtection="0"/>
    <xf numFmtId="0" fontId="186" fillId="0" borderId="0"/>
    <xf numFmtId="0" fontId="187" fillId="0" borderId="0" applyFont="0" applyFill="0" applyBorder="0" applyAlignment="0" applyProtection="0"/>
    <xf numFmtId="40" fontId="183" fillId="0" borderId="0" applyFont="0" applyFill="0" applyBorder="0" applyAlignment="0" applyProtection="0"/>
    <xf numFmtId="0" fontId="53" fillId="0" borderId="0"/>
    <xf numFmtId="0" fontId="53" fillId="0" borderId="0"/>
    <xf numFmtId="0" fontId="53" fillId="0" borderId="0"/>
    <xf numFmtId="40" fontId="183" fillId="0" borderId="0" applyFont="0" applyFill="0" applyBorder="0" applyAlignment="0" applyProtection="0"/>
    <xf numFmtId="40" fontId="183" fillId="0" borderId="0" applyFont="0" applyFill="0" applyBorder="0" applyAlignment="0" applyProtection="0"/>
    <xf numFmtId="0" fontId="28" fillId="0" borderId="0"/>
    <xf numFmtId="0" fontId="73" fillId="0" borderId="0"/>
    <xf numFmtId="0" fontId="73" fillId="0" borderId="0"/>
    <xf numFmtId="40" fontId="183" fillId="0" borderId="0" applyFont="0" applyFill="0" applyBorder="0" applyAlignment="0" applyProtection="0"/>
    <xf numFmtId="40" fontId="183" fillId="0" borderId="0" applyFont="0" applyFill="0" applyBorder="0" applyAlignment="0" applyProtection="0"/>
    <xf numFmtId="9" fontId="188" fillId="0" borderId="0" applyFont="0" applyFill="0" applyBorder="0" applyAlignment="0" applyProtection="0"/>
    <xf numFmtId="0" fontId="53" fillId="0" borderId="0"/>
    <xf numFmtId="0" fontId="22" fillId="0" borderId="0"/>
    <xf numFmtId="0" fontId="28" fillId="0" borderId="0"/>
    <xf numFmtId="0" fontId="53" fillId="0" borderId="0"/>
    <xf numFmtId="181" fontId="28" fillId="0" borderId="0" applyFont="0" applyFill="0" applyBorder="0" applyAlignment="0" applyProtection="0"/>
    <xf numFmtId="9" fontId="22" fillId="0" borderId="0" applyFont="0" applyFill="0" applyBorder="0" applyAlignment="0" applyProtection="0"/>
    <xf numFmtId="0" fontId="28" fillId="0" borderId="0"/>
    <xf numFmtId="0" fontId="53" fillId="0" borderId="0"/>
    <xf numFmtId="0" fontId="5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xf numFmtId="0" fontId="73" fillId="0" borderId="0"/>
    <xf numFmtId="0" fontId="73" fillId="0" borderId="0"/>
    <xf numFmtId="0" fontId="73" fillId="0" borderId="0"/>
    <xf numFmtId="0" fontId="73" fillId="0" borderId="0"/>
    <xf numFmtId="0" fontId="22" fillId="0" borderId="0"/>
    <xf numFmtId="0" fontId="22" fillId="0" borderId="0"/>
    <xf numFmtId="0" fontId="73" fillId="0" borderId="0"/>
    <xf numFmtId="0" fontId="22" fillId="0" borderId="0"/>
    <xf numFmtId="0" fontId="22" fillId="0" borderId="0"/>
    <xf numFmtId="0" fontId="28" fillId="0" borderId="0"/>
    <xf numFmtId="0" fontId="28" fillId="0" borderId="0"/>
    <xf numFmtId="0" fontId="22" fillId="0" borderId="0"/>
    <xf numFmtId="181" fontId="28" fillId="0" borderId="0" applyFont="0" applyFill="0" applyBorder="0" applyAlignment="0" applyProtection="0"/>
    <xf numFmtId="0" fontId="53" fillId="0" borderId="0"/>
    <xf numFmtId="0" fontId="28" fillId="0" borderId="0"/>
    <xf numFmtId="0" fontId="28" fillId="0" borderId="0"/>
    <xf numFmtId="181" fontId="28" fillId="0" borderId="0" applyFont="0" applyFill="0" applyBorder="0" applyAlignment="0" applyProtection="0"/>
    <xf numFmtId="0" fontId="73" fillId="0" borderId="0"/>
    <xf numFmtId="0" fontId="53" fillId="0" borderId="0"/>
    <xf numFmtId="9" fontId="22" fillId="0" borderId="0" applyFont="0" applyFill="0" applyBorder="0" applyAlignment="0" applyProtection="0"/>
    <xf numFmtId="9" fontId="22"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8" fillId="0" borderId="0"/>
    <xf numFmtId="0" fontId="2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xf numFmtId="9" fontId="188" fillId="0" borderId="0" applyFont="0" applyFill="0" applyBorder="0" applyAlignment="0" applyProtection="0"/>
    <xf numFmtId="0" fontId="28" fillId="0" borderId="0"/>
    <xf numFmtId="0" fontId="53" fillId="0" borderId="0"/>
    <xf numFmtId="9" fontId="188" fillId="0" borderId="0" applyFont="0" applyFill="0" applyBorder="0" applyAlignment="0" applyProtection="0"/>
    <xf numFmtId="0" fontId="73" fillId="0" borderId="0"/>
    <xf numFmtId="0" fontId="73" fillId="0" borderId="0"/>
    <xf numFmtId="0" fontId="22" fillId="0" borderId="0"/>
    <xf numFmtId="0" fontId="73" fillId="0" borderId="0"/>
    <xf numFmtId="9" fontId="188" fillId="0" borderId="0" applyFont="0" applyFill="0" applyBorder="0" applyAlignment="0" applyProtection="0"/>
    <xf numFmtId="9" fontId="188" fillId="0" borderId="0" applyFont="0" applyFill="0" applyBorder="0" applyAlignment="0" applyProtection="0"/>
    <xf numFmtId="9" fontId="22" fillId="0" borderId="0" applyFont="0" applyFill="0" applyBorder="0" applyAlignment="0" applyProtection="0"/>
    <xf numFmtId="0" fontId="22" fillId="0" borderId="0"/>
    <xf numFmtId="0" fontId="28" fillId="0" borderId="0"/>
    <xf numFmtId="0" fontId="73" fillId="0" borderId="0"/>
    <xf numFmtId="0" fontId="73" fillId="0" borderId="0"/>
    <xf numFmtId="0" fontId="73" fillId="0" borderId="0"/>
    <xf numFmtId="9" fontId="22" fillId="0" borderId="0" applyFont="0" applyFill="0" applyBorder="0" applyAlignment="0" applyProtection="0"/>
    <xf numFmtId="9" fontId="22" fillId="0" borderId="0" applyFont="0" applyFill="0" applyBorder="0" applyAlignment="0" applyProtection="0"/>
    <xf numFmtId="0" fontId="73" fillId="0" borderId="0"/>
    <xf numFmtId="0" fontId="22" fillId="0" borderId="0"/>
    <xf numFmtId="0" fontId="22" fillId="0" borderId="0"/>
    <xf numFmtId="0" fontId="22" fillId="0" borderId="0"/>
    <xf numFmtId="0" fontId="22" fillId="0" borderId="0"/>
    <xf numFmtId="0" fontId="22" fillId="0" borderId="0"/>
    <xf numFmtId="0" fontId="73" fillId="0" borderId="0"/>
    <xf numFmtId="0" fontId="30" fillId="0" borderId="11" applyNumberFormat="0" applyAlignment="0" applyProtection="0">
      <alignment horizontal="left" vertical="center"/>
    </xf>
    <xf numFmtId="0" fontId="28" fillId="0" borderId="0"/>
    <xf numFmtId="9" fontId="188" fillId="0" borderId="0" applyFont="0" applyFill="0" applyBorder="0" applyAlignment="0" applyProtection="0"/>
    <xf numFmtId="9" fontId="188" fillId="0" borderId="0" applyFont="0" applyFill="0" applyBorder="0" applyAlignment="0" applyProtection="0"/>
    <xf numFmtId="0" fontId="53" fillId="0" borderId="0"/>
    <xf numFmtId="9" fontId="22" fillId="0" borderId="0" applyFont="0" applyFill="0" applyBorder="0" applyAlignment="0" applyProtection="0"/>
    <xf numFmtId="0" fontId="28" fillId="0" borderId="0"/>
    <xf numFmtId="0" fontId="28" fillId="0" borderId="0"/>
    <xf numFmtId="0" fontId="22" fillId="0" borderId="0"/>
    <xf numFmtId="0" fontId="28" fillId="0" borderId="0"/>
    <xf numFmtId="0" fontId="28" fillId="0" borderId="0"/>
    <xf numFmtId="0" fontId="28" fillId="0" borderId="0"/>
    <xf numFmtId="0" fontId="28" fillId="0" borderId="0"/>
    <xf numFmtId="0" fontId="28" fillId="0" borderId="0"/>
    <xf numFmtId="0" fontId="2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53" fillId="0" borderId="0"/>
    <xf numFmtId="0" fontId="28" fillId="0" borderId="0"/>
    <xf numFmtId="0" fontId="28" fillId="0" borderId="0"/>
    <xf numFmtId="0" fontId="5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0" fontId="2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53" fillId="0" borderId="0"/>
    <xf numFmtId="0" fontId="53" fillId="0" borderId="0"/>
    <xf numFmtId="0" fontId="53" fillId="0" borderId="0"/>
    <xf numFmtId="0" fontId="53" fillId="0" borderId="0"/>
    <xf numFmtId="0" fontId="73" fillId="0" borderId="0"/>
    <xf numFmtId="0" fontId="22" fillId="0" borderId="0"/>
    <xf numFmtId="0" fontId="22" fillId="0" borderId="0"/>
    <xf numFmtId="0" fontId="22" fillId="0" borderId="0"/>
    <xf numFmtId="0" fontId="28" fillId="0" borderId="0"/>
    <xf numFmtId="0" fontId="53" fillId="0" borderId="0"/>
    <xf numFmtId="0" fontId="53" fillId="0" borderId="0"/>
    <xf numFmtId="9" fontId="188" fillId="0" borderId="0" applyFont="0" applyFill="0" applyBorder="0" applyAlignment="0" applyProtection="0"/>
    <xf numFmtId="0" fontId="53" fillId="0" borderId="0"/>
    <xf numFmtId="0" fontId="2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xf numFmtId="0" fontId="73" fillId="0" borderId="0"/>
    <xf numFmtId="0" fontId="53" fillId="0" borderId="0"/>
    <xf numFmtId="0" fontId="73" fillId="0" borderId="0"/>
    <xf numFmtId="0" fontId="28" fillId="0" borderId="0"/>
    <xf numFmtId="0" fontId="73" fillId="0" borderId="0"/>
    <xf numFmtId="0" fontId="53" fillId="0" borderId="0"/>
    <xf numFmtId="0" fontId="22" fillId="0" borderId="0"/>
    <xf numFmtId="0" fontId="22" fillId="0" borderId="0"/>
    <xf numFmtId="0" fontId="22" fillId="0" borderId="0"/>
    <xf numFmtId="0" fontId="22" fillId="0" borderId="0"/>
    <xf numFmtId="0" fontId="53" fillId="0" borderId="0"/>
    <xf numFmtId="0" fontId="53" fillId="0" borderId="0"/>
    <xf numFmtId="0" fontId="28" fillId="0" borderId="0"/>
    <xf numFmtId="0" fontId="53" fillId="0" borderId="0"/>
    <xf numFmtId="0" fontId="73" fillId="0" borderId="0"/>
    <xf numFmtId="0" fontId="53" fillId="0" borderId="0"/>
    <xf numFmtId="0" fontId="73" fillId="0" borderId="0"/>
    <xf numFmtId="0" fontId="73" fillId="0" borderId="0"/>
    <xf numFmtId="0" fontId="53" fillId="0" borderId="0"/>
    <xf numFmtId="0" fontId="28" fillId="0" borderId="0"/>
    <xf numFmtId="0" fontId="73" fillId="0" borderId="0"/>
    <xf numFmtId="0" fontId="73" fillId="0" borderId="0"/>
    <xf numFmtId="9" fontId="22" fillId="0" borderId="0" applyFont="0" applyFill="0" applyBorder="0" applyAlignment="0" applyProtection="0"/>
    <xf numFmtId="0" fontId="28" fillId="0" borderId="0"/>
    <xf numFmtId="0" fontId="22" fillId="0" borderId="0"/>
    <xf numFmtId="0" fontId="53" fillId="0" borderId="0"/>
    <xf numFmtId="0" fontId="73" fillId="0" borderId="0"/>
    <xf numFmtId="0" fontId="53" fillId="0" borderId="0"/>
    <xf numFmtId="0" fontId="28" fillId="0" borderId="0"/>
    <xf numFmtId="0" fontId="53" fillId="0" borderId="0"/>
    <xf numFmtId="9" fontId="22" fillId="0" borderId="0" applyFont="0" applyFill="0" applyBorder="0" applyAlignment="0" applyProtection="0"/>
    <xf numFmtId="0" fontId="28" fillId="0" borderId="0"/>
    <xf numFmtId="0" fontId="22" fillId="0" borderId="0"/>
    <xf numFmtId="0" fontId="2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189" fillId="0" borderId="0"/>
    <xf numFmtId="0" fontId="73" fillId="0" borderId="0"/>
    <xf numFmtId="0" fontId="53" fillId="0" borderId="0"/>
    <xf numFmtId="0" fontId="73" fillId="0" borderId="0"/>
    <xf numFmtId="0" fontId="53" fillId="0" borderId="0"/>
    <xf numFmtId="9" fontId="22" fillId="0" borderId="0" applyFont="0" applyFill="0" applyBorder="0" applyAlignment="0" applyProtection="0"/>
    <xf numFmtId="0" fontId="28" fillId="0" borderId="0"/>
    <xf numFmtId="0" fontId="53" fillId="0" borderId="0"/>
    <xf numFmtId="0" fontId="28" fillId="0" borderId="0"/>
    <xf numFmtId="0" fontId="28" fillId="0" borderId="0"/>
    <xf numFmtId="0" fontId="28" fillId="0" borderId="0"/>
    <xf numFmtId="0" fontId="28" fillId="0" borderId="0"/>
    <xf numFmtId="0" fontId="22" fillId="0" borderId="0"/>
    <xf numFmtId="0" fontId="22" fillId="0" borderId="0"/>
    <xf numFmtId="0" fontId="28" fillId="0" borderId="0"/>
    <xf numFmtId="0" fontId="22" fillId="0" borderId="0"/>
    <xf numFmtId="0" fontId="189" fillId="0" borderId="0"/>
    <xf numFmtId="0" fontId="28" fillId="0" borderId="0"/>
    <xf numFmtId="0" fontId="28" fillId="0" borderId="0"/>
    <xf numFmtId="0" fontId="28" fillId="0" borderId="0"/>
    <xf numFmtId="0" fontId="28" fillId="0" borderId="0"/>
    <xf numFmtId="0" fontId="22" fillId="0" borderId="0"/>
    <xf numFmtId="0" fontId="28" fillId="0" borderId="0"/>
    <xf numFmtId="0" fontId="28" fillId="0" borderId="0"/>
    <xf numFmtId="0" fontId="22" fillId="0" borderId="0"/>
    <xf numFmtId="0" fontId="28" fillId="0" borderId="0"/>
    <xf numFmtId="0" fontId="28" fillId="0" borderId="0"/>
    <xf numFmtId="0" fontId="28" fillId="0" borderId="0"/>
    <xf numFmtId="0" fontId="28" fillId="0" borderId="0"/>
    <xf numFmtId="0" fontId="22" fillId="0" borderId="0"/>
    <xf numFmtId="0" fontId="53" fillId="0" borderId="0"/>
    <xf numFmtId="0" fontId="28" fillId="0" borderId="0"/>
    <xf numFmtId="0" fontId="53" fillId="0" borderId="0"/>
    <xf numFmtId="0" fontId="28" fillId="0" borderId="0"/>
    <xf numFmtId="9" fontId="22" fillId="0" borderId="0" applyFont="0" applyFill="0" applyBorder="0" applyAlignment="0" applyProtection="0"/>
    <xf numFmtId="0" fontId="53" fillId="0" borderId="0"/>
    <xf numFmtId="0" fontId="53" fillId="0" borderId="0"/>
    <xf numFmtId="9" fontId="22" fillId="0" borderId="0" applyFont="0" applyFill="0" applyBorder="0" applyAlignment="0" applyProtection="0"/>
    <xf numFmtId="0" fontId="53" fillId="0" borderId="0"/>
    <xf numFmtId="0" fontId="73" fillId="0" borderId="0"/>
    <xf numFmtId="201" fontId="28" fillId="0" borderId="0" applyFont="0" applyFill="0" applyBorder="0" applyAlignment="0" applyProtection="0"/>
    <xf numFmtId="201" fontId="28" fillId="0" borderId="0" applyFont="0" applyFill="0" applyBorder="0" applyAlignment="0" applyProtection="0"/>
    <xf numFmtId="202" fontId="190" fillId="0" borderId="0" applyFont="0" applyFill="0" applyBorder="0" applyAlignment="0" applyProtection="0"/>
    <xf numFmtId="202" fontId="190" fillId="0" borderId="0" applyFont="0" applyFill="0" applyBorder="0" applyAlignment="0" applyProtection="0"/>
    <xf numFmtId="0" fontId="73" fillId="0" borderId="0"/>
    <xf numFmtId="0" fontId="73" fillId="0" borderId="0"/>
    <xf numFmtId="0" fontId="53" fillId="0" borderId="0"/>
    <xf numFmtId="0" fontId="53" fillId="0" borderId="0"/>
    <xf numFmtId="0" fontId="73" fillId="0" borderId="0"/>
    <xf numFmtId="0" fontId="28" fillId="0" borderId="0"/>
    <xf numFmtId="0" fontId="53" fillId="0" borderId="0"/>
    <xf numFmtId="0" fontId="53" fillId="0" borderId="0"/>
    <xf numFmtId="0" fontId="53" fillId="0" borderId="0"/>
    <xf numFmtId="0" fontId="73" fillId="0" borderId="0"/>
    <xf numFmtId="0" fontId="53" fillId="0" borderId="0"/>
    <xf numFmtId="0" fontId="53" fillId="0" borderId="0"/>
    <xf numFmtId="0" fontId="28" fillId="0" borderId="0"/>
    <xf numFmtId="0" fontId="28" fillId="0" borderId="0"/>
    <xf numFmtId="0" fontId="5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53" fillId="0" borderId="0"/>
    <xf numFmtId="0" fontId="53" fillId="0" borderId="0"/>
    <xf numFmtId="0" fontId="53" fillId="0" borderId="0"/>
    <xf numFmtId="0" fontId="53" fillId="0" borderId="0"/>
    <xf numFmtId="0" fontId="28" fillId="0" borderId="0"/>
    <xf numFmtId="0" fontId="73" fillId="0" borderId="0"/>
    <xf numFmtId="0" fontId="53" fillId="0" borderId="0"/>
    <xf numFmtId="0" fontId="53" fillId="0" borderId="0"/>
    <xf numFmtId="0" fontId="73" fillId="0" borderId="0"/>
    <xf numFmtId="0" fontId="73" fillId="0" borderId="0"/>
    <xf numFmtId="0" fontId="73" fillId="0" borderId="0"/>
    <xf numFmtId="0" fontId="53" fillId="0" borderId="0"/>
    <xf numFmtId="0" fontId="53" fillId="0" borderId="0"/>
    <xf numFmtId="0" fontId="22" fillId="0" borderId="0"/>
    <xf numFmtId="9" fontId="188" fillId="0" borderId="0" applyFont="0" applyFill="0" applyBorder="0" applyAlignment="0" applyProtection="0"/>
    <xf numFmtId="0" fontId="7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8" fillId="0" borderId="0"/>
    <xf numFmtId="0" fontId="28" fillId="0" borderId="0"/>
    <xf numFmtId="0" fontId="22" fillId="0" borderId="0"/>
    <xf numFmtId="0" fontId="28" fillId="0" borderId="0"/>
    <xf numFmtId="9" fontId="188" fillId="0" borderId="0" applyFont="0" applyFill="0" applyBorder="0" applyAlignment="0" applyProtection="0"/>
    <xf numFmtId="0" fontId="73" fillId="0" borderId="0"/>
    <xf numFmtId="9" fontId="22" fillId="0" borderId="0" applyFont="0" applyFill="0" applyBorder="0" applyAlignment="0" applyProtection="0"/>
    <xf numFmtId="0" fontId="22" fillId="0" borderId="0"/>
    <xf numFmtId="0" fontId="53" fillId="0" borderId="0"/>
    <xf numFmtId="0" fontId="73" fillId="0" borderId="0"/>
    <xf numFmtId="0" fontId="73" fillId="0" borderId="0"/>
    <xf numFmtId="0" fontId="28" fillId="0" borderId="0"/>
    <xf numFmtId="0" fontId="28" fillId="0" borderId="0"/>
    <xf numFmtId="0" fontId="28" fillId="0" borderId="0"/>
    <xf numFmtId="0" fontId="53" fillId="0" borderId="0"/>
    <xf numFmtId="9" fontId="188" fillId="0" borderId="0" applyFont="0" applyFill="0" applyBorder="0" applyAlignment="0" applyProtection="0"/>
    <xf numFmtId="0" fontId="53" fillId="0" borderId="0"/>
    <xf numFmtId="0" fontId="53" fillId="0" borderId="0"/>
    <xf numFmtId="0" fontId="73" fillId="0" borderId="0"/>
    <xf numFmtId="0" fontId="73" fillId="0" borderId="0"/>
    <xf numFmtId="9" fontId="22" fillId="0" borderId="0" applyFont="0" applyFill="0" applyBorder="0" applyAlignment="0" applyProtection="0"/>
    <xf numFmtId="0" fontId="53" fillId="0" borderId="0"/>
    <xf numFmtId="0" fontId="28" fillId="0" borderId="0"/>
    <xf numFmtId="0" fontId="28" fillId="0" borderId="0"/>
    <xf numFmtId="9" fontId="188" fillId="0" borderId="0" applyFont="0" applyFill="0" applyBorder="0" applyAlignment="0" applyProtection="0"/>
    <xf numFmtId="9" fontId="22" fillId="0" borderId="0" applyFont="0" applyFill="0" applyBorder="0" applyAlignment="0" applyProtection="0"/>
    <xf numFmtId="9" fontId="188" fillId="0" borderId="0" applyFont="0" applyFill="0" applyBorder="0" applyAlignment="0" applyProtection="0"/>
    <xf numFmtId="0" fontId="53" fillId="0" borderId="0"/>
    <xf numFmtId="0" fontId="28" fillId="0" borderId="0"/>
    <xf numFmtId="0" fontId="73" fillId="0" borderId="0"/>
    <xf numFmtId="0" fontId="73" fillId="0" borderId="0"/>
    <xf numFmtId="0" fontId="53" fillId="0" borderId="0"/>
    <xf numFmtId="40" fontId="183" fillId="0" borderId="0" applyFont="0" applyFill="0" applyBorder="0" applyAlignment="0" applyProtection="0"/>
    <xf numFmtId="0" fontId="22" fillId="0" borderId="0"/>
    <xf numFmtId="0" fontId="73" fillId="0" borderId="0"/>
    <xf numFmtId="0" fontId="28" fillId="0" borderId="0"/>
    <xf numFmtId="0" fontId="28" fillId="0" borderId="0"/>
    <xf numFmtId="9" fontId="188" fillId="0" borderId="0" applyFont="0" applyFill="0" applyBorder="0" applyAlignment="0" applyProtection="0"/>
    <xf numFmtId="0" fontId="73" fillId="0" borderId="0"/>
    <xf numFmtId="0" fontId="73" fillId="0" borderId="0"/>
    <xf numFmtId="0" fontId="73" fillId="0" borderId="0"/>
    <xf numFmtId="0" fontId="53" fillId="0" borderId="0"/>
    <xf numFmtId="0" fontId="28" fillId="0" borderId="0"/>
    <xf numFmtId="0" fontId="53" fillId="0" borderId="0"/>
    <xf numFmtId="0" fontId="28" fillId="0" borderId="0"/>
    <xf numFmtId="0" fontId="28" fillId="0" borderId="0"/>
    <xf numFmtId="0" fontId="28" fillId="0" borderId="0"/>
    <xf numFmtId="0" fontId="53" fillId="0" borderId="0"/>
    <xf numFmtId="0" fontId="73" fillId="0" borderId="0"/>
    <xf numFmtId="0" fontId="28" fillId="0" borderId="0"/>
    <xf numFmtId="0" fontId="22" fillId="0" borderId="0"/>
    <xf numFmtId="0" fontId="53" fillId="0" borderId="0"/>
    <xf numFmtId="0" fontId="28" fillId="0" borderId="0"/>
    <xf numFmtId="0" fontId="7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53" fillId="0" borderId="0"/>
    <xf numFmtId="0" fontId="53" fillId="0" borderId="0"/>
    <xf numFmtId="0" fontId="28" fillId="0" borderId="0"/>
    <xf numFmtId="0" fontId="28" fillId="0" borderId="0"/>
    <xf numFmtId="0" fontId="53" fillId="0" borderId="0"/>
    <xf numFmtId="0" fontId="191" fillId="0" borderId="0"/>
    <xf numFmtId="9" fontId="28" fillId="78" borderId="0"/>
    <xf numFmtId="0" fontId="22" fillId="0" borderId="0" applyNumberFormat="0" applyFill="0" applyBorder="0" applyAlignment="0" applyProtection="0"/>
    <xf numFmtId="0" fontId="73" fillId="0" borderId="0" applyFont="0" applyFill="0" applyBorder="0" applyAlignment="0" applyProtection="0"/>
    <xf numFmtId="180" fontId="73" fillId="0" borderId="0" applyFont="0" applyFill="0" applyBorder="0" applyAlignment="0" applyProtection="0"/>
    <xf numFmtId="0" fontId="28" fillId="0" borderId="0"/>
    <xf numFmtId="181" fontId="73" fillId="0" borderId="0" applyFont="0" applyFill="0" applyBorder="0" applyAlignment="0" applyProtection="0"/>
    <xf numFmtId="9" fontId="192" fillId="0" borderId="0" applyFont="0" applyFill="0" applyBorder="0" applyAlignment="0" applyProtection="0"/>
    <xf numFmtId="0" fontId="43" fillId="37" borderId="0" applyNumberFormat="0" applyBorder="0" applyAlignment="0" applyProtection="0">
      <alignment vertical="center"/>
    </xf>
    <xf numFmtId="0" fontId="193" fillId="79" borderId="0" applyNumberFormat="0" applyBorder="0" applyAlignment="0" applyProtection="0">
      <alignment vertical="center"/>
    </xf>
    <xf numFmtId="0" fontId="43" fillId="37" borderId="0" applyNumberFormat="0" applyBorder="0" applyAlignment="0" applyProtection="0">
      <alignment vertical="center"/>
    </xf>
    <xf numFmtId="0" fontId="193" fillId="79"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37"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193" fillId="79" borderId="0" applyNumberFormat="0" applyBorder="0" applyAlignment="0" applyProtection="0">
      <alignment vertical="center"/>
    </xf>
    <xf numFmtId="0" fontId="193" fillId="79" borderId="0" applyNumberFormat="0" applyBorder="0" applyAlignment="0" applyProtection="0">
      <alignment vertical="center"/>
    </xf>
    <xf numFmtId="0" fontId="43" fillId="38" borderId="0" applyNumberFormat="0" applyBorder="0" applyAlignment="0" applyProtection="0">
      <alignment vertical="center"/>
    </xf>
    <xf numFmtId="0" fontId="193" fillId="80" borderId="0" applyNumberFormat="0" applyBorder="0" applyAlignment="0" applyProtection="0">
      <alignment vertical="center"/>
    </xf>
    <xf numFmtId="0" fontId="43" fillId="38" borderId="0" applyNumberFormat="0" applyBorder="0" applyAlignment="0" applyProtection="0">
      <alignment vertical="center"/>
    </xf>
    <xf numFmtId="0" fontId="193" fillId="80"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1" fillId="14"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193" fillId="80" borderId="0" applyNumberFormat="0" applyBorder="0" applyAlignment="0" applyProtection="0">
      <alignment vertical="center"/>
    </xf>
    <xf numFmtId="0" fontId="193" fillId="80" borderId="0" applyNumberFormat="0" applyBorder="0" applyAlignment="0" applyProtection="0">
      <alignment vertical="center"/>
    </xf>
    <xf numFmtId="0" fontId="43" fillId="39" borderId="0" applyNumberFormat="0" applyBorder="0" applyAlignment="0" applyProtection="0">
      <alignment vertical="center"/>
    </xf>
    <xf numFmtId="0" fontId="193" fillId="80" borderId="0" applyNumberFormat="0" applyBorder="0" applyAlignment="0" applyProtection="0">
      <alignment vertical="center"/>
    </xf>
    <xf numFmtId="0" fontId="43" fillId="39" borderId="0" applyNumberFormat="0" applyBorder="0" applyAlignment="0" applyProtection="0">
      <alignment vertical="center"/>
    </xf>
    <xf numFmtId="0" fontId="193" fillId="80"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1" fillId="18"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39" borderId="0" applyNumberFormat="0" applyBorder="0" applyAlignment="0" applyProtection="0">
      <alignment vertical="center"/>
    </xf>
    <xf numFmtId="0" fontId="43" fillId="58" borderId="0" applyNumberFormat="0" applyBorder="0" applyAlignment="0" applyProtection="0">
      <alignment vertical="center"/>
    </xf>
    <xf numFmtId="0" fontId="43" fillId="58" borderId="0" applyNumberFormat="0" applyBorder="0" applyAlignment="0" applyProtection="0">
      <alignment vertical="center"/>
    </xf>
    <xf numFmtId="0" fontId="193" fillId="80" borderId="0" applyNumberFormat="0" applyBorder="0" applyAlignment="0" applyProtection="0">
      <alignment vertical="center"/>
    </xf>
    <xf numFmtId="0" fontId="193" fillId="80" borderId="0" applyNumberFormat="0" applyBorder="0" applyAlignment="0" applyProtection="0">
      <alignment vertical="center"/>
    </xf>
    <xf numFmtId="0" fontId="43" fillId="40" borderId="0" applyNumberFormat="0" applyBorder="0" applyAlignment="0" applyProtection="0">
      <alignment vertical="center"/>
    </xf>
    <xf numFmtId="0" fontId="193" fillId="81" borderId="0" applyNumberFormat="0" applyBorder="0" applyAlignment="0" applyProtection="0">
      <alignment vertical="center"/>
    </xf>
    <xf numFmtId="0" fontId="43" fillId="40" borderId="0" applyNumberFormat="0" applyBorder="0" applyAlignment="0" applyProtection="0">
      <alignment vertical="center"/>
    </xf>
    <xf numFmtId="0" fontId="193" fillId="81"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1" fillId="22"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193" fillId="81" borderId="0" applyNumberFormat="0" applyBorder="0" applyAlignment="0" applyProtection="0">
      <alignment vertical="center"/>
    </xf>
    <xf numFmtId="0" fontId="193" fillId="81" borderId="0" applyNumberFormat="0" applyBorder="0" applyAlignment="0" applyProtection="0">
      <alignment vertical="center"/>
    </xf>
    <xf numFmtId="0" fontId="43" fillId="41" borderId="0" applyNumberFormat="0" applyBorder="0" applyAlignment="0" applyProtection="0">
      <alignment vertical="center"/>
    </xf>
    <xf numFmtId="0" fontId="193" fillId="79" borderId="0" applyNumberFormat="0" applyBorder="0" applyAlignment="0" applyProtection="0">
      <alignment vertical="center"/>
    </xf>
    <xf numFmtId="0" fontId="43" fillId="41" borderId="0" applyNumberFormat="0" applyBorder="0" applyAlignment="0" applyProtection="0">
      <alignment vertical="center"/>
    </xf>
    <xf numFmtId="0" fontId="193" fillId="79"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1" fillId="26"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43" fillId="41" borderId="0" applyNumberFormat="0" applyBorder="0" applyAlignment="0" applyProtection="0">
      <alignment vertical="center"/>
    </xf>
    <xf numFmtId="0" fontId="193" fillId="79" borderId="0" applyNumberFormat="0" applyBorder="0" applyAlignment="0" applyProtection="0">
      <alignment vertical="center"/>
    </xf>
    <xf numFmtId="0" fontId="193" fillId="79" borderId="0" applyNumberFormat="0" applyBorder="0" applyAlignment="0" applyProtection="0">
      <alignment vertical="center"/>
    </xf>
    <xf numFmtId="0" fontId="43" fillId="42" borderId="0" applyNumberFormat="0" applyBorder="0" applyAlignment="0" applyProtection="0">
      <alignment vertical="center"/>
    </xf>
    <xf numFmtId="0" fontId="193" fillId="82" borderId="0" applyNumberFormat="0" applyBorder="0" applyAlignment="0" applyProtection="0">
      <alignment vertical="center"/>
    </xf>
    <xf numFmtId="0" fontId="43" fillId="42" borderId="0" applyNumberFormat="0" applyBorder="0" applyAlignment="0" applyProtection="0">
      <alignment vertical="center"/>
    </xf>
    <xf numFmtId="0" fontId="193" fillId="8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1" fillId="30"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42" borderId="0" applyNumberFormat="0" applyBorder="0" applyAlignment="0" applyProtection="0">
      <alignment vertical="center"/>
    </xf>
    <xf numFmtId="0" fontId="43" fillId="58" borderId="0" applyNumberFormat="0" applyBorder="0" applyAlignment="0" applyProtection="0">
      <alignment vertical="center"/>
    </xf>
    <xf numFmtId="0" fontId="43" fillId="58" borderId="0" applyNumberFormat="0" applyBorder="0" applyAlignment="0" applyProtection="0">
      <alignment vertical="center"/>
    </xf>
    <xf numFmtId="0" fontId="193" fillId="82" borderId="0" applyNumberFormat="0" applyBorder="0" applyAlignment="0" applyProtection="0">
      <alignment vertical="center"/>
    </xf>
    <xf numFmtId="0" fontId="193" fillId="82" borderId="0" applyNumberFormat="0" applyBorder="0" applyAlignment="0" applyProtection="0">
      <alignment vertical="center"/>
    </xf>
    <xf numFmtId="201" fontId="28" fillId="0" borderId="0" applyFont="0" applyFill="0" applyBorder="0" applyAlignment="0" applyProtection="0"/>
    <xf numFmtId="0" fontId="194" fillId="0" borderId="0">
      <alignment horizontal="centerContinuous"/>
    </xf>
    <xf numFmtId="0" fontId="43" fillId="43" borderId="0" applyNumberFormat="0" applyBorder="0" applyAlignment="0" applyProtection="0">
      <alignment vertical="center"/>
    </xf>
    <xf numFmtId="0" fontId="193" fillId="79" borderId="0" applyNumberFormat="0" applyBorder="0" applyAlignment="0" applyProtection="0">
      <alignment vertical="center"/>
    </xf>
    <xf numFmtId="0" fontId="43" fillId="43" borderId="0" applyNumberFormat="0" applyBorder="0" applyAlignment="0" applyProtection="0">
      <alignment vertical="center"/>
    </xf>
    <xf numFmtId="0" fontId="193" fillId="79"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55" borderId="0" applyNumberFormat="0" applyBorder="0" applyAlignment="0" applyProtection="0">
      <alignment vertical="center"/>
    </xf>
    <xf numFmtId="0" fontId="43" fillId="55" borderId="0" applyNumberFormat="0" applyBorder="0" applyAlignment="0" applyProtection="0">
      <alignment vertical="center"/>
    </xf>
    <xf numFmtId="0" fontId="193" fillId="79" borderId="0" applyNumberFormat="0" applyBorder="0" applyAlignment="0" applyProtection="0">
      <alignment vertical="center"/>
    </xf>
    <xf numFmtId="0" fontId="193" fillId="79" borderId="0" applyNumberFormat="0" applyBorder="0" applyAlignment="0" applyProtection="0">
      <alignment vertical="center"/>
    </xf>
    <xf numFmtId="0" fontId="43" fillId="44" borderId="0" applyNumberFormat="0" applyBorder="0" applyAlignment="0" applyProtection="0">
      <alignment vertical="center"/>
    </xf>
    <xf numFmtId="0" fontId="193" fillId="80" borderId="0" applyNumberFormat="0" applyBorder="0" applyAlignment="0" applyProtection="0">
      <alignment vertical="center"/>
    </xf>
    <xf numFmtId="0" fontId="43" fillId="44" borderId="0" applyNumberFormat="0" applyBorder="0" applyAlignment="0" applyProtection="0">
      <alignment vertical="center"/>
    </xf>
    <xf numFmtId="0" fontId="193" fillId="80"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43" fillId="44" borderId="0" applyNumberFormat="0" applyBorder="0" applyAlignment="0" applyProtection="0">
      <alignment vertical="center"/>
    </xf>
    <xf numFmtId="0" fontId="193" fillId="80" borderId="0" applyNumberFormat="0" applyBorder="0" applyAlignment="0" applyProtection="0">
      <alignment vertical="center"/>
    </xf>
    <xf numFmtId="0" fontId="193" fillId="80" borderId="0" applyNumberFormat="0" applyBorder="0" applyAlignment="0" applyProtection="0">
      <alignment vertical="center"/>
    </xf>
    <xf numFmtId="0" fontId="43" fillId="45" borderId="0" applyNumberFormat="0" applyBorder="0" applyAlignment="0" applyProtection="0">
      <alignment vertical="center"/>
    </xf>
    <xf numFmtId="0" fontId="193" fillId="80" borderId="0" applyNumberFormat="0" applyBorder="0" applyAlignment="0" applyProtection="0">
      <alignment vertical="center"/>
    </xf>
    <xf numFmtId="0" fontId="43" fillId="45" borderId="0" applyNumberFormat="0" applyBorder="0" applyAlignment="0" applyProtection="0">
      <alignment vertical="center"/>
    </xf>
    <xf numFmtId="0" fontId="193" fillId="80"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45" borderId="0" applyNumberFormat="0" applyBorder="0" applyAlignment="0" applyProtection="0">
      <alignment vertical="center"/>
    </xf>
    <xf numFmtId="0" fontId="43" fillId="57" borderId="0" applyNumberFormat="0" applyBorder="0" applyAlignment="0" applyProtection="0">
      <alignment vertical="center"/>
    </xf>
    <xf numFmtId="0" fontId="43" fillId="57" borderId="0" applyNumberFormat="0" applyBorder="0" applyAlignment="0" applyProtection="0">
      <alignment vertical="center"/>
    </xf>
    <xf numFmtId="0" fontId="193" fillId="80" borderId="0" applyNumberFormat="0" applyBorder="0" applyAlignment="0" applyProtection="0">
      <alignment vertical="center"/>
    </xf>
    <xf numFmtId="0" fontId="193" fillId="80" borderId="0" applyNumberFormat="0" applyBorder="0" applyAlignment="0" applyProtection="0">
      <alignment vertical="center"/>
    </xf>
    <xf numFmtId="0" fontId="43" fillId="40" borderId="0" applyNumberFormat="0" applyBorder="0" applyAlignment="0" applyProtection="0">
      <alignment vertical="center"/>
    </xf>
    <xf numFmtId="0" fontId="193" fillId="81" borderId="0" applyNumberFormat="0" applyBorder="0" applyAlignment="0" applyProtection="0">
      <alignment vertical="center"/>
    </xf>
    <xf numFmtId="0" fontId="43" fillId="40" borderId="0" applyNumberFormat="0" applyBorder="0" applyAlignment="0" applyProtection="0">
      <alignment vertical="center"/>
    </xf>
    <xf numFmtId="0" fontId="193" fillId="81"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40" borderId="0" applyNumberFormat="0" applyBorder="0" applyAlignment="0" applyProtection="0">
      <alignment vertical="center"/>
    </xf>
    <xf numFmtId="0" fontId="43" fillId="55" borderId="0" applyNumberFormat="0" applyBorder="0" applyAlignment="0" applyProtection="0">
      <alignment vertical="center"/>
    </xf>
    <xf numFmtId="0" fontId="43" fillId="55" borderId="0" applyNumberFormat="0" applyBorder="0" applyAlignment="0" applyProtection="0">
      <alignment vertical="center"/>
    </xf>
    <xf numFmtId="0" fontId="193" fillId="81" borderId="0" applyNumberFormat="0" applyBorder="0" applyAlignment="0" applyProtection="0">
      <alignment vertical="center"/>
    </xf>
    <xf numFmtId="0" fontId="193" fillId="81" borderId="0" applyNumberFormat="0" applyBorder="0" applyAlignment="0" applyProtection="0">
      <alignment vertical="center"/>
    </xf>
    <xf numFmtId="0" fontId="43" fillId="43" borderId="0" applyNumberFormat="0" applyBorder="0" applyAlignment="0" applyProtection="0">
      <alignment vertical="center"/>
    </xf>
    <xf numFmtId="0" fontId="193" fillId="79" borderId="0" applyNumberFormat="0" applyBorder="0" applyAlignment="0" applyProtection="0">
      <alignment vertical="center"/>
    </xf>
    <xf numFmtId="0" fontId="43" fillId="43" borderId="0" applyNumberFormat="0" applyBorder="0" applyAlignment="0" applyProtection="0">
      <alignment vertical="center"/>
    </xf>
    <xf numFmtId="0" fontId="193" fillId="79"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43" fillId="43" borderId="0" applyNumberFormat="0" applyBorder="0" applyAlignment="0" applyProtection="0">
      <alignment vertical="center"/>
    </xf>
    <xf numFmtId="0" fontId="193" fillId="79" borderId="0" applyNumberFormat="0" applyBorder="0" applyAlignment="0" applyProtection="0">
      <alignment vertical="center"/>
    </xf>
    <xf numFmtId="0" fontId="193" fillId="79" borderId="0" applyNumberFormat="0" applyBorder="0" applyAlignment="0" applyProtection="0">
      <alignment vertical="center"/>
    </xf>
    <xf numFmtId="0" fontId="43" fillId="46" borderId="0" applyNumberFormat="0" applyBorder="0" applyAlignment="0" applyProtection="0">
      <alignment vertical="center"/>
    </xf>
    <xf numFmtId="0" fontId="193" fillId="82" borderId="0" applyNumberFormat="0" applyBorder="0" applyAlignment="0" applyProtection="0">
      <alignment vertical="center"/>
    </xf>
    <xf numFmtId="0" fontId="43" fillId="46" borderId="0" applyNumberFormat="0" applyBorder="0" applyAlignment="0" applyProtection="0">
      <alignment vertical="center"/>
    </xf>
    <xf numFmtId="0" fontId="193" fillId="82"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46" borderId="0" applyNumberFormat="0" applyBorder="0" applyAlignment="0" applyProtection="0">
      <alignment vertical="center"/>
    </xf>
    <xf numFmtId="0" fontId="43" fillId="57" borderId="0" applyNumberFormat="0" applyBorder="0" applyAlignment="0" applyProtection="0">
      <alignment vertical="center"/>
    </xf>
    <xf numFmtId="0" fontId="43" fillId="57" borderId="0" applyNumberFormat="0" applyBorder="0" applyAlignment="0" applyProtection="0">
      <alignment vertical="center"/>
    </xf>
    <xf numFmtId="0" fontId="193" fillId="82" borderId="0" applyNumberFormat="0" applyBorder="0" applyAlignment="0" applyProtection="0">
      <alignment vertical="center"/>
    </xf>
    <xf numFmtId="0" fontId="193" fillId="82" borderId="0" applyNumberFormat="0" applyBorder="0" applyAlignment="0" applyProtection="0">
      <alignment vertical="center"/>
    </xf>
    <xf numFmtId="0" fontId="195" fillId="47" borderId="0" applyNumberFormat="0" applyBorder="0" applyAlignment="0" applyProtection="0">
      <alignment vertical="center"/>
    </xf>
    <xf numFmtId="0" fontId="195" fillId="44" borderId="0" applyNumberFormat="0" applyBorder="0" applyAlignment="0" applyProtection="0">
      <alignment vertical="center"/>
    </xf>
    <xf numFmtId="0" fontId="195" fillId="45" borderId="0" applyNumberFormat="0" applyBorder="0" applyAlignment="0" applyProtection="0">
      <alignment vertical="center"/>
    </xf>
    <xf numFmtId="0" fontId="195" fillId="48" borderId="0" applyNumberFormat="0" applyBorder="0" applyAlignment="0" applyProtection="0">
      <alignment vertical="center"/>
    </xf>
    <xf numFmtId="0" fontId="195" fillId="49" borderId="0" applyNumberFormat="0" applyBorder="0" applyAlignment="0" applyProtection="0">
      <alignment vertical="center"/>
    </xf>
    <xf numFmtId="0" fontId="195" fillId="50" borderId="0" applyNumberFormat="0" applyBorder="0" applyAlignment="0" applyProtection="0">
      <alignment vertical="center"/>
    </xf>
    <xf numFmtId="0" fontId="80" fillId="47" borderId="0" applyNumberFormat="0" applyBorder="0" applyAlignment="0" applyProtection="0">
      <alignment vertical="center"/>
    </xf>
    <xf numFmtId="0" fontId="196" fillId="83" borderId="0" applyNumberFormat="0" applyBorder="0" applyAlignment="0" applyProtection="0">
      <alignment vertical="center"/>
    </xf>
    <xf numFmtId="0" fontId="80" fillId="47" borderId="0" applyNumberFormat="0" applyBorder="0" applyAlignment="0" applyProtection="0">
      <alignment vertical="center"/>
    </xf>
    <xf numFmtId="0" fontId="196" fillId="83"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164" fillId="12" borderId="0" applyNumberFormat="0" applyBorder="0" applyAlignment="0" applyProtection="0">
      <alignment vertical="center"/>
    </xf>
    <xf numFmtId="0" fontId="164" fillId="12" borderId="0" applyNumberFormat="0" applyBorder="0" applyAlignment="0" applyProtection="0">
      <alignment vertical="center"/>
    </xf>
    <xf numFmtId="0" fontId="164" fillId="12" borderId="0" applyNumberFormat="0" applyBorder="0" applyAlignment="0" applyProtection="0">
      <alignment vertical="center"/>
    </xf>
    <xf numFmtId="0" fontId="164" fillId="12" borderId="0" applyNumberFormat="0" applyBorder="0" applyAlignment="0" applyProtection="0">
      <alignment vertical="center"/>
    </xf>
    <xf numFmtId="0" fontId="164" fillId="12"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7"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196" fillId="83" borderId="0" applyNumberFormat="0" applyBorder="0" applyAlignment="0" applyProtection="0">
      <alignment vertical="center"/>
    </xf>
    <xf numFmtId="0" fontId="80" fillId="47" borderId="0" applyNumberFormat="0" applyBorder="0" applyAlignment="0" applyProtection="0">
      <alignment vertical="center"/>
    </xf>
    <xf numFmtId="0" fontId="196" fillId="83" borderId="0" applyNumberFormat="0" applyBorder="0" applyAlignment="0" applyProtection="0">
      <alignment vertical="center"/>
    </xf>
    <xf numFmtId="0" fontId="80" fillId="44" borderId="0" applyNumberFormat="0" applyBorder="0" applyAlignment="0" applyProtection="0">
      <alignment vertical="center"/>
    </xf>
    <xf numFmtId="0" fontId="196" fillId="55" borderId="0" applyNumberFormat="0" applyBorder="0" applyAlignment="0" applyProtection="0">
      <alignment vertical="center"/>
    </xf>
    <xf numFmtId="0" fontId="80" fillId="44" borderId="0" applyNumberFormat="0" applyBorder="0" applyAlignment="0" applyProtection="0">
      <alignment vertical="center"/>
    </xf>
    <xf numFmtId="0" fontId="196" fillId="55"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164" fillId="16" borderId="0" applyNumberFormat="0" applyBorder="0" applyAlignment="0" applyProtection="0">
      <alignment vertical="center"/>
    </xf>
    <xf numFmtId="0" fontId="164" fillId="16" borderId="0" applyNumberFormat="0" applyBorder="0" applyAlignment="0" applyProtection="0">
      <alignment vertical="center"/>
    </xf>
    <xf numFmtId="0" fontId="164" fillId="16" borderId="0" applyNumberFormat="0" applyBorder="0" applyAlignment="0" applyProtection="0">
      <alignment vertical="center"/>
    </xf>
    <xf numFmtId="0" fontId="164" fillId="16" borderId="0" applyNumberFormat="0" applyBorder="0" applyAlignment="0" applyProtection="0">
      <alignment vertical="center"/>
    </xf>
    <xf numFmtId="0" fontId="164" fillId="16"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196" fillId="55" borderId="0" applyNumberFormat="0" applyBorder="0" applyAlignment="0" applyProtection="0">
      <alignment vertical="center"/>
    </xf>
    <xf numFmtId="0" fontId="80" fillId="44" borderId="0" applyNumberFormat="0" applyBorder="0" applyAlignment="0" applyProtection="0">
      <alignment vertical="center"/>
    </xf>
    <xf numFmtId="0" fontId="196" fillId="55" borderId="0" applyNumberFormat="0" applyBorder="0" applyAlignment="0" applyProtection="0">
      <alignment vertical="center"/>
    </xf>
    <xf numFmtId="0" fontId="80" fillId="45" borderId="0" applyNumberFormat="0" applyBorder="0" applyAlignment="0" applyProtection="0">
      <alignment vertical="center"/>
    </xf>
    <xf numFmtId="0" fontId="196" fillId="84" borderId="0" applyNumberFormat="0" applyBorder="0" applyAlignment="0" applyProtection="0">
      <alignment vertical="center"/>
    </xf>
    <xf numFmtId="0" fontId="80" fillId="45" borderId="0" applyNumberFormat="0" applyBorder="0" applyAlignment="0" applyProtection="0">
      <alignment vertical="center"/>
    </xf>
    <xf numFmtId="0" fontId="196" fillId="84"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164" fillId="20" borderId="0" applyNumberFormat="0" applyBorder="0" applyAlignment="0" applyProtection="0">
      <alignment vertical="center"/>
    </xf>
    <xf numFmtId="0" fontId="164" fillId="20" borderId="0" applyNumberFormat="0" applyBorder="0" applyAlignment="0" applyProtection="0">
      <alignment vertical="center"/>
    </xf>
    <xf numFmtId="0" fontId="164" fillId="20" borderId="0" applyNumberFormat="0" applyBorder="0" applyAlignment="0" applyProtection="0">
      <alignment vertical="center"/>
    </xf>
    <xf numFmtId="0" fontId="164" fillId="20" borderId="0" applyNumberFormat="0" applyBorder="0" applyAlignment="0" applyProtection="0">
      <alignment vertical="center"/>
    </xf>
    <xf numFmtId="0" fontId="164" fillId="20"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45" borderId="0" applyNumberFormat="0" applyBorder="0" applyAlignment="0" applyProtection="0">
      <alignment vertical="center"/>
    </xf>
    <xf numFmtId="0" fontId="80" fillId="57" borderId="0" applyNumberFormat="0" applyBorder="0" applyAlignment="0" applyProtection="0">
      <alignment vertical="center"/>
    </xf>
    <xf numFmtId="0" fontId="80" fillId="57" borderId="0" applyNumberFormat="0" applyBorder="0" applyAlignment="0" applyProtection="0">
      <alignment vertical="center"/>
    </xf>
    <xf numFmtId="0" fontId="196" fillId="84" borderId="0" applyNumberFormat="0" applyBorder="0" applyAlignment="0" applyProtection="0">
      <alignment vertical="center"/>
    </xf>
    <xf numFmtId="0" fontId="80" fillId="45" borderId="0" applyNumberFormat="0" applyBorder="0" applyAlignment="0" applyProtection="0">
      <alignment vertical="center"/>
    </xf>
    <xf numFmtId="0" fontId="196" fillId="84" borderId="0" applyNumberFormat="0" applyBorder="0" applyAlignment="0" applyProtection="0">
      <alignment vertical="center"/>
    </xf>
    <xf numFmtId="0" fontId="80" fillId="48" borderId="0" applyNumberFormat="0" applyBorder="0" applyAlignment="0" applyProtection="0">
      <alignment vertical="center"/>
    </xf>
    <xf numFmtId="0" fontId="196" fillId="81" borderId="0" applyNumberFormat="0" applyBorder="0" applyAlignment="0" applyProtection="0">
      <alignment vertical="center"/>
    </xf>
    <xf numFmtId="0" fontId="80" fillId="48" borderId="0" applyNumberFormat="0" applyBorder="0" applyAlignment="0" applyProtection="0">
      <alignment vertical="center"/>
    </xf>
    <xf numFmtId="0" fontId="196" fillId="81"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164" fillId="24" borderId="0" applyNumberFormat="0" applyBorder="0" applyAlignment="0" applyProtection="0">
      <alignment vertical="center"/>
    </xf>
    <xf numFmtId="0" fontId="164" fillId="24" borderId="0" applyNumberFormat="0" applyBorder="0" applyAlignment="0" applyProtection="0">
      <alignment vertical="center"/>
    </xf>
    <xf numFmtId="0" fontId="164" fillId="24" borderId="0" applyNumberFormat="0" applyBorder="0" applyAlignment="0" applyProtection="0">
      <alignment vertical="center"/>
    </xf>
    <xf numFmtId="0" fontId="164" fillId="24" borderId="0" applyNumberFormat="0" applyBorder="0" applyAlignment="0" applyProtection="0">
      <alignment vertical="center"/>
    </xf>
    <xf numFmtId="0" fontId="164" fillId="24"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55" borderId="0" applyNumberFormat="0" applyBorder="0" applyAlignment="0" applyProtection="0">
      <alignment vertical="center"/>
    </xf>
    <xf numFmtId="0" fontId="80" fillId="55" borderId="0" applyNumberFormat="0" applyBorder="0" applyAlignment="0" applyProtection="0">
      <alignment vertical="center"/>
    </xf>
    <xf numFmtId="0" fontId="196" fillId="81" borderId="0" applyNumberFormat="0" applyBorder="0" applyAlignment="0" applyProtection="0">
      <alignment vertical="center"/>
    </xf>
    <xf numFmtId="0" fontId="80" fillId="48" borderId="0" applyNumberFormat="0" applyBorder="0" applyAlignment="0" applyProtection="0">
      <alignment vertical="center"/>
    </xf>
    <xf numFmtId="0" fontId="196" fillId="81" borderId="0" applyNumberFormat="0" applyBorder="0" applyAlignment="0" applyProtection="0">
      <alignment vertical="center"/>
    </xf>
    <xf numFmtId="0" fontId="80" fillId="49" borderId="0" applyNumberFormat="0" applyBorder="0" applyAlignment="0" applyProtection="0">
      <alignment vertical="center"/>
    </xf>
    <xf numFmtId="0" fontId="196" fillId="83" borderId="0" applyNumberFormat="0" applyBorder="0" applyAlignment="0" applyProtection="0">
      <alignment vertical="center"/>
    </xf>
    <xf numFmtId="0" fontId="80" fillId="49" borderId="0" applyNumberFormat="0" applyBorder="0" applyAlignment="0" applyProtection="0">
      <alignment vertical="center"/>
    </xf>
    <xf numFmtId="0" fontId="196" fillId="83"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164" fillId="28" borderId="0" applyNumberFormat="0" applyBorder="0" applyAlignment="0" applyProtection="0">
      <alignment vertical="center"/>
    </xf>
    <xf numFmtId="0" fontId="164" fillId="28" borderId="0" applyNumberFormat="0" applyBorder="0" applyAlignment="0" applyProtection="0">
      <alignment vertical="center"/>
    </xf>
    <xf numFmtId="0" fontId="164" fillId="28" borderId="0" applyNumberFormat="0" applyBorder="0" applyAlignment="0" applyProtection="0">
      <alignment vertical="center"/>
    </xf>
    <xf numFmtId="0" fontId="164" fillId="28" borderId="0" applyNumberFormat="0" applyBorder="0" applyAlignment="0" applyProtection="0">
      <alignment vertical="center"/>
    </xf>
    <xf numFmtId="0" fontId="164" fillId="28"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196" fillId="83" borderId="0" applyNumberFormat="0" applyBorder="0" applyAlignment="0" applyProtection="0">
      <alignment vertical="center"/>
    </xf>
    <xf numFmtId="0" fontId="80" fillId="49" borderId="0" applyNumberFormat="0" applyBorder="0" applyAlignment="0" applyProtection="0">
      <alignment vertical="center"/>
    </xf>
    <xf numFmtId="0" fontId="196" fillId="83" borderId="0" applyNumberFormat="0" applyBorder="0" applyAlignment="0" applyProtection="0">
      <alignment vertical="center"/>
    </xf>
    <xf numFmtId="0" fontId="80" fillId="50" borderId="0" applyNumberFormat="0" applyBorder="0" applyAlignment="0" applyProtection="0">
      <alignment vertical="center"/>
    </xf>
    <xf numFmtId="0" fontId="196" fillId="42" borderId="0" applyNumberFormat="0" applyBorder="0" applyAlignment="0" applyProtection="0">
      <alignment vertical="center"/>
    </xf>
    <xf numFmtId="0" fontId="80" fillId="50" borderId="0" applyNumberFormat="0" applyBorder="0" applyAlignment="0" applyProtection="0">
      <alignment vertical="center"/>
    </xf>
    <xf numFmtId="0" fontId="196" fillId="42"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164" fillId="32" borderId="0" applyNumberFormat="0" applyBorder="0" applyAlignment="0" applyProtection="0">
      <alignment vertical="center"/>
    </xf>
    <xf numFmtId="0" fontId="164" fillId="32" borderId="0" applyNumberFormat="0" applyBorder="0" applyAlignment="0" applyProtection="0">
      <alignment vertical="center"/>
    </xf>
    <xf numFmtId="0" fontId="164" fillId="32" borderId="0" applyNumberFormat="0" applyBorder="0" applyAlignment="0" applyProtection="0">
      <alignment vertical="center"/>
    </xf>
    <xf numFmtId="0" fontId="164" fillId="32" borderId="0" applyNumberFormat="0" applyBorder="0" applyAlignment="0" applyProtection="0">
      <alignment vertical="center"/>
    </xf>
    <xf numFmtId="0" fontId="164" fillId="32"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50" borderId="0" applyNumberFormat="0" applyBorder="0" applyAlignment="0" applyProtection="0">
      <alignment vertical="center"/>
    </xf>
    <xf numFmtId="0" fontId="80" fillId="44" borderId="0" applyNumberFormat="0" applyBorder="0" applyAlignment="0" applyProtection="0">
      <alignment vertical="center"/>
    </xf>
    <xf numFmtId="0" fontId="80" fillId="44" borderId="0" applyNumberFormat="0" applyBorder="0" applyAlignment="0" applyProtection="0">
      <alignment vertical="center"/>
    </xf>
    <xf numFmtId="0" fontId="196" fillId="42" borderId="0" applyNumberFormat="0" applyBorder="0" applyAlignment="0" applyProtection="0">
      <alignment vertical="center"/>
    </xf>
    <xf numFmtId="0" fontId="80" fillId="50" borderId="0" applyNumberFormat="0" applyBorder="0" applyAlignment="0" applyProtection="0">
      <alignment vertical="center"/>
    </xf>
    <xf numFmtId="0" fontId="196" fillId="42" borderId="0" applyNumberFormat="0" applyBorder="0" applyAlignment="0" applyProtection="0">
      <alignment vertical="center"/>
    </xf>
    <xf numFmtId="2" fontId="197" fillId="0" borderId="0" applyAlignment="0">
      <alignment horizontal="center"/>
    </xf>
    <xf numFmtId="203" fontId="198" fillId="0" borderId="0" applyFont="0" applyFill="0" applyBorder="0" applyAlignment="0" applyProtection="0"/>
    <xf numFmtId="180" fontId="199" fillId="0" borderId="0" applyFont="0" applyFill="0" applyBorder="0" applyAlignment="0" applyProtection="0"/>
    <xf numFmtId="0" fontId="200" fillId="0" borderId="0" applyFont="0" applyFill="0" applyBorder="0" applyAlignment="0" applyProtection="0"/>
    <xf numFmtId="0" fontId="199" fillId="0" borderId="0" applyFont="0" applyFill="0" applyBorder="0" applyAlignment="0" applyProtection="0"/>
    <xf numFmtId="0" fontId="195" fillId="51" borderId="0" applyNumberFormat="0" applyBorder="0" applyAlignment="0" applyProtection="0">
      <alignment vertical="center"/>
    </xf>
    <xf numFmtId="0" fontId="195" fillId="52" borderId="0" applyNumberFormat="0" applyBorder="0" applyAlignment="0" applyProtection="0">
      <alignment vertical="center"/>
    </xf>
    <xf numFmtId="0" fontId="195" fillId="53" borderId="0" applyNumberFormat="0" applyBorder="0" applyAlignment="0" applyProtection="0">
      <alignment vertical="center"/>
    </xf>
    <xf numFmtId="0" fontId="195" fillId="48" borderId="0" applyNumberFormat="0" applyBorder="0" applyAlignment="0" applyProtection="0">
      <alignment vertical="center"/>
    </xf>
    <xf numFmtId="0" fontId="195" fillId="49" borderId="0" applyNumberFormat="0" applyBorder="0" applyAlignment="0" applyProtection="0">
      <alignment vertical="center"/>
    </xf>
    <xf numFmtId="0" fontId="195" fillId="54" borderId="0" applyNumberFormat="0" applyBorder="0" applyAlignment="0" applyProtection="0">
      <alignment vertical="center"/>
    </xf>
    <xf numFmtId="0" fontId="29" fillId="0" borderId="0" applyNumberFormat="0" applyAlignment="0"/>
    <xf numFmtId="204" fontId="201" fillId="0" borderId="0" applyFont="0" applyFill="0" applyBorder="0" applyAlignment="0" applyProtection="0"/>
    <xf numFmtId="205" fontId="202" fillId="0" borderId="0" applyFont="0" applyFill="0" applyBorder="0" applyAlignment="0" applyProtection="0"/>
    <xf numFmtId="42" fontId="203" fillId="0" borderId="0" applyFont="0" applyFill="0" applyBorder="0" applyAlignment="0" applyProtection="0"/>
    <xf numFmtId="206" fontId="204" fillId="0" borderId="0" applyFont="0" applyFill="0" applyBorder="0" applyAlignment="0" applyProtection="0"/>
    <xf numFmtId="0" fontId="205" fillId="0" borderId="0" applyFont="0" applyFill="0" applyBorder="0" applyAlignment="0" applyProtection="0"/>
    <xf numFmtId="0" fontId="204" fillId="0" borderId="0" applyFont="0" applyFill="0" applyBorder="0" applyAlignment="0" applyProtection="0"/>
    <xf numFmtId="42" fontId="188" fillId="0" borderId="0" applyFont="0" applyFill="0" applyBorder="0" applyAlignment="0" applyProtection="0"/>
    <xf numFmtId="206" fontId="202" fillId="0" borderId="0" applyFont="0" applyFill="0" applyBorder="0" applyAlignment="0" applyProtection="0"/>
    <xf numFmtId="0" fontId="205" fillId="0" borderId="0" applyFont="0" applyFill="0" applyBorder="0" applyAlignment="0" applyProtection="0"/>
    <xf numFmtId="0" fontId="204" fillId="0" borderId="0" applyFont="0" applyFill="0" applyBorder="0" applyAlignment="0" applyProtection="0"/>
    <xf numFmtId="0" fontId="201" fillId="0" borderId="0" applyFont="0" applyFill="0" applyBorder="0" applyAlignment="0" applyProtection="0"/>
    <xf numFmtId="206" fontId="202" fillId="0" borderId="0" applyFont="0" applyFill="0" applyBorder="0" applyAlignment="0" applyProtection="0"/>
    <xf numFmtId="207" fontId="206" fillId="0" borderId="0" applyFont="0" applyFill="0" applyBorder="0" applyAlignment="0" applyProtection="0"/>
    <xf numFmtId="178" fontId="201" fillId="0" borderId="0" applyFont="0" applyFill="0" applyBorder="0" applyAlignment="0" applyProtection="0"/>
    <xf numFmtId="208" fontId="202" fillId="0" borderId="0" applyFont="0" applyFill="0" applyBorder="0" applyAlignment="0" applyProtection="0"/>
    <xf numFmtId="44" fontId="203" fillId="0" borderId="0" applyFont="0" applyFill="0" applyBorder="0" applyAlignment="0" applyProtection="0"/>
    <xf numFmtId="209" fontId="204" fillId="0" borderId="0" applyFont="0" applyFill="0" applyBorder="0" applyAlignment="0" applyProtection="0"/>
    <xf numFmtId="0" fontId="205" fillId="0" borderId="0" applyFont="0" applyFill="0" applyBorder="0" applyAlignment="0" applyProtection="0"/>
    <xf numFmtId="0" fontId="204" fillId="0" borderId="0" applyFont="0" applyFill="0" applyBorder="0" applyAlignment="0" applyProtection="0"/>
    <xf numFmtId="44" fontId="188" fillId="0" borderId="0" applyFont="0" applyFill="0" applyBorder="0" applyAlignment="0" applyProtection="0"/>
    <xf numFmtId="209" fontId="202" fillId="0" borderId="0" applyFont="0" applyFill="0" applyBorder="0" applyAlignment="0" applyProtection="0"/>
    <xf numFmtId="0" fontId="205" fillId="0" borderId="0" applyFont="0" applyFill="0" applyBorder="0" applyAlignment="0" applyProtection="0"/>
    <xf numFmtId="0" fontId="204" fillId="0" borderId="0" applyFont="0" applyFill="0" applyBorder="0" applyAlignment="0" applyProtection="0"/>
    <xf numFmtId="0" fontId="201" fillId="0" borderId="0" applyFont="0" applyFill="0" applyBorder="0" applyAlignment="0" applyProtection="0"/>
    <xf numFmtId="209" fontId="202" fillId="0" borderId="0" applyFont="0" applyFill="0" applyBorder="0" applyAlignment="0" applyProtection="0"/>
    <xf numFmtId="210" fontId="206" fillId="0" borderId="0" applyFont="0" applyFill="0" applyBorder="0" applyAlignment="0" applyProtection="0"/>
    <xf numFmtId="0" fontId="200" fillId="0" borderId="0" applyFont="0" applyFill="0" applyBorder="0" applyAlignment="0" applyProtection="0"/>
    <xf numFmtId="209" fontId="207" fillId="0" borderId="0" applyFont="0" applyFill="0" applyBorder="0" applyAlignment="0" applyProtection="0"/>
    <xf numFmtId="204" fontId="198" fillId="0" borderId="0" applyFont="0" applyFill="0" applyBorder="0" applyAlignment="0" applyProtection="0"/>
    <xf numFmtId="209" fontId="198" fillId="0" borderId="0" applyFont="0" applyFill="0" applyBorder="0" applyProtection="0"/>
    <xf numFmtId="0" fontId="183" fillId="0" borderId="0"/>
    <xf numFmtId="180" fontId="208" fillId="0" borderId="0" applyFont="0" applyFill="0" applyBorder="0" applyAlignment="0" applyProtection="0"/>
    <xf numFmtId="211" fontId="202" fillId="0" borderId="0" applyFont="0" applyFill="0" applyBorder="0" applyAlignment="0" applyProtection="0"/>
    <xf numFmtId="41" fontId="203" fillId="0" borderId="0" applyFont="0" applyFill="0" applyBorder="0" applyAlignment="0" applyProtection="0"/>
    <xf numFmtId="180" fontId="204" fillId="0" borderId="0" applyFont="0" applyFill="0" applyBorder="0" applyAlignment="0" applyProtection="0"/>
    <xf numFmtId="0" fontId="205" fillId="0" borderId="0" applyFont="0" applyFill="0" applyBorder="0" applyAlignment="0" applyProtection="0"/>
    <xf numFmtId="0" fontId="204" fillId="0" borderId="0" applyFont="0" applyFill="0" applyBorder="0" applyAlignment="0" applyProtection="0"/>
    <xf numFmtId="41" fontId="188" fillId="0" borderId="0" applyFont="0" applyFill="0" applyBorder="0" applyAlignment="0" applyProtection="0"/>
    <xf numFmtId="180" fontId="202" fillId="0" borderId="0" applyFont="0" applyFill="0" applyBorder="0" applyAlignment="0" applyProtection="0"/>
    <xf numFmtId="0" fontId="201" fillId="0" borderId="0" applyFont="0" applyFill="0" applyBorder="0" applyAlignment="0" applyProtection="0"/>
    <xf numFmtId="180" fontId="202" fillId="0" borderId="0" applyNumberFormat="0" applyFont="0" applyFill="0" applyBorder="0" applyAlignment="0" applyProtection="0"/>
    <xf numFmtId="0" fontId="201" fillId="0" borderId="0" applyFont="0" applyFill="0" applyBorder="0" applyAlignment="0" applyProtection="0"/>
    <xf numFmtId="212" fontId="202" fillId="0" borderId="0" applyFont="0" applyFill="0" applyBorder="0" applyAlignment="0" applyProtection="0"/>
    <xf numFmtId="43" fontId="203" fillId="0" borderId="0" applyFont="0" applyFill="0" applyBorder="0" applyAlignment="0" applyProtection="0"/>
    <xf numFmtId="181" fontId="204" fillId="0" borderId="0" applyFont="0" applyFill="0" applyBorder="0" applyAlignment="0" applyProtection="0"/>
    <xf numFmtId="0" fontId="205" fillId="0" borderId="0" applyFont="0" applyFill="0" applyBorder="0" applyAlignment="0" applyProtection="0"/>
    <xf numFmtId="0" fontId="204" fillId="0" borderId="0" applyFont="0" applyFill="0" applyBorder="0" applyAlignment="0" applyProtection="0"/>
    <xf numFmtId="43" fontId="188" fillId="0" borderId="0" applyFont="0" applyFill="0" applyBorder="0" applyAlignment="0" applyProtection="0"/>
    <xf numFmtId="181" fontId="202" fillId="0" borderId="0" applyFont="0" applyFill="0" applyBorder="0" applyAlignment="0" applyProtection="0"/>
    <xf numFmtId="0" fontId="201" fillId="0" borderId="0" applyFont="0" applyFill="0" applyBorder="0" applyAlignment="0" applyProtection="0"/>
    <xf numFmtId="181" fontId="202" fillId="0" borderId="0" applyFont="0" applyFill="0" applyBorder="0" applyAlignment="0" applyProtection="0"/>
    <xf numFmtId="0" fontId="209" fillId="38" borderId="0" applyNumberFormat="0" applyBorder="0" applyAlignment="0" applyProtection="0">
      <alignment vertical="center"/>
    </xf>
    <xf numFmtId="0" fontId="210" fillId="0" borderId="0" applyNumberFormat="0" applyFill="0" applyBorder="0" applyAlignment="0" applyProtection="0"/>
    <xf numFmtId="213" fontId="22" fillId="0" borderId="151" applyAlignment="0" applyProtection="0"/>
    <xf numFmtId="0" fontId="211" fillId="85" borderId="132">
      <alignment horizontal="center" vertical="center"/>
    </xf>
    <xf numFmtId="0" fontId="212" fillId="0" borderId="0"/>
    <xf numFmtId="0" fontId="213" fillId="0" borderId="0"/>
    <xf numFmtId="0" fontId="214" fillId="0" borderId="0"/>
    <xf numFmtId="0" fontId="215" fillId="0" borderId="0"/>
    <xf numFmtId="0" fontId="216" fillId="0" borderId="0"/>
    <xf numFmtId="0" fontId="215" fillId="0" borderId="0"/>
    <xf numFmtId="0" fontId="204" fillId="0" borderId="0"/>
    <xf numFmtId="0" fontId="201" fillId="0" borderId="0"/>
    <xf numFmtId="0" fontId="212" fillId="0" borderId="0"/>
    <xf numFmtId="0" fontId="212" fillId="0" borderId="0"/>
    <xf numFmtId="0" fontId="183" fillId="0" borderId="0"/>
    <xf numFmtId="49" fontId="201" fillId="0" borderId="0" applyBorder="0"/>
    <xf numFmtId="0" fontId="202" fillId="0" borderId="0"/>
    <xf numFmtId="0" fontId="201" fillId="0" borderId="0"/>
    <xf numFmtId="0" fontId="202" fillId="0" borderId="0"/>
    <xf numFmtId="0" fontId="201" fillId="0" borderId="0"/>
    <xf numFmtId="0" fontId="217" fillId="0" borderId="0"/>
    <xf numFmtId="0" fontId="205" fillId="0" borderId="0"/>
    <xf numFmtId="0" fontId="204" fillId="0" borderId="0"/>
    <xf numFmtId="0" fontId="188" fillId="0" borderId="0"/>
    <xf numFmtId="0" fontId="214" fillId="0" borderId="0"/>
    <xf numFmtId="0" fontId="208" fillId="0" borderId="0"/>
    <xf numFmtId="0" fontId="214" fillId="0" borderId="0"/>
    <xf numFmtId="0" fontId="208" fillId="0" borderId="0"/>
    <xf numFmtId="0" fontId="214" fillId="0" borderId="0"/>
    <xf numFmtId="0" fontId="205" fillId="0" borderId="0"/>
    <xf numFmtId="0" fontId="204" fillId="0" borderId="0"/>
    <xf numFmtId="0" fontId="22" fillId="0" borderId="0" applyFill="0">
      <alignment vertical="center"/>
    </xf>
    <xf numFmtId="0" fontId="22" fillId="0" borderId="0" applyFill="0">
      <alignment vertical="center"/>
    </xf>
    <xf numFmtId="0" fontId="22" fillId="0" borderId="0" applyFill="0">
      <alignment vertical="center"/>
    </xf>
    <xf numFmtId="214" fontId="73" fillId="0" borderId="0" applyFill="0" applyBorder="0" applyAlignment="0"/>
    <xf numFmtId="0" fontId="22" fillId="0" borderId="0" applyFill="0">
      <alignment vertical="center"/>
    </xf>
    <xf numFmtId="0" fontId="73" fillId="0" borderId="0" applyFill="0" applyBorder="0" applyAlignment="0"/>
    <xf numFmtId="215" fontId="22" fillId="0" borderId="0" applyFill="0" applyBorder="0" applyAlignment="0"/>
    <xf numFmtId="0" fontId="22" fillId="0" borderId="0" applyFill="0">
      <alignment vertical="center"/>
    </xf>
    <xf numFmtId="216" fontId="22" fillId="0" borderId="0" applyFill="0" applyBorder="0" applyAlignment="0"/>
    <xf numFmtId="217" fontId="22" fillId="0" borderId="0" applyFill="0" applyBorder="0" applyAlignment="0"/>
    <xf numFmtId="0" fontId="73" fillId="0" borderId="0" applyFill="0" applyBorder="0" applyAlignment="0"/>
    <xf numFmtId="218" fontId="28" fillId="0" borderId="0" applyFill="0" applyBorder="0" applyAlignment="0"/>
    <xf numFmtId="219" fontId="22" fillId="0" borderId="0" applyFill="0" applyBorder="0" applyAlignment="0"/>
    <xf numFmtId="220" fontId="22" fillId="0" borderId="0" applyFill="0" applyBorder="0" applyAlignment="0"/>
    <xf numFmtId="221" fontId="22" fillId="0" borderId="0" applyFill="0" applyBorder="0" applyAlignment="0"/>
    <xf numFmtId="222" fontId="22" fillId="0" borderId="0" applyFill="0" applyBorder="0" applyAlignment="0"/>
    <xf numFmtId="223" fontId="22" fillId="0" borderId="0" applyFill="0" applyBorder="0" applyAlignment="0"/>
    <xf numFmtId="224" fontId="53" fillId="0" borderId="0" applyFill="0" applyBorder="0" applyAlignment="0"/>
    <xf numFmtId="225" fontId="22" fillId="0" borderId="0" applyFill="0" applyBorder="0" applyAlignment="0"/>
    <xf numFmtId="226" fontId="22" fillId="0" borderId="0" applyFill="0" applyBorder="0" applyAlignment="0"/>
    <xf numFmtId="227" fontId="22" fillId="0" borderId="0" applyFill="0" applyBorder="0" applyAlignment="0"/>
    <xf numFmtId="216" fontId="22" fillId="0" borderId="0" applyFill="0" applyBorder="0" applyAlignment="0"/>
    <xf numFmtId="217" fontId="22" fillId="0" borderId="0" applyFill="0" applyBorder="0" applyAlignment="0"/>
    <xf numFmtId="0" fontId="218" fillId="0" borderId="0"/>
    <xf numFmtId="0" fontId="219" fillId="0" borderId="23">
      <alignment horizontal="center" vertical="center"/>
    </xf>
    <xf numFmtId="0" fontId="96" fillId="56" borderId="25" applyNumberFormat="0" applyAlignment="0" applyProtection="0">
      <alignment vertical="center"/>
    </xf>
    <xf numFmtId="0" fontId="220" fillId="56" borderId="25" applyNumberFormat="0" applyAlignment="0" applyProtection="0">
      <alignment vertical="center"/>
    </xf>
    <xf numFmtId="0" fontId="220" fillId="56" borderId="25" applyNumberFormat="0" applyAlignment="0" applyProtection="0">
      <alignment vertical="center"/>
    </xf>
    <xf numFmtId="0" fontId="220" fillId="56" borderId="25" applyNumberFormat="0" applyAlignment="0" applyProtection="0">
      <alignment vertical="center"/>
    </xf>
    <xf numFmtId="228" fontId="22" fillId="0" borderId="0"/>
    <xf numFmtId="0" fontId="221" fillId="0" borderId="136">
      <alignment horizontal="center"/>
    </xf>
    <xf numFmtId="4" fontId="222" fillId="0" borderId="0">
      <protection locked="0"/>
    </xf>
    <xf numFmtId="229" fontId="28" fillId="0" borderId="0"/>
    <xf numFmtId="229" fontId="28" fillId="0" borderId="0"/>
    <xf numFmtId="229" fontId="28" fillId="0" borderId="0"/>
    <xf numFmtId="229" fontId="28" fillId="0" borderId="0"/>
    <xf numFmtId="229" fontId="28" fillId="0" borderId="0"/>
    <xf numFmtId="229" fontId="28" fillId="0" borderId="0"/>
    <xf numFmtId="229" fontId="28" fillId="0" borderId="0"/>
    <xf numFmtId="229" fontId="28" fillId="0" borderId="0"/>
    <xf numFmtId="38" fontId="28" fillId="0" borderId="0" applyFont="0" applyFill="0" applyBorder="0" applyAlignment="0" applyProtection="0"/>
    <xf numFmtId="224" fontId="53" fillId="0" borderId="0" applyFont="0" applyFill="0" applyBorder="0" applyAlignment="0" applyProtection="0"/>
    <xf numFmtId="225" fontId="22" fillId="0" borderId="0" applyFont="0" applyFill="0" applyBorder="0" applyAlignment="0" applyProtection="0"/>
    <xf numFmtId="4" fontId="222" fillId="0" borderId="0">
      <protection locked="0"/>
    </xf>
    <xf numFmtId="230" fontId="22" fillId="0" borderId="0"/>
    <xf numFmtId="231" fontId="22" fillId="0" borderId="0"/>
    <xf numFmtId="231" fontId="22" fillId="0" borderId="0"/>
    <xf numFmtId="232" fontId="22" fillId="0" borderId="0"/>
    <xf numFmtId="231" fontId="22" fillId="0" borderId="0"/>
    <xf numFmtId="231" fontId="22" fillId="0" borderId="0"/>
    <xf numFmtId="0" fontId="223" fillId="0" borderId="0" applyNumberFormat="0" applyFill="0" applyBorder="0" applyAlignment="0" applyProtection="0"/>
    <xf numFmtId="0" fontId="224" fillId="0" borderId="0" applyNumberFormat="0" applyAlignment="0">
      <alignment horizontal="left"/>
    </xf>
    <xf numFmtId="233" fontId="222" fillId="0" borderId="0">
      <protection locked="0"/>
    </xf>
    <xf numFmtId="234" fontId="73" fillId="0" borderId="134"/>
    <xf numFmtId="0" fontId="28" fillId="0" borderId="0" applyFont="0" applyFill="0" applyBorder="0" applyAlignment="0" applyProtection="0"/>
    <xf numFmtId="216" fontId="22" fillId="0" borderId="0" applyFont="0" applyFill="0" applyBorder="0" applyAlignment="0" applyProtection="0"/>
    <xf numFmtId="217" fontId="22" fillId="0" borderId="0" applyFont="0" applyFill="0" applyBorder="0" applyAlignment="0" applyProtection="0"/>
    <xf numFmtId="235" fontId="29" fillId="0" borderId="0" applyFont="0" applyFill="0" applyBorder="0" applyAlignment="0"/>
    <xf numFmtId="236" fontId="28" fillId="0" borderId="0" applyFont="0" applyFill="0" applyBorder="0" applyAlignment="0"/>
    <xf numFmtId="233" fontId="222" fillId="0" borderId="0">
      <protection locked="0"/>
    </xf>
    <xf numFmtId="237" fontId="29" fillId="0" borderId="0" applyFill="0" applyBorder="0" applyProtection="0">
      <alignment horizontal="center"/>
    </xf>
    <xf numFmtId="0" fontId="223" fillId="0" borderId="0" applyNumberFormat="0" applyFill="0" applyBorder="0" applyAlignment="0" applyProtection="0"/>
    <xf numFmtId="0" fontId="22" fillId="0" borderId="0"/>
    <xf numFmtId="238" fontId="22" fillId="0" borderId="0"/>
    <xf numFmtId="238" fontId="22" fillId="0" borderId="0"/>
    <xf numFmtId="0" fontId="184" fillId="0" borderId="0"/>
    <xf numFmtId="238" fontId="22" fillId="0" borderId="0"/>
    <xf numFmtId="238" fontId="22" fillId="0" borderId="0"/>
    <xf numFmtId="239" fontId="225" fillId="0" borderId="0">
      <protection locked="0"/>
    </xf>
    <xf numFmtId="15" fontId="221" fillId="0" borderId="0" applyFill="0" applyBorder="0" applyAlignment="0"/>
    <xf numFmtId="240" fontId="221" fillId="35" borderId="0" applyFont="0" applyFill="0" applyBorder="0" applyAlignment="0" applyProtection="0"/>
    <xf numFmtId="241" fontId="226" fillId="35" borderId="20" applyFont="0" applyFill="0" applyBorder="0" applyAlignment="0" applyProtection="0"/>
    <xf numFmtId="17" fontId="221" fillId="0" borderId="0" applyFill="0" applyBorder="0">
      <alignment horizontal="right"/>
    </xf>
    <xf numFmtId="242" fontId="222" fillId="0" borderId="0">
      <protection locked="0"/>
    </xf>
    <xf numFmtId="14" fontId="227" fillId="0" borderId="0" applyFill="0" applyBorder="0" applyAlignment="0"/>
    <xf numFmtId="242" fontId="222" fillId="0" borderId="0">
      <protection locked="0"/>
    </xf>
    <xf numFmtId="38" fontId="183" fillId="0" borderId="152">
      <alignment vertical="center"/>
    </xf>
    <xf numFmtId="0" fontId="228" fillId="0" borderId="0"/>
    <xf numFmtId="243" fontId="229" fillId="0" borderId="0" applyFont="0" applyFill="0" applyBorder="0" applyAlignment="0" applyProtection="0"/>
    <xf numFmtId="244" fontId="229" fillId="0" borderId="0" applyFont="0" applyFill="0" applyBorder="0" applyAlignment="0" applyProtection="0"/>
    <xf numFmtId="17" fontId="53" fillId="0" borderId="0" applyNumberFormat="0" applyFont="0" applyFill="0" applyBorder="0" applyAlignment="0" applyProtection="0">
      <alignment horizontal="right"/>
    </xf>
    <xf numFmtId="245" fontId="22" fillId="0" borderId="0"/>
    <xf numFmtId="246" fontId="22" fillId="0" borderId="0"/>
    <xf numFmtId="246" fontId="22" fillId="0" borderId="0"/>
    <xf numFmtId="247" fontId="22" fillId="0" borderId="0"/>
    <xf numFmtId="246" fontId="22" fillId="0" borderId="0"/>
    <xf numFmtId="246" fontId="22" fillId="0" borderId="0"/>
    <xf numFmtId="2" fontId="218" fillId="0" borderId="0">
      <alignment horizontal="center"/>
    </xf>
    <xf numFmtId="224" fontId="53" fillId="0" borderId="0" applyFill="0" applyBorder="0" applyAlignment="0"/>
    <xf numFmtId="225" fontId="22" fillId="0" borderId="0" applyFill="0" applyBorder="0" applyAlignment="0"/>
    <xf numFmtId="216" fontId="22" fillId="0" borderId="0" applyFill="0" applyBorder="0" applyAlignment="0"/>
    <xf numFmtId="217" fontId="22" fillId="0" borderId="0" applyFill="0" applyBorder="0" applyAlignment="0"/>
    <xf numFmtId="224" fontId="53" fillId="0" borderId="0" applyFill="0" applyBorder="0" applyAlignment="0"/>
    <xf numFmtId="225" fontId="22" fillId="0" borderId="0" applyFill="0" applyBorder="0" applyAlignment="0"/>
    <xf numFmtId="226" fontId="22" fillId="0" borderId="0" applyFill="0" applyBorder="0" applyAlignment="0"/>
    <xf numFmtId="227" fontId="22" fillId="0" borderId="0" applyFill="0" applyBorder="0" applyAlignment="0"/>
    <xf numFmtId="216" fontId="22" fillId="0" borderId="0" applyFill="0" applyBorder="0" applyAlignment="0"/>
    <xf numFmtId="217" fontId="22" fillId="0" borderId="0" applyFill="0" applyBorder="0" applyAlignment="0"/>
    <xf numFmtId="0" fontId="230" fillId="0" borderId="0" applyNumberFormat="0" applyAlignment="0">
      <alignment horizontal="left"/>
    </xf>
    <xf numFmtId="248" fontId="28" fillId="0" borderId="0" applyFont="0" applyFill="0" applyBorder="0" applyAlignment="0" applyProtection="0"/>
    <xf numFmtId="45" fontId="22" fillId="0" borderId="0" applyFill="0" applyProtection="0">
      <alignment vertical="center"/>
    </xf>
    <xf numFmtId="0" fontId="231" fillId="0" borderId="0" applyNumberFormat="0" applyFill="0" applyBorder="0" applyAlignment="0" applyProtection="0">
      <alignment vertical="center"/>
    </xf>
    <xf numFmtId="0" fontId="222" fillId="0" borderId="0">
      <protection locked="0"/>
    </xf>
    <xf numFmtId="0" fontId="222" fillId="0" borderId="0">
      <protection locked="0"/>
    </xf>
    <xf numFmtId="0" fontId="232" fillId="0" borderId="0">
      <protection locked="0"/>
    </xf>
    <xf numFmtId="0" fontId="222" fillId="0" borderId="0">
      <protection locked="0"/>
    </xf>
    <xf numFmtId="0" fontId="222" fillId="0" borderId="0">
      <protection locked="0"/>
    </xf>
    <xf numFmtId="0" fontId="233" fillId="0" borderId="0">
      <protection locked="0"/>
    </xf>
    <xf numFmtId="0" fontId="233" fillId="0" borderId="0">
      <protection locked="0"/>
    </xf>
    <xf numFmtId="0" fontId="222" fillId="0" borderId="0">
      <protection locked="0"/>
    </xf>
    <xf numFmtId="0" fontId="222" fillId="0" borderId="0">
      <protection locked="0"/>
    </xf>
    <xf numFmtId="0" fontId="222" fillId="0" borderId="0">
      <protection locked="0"/>
    </xf>
    <xf numFmtId="0" fontId="222" fillId="0" borderId="0">
      <protection locked="0"/>
    </xf>
    <xf numFmtId="0" fontId="222" fillId="0" borderId="0">
      <protection locked="0"/>
    </xf>
    <xf numFmtId="0" fontId="222" fillId="0" borderId="0">
      <protection locked="0"/>
    </xf>
    <xf numFmtId="249" fontId="28" fillId="0" borderId="0" applyBorder="0"/>
    <xf numFmtId="250" fontId="234" fillId="0" borderId="0" applyNumberFormat="0"/>
    <xf numFmtId="249" fontId="28" fillId="0" borderId="0" applyBorder="0"/>
    <xf numFmtId="251" fontId="22" fillId="0" borderId="0">
      <protection locked="0"/>
    </xf>
    <xf numFmtId="252" fontId="28" fillId="35" borderId="0" applyFont="0" applyFill="0" applyBorder="0" applyAlignment="0"/>
    <xf numFmtId="253" fontId="222" fillId="0" borderId="0">
      <protection locked="0"/>
    </xf>
    <xf numFmtId="253" fontId="222" fillId="0" borderId="0">
      <protection locked="0"/>
    </xf>
    <xf numFmtId="0" fontId="235" fillId="0" borderId="0" applyNumberFormat="0" applyFill="0" applyBorder="0" applyAlignment="0" applyProtection="0">
      <alignment vertical="top"/>
      <protection locked="0"/>
    </xf>
    <xf numFmtId="0" fontId="73" fillId="0" borderId="0"/>
    <xf numFmtId="0" fontId="236" fillId="39" borderId="0" applyNumberFormat="0" applyBorder="0" applyAlignment="0" applyProtection="0">
      <alignment vertical="center"/>
    </xf>
    <xf numFmtId="38" fontId="29" fillId="34" borderId="0" applyNumberFormat="0" applyBorder="0" applyAlignment="0" applyProtection="0"/>
    <xf numFmtId="38" fontId="29" fillId="33" borderId="0" applyNumberFormat="0" applyBorder="0" applyAlignment="0" applyProtection="0"/>
    <xf numFmtId="0" fontId="237" fillId="0" borderId="0">
      <alignment horizontal="left"/>
    </xf>
    <xf numFmtId="0" fontId="238" fillId="0" borderId="0">
      <alignment horizontal="left"/>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3" applyNumberFormat="0" applyProtection="0">
      <alignment vertical="center"/>
    </xf>
    <xf numFmtId="0" fontId="30" fillId="0" borderId="154">
      <alignment horizontal="left" vertical="center"/>
    </xf>
    <xf numFmtId="0" fontId="30" fillId="0" borderId="154">
      <alignment horizontal="left" vertical="center"/>
    </xf>
    <xf numFmtId="0" fontId="30" fillId="0" borderId="154">
      <alignment horizontal="left" vertical="center"/>
    </xf>
    <xf numFmtId="0" fontId="30" fillId="0" borderId="154">
      <alignment horizontal="left" vertical="center"/>
    </xf>
    <xf numFmtId="0" fontId="30" fillId="0" borderId="154">
      <alignment horizontal="left" vertical="center"/>
    </xf>
    <xf numFmtId="0" fontId="30" fillId="0" borderId="154">
      <alignment horizontal="left" vertical="center"/>
    </xf>
    <xf numFmtId="0" fontId="239" fillId="0" borderId="0" applyNumberFormat="0" applyFill="0" applyBorder="0" applyAlignment="0" applyProtection="0">
      <alignment vertical="center"/>
    </xf>
    <xf numFmtId="254" fontId="233" fillId="0" borderId="0">
      <protection locked="0"/>
    </xf>
    <xf numFmtId="255" fontId="28" fillId="0" borderId="0">
      <protection locked="0"/>
    </xf>
    <xf numFmtId="254" fontId="233" fillId="0" borderId="0">
      <protection locked="0"/>
    </xf>
    <xf numFmtId="0" fontId="240" fillId="0" borderId="0"/>
    <xf numFmtId="0" fontId="241" fillId="86" borderId="0" applyFont="0" applyAlignment="0">
      <alignment horizontal="left"/>
    </xf>
    <xf numFmtId="0" fontId="28" fillId="0" borderId="0">
      <alignment horizontal="center"/>
    </xf>
    <xf numFmtId="0" fontId="242" fillId="0" borderId="0" applyNumberFormat="0" applyFill="0" applyBorder="0" applyAlignment="0" applyProtection="0">
      <alignment vertical="top"/>
      <protection locked="0"/>
    </xf>
    <xf numFmtId="0" fontId="243" fillId="0" borderId="0" applyNumberFormat="0" applyFill="0" applyBorder="0" applyAlignment="0" applyProtection="0">
      <alignment vertical="top"/>
      <protection locked="0"/>
    </xf>
    <xf numFmtId="0" fontId="235" fillId="0" borderId="0" applyNumberFormat="0" applyFill="0" applyBorder="0" applyAlignment="0" applyProtection="0">
      <alignment vertical="top"/>
      <protection locked="0"/>
    </xf>
    <xf numFmtId="0" fontId="242" fillId="0" borderId="0" applyNumberFormat="0" applyFill="0" applyBorder="0" applyAlignment="0" applyProtection="0">
      <alignment vertical="top"/>
      <protection locked="0"/>
    </xf>
    <xf numFmtId="185" fontId="28" fillId="87" borderId="134"/>
    <xf numFmtId="10" fontId="29" fillId="33" borderId="134" applyNumberFormat="0" applyBorder="0" applyAlignment="0" applyProtection="0"/>
    <xf numFmtId="236" fontId="29" fillId="35" borderId="0" applyFont="0" applyBorder="0" applyAlignment="0" applyProtection="0">
      <protection locked="0"/>
    </xf>
    <xf numFmtId="15" fontId="29" fillId="35" borderId="0" applyFont="0" applyBorder="0" applyAlignment="0" applyProtection="0">
      <protection locked="0"/>
    </xf>
    <xf numFmtId="252" fontId="29" fillId="35" borderId="0" applyFont="0" applyBorder="0" applyAlignment="0">
      <protection locked="0"/>
    </xf>
    <xf numFmtId="38" fontId="29" fillId="35" borderId="0">
      <protection locked="0"/>
    </xf>
    <xf numFmtId="250" fontId="28" fillId="88" borderId="0"/>
    <xf numFmtId="256" fontId="29" fillId="35" borderId="0" applyFont="0" applyBorder="0" applyAlignment="0">
      <protection locked="0"/>
    </xf>
    <xf numFmtId="10" fontId="29" fillId="35" borderId="0">
      <protection locked="0"/>
    </xf>
    <xf numFmtId="251" fontId="244" fillId="35" borderId="0" applyNumberFormat="0" applyBorder="0" applyAlignment="0">
      <protection locked="0"/>
    </xf>
    <xf numFmtId="257" fontId="28" fillId="89" borderId="0"/>
    <xf numFmtId="0" fontId="245" fillId="42" borderId="155" applyNumberFormat="0" applyAlignment="0" applyProtection="0"/>
    <xf numFmtId="0" fontId="246" fillId="0" borderId="0" applyNumberFormat="0" applyFill="0" applyBorder="0" applyAlignment="0">
      <protection locked="0"/>
    </xf>
    <xf numFmtId="257" fontId="28" fillId="0" borderId="0"/>
    <xf numFmtId="258" fontId="29" fillId="0" borderId="0"/>
    <xf numFmtId="0" fontId="229" fillId="0" borderId="0"/>
    <xf numFmtId="0" fontId="247" fillId="0" borderId="0" applyNumberFormat="0" applyFill="0" applyBorder="0" applyAlignment="0" applyProtection="0"/>
    <xf numFmtId="181" fontId="28" fillId="0" borderId="0" applyFont="0" applyFill="0" applyBorder="0" applyAlignment="0" applyProtection="0"/>
    <xf numFmtId="259" fontId="22" fillId="0" borderId="0" applyFont="0" applyFill="0" applyBorder="0" applyAlignment="0" applyProtection="0"/>
    <xf numFmtId="195" fontId="22" fillId="0" borderId="0" applyFont="0" applyFill="0" applyBorder="0" applyAlignment="0" applyProtection="0"/>
    <xf numFmtId="201" fontId="28" fillId="0" borderId="0" applyFont="0" applyFill="0" applyBorder="0" applyAlignment="0" applyProtection="0"/>
    <xf numFmtId="0" fontId="184" fillId="0" borderId="0" applyNumberFormat="0" applyFont="0" applyFill="0" applyBorder="0" applyProtection="0">
      <alignment horizontal="left" vertical="center"/>
    </xf>
    <xf numFmtId="2" fontId="248" fillId="0" borderId="0" applyFont="0" applyFill="0" applyBorder="0" applyAlignment="0"/>
    <xf numFmtId="224" fontId="53" fillId="0" borderId="0" applyFill="0" applyBorder="0" applyAlignment="0"/>
    <xf numFmtId="225" fontId="22" fillId="0" borderId="0" applyFill="0" applyBorder="0" applyAlignment="0"/>
    <xf numFmtId="216" fontId="22" fillId="0" borderId="0" applyFill="0" applyBorder="0" applyAlignment="0"/>
    <xf numFmtId="217" fontId="22" fillId="0" borderId="0" applyFill="0" applyBorder="0" applyAlignment="0"/>
    <xf numFmtId="224" fontId="53" fillId="0" borderId="0" applyFill="0" applyBorder="0" applyAlignment="0"/>
    <xf numFmtId="225" fontId="22" fillId="0" borderId="0" applyFill="0" applyBorder="0" applyAlignment="0"/>
    <xf numFmtId="226" fontId="22" fillId="0" borderId="0" applyFill="0" applyBorder="0" applyAlignment="0"/>
    <xf numFmtId="227" fontId="22" fillId="0" borderId="0" applyFill="0" applyBorder="0" applyAlignment="0"/>
    <xf numFmtId="216" fontId="22" fillId="0" borderId="0" applyFill="0" applyBorder="0" applyAlignment="0"/>
    <xf numFmtId="217" fontId="22" fillId="0" borderId="0" applyFill="0" applyBorder="0" applyAlignment="0"/>
    <xf numFmtId="0" fontId="249" fillId="0" borderId="29" applyNumberFormat="0" applyFill="0" applyAlignment="0" applyProtection="0">
      <alignment vertical="center"/>
    </xf>
    <xf numFmtId="0" fontId="28" fillId="0" borderId="0">
      <alignment horizontal="center"/>
    </xf>
    <xf numFmtId="0" fontId="28" fillId="0" borderId="0" applyFont="0" applyFill="0" applyBorder="0" applyAlignment="0" applyProtection="0"/>
    <xf numFmtId="0" fontId="28" fillId="0" borderId="0" applyFont="0" applyFill="0" applyBorder="0" applyAlignment="0" applyProtection="0"/>
    <xf numFmtId="41" fontId="28" fillId="0" borderId="0" applyFont="0" applyFill="0" applyBorder="0" applyAlignment="0" applyProtection="0"/>
    <xf numFmtId="43" fontId="28" fillId="0" borderId="0" applyFont="0" applyFill="0" applyBorder="0" applyAlignment="0" applyProtection="0"/>
    <xf numFmtId="0" fontId="250" fillId="0" borderId="24"/>
    <xf numFmtId="260" fontId="225" fillId="0" borderId="0" applyFont="0" applyFill="0" applyBorder="0" applyAlignment="0" applyProtection="0"/>
    <xf numFmtId="261" fontId="225"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262" fontId="29" fillId="34" borderId="0" applyFont="0" applyBorder="0" applyAlignment="0" applyProtection="0">
      <alignment horizontal="right"/>
      <protection hidden="1"/>
    </xf>
    <xf numFmtId="0" fontId="251" fillId="57" borderId="0" applyNumberFormat="0" applyBorder="0" applyAlignment="0" applyProtection="0">
      <alignment vertical="center"/>
    </xf>
    <xf numFmtId="0" fontId="252" fillId="0" borderId="0">
      <alignment horizontal="left"/>
    </xf>
    <xf numFmtId="263" fontId="22" fillId="0" borderId="0"/>
    <xf numFmtId="263" fontId="22" fillId="0" borderId="0"/>
    <xf numFmtId="0" fontId="28" fillId="0" borderId="0"/>
    <xf numFmtId="263" fontId="22" fillId="0" borderId="0"/>
    <xf numFmtId="0" fontId="73" fillId="0" borderId="0"/>
    <xf numFmtId="263" fontId="22" fillId="0" borderId="0"/>
    <xf numFmtId="0" fontId="253" fillId="0" borderId="0"/>
    <xf numFmtId="0" fontId="253" fillId="0" borderId="0"/>
    <xf numFmtId="0" fontId="253" fillId="0" borderId="0"/>
    <xf numFmtId="0" fontId="253" fillId="0" borderId="0"/>
    <xf numFmtId="0" fontId="253" fillId="0" borderId="0"/>
    <xf numFmtId="0" fontId="253" fillId="0" borderId="0"/>
    <xf numFmtId="0" fontId="253" fillId="0" borderId="0"/>
    <xf numFmtId="38" fontId="29" fillId="0" borderId="0" applyFont="0" applyFill="0" applyBorder="0" applyAlignment="0"/>
    <xf numFmtId="251" fontId="28" fillId="0" borderId="0" applyFont="0" applyFill="0" applyBorder="0" applyAlignment="0"/>
    <xf numFmtId="40" fontId="29" fillId="0" borderId="0" applyFont="0" applyFill="0" applyBorder="0" applyAlignment="0"/>
    <xf numFmtId="264" fontId="29" fillId="0" borderId="0" applyFont="0" applyFill="0" applyBorder="0" applyAlignment="0"/>
    <xf numFmtId="0" fontId="28" fillId="0" borderId="0"/>
    <xf numFmtId="251" fontId="221" fillId="0" borderId="0" applyNumberFormat="0" applyFill="0" applyBorder="0" applyAlignment="0" applyProtection="0"/>
    <xf numFmtId="265" fontId="29" fillId="0" borderId="0" applyFont="0" applyFill="0" applyBorder="0" applyAlignment="0" applyProtection="0"/>
    <xf numFmtId="49" fontId="234" fillId="0" borderId="0">
      <alignment horizontal="left"/>
    </xf>
    <xf numFmtId="0" fontId="184" fillId="0" borderId="127" applyFont="0" applyFill="0" applyBorder="0" applyAlignment="0" applyProtection="0">
      <alignment horizontal="right"/>
    </xf>
    <xf numFmtId="0" fontId="254" fillId="0" borderId="0" applyFont="0" applyFill="0" applyBorder="0" applyAlignment="0" applyProtection="0">
      <alignment horizontal="centerContinuous"/>
    </xf>
    <xf numFmtId="0" fontId="184" fillId="0" borderId="127" applyFont="0" applyFill="0" applyBorder="0" applyAlignment="0" applyProtection="0">
      <alignment horizontal="right"/>
    </xf>
    <xf numFmtId="0" fontId="184" fillId="0" borderId="127" applyFont="0" applyFill="0" applyBorder="0" applyAlignment="0" applyProtection="0">
      <alignment horizontal="right"/>
    </xf>
    <xf numFmtId="0" fontId="184" fillId="0" borderId="127" applyFont="0" applyFill="0" applyBorder="0" applyAlignment="0" applyProtection="0">
      <alignment horizontal="right"/>
    </xf>
    <xf numFmtId="0" fontId="184" fillId="0" borderId="127" applyFont="0" applyFill="0" applyBorder="0" applyAlignment="0" applyProtection="0">
      <alignment horizontal="right"/>
    </xf>
    <xf numFmtId="0" fontId="28" fillId="0" borderId="0" applyFont="0" applyFill="0" applyBorder="0" applyAlignment="0" applyProtection="0">
      <alignment horizontal="centerContinuous"/>
    </xf>
    <xf numFmtId="0" fontId="184" fillId="0" borderId="127" applyFont="0" applyFill="0" applyBorder="0" applyAlignment="0" applyProtection="0">
      <alignment horizontal="right"/>
    </xf>
    <xf numFmtId="266" fontId="29" fillId="0" borderId="0" applyFont="0" applyFill="0" applyBorder="0" applyAlignment="0" applyProtection="0"/>
    <xf numFmtId="267" fontId="227" fillId="90" borderId="0">
      <alignment vertical="center"/>
    </xf>
    <xf numFmtId="189" fontId="255" fillId="0" borderId="0">
      <alignment horizontal="center" wrapText="1"/>
    </xf>
    <xf numFmtId="268" fontId="29"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xf numFmtId="0" fontId="256" fillId="0" borderId="0"/>
    <xf numFmtId="0" fontId="257" fillId="0" borderId="132">
      <alignment horizontal="left"/>
    </xf>
    <xf numFmtId="0" fontId="29" fillId="91" borderId="0" applyFill="0" applyBorder="0" applyProtection="0">
      <alignment horizontal="center"/>
    </xf>
    <xf numFmtId="269" fontId="29" fillId="0" borderId="0"/>
    <xf numFmtId="270" fontId="222" fillId="0" borderId="0">
      <protection locked="0"/>
    </xf>
    <xf numFmtId="271" fontId="28" fillId="0" borderId="0" applyFont="0" applyFill="0" applyBorder="0" applyAlignment="0" applyProtection="0"/>
    <xf numFmtId="272" fontId="28" fillId="0" borderId="0" applyFont="0" applyFill="0" applyBorder="0" applyAlignment="0"/>
    <xf numFmtId="223" fontId="22" fillId="0" borderId="0" applyFont="0" applyFill="0" applyBorder="0" applyAlignment="0" applyProtection="0"/>
    <xf numFmtId="273" fontId="22" fillId="0" borderId="0" applyFont="0" applyFill="0" applyBorder="0" applyAlignment="0" applyProtection="0"/>
    <xf numFmtId="274" fontId="22" fillId="0" borderId="0" applyFont="0" applyFill="0" applyBorder="0" applyAlignment="0" applyProtection="0"/>
    <xf numFmtId="256" fontId="29" fillId="0" borderId="0" applyFont="0" applyFill="0" applyBorder="0" applyAlignment="0"/>
    <xf numFmtId="270" fontId="222" fillId="0" borderId="0">
      <protection locked="0"/>
    </xf>
    <xf numFmtId="275" fontId="22" fillId="0" borderId="0" applyFont="0" applyFill="0" applyBorder="0" applyAlignment="0" applyProtection="0"/>
    <xf numFmtId="276" fontId="29" fillId="0" borderId="0" applyFont="0" applyFill="0" applyBorder="0" applyAlignment="0" applyProtection="0"/>
    <xf numFmtId="224" fontId="53" fillId="0" borderId="0" applyFill="0" applyBorder="0" applyAlignment="0"/>
    <xf numFmtId="225" fontId="22" fillId="0" borderId="0" applyFill="0" applyBorder="0" applyAlignment="0"/>
    <xf numFmtId="216" fontId="22" fillId="0" borderId="0" applyFill="0" applyBorder="0" applyAlignment="0"/>
    <xf numFmtId="217" fontId="22" fillId="0" borderId="0" applyFill="0" applyBorder="0" applyAlignment="0"/>
    <xf numFmtId="224" fontId="53" fillId="0" borderId="0" applyFill="0" applyBorder="0" applyAlignment="0"/>
    <xf numFmtId="225" fontId="22" fillId="0" borderId="0" applyFill="0" applyBorder="0" applyAlignment="0"/>
    <xf numFmtId="226" fontId="22" fillId="0" borderId="0" applyFill="0" applyBorder="0" applyAlignment="0"/>
    <xf numFmtId="227" fontId="22" fillId="0" borderId="0" applyFill="0" applyBorder="0" applyAlignment="0"/>
    <xf numFmtId="216" fontId="22" fillId="0" borderId="0" applyFill="0" applyBorder="0" applyAlignment="0"/>
    <xf numFmtId="217" fontId="22" fillId="0" borderId="0" applyFill="0" applyBorder="0" applyAlignment="0"/>
    <xf numFmtId="3" fontId="258" fillId="0" borderId="0" applyFill="0" applyBorder="0" applyProtection="0">
      <alignment horizontal="right"/>
    </xf>
    <xf numFmtId="237" fontId="53" fillId="0" borderId="0">
      <alignment horizontal="right"/>
    </xf>
    <xf numFmtId="9" fontId="259" fillId="0" borderId="0" applyFont="0" applyFill="0" applyProtection="0"/>
    <xf numFmtId="0" fontId="183" fillId="0" borderId="0" applyNumberFormat="0" applyFont="0" applyFill="0" applyBorder="0" applyAlignment="0" applyProtection="0">
      <alignment horizontal="left"/>
    </xf>
    <xf numFmtId="15" fontId="183" fillId="0" borderId="0" applyFont="0" applyFill="0" applyBorder="0" applyAlignment="0" applyProtection="0"/>
    <xf numFmtId="4" fontId="183" fillId="0" borderId="0" applyFont="0" applyFill="0" applyBorder="0" applyAlignment="0" applyProtection="0"/>
    <xf numFmtId="0" fontId="182" fillId="0" borderId="24">
      <alignment horizontal="center"/>
    </xf>
    <xf numFmtId="3" fontId="183" fillId="0" borderId="0" applyFont="0" applyFill="0" applyBorder="0" applyAlignment="0" applyProtection="0"/>
    <xf numFmtId="0" fontId="183" fillId="92" borderId="0" applyNumberFormat="0" applyFont="0" applyBorder="0" applyAlignment="0" applyProtection="0"/>
    <xf numFmtId="0" fontId="260" fillId="93" borderId="132">
      <alignment horizontal="center" vertical="center"/>
    </xf>
    <xf numFmtId="251" fontId="261" fillId="0" borderId="0" applyNumberFormat="0" applyFill="0" applyBorder="0" applyAlignment="0" applyProtection="0">
      <alignment horizontal="left"/>
    </xf>
    <xf numFmtId="277" fontId="22" fillId="0" borderId="0" applyNumberFormat="0" applyFill="0" applyBorder="0" applyAlignment="0" applyProtection="0">
      <alignment horizontal="left"/>
    </xf>
    <xf numFmtId="0" fontId="73" fillId="0" borderId="0"/>
    <xf numFmtId="0" fontId="28" fillId="0" borderId="0"/>
    <xf numFmtId="4" fontId="227" fillId="87" borderId="139" applyNumberFormat="0" applyProtection="0">
      <alignment vertical="center"/>
    </xf>
    <xf numFmtId="4" fontId="227" fillId="87" borderId="139" applyNumberFormat="0" applyProtection="0">
      <alignment vertical="center"/>
    </xf>
    <xf numFmtId="4" fontId="227" fillId="87" borderId="139" applyNumberFormat="0" applyProtection="0">
      <alignment vertical="center"/>
    </xf>
    <xf numFmtId="4" fontId="227" fillId="87" borderId="139" applyNumberFormat="0" applyProtection="0">
      <alignment vertical="center"/>
    </xf>
    <xf numFmtId="4" fontId="227" fillId="87" borderId="139" applyNumberFormat="0" applyProtection="0">
      <alignment vertical="center"/>
    </xf>
    <xf numFmtId="4" fontId="262" fillId="87" borderId="139" applyNumberFormat="0" applyProtection="0">
      <alignment vertical="center"/>
    </xf>
    <xf numFmtId="4" fontId="227" fillId="87" borderId="139" applyNumberFormat="0" applyProtection="0">
      <alignment horizontal="left" vertical="center" indent="1"/>
    </xf>
    <xf numFmtId="4" fontId="227" fillId="87"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4" fontId="227" fillId="94" borderId="139" applyNumberFormat="0" applyProtection="0">
      <alignment horizontal="right" vertical="center"/>
    </xf>
    <xf numFmtId="4" fontId="227" fillId="95" borderId="139" applyNumberFormat="0" applyProtection="0">
      <alignment horizontal="right" vertical="center"/>
    </xf>
    <xf numFmtId="4" fontId="227" fillId="96" borderId="139" applyNumberFormat="0" applyProtection="0">
      <alignment horizontal="right" vertical="center"/>
    </xf>
    <xf numFmtId="4" fontId="227" fillId="97" borderId="139" applyNumberFormat="0" applyProtection="0">
      <alignment horizontal="right" vertical="center"/>
    </xf>
    <xf numFmtId="4" fontId="227" fillId="98" borderId="139" applyNumberFormat="0" applyProtection="0">
      <alignment horizontal="right" vertical="center"/>
    </xf>
    <xf numFmtId="4" fontId="227" fillId="99" borderId="139" applyNumberFormat="0" applyProtection="0">
      <alignment horizontal="right" vertical="center"/>
    </xf>
    <xf numFmtId="4" fontId="227" fillId="100" borderId="139" applyNumberFormat="0" applyProtection="0">
      <alignment horizontal="right" vertical="center"/>
    </xf>
    <xf numFmtId="4" fontId="227" fillId="101" borderId="139" applyNumberFormat="0" applyProtection="0">
      <alignment horizontal="right" vertical="center"/>
    </xf>
    <xf numFmtId="4" fontId="227" fillId="102" borderId="139" applyNumberFormat="0" applyProtection="0">
      <alignment horizontal="right" vertical="center"/>
    </xf>
    <xf numFmtId="4" fontId="263" fillId="103" borderId="139" applyNumberFormat="0" applyProtection="0">
      <alignment horizontal="left" vertical="center" indent="1"/>
    </xf>
    <xf numFmtId="4" fontId="227" fillId="104" borderId="156" applyNumberFormat="0" applyProtection="0">
      <alignment horizontal="left" vertical="center" indent="1"/>
    </xf>
    <xf numFmtId="4" fontId="264" fillId="105" borderId="0" applyNumberFormat="0" applyProtection="0">
      <alignment horizontal="left" vertical="center" indent="1"/>
    </xf>
    <xf numFmtId="4" fontId="264" fillId="105" borderId="0" applyNumberFormat="0" applyProtection="0">
      <alignment horizontal="left" vertical="center" indent="1"/>
    </xf>
    <xf numFmtId="4" fontId="264" fillId="105" borderId="0" applyNumberFormat="0" applyProtection="0">
      <alignment horizontal="left" vertical="center" indent="1"/>
    </xf>
    <xf numFmtId="4" fontId="264" fillId="105" borderId="0"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4" fontId="227" fillId="104" borderId="139" applyNumberFormat="0" applyProtection="0">
      <alignment horizontal="left" vertical="center" indent="1"/>
    </xf>
    <xf numFmtId="4" fontId="227" fillId="104" borderId="139" applyNumberFormat="0" applyProtection="0">
      <alignment horizontal="left" vertical="center" indent="1"/>
    </xf>
    <xf numFmtId="4" fontId="227" fillId="104" borderId="139" applyNumberFormat="0" applyProtection="0">
      <alignment horizontal="left" vertical="center" indent="1"/>
    </xf>
    <xf numFmtId="4" fontId="227" fillId="104" borderId="139" applyNumberFormat="0" applyProtection="0">
      <alignment horizontal="left" vertical="center" indent="1"/>
    </xf>
    <xf numFmtId="4" fontId="227" fillId="106" borderId="139" applyNumberFormat="0" applyProtection="0">
      <alignment horizontal="left" vertical="center" indent="1"/>
    </xf>
    <xf numFmtId="4" fontId="227" fillId="106" borderId="139" applyNumberFormat="0" applyProtection="0">
      <alignment horizontal="left" vertical="center" indent="1"/>
    </xf>
    <xf numFmtId="4" fontId="227" fillId="106" borderId="139" applyNumberFormat="0" applyProtection="0">
      <alignment horizontal="left" vertical="center" indent="1"/>
    </xf>
    <xf numFmtId="4" fontId="227"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6"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107"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34"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21" fillId="108" borderId="157" applyBorder="0"/>
    <xf numFmtId="4" fontId="227" fillId="35" borderId="139" applyNumberFormat="0" applyProtection="0">
      <alignment vertical="center"/>
    </xf>
    <xf numFmtId="4" fontId="262" fillId="35" borderId="139" applyNumberFormat="0" applyProtection="0">
      <alignment vertical="center"/>
    </xf>
    <xf numFmtId="4" fontId="227" fillId="35" borderId="139" applyNumberFormat="0" applyProtection="0">
      <alignment horizontal="left" vertical="center" indent="1"/>
    </xf>
    <xf numFmtId="4" fontId="227" fillId="35" borderId="139" applyNumberFormat="0" applyProtection="0">
      <alignment horizontal="left" vertical="center" indent="1"/>
    </xf>
    <xf numFmtId="4" fontId="227" fillId="104" borderId="139" applyNumberFormat="0" applyProtection="0">
      <alignment horizontal="right" vertical="center"/>
    </xf>
    <xf numFmtId="4" fontId="227" fillId="104" borderId="139" applyNumberFormat="0" applyProtection="0">
      <alignment horizontal="right" vertical="center"/>
    </xf>
    <xf numFmtId="4" fontId="227" fillId="104" borderId="139" applyNumberFormat="0" applyProtection="0">
      <alignment horizontal="right" vertical="center"/>
    </xf>
    <xf numFmtId="4" fontId="227" fillId="104" borderId="139" applyNumberFormat="0" applyProtection="0">
      <alignment horizontal="right" vertical="center"/>
    </xf>
    <xf numFmtId="4" fontId="227" fillId="104" borderId="139" applyNumberFormat="0" applyProtection="0">
      <alignment horizontal="right" vertical="center"/>
    </xf>
    <xf numFmtId="4" fontId="227" fillId="104" borderId="139" applyNumberFormat="0" applyProtection="0">
      <alignment horizontal="right" vertical="center"/>
    </xf>
    <xf numFmtId="4" fontId="227" fillId="104" borderId="139" applyNumberFormat="0" applyProtection="0">
      <alignment horizontal="right" vertical="center"/>
    </xf>
    <xf numFmtId="4" fontId="262" fillId="104" borderId="139" applyNumberFormat="0" applyProtection="0">
      <alignment horizontal="right" vertical="center"/>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8" fillId="89" borderId="139" applyNumberFormat="0" applyProtection="0">
      <alignment horizontal="left" vertical="center" indent="1"/>
    </xf>
    <xf numFmtId="0" fontId="265" fillId="0" borderId="0"/>
    <xf numFmtId="0" fontId="265" fillId="0" borderId="0"/>
    <xf numFmtId="0" fontId="265" fillId="0" borderId="0"/>
    <xf numFmtId="0" fontId="265" fillId="0" borderId="0"/>
    <xf numFmtId="4" fontId="266" fillId="104" borderId="139" applyNumberFormat="0" applyProtection="0">
      <alignment horizontal="right" vertical="center"/>
    </xf>
    <xf numFmtId="0" fontId="267" fillId="0" borderId="158"/>
    <xf numFmtId="278" fontId="225" fillId="0" borderId="0" applyFont="0" applyFill="0" applyBorder="0" applyAlignment="0" applyProtection="0"/>
    <xf numFmtId="279" fontId="225" fillId="0" borderId="0" applyFont="0" applyFill="0" applyBorder="0" applyAlignment="0" applyProtection="0"/>
    <xf numFmtId="9" fontId="28" fillId="1" borderId="0" applyNumberFormat="0" applyFont="0" applyBorder="0" applyAlignment="0" applyProtection="0"/>
    <xf numFmtId="0" fontId="268" fillId="0" borderId="0" applyAlignment="0">
      <alignment horizontal="left"/>
    </xf>
    <xf numFmtId="0" fontId="259" fillId="0" borderId="0"/>
    <xf numFmtId="0" fontId="28" fillId="0" borderId="0"/>
    <xf numFmtId="251" fontId="29" fillId="78" borderId="0" applyNumberFormat="0" applyFont="0" applyBorder="0" applyAlignment="0">
      <protection hidden="1"/>
    </xf>
    <xf numFmtId="0" fontId="53" fillId="0" borderId="0"/>
    <xf numFmtId="0" fontId="250" fillId="0" borderId="0"/>
    <xf numFmtId="0" fontId="269" fillId="0" borderId="159"/>
    <xf numFmtId="40" fontId="270" fillId="0" borderId="0" applyBorder="0">
      <alignment horizontal="right"/>
    </xf>
    <xf numFmtId="0" fontId="271" fillId="0" borderId="0"/>
    <xf numFmtId="251" fontId="28" fillId="102" borderId="0" applyNumberFormat="0" applyFont="0" applyBorder="0" applyAlignment="0" applyProtection="0"/>
    <xf numFmtId="0" fontId="258" fillId="0" borderId="0"/>
    <xf numFmtId="49" fontId="227" fillId="0" borderId="0" applyFill="0" applyBorder="0" applyAlignment="0"/>
    <xf numFmtId="275" fontId="22" fillId="0" borderId="0" applyFill="0" applyBorder="0" applyAlignment="0"/>
    <xf numFmtId="280" fontId="22" fillId="0" borderId="0" applyFill="0" applyBorder="0" applyAlignment="0"/>
    <xf numFmtId="281" fontId="22" fillId="0" borderId="0" applyFill="0" applyBorder="0" applyAlignment="0"/>
    <xf numFmtId="267" fontId="22" fillId="0" borderId="0" applyFill="0" applyBorder="0" applyAlignment="0"/>
    <xf numFmtId="282" fontId="272" fillId="0" borderId="0" applyFill="0" applyBorder="0" applyAlignment="0" applyProtection="0">
      <alignment horizontal="right"/>
    </xf>
    <xf numFmtId="0" fontId="273" fillId="0" borderId="0" applyFill="0" applyBorder="0" applyProtection="0">
      <alignment horizontal="left" vertical="top"/>
    </xf>
    <xf numFmtId="0" fontId="274" fillId="0" borderId="0" applyNumberFormat="0" applyFill="0" applyBorder="0" applyAlignment="0" applyProtection="0">
      <alignment vertical="center"/>
    </xf>
    <xf numFmtId="41" fontId="28" fillId="0" borderId="0" applyFont="0" applyFill="0" applyBorder="0" applyAlignment="0" applyProtection="0"/>
    <xf numFmtId="43" fontId="28" fillId="0" borderId="0" applyFont="0" applyFill="0" applyBorder="0" applyAlignment="0" applyProtection="0"/>
    <xf numFmtId="283" fontId="22" fillId="0" borderId="0" applyFont="0" applyFill="0" applyBorder="0" applyAlignment="0" applyProtection="0"/>
    <xf numFmtId="284" fontId="22" fillId="0" borderId="0" applyFont="0" applyFill="0" applyBorder="0" applyAlignment="0" applyProtection="0"/>
    <xf numFmtId="285" fontId="22" fillId="0" borderId="0" applyFont="0" applyFill="0" applyBorder="0" applyAlignment="0" applyProtection="0"/>
    <xf numFmtId="0" fontId="28" fillId="0" borderId="0">
      <alignment horizontal="center" textRotation="180"/>
    </xf>
    <xf numFmtId="286" fontId="28" fillId="0" borderId="0" applyFont="0" applyFill="0" applyBorder="0" applyAlignment="0" applyProtection="0"/>
    <xf numFmtId="287" fontId="28" fillId="0" borderId="0" applyFont="0" applyFill="0" applyBorder="0" applyAlignment="0" applyProtection="0"/>
    <xf numFmtId="286" fontId="28" fillId="0" borderId="0" applyFont="0" applyFill="0" applyBorder="0" applyAlignment="0" applyProtection="0"/>
    <xf numFmtId="0" fontId="28" fillId="0" borderId="0" applyFont="0" applyFill="0" applyBorder="0" applyAlignment="0" applyProtection="0"/>
    <xf numFmtId="286" fontId="28" fillId="0" borderId="0" applyFont="0" applyFill="0" applyBorder="0" applyAlignment="0" applyProtection="0"/>
    <xf numFmtId="287" fontId="28" fillId="0" borderId="0" applyFont="0" applyFill="0" applyBorder="0" applyAlignment="0" applyProtection="0"/>
    <xf numFmtId="0" fontId="275" fillId="0" borderId="0" applyNumberFormat="0" applyFill="0" applyBorder="0" applyAlignment="0" applyProtection="0">
      <alignment vertical="center"/>
    </xf>
    <xf numFmtId="251" fontId="276" fillId="0" borderId="0" applyNumberFormat="0" applyFill="0" applyBorder="0" applyAlignment="0" applyProtection="0"/>
    <xf numFmtId="0" fontId="229" fillId="0" borderId="0" applyNumberFormat="0" applyFont="0" applyFill="0" applyBorder="0" applyProtection="0">
      <alignment horizontal="center" vertical="center" wrapText="1"/>
    </xf>
    <xf numFmtId="181" fontId="73" fillId="0" borderId="0" applyFont="0" applyFill="0" applyBorder="0" applyAlignment="0" applyProtection="0"/>
    <xf numFmtId="201" fontId="28" fillId="0" borderId="0" applyFont="0" applyFill="0" applyBorder="0" applyAlignment="0" applyProtection="0"/>
    <xf numFmtId="40" fontId="277" fillId="0" borderId="0" applyFont="0" applyFill="0" applyBorder="0" applyAlignment="0" applyProtection="0"/>
    <xf numFmtId="0" fontId="271" fillId="0" borderId="0"/>
    <xf numFmtId="0" fontId="278" fillId="109" borderId="0" applyNumberFormat="0" applyBorder="0" applyAlignment="0" applyProtection="0"/>
    <xf numFmtId="0" fontId="278" fillId="110" borderId="0" applyNumberFormat="0" applyBorder="0" applyAlignment="0" applyProtection="0"/>
    <xf numFmtId="0" fontId="278" fillId="111" borderId="0" applyNumberFormat="0" applyBorder="0" applyAlignment="0" applyProtection="0"/>
    <xf numFmtId="0" fontId="279" fillId="112" borderId="0" applyNumberFormat="0" applyBorder="0" applyAlignment="0" applyProtection="0"/>
    <xf numFmtId="0" fontId="279" fillId="112" borderId="0" applyNumberFormat="0" applyBorder="0" applyAlignment="0" applyProtection="0"/>
    <xf numFmtId="0" fontId="280" fillId="113" borderId="0" applyNumberFormat="0" applyBorder="0" applyAlignment="0" applyProtection="0"/>
    <xf numFmtId="0" fontId="80" fillId="51" borderId="0" applyNumberFormat="0" applyBorder="0" applyAlignment="0" applyProtection="0">
      <alignment vertical="center"/>
    </xf>
    <xf numFmtId="0" fontId="196" fillId="49" borderId="0" applyNumberFormat="0" applyBorder="0" applyAlignment="0" applyProtection="0">
      <alignment vertical="center"/>
    </xf>
    <xf numFmtId="0" fontId="80" fillId="51" borderId="0" applyNumberFormat="0" applyBorder="0" applyAlignment="0" applyProtection="0">
      <alignment vertical="center"/>
    </xf>
    <xf numFmtId="0" fontId="196" fillId="49"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164" fillId="9" borderId="0" applyNumberFormat="0" applyBorder="0" applyAlignment="0" applyProtection="0">
      <alignment vertical="center"/>
    </xf>
    <xf numFmtId="0" fontId="164" fillId="9" borderId="0" applyNumberFormat="0" applyBorder="0" applyAlignment="0" applyProtection="0">
      <alignment vertical="center"/>
    </xf>
    <xf numFmtId="0" fontId="164" fillId="9" borderId="0" applyNumberFormat="0" applyBorder="0" applyAlignment="0" applyProtection="0">
      <alignment vertical="center"/>
    </xf>
    <xf numFmtId="0" fontId="164" fillId="9" borderId="0" applyNumberFormat="0" applyBorder="0" applyAlignment="0" applyProtection="0">
      <alignment vertical="center"/>
    </xf>
    <xf numFmtId="0" fontId="164" fillId="9"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51"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196" fillId="49" borderId="0" applyNumberFormat="0" applyBorder="0" applyAlignment="0" applyProtection="0">
      <alignment vertical="center"/>
    </xf>
    <xf numFmtId="0" fontId="80" fillId="51" borderId="0" applyNumberFormat="0" applyBorder="0" applyAlignment="0" applyProtection="0">
      <alignment vertical="center"/>
    </xf>
    <xf numFmtId="0" fontId="196" fillId="49" borderId="0" applyNumberFormat="0" applyBorder="0" applyAlignment="0" applyProtection="0">
      <alignment vertical="center"/>
    </xf>
    <xf numFmtId="0" fontId="279" fillId="114" borderId="0" applyNumberFormat="0" applyBorder="0" applyAlignment="0" applyProtection="0"/>
    <xf numFmtId="0" fontId="279" fillId="115" borderId="0" applyNumberFormat="0" applyBorder="0" applyAlignment="0" applyProtection="0"/>
    <xf numFmtId="0" fontId="280" fillId="116" borderId="0" applyNumberFormat="0" applyBorder="0" applyAlignment="0" applyProtection="0"/>
    <xf numFmtId="0" fontId="80" fillId="52" borderId="0" applyNumberFormat="0" applyBorder="0" applyAlignment="0" applyProtection="0">
      <alignment vertical="center"/>
    </xf>
    <xf numFmtId="0" fontId="196" fillId="55" borderId="0" applyNumberFormat="0" applyBorder="0" applyAlignment="0" applyProtection="0">
      <alignment vertical="center"/>
    </xf>
    <xf numFmtId="0" fontId="80" fillId="52" borderId="0" applyNumberFormat="0" applyBorder="0" applyAlignment="0" applyProtection="0">
      <alignment vertical="center"/>
    </xf>
    <xf numFmtId="0" fontId="196" fillId="55"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164" fillId="13" borderId="0" applyNumberFormat="0" applyBorder="0" applyAlignment="0" applyProtection="0">
      <alignment vertical="center"/>
    </xf>
    <xf numFmtId="0" fontId="164" fillId="13" borderId="0" applyNumberFormat="0" applyBorder="0" applyAlignment="0" applyProtection="0">
      <alignment vertical="center"/>
    </xf>
    <xf numFmtId="0" fontId="164" fillId="13" borderId="0" applyNumberFormat="0" applyBorder="0" applyAlignment="0" applyProtection="0">
      <alignment vertical="center"/>
    </xf>
    <xf numFmtId="0" fontId="164" fillId="13" borderId="0" applyNumberFormat="0" applyBorder="0" applyAlignment="0" applyProtection="0">
      <alignment vertical="center"/>
    </xf>
    <xf numFmtId="0" fontId="164" fillId="13"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80" fillId="52" borderId="0" applyNumberFormat="0" applyBorder="0" applyAlignment="0" applyProtection="0">
      <alignment vertical="center"/>
    </xf>
    <xf numFmtId="0" fontId="196" fillId="55" borderId="0" applyNumberFormat="0" applyBorder="0" applyAlignment="0" applyProtection="0">
      <alignment vertical="center"/>
    </xf>
    <xf numFmtId="0" fontId="80" fillId="52" borderId="0" applyNumberFormat="0" applyBorder="0" applyAlignment="0" applyProtection="0">
      <alignment vertical="center"/>
    </xf>
    <xf numFmtId="0" fontId="196" fillId="55" borderId="0" applyNumberFormat="0" applyBorder="0" applyAlignment="0" applyProtection="0">
      <alignment vertical="center"/>
    </xf>
    <xf numFmtId="0" fontId="279" fillId="114" borderId="0" applyNumberFormat="0" applyBorder="0" applyAlignment="0" applyProtection="0"/>
    <xf numFmtId="0" fontId="279" fillId="117" borderId="0" applyNumberFormat="0" applyBorder="0" applyAlignment="0" applyProtection="0"/>
    <xf numFmtId="0" fontId="280" fillId="115" borderId="0" applyNumberFormat="0" applyBorder="0" applyAlignment="0" applyProtection="0"/>
    <xf numFmtId="0" fontId="80" fillId="53" borderId="0" applyNumberFormat="0" applyBorder="0" applyAlignment="0" applyProtection="0">
      <alignment vertical="center"/>
    </xf>
    <xf numFmtId="0" fontId="196" fillId="84" borderId="0" applyNumberFormat="0" applyBorder="0" applyAlignment="0" applyProtection="0">
      <alignment vertical="center"/>
    </xf>
    <xf numFmtId="0" fontId="80" fillId="53" borderId="0" applyNumberFormat="0" applyBorder="0" applyAlignment="0" applyProtection="0">
      <alignment vertical="center"/>
    </xf>
    <xf numFmtId="0" fontId="196" fillId="84"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164" fillId="17" borderId="0" applyNumberFormat="0" applyBorder="0" applyAlignment="0" applyProtection="0">
      <alignment vertical="center"/>
    </xf>
    <xf numFmtId="0" fontId="164" fillId="17" borderId="0" applyNumberFormat="0" applyBorder="0" applyAlignment="0" applyProtection="0">
      <alignment vertical="center"/>
    </xf>
    <xf numFmtId="0" fontId="164" fillId="17" borderId="0" applyNumberFormat="0" applyBorder="0" applyAlignment="0" applyProtection="0">
      <alignment vertical="center"/>
    </xf>
    <xf numFmtId="0" fontId="164" fillId="17" borderId="0" applyNumberFormat="0" applyBorder="0" applyAlignment="0" applyProtection="0">
      <alignment vertical="center"/>
    </xf>
    <xf numFmtId="0" fontId="164" fillId="17"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80" fillId="53" borderId="0" applyNumberFormat="0" applyBorder="0" applyAlignment="0" applyProtection="0">
      <alignment vertical="center"/>
    </xf>
    <xf numFmtId="0" fontId="196" fillId="84" borderId="0" applyNumberFormat="0" applyBorder="0" applyAlignment="0" applyProtection="0">
      <alignment vertical="center"/>
    </xf>
    <xf numFmtId="0" fontId="80" fillId="53" borderId="0" applyNumberFormat="0" applyBorder="0" applyAlignment="0" applyProtection="0">
      <alignment vertical="center"/>
    </xf>
    <xf numFmtId="0" fontId="196" fillId="84" borderId="0" applyNumberFormat="0" applyBorder="0" applyAlignment="0" applyProtection="0">
      <alignment vertical="center"/>
    </xf>
    <xf numFmtId="0" fontId="279" fillId="112" borderId="0" applyNumberFormat="0" applyBorder="0" applyAlignment="0" applyProtection="0"/>
    <xf numFmtId="0" fontId="279" fillId="115" borderId="0" applyNumberFormat="0" applyBorder="0" applyAlignment="0" applyProtection="0"/>
    <xf numFmtId="0" fontId="280" fillId="115" borderId="0" applyNumberFormat="0" applyBorder="0" applyAlignment="0" applyProtection="0"/>
    <xf numFmtId="0" fontId="80" fillId="48" borderId="0" applyNumberFormat="0" applyBorder="0" applyAlignment="0" applyProtection="0">
      <alignment vertical="center"/>
    </xf>
    <xf numFmtId="0" fontId="196" fillId="108" borderId="0" applyNumberFormat="0" applyBorder="0" applyAlignment="0" applyProtection="0">
      <alignment vertical="center"/>
    </xf>
    <xf numFmtId="0" fontId="80" fillId="48" borderId="0" applyNumberFormat="0" applyBorder="0" applyAlignment="0" applyProtection="0">
      <alignment vertical="center"/>
    </xf>
    <xf numFmtId="0" fontId="196" fillId="10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164" fillId="21" borderId="0" applyNumberFormat="0" applyBorder="0" applyAlignment="0" applyProtection="0">
      <alignment vertical="center"/>
    </xf>
    <xf numFmtId="0" fontId="164" fillId="21" borderId="0" applyNumberFormat="0" applyBorder="0" applyAlignment="0" applyProtection="0">
      <alignment vertical="center"/>
    </xf>
    <xf numFmtId="0" fontId="164" fillId="21" borderId="0" applyNumberFormat="0" applyBorder="0" applyAlignment="0" applyProtection="0">
      <alignment vertical="center"/>
    </xf>
    <xf numFmtId="0" fontId="164" fillId="21" borderId="0" applyNumberFormat="0" applyBorder="0" applyAlignment="0" applyProtection="0">
      <alignment vertical="center"/>
    </xf>
    <xf numFmtId="0" fontId="164" fillId="21"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48" borderId="0" applyNumberFormat="0" applyBorder="0" applyAlignment="0" applyProtection="0">
      <alignment vertical="center"/>
    </xf>
    <xf numFmtId="0" fontId="80" fillId="108" borderId="0" applyNumberFormat="0" applyBorder="0" applyAlignment="0" applyProtection="0">
      <alignment vertical="center"/>
    </xf>
    <xf numFmtId="0" fontId="80" fillId="108" borderId="0" applyNumberFormat="0" applyBorder="0" applyAlignment="0" applyProtection="0">
      <alignment vertical="center"/>
    </xf>
    <xf numFmtId="0" fontId="196" fillId="108" borderId="0" applyNumberFormat="0" applyBorder="0" applyAlignment="0" applyProtection="0">
      <alignment vertical="center"/>
    </xf>
    <xf numFmtId="0" fontId="80" fillId="48" borderId="0" applyNumberFormat="0" applyBorder="0" applyAlignment="0" applyProtection="0">
      <alignment vertical="center"/>
    </xf>
    <xf numFmtId="0" fontId="196" fillId="108" borderId="0" applyNumberFormat="0" applyBorder="0" applyAlignment="0" applyProtection="0">
      <alignment vertical="center"/>
    </xf>
    <xf numFmtId="0" fontId="279" fillId="118" borderId="0" applyNumberFormat="0" applyBorder="0" applyAlignment="0" applyProtection="0"/>
    <xf numFmtId="0" fontId="279" fillId="112" borderId="0" applyNumberFormat="0" applyBorder="0" applyAlignment="0" applyProtection="0"/>
    <xf numFmtId="0" fontId="280" fillId="113" borderId="0" applyNumberFormat="0" applyBorder="0" applyAlignment="0" applyProtection="0"/>
    <xf numFmtId="0" fontId="80" fillId="49" borderId="0" applyNumberFormat="0" applyBorder="0" applyAlignment="0" applyProtection="0">
      <alignment vertical="center"/>
    </xf>
    <xf numFmtId="0" fontId="196" fillId="49" borderId="0" applyNumberFormat="0" applyBorder="0" applyAlignment="0" applyProtection="0">
      <alignment vertical="center"/>
    </xf>
    <xf numFmtId="0" fontId="80" fillId="49" borderId="0" applyNumberFormat="0" applyBorder="0" applyAlignment="0" applyProtection="0">
      <alignment vertical="center"/>
    </xf>
    <xf numFmtId="0" fontId="196"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164" fillId="25" borderId="0" applyNumberFormat="0" applyBorder="0" applyAlignment="0" applyProtection="0">
      <alignment vertical="center"/>
    </xf>
    <xf numFmtId="0" fontId="164" fillId="25" borderId="0" applyNumberFormat="0" applyBorder="0" applyAlignment="0" applyProtection="0">
      <alignment vertical="center"/>
    </xf>
    <xf numFmtId="0" fontId="164" fillId="25" borderId="0" applyNumberFormat="0" applyBorder="0" applyAlignment="0" applyProtection="0">
      <alignment vertical="center"/>
    </xf>
    <xf numFmtId="0" fontId="164" fillId="25" borderId="0" applyNumberFormat="0" applyBorder="0" applyAlignment="0" applyProtection="0">
      <alignment vertical="center"/>
    </xf>
    <xf numFmtId="0" fontId="164" fillId="25"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80" fillId="49" borderId="0" applyNumberFormat="0" applyBorder="0" applyAlignment="0" applyProtection="0">
      <alignment vertical="center"/>
    </xf>
    <xf numFmtId="0" fontId="196" fillId="49" borderId="0" applyNumberFormat="0" applyBorder="0" applyAlignment="0" applyProtection="0">
      <alignment vertical="center"/>
    </xf>
    <xf numFmtId="0" fontId="80" fillId="49" borderId="0" applyNumberFormat="0" applyBorder="0" applyAlignment="0" applyProtection="0">
      <alignment vertical="center"/>
    </xf>
    <xf numFmtId="0" fontId="196" fillId="49" borderId="0" applyNumberFormat="0" applyBorder="0" applyAlignment="0" applyProtection="0">
      <alignment vertical="center"/>
    </xf>
    <xf numFmtId="0" fontId="279" fillId="114" borderId="0" applyNumberFormat="0" applyBorder="0" applyAlignment="0" applyProtection="0"/>
    <xf numFmtId="0" fontId="279" fillId="119" borderId="0" applyNumberFormat="0" applyBorder="0" applyAlignment="0" applyProtection="0"/>
    <xf numFmtId="0" fontId="280" fillId="119" borderId="0" applyNumberFormat="0" applyBorder="0" applyAlignment="0" applyProtection="0"/>
    <xf numFmtId="0" fontId="80" fillId="54" borderId="0" applyNumberFormat="0" applyBorder="0" applyAlignment="0" applyProtection="0">
      <alignment vertical="center"/>
    </xf>
    <xf numFmtId="0" fontId="196" fillId="120" borderId="0" applyNumberFormat="0" applyBorder="0" applyAlignment="0" applyProtection="0">
      <alignment vertical="center"/>
    </xf>
    <xf numFmtId="0" fontId="80" fillId="54" borderId="0" applyNumberFormat="0" applyBorder="0" applyAlignment="0" applyProtection="0">
      <alignment vertical="center"/>
    </xf>
    <xf numFmtId="0" fontId="196" fillId="120"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164" fillId="29" borderId="0" applyNumberFormat="0" applyBorder="0" applyAlignment="0" applyProtection="0">
      <alignment vertical="center"/>
    </xf>
    <xf numFmtId="0" fontId="164" fillId="29" borderId="0" applyNumberFormat="0" applyBorder="0" applyAlignment="0" applyProtection="0">
      <alignment vertical="center"/>
    </xf>
    <xf numFmtId="0" fontId="164" fillId="29" borderId="0" applyNumberFormat="0" applyBorder="0" applyAlignment="0" applyProtection="0">
      <alignment vertical="center"/>
    </xf>
    <xf numFmtId="0" fontId="164" fillId="29" borderId="0" applyNumberFormat="0" applyBorder="0" applyAlignment="0" applyProtection="0">
      <alignment vertical="center"/>
    </xf>
    <xf numFmtId="0" fontId="164" fillId="29"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80" fillId="54" borderId="0" applyNumberFormat="0" applyBorder="0" applyAlignment="0" applyProtection="0">
      <alignment vertical="center"/>
    </xf>
    <xf numFmtId="0" fontId="196" fillId="120" borderId="0" applyNumberFormat="0" applyBorder="0" applyAlignment="0" applyProtection="0">
      <alignment vertical="center"/>
    </xf>
    <xf numFmtId="0" fontId="80" fillId="54" borderId="0" applyNumberFormat="0" applyBorder="0" applyAlignment="0" applyProtection="0">
      <alignment vertical="center"/>
    </xf>
    <xf numFmtId="0" fontId="196" fillId="120" borderId="0" applyNumberFormat="0" applyBorder="0" applyAlignment="0" applyProtection="0">
      <alignment vertical="center"/>
    </xf>
    <xf numFmtId="30" fontId="281" fillId="0" borderId="0">
      <alignment horizontal="center"/>
    </xf>
    <xf numFmtId="0" fontId="83" fillId="0" borderId="0" applyNumberFormat="0" applyFill="0" applyBorder="0" applyAlignment="0" applyProtection="0">
      <alignment vertical="center"/>
    </xf>
    <xf numFmtId="0" fontId="282"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282"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163" fillId="0" borderId="0" applyNumberFormat="0" applyFill="0" applyBorder="0" applyAlignment="0" applyProtection="0">
      <alignment vertical="center"/>
    </xf>
    <xf numFmtId="0" fontId="163" fillId="0" borderId="0" applyNumberFormat="0" applyFill="0" applyBorder="0" applyAlignment="0" applyProtection="0">
      <alignment vertical="center"/>
    </xf>
    <xf numFmtId="0" fontId="163" fillId="0" borderId="0" applyNumberFormat="0" applyFill="0" applyBorder="0" applyAlignment="0" applyProtection="0">
      <alignment vertical="center"/>
    </xf>
    <xf numFmtId="0" fontId="163" fillId="0" borderId="0" applyNumberFormat="0" applyFill="0" applyBorder="0" applyAlignment="0" applyProtection="0">
      <alignment vertical="center"/>
    </xf>
    <xf numFmtId="0" fontId="16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282"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282" fillId="0" borderId="0" applyNumberFormat="0" applyFill="0" applyBorder="0" applyAlignment="0" applyProtection="0">
      <alignment vertical="center"/>
    </xf>
    <xf numFmtId="0" fontId="86" fillId="55" borderId="155" applyNumberFormat="0" applyAlignment="0" applyProtection="0">
      <alignment vertical="center"/>
    </xf>
    <xf numFmtId="0" fontId="86" fillId="55" borderId="155" applyNumberFormat="0" applyAlignment="0" applyProtection="0">
      <alignment vertical="center"/>
    </xf>
    <xf numFmtId="0" fontId="86" fillId="55" borderId="155" applyNumberFormat="0" applyAlignment="0" applyProtection="0">
      <alignment vertical="center"/>
    </xf>
    <xf numFmtId="0" fontId="86" fillId="121" borderId="155" applyNumberFormat="0" applyAlignment="0" applyProtection="0">
      <alignment vertical="center"/>
    </xf>
    <xf numFmtId="0" fontId="86" fillId="121" borderId="155" applyNumberFormat="0" applyAlignment="0" applyProtection="0">
      <alignment vertical="center"/>
    </xf>
    <xf numFmtId="2" fontId="38" fillId="0" borderId="0" applyFont="0" applyFill="0" applyBorder="0" applyAlignment="0" applyProtection="0"/>
    <xf numFmtId="288" fontId="73" fillId="0" borderId="0">
      <protection locked="0"/>
    </xf>
    <xf numFmtId="0" fontId="39" fillId="0" borderId="0" applyNumberFormat="0" applyFill="0" applyBorder="0" applyAlignment="0" applyProtection="0"/>
    <xf numFmtId="0" fontId="233" fillId="0" borderId="0">
      <protection locked="0"/>
    </xf>
    <xf numFmtId="0" fontId="40" fillId="0" borderId="0" applyNumberFormat="0" applyFill="0" applyBorder="0" applyAlignment="0" applyProtection="0"/>
    <xf numFmtId="0" fontId="233" fillId="0" borderId="0">
      <protection locked="0"/>
    </xf>
    <xf numFmtId="206" fontId="22" fillId="0" borderId="0"/>
    <xf numFmtId="206" fontId="22" fillId="0" borderId="0"/>
    <xf numFmtId="206" fontId="22" fillId="0" borderId="0"/>
    <xf numFmtId="206" fontId="22" fillId="0" borderId="0"/>
    <xf numFmtId="206" fontId="22" fillId="0" borderId="0"/>
    <xf numFmtId="206" fontId="22" fillId="0" borderId="0"/>
    <xf numFmtId="206" fontId="22" fillId="0" borderId="0"/>
    <xf numFmtId="206" fontId="22" fillId="0" borderId="0"/>
    <xf numFmtId="206" fontId="22" fillId="0" borderId="0"/>
    <xf numFmtId="206" fontId="22" fillId="0" borderId="0"/>
    <xf numFmtId="206" fontId="22" fillId="0" borderId="0"/>
    <xf numFmtId="289" fontId="22" fillId="0" borderId="134">
      <alignment horizontal="right" vertical="center" shrinkToFit="1"/>
    </xf>
    <xf numFmtId="0" fontId="89" fillId="38" borderId="0" applyNumberFormat="0" applyBorder="0" applyAlignment="0" applyProtection="0">
      <alignment vertical="center"/>
    </xf>
    <xf numFmtId="0" fontId="283" fillId="38" borderId="0" applyNumberFormat="0" applyBorder="0" applyAlignment="0" applyProtection="0">
      <alignment vertical="center"/>
    </xf>
    <xf numFmtId="0" fontId="89" fillId="38" borderId="0" applyNumberFormat="0" applyBorder="0" applyAlignment="0" applyProtection="0">
      <alignment vertical="center"/>
    </xf>
    <xf numFmtId="0" fontId="283"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171" fillId="3" borderId="0" applyNumberFormat="0" applyBorder="0" applyAlignment="0" applyProtection="0">
      <alignment vertical="center"/>
    </xf>
    <xf numFmtId="0" fontId="171" fillId="3" borderId="0" applyNumberFormat="0" applyBorder="0" applyAlignment="0" applyProtection="0">
      <alignment vertical="center"/>
    </xf>
    <xf numFmtId="0" fontId="171" fillId="3" borderId="0" applyNumberFormat="0" applyBorder="0" applyAlignment="0" applyProtection="0">
      <alignment vertical="center"/>
    </xf>
    <xf numFmtId="0" fontId="171" fillId="3" borderId="0" applyNumberFormat="0" applyBorder="0" applyAlignment="0" applyProtection="0">
      <alignment vertical="center"/>
    </xf>
    <xf numFmtId="0" fontId="171" fillId="3"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89" fillId="38" borderId="0" applyNumberFormat="0" applyBorder="0" applyAlignment="0" applyProtection="0">
      <alignment vertical="center"/>
    </xf>
    <xf numFmtId="0" fontId="283" fillId="38" borderId="0" applyNumberFormat="0" applyBorder="0" applyAlignment="0" applyProtection="0">
      <alignment vertical="center"/>
    </xf>
    <xf numFmtId="0" fontId="89" fillId="38" borderId="0" applyNumberFormat="0" applyBorder="0" applyAlignment="0" applyProtection="0">
      <alignment vertical="center"/>
    </xf>
    <xf numFmtId="0" fontId="283" fillId="38" borderId="0" applyNumberFormat="0" applyBorder="0" applyAlignment="0" applyProtection="0">
      <alignment vertical="center"/>
    </xf>
    <xf numFmtId="0" fontId="284" fillId="0" borderId="58"/>
    <xf numFmtId="0" fontId="38" fillId="0" borderId="0" applyFont="0" applyFill="0" applyBorder="0" applyAlignment="0" applyProtection="0"/>
    <xf numFmtId="0" fontId="222" fillId="0" borderId="0">
      <protection locked="0"/>
    </xf>
    <xf numFmtId="0" fontId="285" fillId="0" borderId="0"/>
    <xf numFmtId="0" fontId="38" fillId="0" borderId="0" applyFont="0" applyFill="0" applyBorder="0" applyAlignment="0" applyProtection="0"/>
    <xf numFmtId="0" fontId="222" fillId="0" borderId="0">
      <protection locked="0"/>
    </xf>
    <xf numFmtId="0" fontId="286" fillId="0" borderId="0" applyNumberFormat="0" applyFill="0" applyBorder="0" applyAlignment="0" applyProtection="0">
      <alignment vertical="top"/>
      <protection locked="0"/>
    </xf>
    <xf numFmtId="290" fontId="199"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2" fillId="0" borderId="24" applyAlignment="0">
      <alignment horizontal="center"/>
    </xf>
    <xf numFmtId="0" fontId="43" fillId="58" borderId="160" applyNumberFormat="0" applyFont="0" applyAlignment="0" applyProtection="0">
      <alignment vertical="center"/>
    </xf>
    <xf numFmtId="0" fontId="28" fillId="58" borderId="161" applyNumberFormat="0" applyFont="0" applyAlignment="0" applyProtection="0">
      <alignment vertical="center"/>
    </xf>
    <xf numFmtId="0" fontId="43" fillId="58" borderId="160" applyNumberFormat="0" applyFont="0" applyAlignment="0" applyProtection="0">
      <alignment vertical="center"/>
    </xf>
    <xf numFmtId="0" fontId="43" fillId="58" borderId="160" applyNumberFormat="0" applyFont="0" applyAlignment="0" applyProtection="0">
      <alignment vertical="center"/>
    </xf>
    <xf numFmtId="0" fontId="28" fillId="58" borderId="160" applyNumberFormat="0" applyFont="0" applyAlignment="0" applyProtection="0">
      <alignment vertical="center"/>
    </xf>
    <xf numFmtId="0" fontId="43" fillId="58" borderId="160" applyNumberFormat="0" applyFont="0" applyAlignment="0" applyProtection="0">
      <alignment vertical="center"/>
    </xf>
    <xf numFmtId="0" fontId="28" fillId="58" borderId="160" applyNumberFormat="0" applyFont="0" applyAlignment="0" applyProtection="0">
      <alignment vertical="center"/>
    </xf>
    <xf numFmtId="0" fontId="43" fillId="58" borderId="160" applyNumberFormat="0" applyFont="0" applyAlignment="0" applyProtection="0">
      <alignment vertical="center"/>
    </xf>
    <xf numFmtId="0" fontId="28" fillId="58" borderId="160" applyNumberFormat="0" applyFont="0" applyAlignment="0" applyProtection="0">
      <alignment vertical="center"/>
    </xf>
    <xf numFmtId="0" fontId="43" fillId="58" borderId="160" applyNumberFormat="0" applyFont="0" applyAlignment="0" applyProtection="0">
      <alignment vertical="center"/>
    </xf>
    <xf numFmtId="0" fontId="28" fillId="58" borderId="160" applyNumberFormat="0" applyFont="0" applyAlignment="0" applyProtection="0">
      <alignment vertical="center"/>
    </xf>
    <xf numFmtId="0" fontId="28" fillId="58" borderId="160" applyNumberFormat="0" applyFont="0" applyAlignment="0" applyProtection="0">
      <alignment vertical="center"/>
    </xf>
    <xf numFmtId="0" fontId="28" fillId="58" borderId="160" applyNumberFormat="0" applyFont="0" applyAlignment="0" applyProtection="0">
      <alignment vertical="center"/>
    </xf>
    <xf numFmtId="0" fontId="28" fillId="58" borderId="160" applyNumberFormat="0" applyFont="0" applyAlignment="0" applyProtection="0">
      <alignment vertical="center"/>
    </xf>
    <xf numFmtId="0" fontId="28" fillId="58" borderId="160" applyNumberFormat="0" applyFont="0" applyAlignment="0" applyProtection="0">
      <alignment vertical="center"/>
    </xf>
    <xf numFmtId="0" fontId="22" fillId="58" borderId="160" applyNumberFormat="0" applyFont="0" applyAlignment="0" applyProtection="0">
      <alignment vertical="center"/>
    </xf>
    <xf numFmtId="0" fontId="28" fillId="58" borderId="160" applyNumberFormat="0" applyFont="0" applyAlignment="0" applyProtection="0">
      <alignment vertical="center"/>
    </xf>
    <xf numFmtId="0" fontId="28" fillId="58" borderId="160"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1" fillId="8" borderId="8" applyNumberFormat="0" applyFont="0" applyAlignment="0" applyProtection="0">
      <alignment vertical="center"/>
    </xf>
    <xf numFmtId="0" fontId="22" fillId="58" borderId="160" applyNumberFormat="0" applyFont="0" applyAlignment="0" applyProtection="0">
      <alignment vertical="center"/>
    </xf>
    <xf numFmtId="0" fontId="43" fillId="58" borderId="160" applyNumberFormat="0" applyFont="0" applyAlignment="0" applyProtection="0">
      <alignment vertical="center"/>
    </xf>
    <xf numFmtId="0" fontId="43" fillId="58" borderId="160" applyNumberFormat="0" applyFont="0" applyAlignment="0" applyProtection="0">
      <alignment vertical="center"/>
    </xf>
    <xf numFmtId="0" fontId="43" fillId="58" borderId="160" applyNumberFormat="0" applyFont="0" applyAlignment="0" applyProtection="0">
      <alignment vertical="center"/>
    </xf>
    <xf numFmtId="0" fontId="43" fillId="58" borderId="160" applyNumberFormat="0" applyFont="0" applyAlignment="0" applyProtection="0">
      <alignment vertical="center"/>
    </xf>
    <xf numFmtId="0" fontId="43" fillId="58" borderId="160" applyNumberFormat="0" applyFont="0" applyAlignment="0" applyProtection="0">
      <alignment vertical="center"/>
    </xf>
    <xf numFmtId="0" fontId="43" fillId="58" borderId="160" applyNumberFormat="0" applyFont="0" applyAlignment="0" applyProtection="0">
      <alignment vertical="center"/>
    </xf>
    <xf numFmtId="291" fontId="199" fillId="0" borderId="0" applyFont="0" applyFill="0" applyBorder="0" applyAlignment="0" applyProtection="0"/>
    <xf numFmtId="292" fontId="199" fillId="0" borderId="0" applyFont="0" applyFill="0" applyBorder="0" applyAlignment="0" applyProtection="0"/>
    <xf numFmtId="293" fontId="73" fillId="0" borderId="0" applyFont="0" applyFill="0" applyBorder="0" applyAlignment="0" applyProtection="0"/>
    <xf numFmtId="294" fontId="183" fillId="0" borderId="0" applyFont="0" applyFill="0" applyBorder="0" applyAlignment="0" applyProtection="0"/>
    <xf numFmtId="9" fontId="43" fillId="0" borderId="0" applyFont="0" applyFill="0" applyBorder="0" applyAlignment="0" applyProtection="0">
      <alignment vertical="center"/>
    </xf>
    <xf numFmtId="9" fontId="22" fillId="0" borderId="0" applyFont="0" applyFill="0" applyBorder="0" applyAlignment="0" applyProtection="0">
      <alignment vertical="center"/>
    </xf>
    <xf numFmtId="9" fontId="43"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0" fontId="91" fillId="57" borderId="0" applyNumberFormat="0" applyBorder="0" applyAlignment="0" applyProtection="0">
      <alignment vertical="center"/>
    </xf>
    <xf numFmtId="0" fontId="287" fillId="57" borderId="0" applyNumberFormat="0" applyBorder="0" applyAlignment="0" applyProtection="0">
      <alignment vertical="center"/>
    </xf>
    <xf numFmtId="0" fontId="91" fillId="57" borderId="0" applyNumberFormat="0" applyBorder="0" applyAlignment="0" applyProtection="0">
      <alignment vertical="center"/>
    </xf>
    <xf numFmtId="0" fontId="287"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172" fillId="4" borderId="0" applyNumberFormat="0" applyBorder="0" applyAlignment="0" applyProtection="0">
      <alignment vertical="center"/>
    </xf>
    <xf numFmtId="0" fontId="172" fillId="4" borderId="0" applyNumberFormat="0" applyBorder="0" applyAlignment="0" applyProtection="0">
      <alignment vertical="center"/>
    </xf>
    <xf numFmtId="0" fontId="172" fillId="4" borderId="0" applyNumberFormat="0" applyBorder="0" applyAlignment="0" applyProtection="0">
      <alignment vertical="center"/>
    </xf>
    <xf numFmtId="0" fontId="172" fillId="4" borderId="0" applyNumberFormat="0" applyBorder="0" applyAlignment="0" applyProtection="0">
      <alignment vertical="center"/>
    </xf>
    <xf numFmtId="0" fontId="172" fillId="4"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91" fillId="57" borderId="0" applyNumberFormat="0" applyBorder="0" applyAlignment="0" applyProtection="0">
      <alignment vertical="center"/>
    </xf>
    <xf numFmtId="0" fontId="287" fillId="57" borderId="0" applyNumberFormat="0" applyBorder="0" applyAlignment="0" applyProtection="0">
      <alignment vertical="center"/>
    </xf>
    <xf numFmtId="0" fontId="91" fillId="57" borderId="0" applyNumberFormat="0" applyBorder="0" applyAlignment="0" applyProtection="0">
      <alignment vertical="center"/>
    </xf>
    <xf numFmtId="0" fontId="287" fillId="57" borderId="0" applyNumberFormat="0" applyBorder="0" applyAlignment="0" applyProtection="0">
      <alignment vertical="center"/>
    </xf>
    <xf numFmtId="0" fontId="284" fillId="122" borderId="58" applyAlignment="0">
      <alignment horizontal="center"/>
    </xf>
    <xf numFmtId="0" fontId="288" fillId="0" borderId="0"/>
    <xf numFmtId="0" fontId="73" fillId="0" borderId="0"/>
    <xf numFmtId="37" fontId="181" fillId="0" borderId="162" applyAlignment="0"/>
    <xf numFmtId="0" fontId="94"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177" fillId="0" borderId="0" applyNumberFormat="0" applyFill="0" applyBorder="0" applyAlignment="0" applyProtection="0">
      <alignment vertical="center"/>
    </xf>
    <xf numFmtId="0" fontId="177" fillId="0" borderId="0" applyNumberFormat="0" applyFill="0" applyBorder="0" applyAlignment="0" applyProtection="0">
      <alignment vertical="center"/>
    </xf>
    <xf numFmtId="0" fontId="177" fillId="0" borderId="0" applyNumberFormat="0" applyFill="0" applyBorder="0" applyAlignment="0" applyProtection="0">
      <alignment vertical="center"/>
    </xf>
    <xf numFmtId="0" fontId="177" fillId="0" borderId="0" applyNumberFormat="0" applyFill="0" applyBorder="0" applyAlignment="0" applyProtection="0">
      <alignment vertical="center"/>
    </xf>
    <xf numFmtId="0" fontId="177"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96" fillId="56" borderId="25" applyNumberFormat="0" applyAlignment="0" applyProtection="0">
      <alignment vertical="center"/>
    </xf>
    <xf numFmtId="0" fontId="290" fillId="56" borderId="25" applyNumberFormat="0" applyAlignment="0" applyProtection="0">
      <alignment vertical="center"/>
    </xf>
    <xf numFmtId="0" fontId="290"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290" fillId="56" borderId="25" applyNumberFormat="0" applyAlignment="0" applyProtection="0">
      <alignment vertical="center"/>
    </xf>
    <xf numFmtId="0" fontId="290"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176" fillId="7" borderId="7" applyNumberFormat="0" applyAlignment="0" applyProtection="0">
      <alignment vertical="center"/>
    </xf>
    <xf numFmtId="0" fontId="176" fillId="7" borderId="7" applyNumberFormat="0" applyAlignment="0" applyProtection="0">
      <alignment vertical="center"/>
    </xf>
    <xf numFmtId="0" fontId="176" fillId="7" borderId="7" applyNumberFormat="0" applyAlignment="0" applyProtection="0">
      <alignment vertical="center"/>
    </xf>
    <xf numFmtId="0" fontId="176" fillId="7" borderId="7" applyNumberFormat="0" applyAlignment="0" applyProtection="0">
      <alignment vertical="center"/>
    </xf>
    <xf numFmtId="0" fontId="176" fillId="7" borderId="7"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290"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290" fillId="56" borderId="25" applyNumberFormat="0" applyAlignment="0" applyProtection="0">
      <alignment vertical="center"/>
    </xf>
    <xf numFmtId="0" fontId="290"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96" fillId="56" borderId="25" applyNumberFormat="0" applyAlignment="0" applyProtection="0">
      <alignment vertical="center"/>
    </xf>
    <xf numFmtId="0" fontId="290" fillId="56" borderId="25" applyNumberFormat="0" applyAlignment="0" applyProtection="0">
      <alignment vertical="center"/>
    </xf>
    <xf numFmtId="0" fontId="290" fillId="56" borderId="25" applyNumberFormat="0" applyAlignment="0" applyProtection="0">
      <alignment vertical="center"/>
    </xf>
    <xf numFmtId="0" fontId="96" fillId="56" borderId="25" applyNumberFormat="0" applyAlignment="0" applyProtection="0">
      <alignment vertical="center"/>
    </xf>
    <xf numFmtId="203" fontId="291" fillId="0" borderId="0">
      <alignment vertical="center"/>
    </xf>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22" fillId="0" borderId="0" applyFont="0" applyFill="0" applyBorder="0" applyAlignment="0" applyProtection="0">
      <alignment vertical="center"/>
    </xf>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196" fontId="28" fillId="0" borderId="0" applyFont="0" applyFill="0" applyBorder="0" applyAlignment="0" applyProtection="0"/>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271" fillId="0" borderId="0" applyFont="0" applyFill="0" applyBorder="0" applyAlignment="0" applyProtection="0">
      <alignment vertical="center"/>
    </xf>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38" fontId="73" fillId="0" borderId="0" applyFont="0" applyFill="0" applyBorder="0" applyAlignment="0" applyProtection="0"/>
    <xf numFmtId="41" fontId="18" fillId="0" borderId="0" applyFont="0" applyFill="0" applyBorder="0" applyAlignment="0" applyProtection="0">
      <alignment vertical="center"/>
    </xf>
    <xf numFmtId="41" fontId="44" fillId="0" borderId="0" applyFont="0" applyFill="0" applyBorder="0" applyAlignment="0" applyProtection="0">
      <alignment vertical="center"/>
    </xf>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22"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76"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alignment vertical="center"/>
    </xf>
    <xf numFmtId="41" fontId="22" fillId="0" borderId="0" applyFont="0" applyFill="0" applyBorder="0" applyAlignment="0" applyProtection="0">
      <alignment vertical="center"/>
    </xf>
    <xf numFmtId="41" fontId="43" fillId="0" borderId="0" applyFont="0" applyFill="0" applyBorder="0" applyAlignment="0" applyProtection="0">
      <alignment vertical="center"/>
    </xf>
    <xf numFmtId="41" fontId="22" fillId="0" borderId="0" applyFont="0" applyFill="0" applyBorder="0" applyAlignment="0" applyProtection="0"/>
    <xf numFmtId="41" fontId="22" fillId="0" borderId="0" applyFont="0" applyFill="0" applyBorder="0" applyAlignment="0" applyProtection="0"/>
    <xf numFmtId="41" fontId="22" fillId="0" borderId="0" applyFont="0" applyFill="0" applyBorder="0" applyAlignment="0" applyProtection="0"/>
    <xf numFmtId="41" fontId="292" fillId="0" borderId="0" applyFont="0" applyFill="0" applyBorder="0" applyAlignment="0" applyProtection="0"/>
    <xf numFmtId="196" fontId="28" fillId="0" borderId="0" applyFont="0" applyFill="0" applyBorder="0" applyAlignment="0" applyProtection="0"/>
    <xf numFmtId="196" fontId="28" fillId="0" borderId="0" applyFont="0" applyFill="0" applyBorder="0" applyAlignment="0" applyProtection="0"/>
    <xf numFmtId="196" fontId="28" fillId="0" borderId="0" applyFont="0" applyFill="0" applyBorder="0" applyAlignment="0" applyProtection="0"/>
    <xf numFmtId="41" fontId="43" fillId="0" borderId="0" applyFont="0" applyFill="0" applyBorder="0" applyAlignment="0" applyProtection="0">
      <alignment vertical="center"/>
    </xf>
    <xf numFmtId="41" fontId="18" fillId="0" borderId="0" applyFont="0" applyFill="0" applyBorder="0" applyAlignment="0" applyProtection="0">
      <alignment vertical="center"/>
    </xf>
    <xf numFmtId="41" fontId="293" fillId="0" borderId="0" applyFont="0" applyFill="0" applyBorder="0" applyAlignment="0" applyProtection="0">
      <alignment vertical="center"/>
    </xf>
    <xf numFmtId="41" fontId="294" fillId="0" borderId="0" applyFont="0" applyFill="0" applyBorder="0" applyAlignment="0" applyProtection="0">
      <alignment vertical="center"/>
    </xf>
    <xf numFmtId="295" fontId="28" fillId="0" borderId="0" applyFont="0" applyFill="0" applyBorder="0" applyAlignment="0" applyProtection="0">
      <alignment wrapText="1"/>
    </xf>
    <xf numFmtId="295" fontId="28" fillId="0" borderId="0" applyFont="0" applyFill="0" applyBorder="0" applyAlignment="0" applyProtection="0">
      <alignment wrapText="1"/>
    </xf>
    <xf numFmtId="295" fontId="28" fillId="0" borderId="0" applyFont="0" applyFill="0" applyBorder="0" applyAlignment="0" applyProtection="0">
      <alignment wrapText="1"/>
    </xf>
    <xf numFmtId="201" fontId="28" fillId="0" borderId="0" applyFont="0" applyFill="0" applyBorder="0" applyAlignment="0" applyProtection="0">
      <alignment wrapText="1"/>
    </xf>
    <xf numFmtId="201" fontId="28" fillId="0" borderId="0" applyFont="0" applyFill="0" applyBorder="0" applyAlignment="0" applyProtection="0">
      <alignment wrapText="1"/>
    </xf>
    <xf numFmtId="201" fontId="28" fillId="0" borderId="0" applyFont="0" applyFill="0" applyBorder="0" applyAlignment="0" applyProtection="0">
      <alignment wrapText="1"/>
    </xf>
    <xf numFmtId="201" fontId="28" fillId="0" borderId="0" applyFont="0" applyFill="0" applyBorder="0" applyAlignment="0" applyProtection="0">
      <alignment wrapText="1"/>
    </xf>
    <xf numFmtId="201" fontId="28" fillId="0" borderId="0" applyFont="0" applyFill="0" applyBorder="0" applyAlignment="0" applyProtection="0">
      <alignment wrapText="1"/>
    </xf>
    <xf numFmtId="201" fontId="28" fillId="0" borderId="0" applyFont="0" applyFill="0" applyBorder="0" applyAlignment="0" applyProtection="0"/>
    <xf numFmtId="201" fontId="28" fillId="0" borderId="0" applyFont="0" applyFill="0" applyBorder="0" applyAlignment="0" applyProtection="0"/>
    <xf numFmtId="0" fontId="53" fillId="0" borderId="0"/>
    <xf numFmtId="0" fontId="30" fillId="0" borderId="11" applyNumberFormat="0" applyAlignment="0" applyProtection="0">
      <alignment horizontal="left" vertical="center"/>
    </xf>
    <xf numFmtId="0" fontId="28"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20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20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20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201" fontId="28"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95"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43" fontId="22" fillId="0" borderId="0" applyFont="0" applyFill="0" applyBorder="0" applyAlignment="0" applyProtection="0"/>
    <xf numFmtId="0" fontId="73"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43" fontId="22"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295" fillId="0" borderId="0" applyFont="0" applyFill="0" applyBorder="0" applyAlignment="0" applyProtection="0"/>
    <xf numFmtId="0" fontId="73" fillId="0" borderId="0" applyFont="0" applyFill="0" applyBorder="0" applyAlignment="0" applyProtection="0"/>
    <xf numFmtId="0" fontId="295" fillId="0" borderId="0" applyFont="0" applyFill="0" applyBorder="0" applyAlignment="0" applyProtection="0"/>
    <xf numFmtId="43" fontId="22" fillId="0" borderId="0" applyFont="0" applyFill="0" applyBorder="0" applyAlignment="0" applyProtection="0"/>
    <xf numFmtId="0" fontId="295"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81"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73"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96" fillId="0" borderId="0" applyNumberFormat="0" applyFill="0" applyBorder="0" applyAlignment="0" applyProtection="0"/>
    <xf numFmtId="0" fontId="22" fillId="0" borderId="53"/>
    <xf numFmtId="0" fontId="54" fillId="0" borderId="163"/>
    <xf numFmtId="0" fontId="54" fillId="0" borderId="163"/>
    <xf numFmtId="0" fontId="54" fillId="0" borderId="163"/>
    <xf numFmtId="0" fontId="54" fillId="0" borderId="163"/>
    <xf numFmtId="0" fontId="54" fillId="0" borderId="163"/>
    <xf numFmtId="0" fontId="54" fillId="0" borderId="163"/>
    <xf numFmtId="0" fontId="54" fillId="0" borderId="163"/>
    <xf numFmtId="0" fontId="54" fillId="0" borderId="163"/>
    <xf numFmtId="0" fontId="54" fillId="0" borderId="14"/>
    <xf numFmtId="0" fontId="98" fillId="0" borderId="29" applyNumberFormat="0" applyFill="0" applyAlignment="0" applyProtection="0">
      <alignment vertical="center"/>
    </xf>
    <xf numFmtId="0" fontId="297" fillId="0" borderId="29" applyNumberFormat="0" applyFill="0" applyAlignment="0" applyProtection="0">
      <alignment vertical="center"/>
    </xf>
    <xf numFmtId="0" fontId="98" fillId="0" borderId="29" applyNumberFormat="0" applyFill="0" applyAlignment="0" applyProtection="0">
      <alignment vertical="center"/>
    </xf>
    <xf numFmtId="0" fontId="297"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175" fillId="0" borderId="6" applyNumberFormat="0" applyFill="0" applyAlignment="0" applyProtection="0">
      <alignment vertical="center"/>
    </xf>
    <xf numFmtId="0" fontId="175" fillId="0" borderId="6" applyNumberFormat="0" applyFill="0" applyAlignment="0" applyProtection="0">
      <alignment vertical="center"/>
    </xf>
    <xf numFmtId="0" fontId="175" fillId="0" borderId="6" applyNumberFormat="0" applyFill="0" applyAlignment="0" applyProtection="0">
      <alignment vertical="center"/>
    </xf>
    <xf numFmtId="0" fontId="175" fillId="0" borderId="6" applyNumberFormat="0" applyFill="0" applyAlignment="0" applyProtection="0">
      <alignment vertical="center"/>
    </xf>
    <xf numFmtId="0" fontId="175" fillId="0" borderId="6"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98" fillId="0" borderId="29" applyNumberFormat="0" applyFill="0" applyAlignment="0" applyProtection="0">
      <alignment vertical="center"/>
    </xf>
    <xf numFmtId="0" fontId="297" fillId="0" borderId="29" applyNumberFormat="0" applyFill="0" applyAlignment="0" applyProtection="0">
      <alignment vertical="center"/>
    </xf>
    <xf numFmtId="0" fontId="98" fillId="0" borderId="29" applyNumberFormat="0" applyFill="0" applyAlignment="0" applyProtection="0">
      <alignment vertical="center"/>
    </xf>
    <xf numFmtId="0" fontId="297" fillId="0" borderId="29" applyNumberFormat="0" applyFill="0" applyAlignment="0" applyProtection="0">
      <alignment vertical="center"/>
    </xf>
    <xf numFmtId="0" fontId="100" fillId="0" borderId="164" applyNumberFormat="0" applyFill="0" applyAlignment="0" applyProtection="0">
      <alignment vertical="center"/>
    </xf>
    <xf numFmtId="0" fontId="298" fillId="0" borderId="165" applyNumberFormat="0" applyFill="0" applyAlignment="0" applyProtection="0">
      <alignment vertical="center"/>
    </xf>
    <xf numFmtId="0" fontId="100" fillId="0" borderId="164" applyNumberFormat="0" applyFill="0" applyAlignment="0" applyProtection="0">
      <alignment vertical="center"/>
    </xf>
    <xf numFmtId="0" fontId="298" fillId="0" borderId="165"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78" fillId="0" borderId="9" applyNumberFormat="0" applyFill="0" applyAlignment="0" applyProtection="0">
      <alignment vertical="center"/>
    </xf>
    <xf numFmtId="0" fontId="178" fillId="0" borderId="9" applyNumberFormat="0" applyFill="0" applyAlignment="0" applyProtection="0">
      <alignment vertical="center"/>
    </xf>
    <xf numFmtId="0" fontId="178" fillId="0" borderId="9" applyNumberFormat="0" applyFill="0" applyAlignment="0" applyProtection="0">
      <alignment vertical="center"/>
    </xf>
    <xf numFmtId="0" fontId="178" fillId="0" borderId="9" applyNumberFormat="0" applyFill="0" applyAlignment="0" applyProtection="0">
      <alignment vertical="center"/>
    </xf>
    <xf numFmtId="0" fontId="178" fillId="0" borderId="9"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4" applyNumberFormat="0" applyFill="0" applyAlignment="0" applyProtection="0">
      <alignment vertical="center"/>
    </xf>
    <xf numFmtId="0" fontId="100" fillId="0" borderId="165" applyNumberFormat="0" applyFill="0" applyAlignment="0" applyProtection="0">
      <alignment vertical="center"/>
    </xf>
    <xf numFmtId="0" fontId="100" fillId="0" borderId="165" applyNumberFormat="0" applyFill="0" applyAlignment="0" applyProtection="0">
      <alignment vertical="center"/>
    </xf>
    <xf numFmtId="296" fontId="299" fillId="0" borderId="0" applyFont="0" applyFill="0" applyBorder="0" applyAlignment="0" applyProtection="0"/>
    <xf numFmtId="0" fontId="191" fillId="0" borderId="0"/>
    <xf numFmtId="0" fontId="102" fillId="42" borderId="155" applyNumberFormat="0" applyAlignment="0" applyProtection="0">
      <alignment vertical="center"/>
    </xf>
    <xf numFmtId="0" fontId="300" fillId="42" borderId="166" applyNumberFormat="0" applyAlignment="0" applyProtection="0">
      <alignment vertical="center"/>
    </xf>
    <xf numFmtId="0" fontId="102" fillId="42" borderId="155" applyNumberFormat="0" applyAlignment="0" applyProtection="0">
      <alignment vertical="center"/>
    </xf>
    <xf numFmtId="0" fontId="300" fillId="42" borderId="166"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73" fillId="5" borderId="4" applyNumberFormat="0" applyAlignment="0" applyProtection="0">
      <alignment vertical="center"/>
    </xf>
    <xf numFmtId="0" fontId="173" fillId="5" borderId="4" applyNumberFormat="0" applyAlignment="0" applyProtection="0">
      <alignment vertical="center"/>
    </xf>
    <xf numFmtId="0" fontId="173" fillId="5" borderId="4" applyNumberFormat="0" applyAlignment="0" applyProtection="0">
      <alignment vertical="center"/>
    </xf>
    <xf numFmtId="0" fontId="173" fillId="5" borderId="4" applyNumberFormat="0" applyAlignment="0" applyProtection="0">
      <alignment vertical="center"/>
    </xf>
    <xf numFmtId="0" fontId="173" fillId="5" borderId="4"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42" borderId="155" applyNumberFormat="0" applyAlignment="0" applyProtection="0">
      <alignment vertical="center"/>
    </xf>
    <xf numFmtId="0" fontId="102" fillId="57" borderId="155" applyNumberFormat="0" applyAlignment="0" applyProtection="0">
      <alignment vertical="center"/>
    </xf>
    <xf numFmtId="0" fontId="102" fillId="57" borderId="155" applyNumberFormat="0" applyAlignment="0" applyProtection="0">
      <alignment vertical="center"/>
    </xf>
    <xf numFmtId="4" fontId="38" fillId="0" borderId="0" applyFont="0" applyFill="0" applyBorder="0" applyAlignment="0" applyProtection="0"/>
    <xf numFmtId="4" fontId="222" fillId="0" borderId="0">
      <protection locked="0"/>
    </xf>
    <xf numFmtId="3" fontId="38" fillId="0" borderId="0" applyFont="0" applyFill="0" applyBorder="0" applyAlignment="0" applyProtection="0"/>
    <xf numFmtId="297" fontId="73" fillId="0" borderId="0">
      <protection locked="0"/>
    </xf>
    <xf numFmtId="202" fontId="190" fillId="0" borderId="0" applyFont="0" applyFill="0" applyBorder="0" applyAlignment="0" applyProtection="0"/>
    <xf numFmtId="0" fontId="105" fillId="0" borderId="26" applyNumberFormat="0" applyFill="0" applyAlignment="0" applyProtection="0">
      <alignment vertical="center"/>
    </xf>
    <xf numFmtId="0" fontId="301" fillId="0" borderId="167" applyNumberFormat="0" applyFill="0" applyAlignment="0" applyProtection="0">
      <alignment vertical="center"/>
    </xf>
    <xf numFmtId="0" fontId="105" fillId="0" borderId="26" applyNumberFormat="0" applyFill="0" applyAlignment="0" applyProtection="0">
      <alignment vertical="center"/>
    </xf>
    <xf numFmtId="0" fontId="301" fillId="0" borderId="167"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67" fillId="0" borderId="1" applyNumberFormat="0" applyFill="0" applyAlignment="0" applyProtection="0">
      <alignment vertical="center"/>
    </xf>
    <xf numFmtId="0" fontId="167" fillId="0" borderId="1" applyNumberFormat="0" applyFill="0" applyAlignment="0" applyProtection="0">
      <alignment vertical="center"/>
    </xf>
    <xf numFmtId="0" fontId="167" fillId="0" borderId="1" applyNumberFormat="0" applyFill="0" applyAlignment="0" applyProtection="0">
      <alignment vertical="center"/>
    </xf>
    <xf numFmtId="0" fontId="167" fillId="0" borderId="1" applyNumberFormat="0" applyFill="0" applyAlignment="0" applyProtection="0">
      <alignment vertical="center"/>
    </xf>
    <xf numFmtId="0" fontId="167" fillId="0" borderId="1"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105" fillId="0" borderId="26" applyNumberFormat="0" applyFill="0" applyAlignment="0" applyProtection="0">
      <alignment vertical="center"/>
    </xf>
    <xf numFmtId="0" fontId="302" fillId="0" borderId="167" applyNumberFormat="0" applyFill="0" applyAlignment="0" applyProtection="0">
      <alignment vertical="center"/>
    </xf>
    <xf numFmtId="0" fontId="302" fillId="0" borderId="167" applyNumberFormat="0" applyFill="0" applyAlignment="0" applyProtection="0">
      <alignment vertical="center"/>
    </xf>
    <xf numFmtId="0" fontId="301" fillId="0" borderId="167" applyNumberFormat="0" applyFill="0" applyAlignment="0" applyProtection="0">
      <alignment vertical="center"/>
    </xf>
    <xf numFmtId="0" fontId="105" fillId="0" borderId="26" applyNumberFormat="0" applyFill="0" applyAlignment="0" applyProtection="0">
      <alignment vertical="center"/>
    </xf>
    <xf numFmtId="0" fontId="301" fillId="0" borderId="167" applyNumberFormat="0" applyFill="0" applyAlignment="0" applyProtection="0">
      <alignment vertical="center"/>
    </xf>
    <xf numFmtId="0" fontId="296"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107" fillId="0" borderId="27" applyNumberFormat="0" applyFill="0" applyAlignment="0" applyProtection="0">
      <alignment vertical="center"/>
    </xf>
    <xf numFmtId="0" fontId="303" fillId="0" borderId="168" applyNumberFormat="0" applyFill="0" applyAlignment="0" applyProtection="0">
      <alignment vertical="center"/>
    </xf>
    <xf numFmtId="0" fontId="107" fillId="0" borderId="27" applyNumberFormat="0" applyFill="0" applyAlignment="0" applyProtection="0">
      <alignment vertical="center"/>
    </xf>
    <xf numFmtId="0" fontId="303" fillId="0" borderId="168"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68" fillId="0" borderId="2" applyNumberFormat="0" applyFill="0" applyAlignment="0" applyProtection="0">
      <alignment vertical="center"/>
    </xf>
    <xf numFmtId="0" fontId="168" fillId="0" borderId="2" applyNumberFormat="0" applyFill="0" applyAlignment="0" applyProtection="0">
      <alignment vertical="center"/>
    </xf>
    <xf numFmtId="0" fontId="168" fillId="0" borderId="2" applyNumberFormat="0" applyFill="0" applyAlignment="0" applyProtection="0">
      <alignment vertical="center"/>
    </xf>
    <xf numFmtId="0" fontId="168" fillId="0" borderId="2" applyNumberFormat="0" applyFill="0" applyAlignment="0" applyProtection="0">
      <alignment vertical="center"/>
    </xf>
    <xf numFmtId="0" fontId="168" fillId="0" borderId="2"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107" fillId="0" borderId="27" applyNumberFormat="0" applyFill="0" applyAlignment="0" applyProtection="0">
      <alignment vertical="center"/>
    </xf>
    <xf numFmtId="0" fontId="304" fillId="0" borderId="27" applyNumberFormat="0" applyFill="0" applyAlignment="0" applyProtection="0">
      <alignment vertical="center"/>
    </xf>
    <xf numFmtId="0" fontId="304" fillId="0" borderId="27" applyNumberFormat="0" applyFill="0" applyAlignment="0" applyProtection="0">
      <alignment vertical="center"/>
    </xf>
    <xf numFmtId="0" fontId="303" fillId="0" borderId="168" applyNumberFormat="0" applyFill="0" applyAlignment="0" applyProtection="0">
      <alignment vertical="center"/>
    </xf>
    <xf numFmtId="0" fontId="107" fillId="0" borderId="27" applyNumberFormat="0" applyFill="0" applyAlignment="0" applyProtection="0">
      <alignment vertical="center"/>
    </xf>
    <xf numFmtId="0" fontId="303" fillId="0" borderId="168" applyNumberFormat="0" applyFill="0" applyAlignment="0" applyProtection="0">
      <alignment vertical="center"/>
    </xf>
    <xf numFmtId="0" fontId="109" fillId="0" borderId="28" applyNumberFormat="0" applyFill="0" applyAlignment="0" applyProtection="0">
      <alignment vertical="center"/>
    </xf>
    <xf numFmtId="0" fontId="305" fillId="0" borderId="169" applyNumberFormat="0" applyFill="0" applyAlignment="0" applyProtection="0">
      <alignment vertical="center"/>
    </xf>
    <xf numFmtId="0" fontId="109" fillId="0" borderId="28" applyNumberFormat="0" applyFill="0" applyAlignment="0" applyProtection="0">
      <alignment vertical="center"/>
    </xf>
    <xf numFmtId="0" fontId="305" fillId="0" borderId="169"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69" fillId="0" borderId="3" applyNumberFormat="0" applyFill="0" applyAlignment="0" applyProtection="0">
      <alignment vertical="center"/>
    </xf>
    <xf numFmtId="0" fontId="169" fillId="0" borderId="3" applyNumberFormat="0" applyFill="0" applyAlignment="0" applyProtection="0">
      <alignment vertical="center"/>
    </xf>
    <xf numFmtId="0" fontId="169" fillId="0" borderId="3" applyNumberFormat="0" applyFill="0" applyAlignment="0" applyProtection="0">
      <alignment vertical="center"/>
    </xf>
    <xf numFmtId="0" fontId="169" fillId="0" borderId="3" applyNumberFormat="0" applyFill="0" applyAlignment="0" applyProtection="0">
      <alignment vertical="center"/>
    </xf>
    <xf numFmtId="0" fontId="169" fillId="0" borderId="3"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109" fillId="0" borderId="28" applyNumberFormat="0" applyFill="0" applyAlignment="0" applyProtection="0">
      <alignment vertical="center"/>
    </xf>
    <xf numFmtId="0" fontId="306" fillId="0" borderId="170" applyNumberFormat="0" applyFill="0" applyAlignment="0" applyProtection="0">
      <alignment vertical="center"/>
    </xf>
    <xf numFmtId="0" fontId="306" fillId="0" borderId="170" applyNumberFormat="0" applyFill="0" applyAlignment="0" applyProtection="0">
      <alignment vertical="center"/>
    </xf>
    <xf numFmtId="0" fontId="305" fillId="0" borderId="169" applyNumberFormat="0" applyFill="0" applyAlignment="0" applyProtection="0">
      <alignment vertical="center"/>
    </xf>
    <xf numFmtId="0" fontId="109" fillId="0" borderId="28" applyNumberFormat="0" applyFill="0" applyAlignment="0" applyProtection="0">
      <alignment vertical="center"/>
    </xf>
    <xf numFmtId="0" fontId="305" fillId="0" borderId="169" applyNumberFormat="0" applyFill="0" applyAlignment="0" applyProtection="0">
      <alignment vertical="center"/>
    </xf>
    <xf numFmtId="0" fontId="109" fillId="0" borderId="0" applyNumberFormat="0" applyFill="0" applyBorder="0" applyAlignment="0" applyProtection="0">
      <alignment vertical="center"/>
    </xf>
    <xf numFmtId="0" fontId="305"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305"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306" fillId="0" borderId="0" applyNumberFormat="0" applyFill="0" applyBorder="0" applyAlignment="0" applyProtection="0">
      <alignment vertical="center"/>
    </xf>
    <xf numFmtId="0" fontId="306" fillId="0" borderId="0" applyNumberFormat="0" applyFill="0" applyBorder="0" applyAlignment="0" applyProtection="0">
      <alignment vertical="center"/>
    </xf>
    <xf numFmtId="0" fontId="305"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305"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04" fillId="0" borderId="0" applyNumberFormat="0" applyFill="0" applyBorder="0" applyAlignment="0" applyProtection="0">
      <alignment vertical="center"/>
    </xf>
    <xf numFmtId="0" fontId="111" fillId="39" borderId="0" applyNumberFormat="0" applyBorder="0" applyAlignment="0" applyProtection="0">
      <alignment vertical="center"/>
    </xf>
    <xf numFmtId="0" fontId="307" fillId="123" borderId="0" applyNumberFormat="0" applyBorder="0" applyAlignment="0" applyProtection="0">
      <alignment vertical="center"/>
    </xf>
    <xf numFmtId="0" fontId="111" fillId="39" borderId="0" applyNumberFormat="0" applyBorder="0" applyAlignment="0" applyProtection="0">
      <alignment vertical="center"/>
    </xf>
    <xf numFmtId="0" fontId="307" fillId="123"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70" fillId="2" borderId="0" applyNumberFormat="0" applyBorder="0" applyAlignment="0" applyProtection="0">
      <alignment vertical="center"/>
    </xf>
    <xf numFmtId="0" fontId="170" fillId="2" borderId="0" applyNumberFormat="0" applyBorder="0" applyAlignment="0" applyProtection="0">
      <alignment vertical="center"/>
    </xf>
    <xf numFmtId="0" fontId="170" fillId="2" borderId="0" applyNumberFormat="0" applyBorder="0" applyAlignment="0" applyProtection="0">
      <alignment vertical="center"/>
    </xf>
    <xf numFmtId="0" fontId="170" fillId="2" borderId="0" applyNumberFormat="0" applyBorder="0" applyAlignment="0" applyProtection="0">
      <alignment vertical="center"/>
    </xf>
    <xf numFmtId="0" fontId="170" fillId="2"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111" fillId="39" borderId="0" applyNumberFormat="0" applyBorder="0" applyAlignment="0" applyProtection="0">
      <alignment vertical="center"/>
    </xf>
    <xf numFmtId="0" fontId="307" fillId="123" borderId="0" applyNumberFormat="0" applyBorder="0" applyAlignment="0" applyProtection="0">
      <alignment vertical="center"/>
    </xf>
    <xf numFmtId="0" fontId="111" fillId="39" borderId="0" applyNumberFormat="0" applyBorder="0" applyAlignment="0" applyProtection="0">
      <alignment vertical="center"/>
    </xf>
    <xf numFmtId="0" fontId="307" fillId="123" borderId="0" applyNumberFormat="0" applyBorder="0" applyAlignment="0" applyProtection="0">
      <alignment vertical="center"/>
    </xf>
    <xf numFmtId="0" fontId="308" fillId="124" borderId="0" applyNumberFormat="0" applyBorder="0" applyAlignment="0" applyProtection="0"/>
    <xf numFmtId="0" fontId="73" fillId="0" borderId="0"/>
    <xf numFmtId="41" fontId="191" fillId="0" borderId="0" applyFont="0" applyFill="0" applyBorder="0" applyAlignment="0" applyProtection="0"/>
    <xf numFmtId="43" fontId="191" fillId="0" borderId="0" applyFont="0" applyFill="0" applyBorder="0" applyAlignment="0" applyProtection="0"/>
    <xf numFmtId="41" fontId="73" fillId="0" borderId="0" applyFont="0" applyFill="0" applyBorder="0" applyAlignment="0" applyProtection="0"/>
    <xf numFmtId="298" fontId="309" fillId="0" borderId="0" applyFont="0" applyFill="0" applyBorder="0" applyAlignment="0" applyProtection="0"/>
    <xf numFmtId="0" fontId="115" fillId="55" borderId="139" applyNumberFormat="0" applyAlignment="0" applyProtection="0">
      <alignment vertical="center"/>
    </xf>
    <xf numFmtId="0" fontId="298" fillId="81" borderId="139" applyNumberFormat="0" applyAlignment="0" applyProtection="0">
      <alignment vertical="center"/>
    </xf>
    <xf numFmtId="0" fontId="115" fillId="55" borderId="139" applyNumberFormat="0" applyAlignment="0" applyProtection="0">
      <alignment vertical="center"/>
    </xf>
    <xf numFmtId="0" fontId="298" fillId="81"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74" fillId="6" borderId="5" applyNumberFormat="0" applyAlignment="0" applyProtection="0">
      <alignment vertical="center"/>
    </xf>
    <xf numFmtId="0" fontId="174" fillId="6" borderId="5" applyNumberFormat="0" applyAlignment="0" applyProtection="0">
      <alignment vertical="center"/>
    </xf>
    <xf numFmtId="0" fontId="174" fillId="6" borderId="5" applyNumberFormat="0" applyAlignment="0" applyProtection="0">
      <alignment vertical="center"/>
    </xf>
    <xf numFmtId="0" fontId="174" fillId="6" borderId="5" applyNumberFormat="0" applyAlignment="0" applyProtection="0">
      <alignment vertical="center"/>
    </xf>
    <xf numFmtId="0" fontId="174" fillId="6" borderId="5"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55" borderId="139" applyNumberFormat="0" applyAlignment="0" applyProtection="0">
      <alignment vertical="center"/>
    </xf>
    <xf numFmtId="0" fontId="115" fillId="121" borderId="139" applyNumberFormat="0" applyAlignment="0" applyProtection="0">
      <alignment vertical="center"/>
    </xf>
    <xf numFmtId="0" fontId="115" fillId="121" borderId="139" applyNumberFormat="0" applyAlignment="0" applyProtection="0">
      <alignment vertical="center"/>
    </xf>
    <xf numFmtId="180" fontId="201" fillId="0" borderId="0" applyFont="0" applyFill="0" applyBorder="0" applyAlignment="0" applyProtection="0"/>
    <xf numFmtId="299" fontId="22" fillId="0" borderId="0" applyFont="0" applyFill="0" applyBorder="0" applyAlignment="0" applyProtection="0"/>
    <xf numFmtId="180" fontId="22" fillId="0" borderId="0" applyFont="0" applyFill="0" applyBorder="0" applyAlignment="0" applyProtection="0"/>
    <xf numFmtId="0" fontId="22" fillId="0" borderId="0" applyFont="0" applyFill="0" applyBorder="0" applyAlignment="0" applyProtection="0"/>
    <xf numFmtId="3" fontId="73" fillId="0" borderId="132"/>
    <xf numFmtId="287" fontId="28" fillId="0" borderId="0" applyFont="0" applyFill="0" applyBorder="0" applyAlignment="0" applyProtection="0"/>
    <xf numFmtId="42" fontId="22" fillId="0" borderId="0" applyFont="0" applyFill="0" applyBorder="0" applyAlignment="0" applyProtection="0"/>
    <xf numFmtId="287" fontId="28" fillId="0" borderId="0" applyFont="0" applyFill="0" applyBorder="0" applyAlignment="0" applyProtection="0"/>
    <xf numFmtId="286" fontId="28" fillId="0" borderId="0" applyFont="0" applyFill="0" applyBorder="0" applyAlignment="0" applyProtection="0"/>
    <xf numFmtId="10" fontId="38" fillId="0" borderId="0" applyFont="0" applyFill="0" applyBorder="0" applyAlignment="0" applyProtection="0"/>
    <xf numFmtId="300" fontId="73" fillId="0" borderId="0">
      <protection locked="0"/>
    </xf>
    <xf numFmtId="267" fontId="28" fillId="0" borderId="132">
      <alignment vertical="center"/>
    </xf>
    <xf numFmtId="0" fontId="18" fillId="0" borderId="0">
      <alignment vertical="center"/>
    </xf>
    <xf numFmtId="0" fontId="22" fillId="0" borderId="0"/>
    <xf numFmtId="0" fontId="22" fillId="0" borderId="0"/>
    <xf numFmtId="0" fontId="22" fillId="0" borderId="0"/>
    <xf numFmtId="0" fontId="22" fillId="0" borderId="0"/>
    <xf numFmtId="0" fontId="31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2" fillId="0" borderId="0">
      <alignment vertical="center"/>
    </xf>
    <xf numFmtId="0" fontId="158"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2"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2" fillId="0" borderId="0">
      <alignment vertical="center"/>
    </xf>
    <xf numFmtId="0" fontId="271" fillId="0" borderId="0">
      <alignment vertical="center"/>
    </xf>
    <xf numFmtId="0" fontId="271" fillId="0" borderId="0">
      <alignment vertical="center"/>
    </xf>
    <xf numFmtId="0" fontId="271" fillId="0" borderId="0">
      <alignment vertical="center"/>
    </xf>
    <xf numFmtId="0" fontId="1" fillId="0" borderId="0">
      <alignment vertical="center"/>
    </xf>
    <xf numFmtId="0" fontId="271" fillId="0" borderId="0">
      <alignment vertical="center"/>
    </xf>
    <xf numFmtId="0" fontId="271" fillId="0" borderId="0">
      <alignment vertical="center"/>
    </xf>
    <xf numFmtId="0" fontId="271" fillId="0" borderId="0">
      <alignment vertical="center"/>
    </xf>
    <xf numFmtId="0" fontId="271" fillId="0" borderId="0">
      <alignment vertical="center"/>
    </xf>
    <xf numFmtId="0" fontId="22" fillId="0" borderId="0">
      <alignment vertical="center"/>
    </xf>
    <xf numFmtId="0" fontId="22" fillId="0" borderId="0">
      <alignment vertical="center"/>
    </xf>
    <xf numFmtId="0" fontId="76" fillId="0" borderId="0"/>
    <xf numFmtId="0" fontId="28" fillId="0" borderId="0"/>
    <xf numFmtId="0" fontId="25" fillId="0" borderId="0">
      <alignment vertical="center"/>
    </xf>
    <xf numFmtId="0" fontId="22" fillId="0" borderId="0"/>
    <xf numFmtId="0" fontId="1" fillId="0" borderId="0">
      <alignment vertical="center"/>
    </xf>
    <xf numFmtId="0" fontId="311" fillId="0" borderId="0"/>
    <xf numFmtId="0" fontId="22" fillId="0" borderId="0"/>
    <xf numFmtId="0" fontId="1" fillId="0" borderId="0">
      <alignment vertical="center"/>
    </xf>
    <xf numFmtId="0" fontId="18" fillId="0" borderId="0">
      <alignment vertical="center"/>
    </xf>
    <xf numFmtId="0" fontId="28" fillId="0" borderId="0"/>
    <xf numFmtId="0" fontId="1" fillId="0" borderId="0">
      <alignment vertical="center"/>
    </xf>
    <xf numFmtId="0" fontId="1" fillId="0" borderId="0">
      <alignment vertical="center"/>
    </xf>
    <xf numFmtId="0" fontId="18" fillId="0" borderId="0">
      <alignment vertical="center"/>
    </xf>
    <xf numFmtId="0" fontId="22" fillId="0" borderId="0"/>
    <xf numFmtId="0" fontId="18" fillId="0" borderId="0">
      <alignment vertical="center"/>
    </xf>
    <xf numFmtId="0" fontId="43" fillId="0" borderId="0">
      <alignment vertical="center"/>
    </xf>
    <xf numFmtId="0" fontId="18" fillId="0" borderId="0">
      <alignment vertical="center"/>
    </xf>
    <xf numFmtId="0" fontId="43" fillId="0" borderId="0">
      <alignment vertical="center"/>
    </xf>
    <xf numFmtId="0" fontId="22" fillId="0" borderId="0"/>
    <xf numFmtId="0" fontId="18" fillId="0" borderId="0">
      <alignment vertical="center"/>
    </xf>
    <xf numFmtId="0" fontId="22" fillId="0" borderId="0"/>
    <xf numFmtId="0" fontId="43" fillId="0" borderId="0">
      <alignment vertical="center"/>
    </xf>
    <xf numFmtId="0" fontId="18" fillId="0" borderId="0">
      <alignment vertical="center"/>
    </xf>
    <xf numFmtId="0" fontId="43" fillId="0" borderId="0">
      <alignment vertical="center"/>
    </xf>
    <xf numFmtId="0" fontId="131" fillId="0" borderId="0"/>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22" fillId="0" borderId="0"/>
    <xf numFmtId="0" fontId="312" fillId="0" borderId="0" applyFill="0" applyAlignment="0"/>
    <xf numFmtId="0" fontId="22" fillId="0" borderId="0"/>
    <xf numFmtId="0" fontId="22" fillId="0" borderId="0"/>
    <xf numFmtId="0" fontId="22"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2" fillId="0" borderId="0"/>
    <xf numFmtId="0" fontId="18" fillId="0" borderId="0">
      <alignment vertical="center"/>
    </xf>
    <xf numFmtId="0" fontId="293" fillId="0" borderId="0">
      <alignment vertical="center"/>
    </xf>
    <xf numFmtId="0" fontId="294" fillId="0" borderId="0">
      <alignment vertical="center"/>
    </xf>
    <xf numFmtId="0" fontId="293" fillId="0" borderId="0">
      <alignment vertical="center"/>
    </xf>
    <xf numFmtId="0" fontId="293" fillId="0" borderId="0">
      <alignment vertical="center"/>
    </xf>
    <xf numFmtId="0" fontId="293" fillId="0" borderId="0">
      <alignment vertical="center"/>
    </xf>
    <xf numFmtId="0" fontId="293" fillId="0" borderId="0">
      <alignment vertical="center"/>
    </xf>
    <xf numFmtId="0" fontId="293" fillId="0" borderId="0">
      <alignment vertical="center"/>
    </xf>
    <xf numFmtId="0" fontId="293" fillId="0" borderId="0">
      <alignment vertical="center"/>
    </xf>
    <xf numFmtId="0" fontId="131" fillId="0" borderId="0"/>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131" fillId="0" borderId="0"/>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18" fillId="0" borderId="0">
      <alignment vertical="center"/>
    </xf>
    <xf numFmtId="0" fontId="22" fillId="0" borderId="0"/>
    <xf numFmtId="0" fontId="22" fillId="0" borderId="0"/>
    <xf numFmtId="0" fontId="22" fillId="0" borderId="0"/>
    <xf numFmtId="0" fontId="313" fillId="0" borderId="0"/>
    <xf numFmtId="0" fontId="314" fillId="0" borderId="0"/>
    <xf numFmtId="0" fontId="314" fillId="0" borderId="0"/>
    <xf numFmtId="301" fontId="22" fillId="0" borderId="0" applyNumberFormat="0" applyAlignment="0">
      <alignment horizontal="center"/>
    </xf>
    <xf numFmtId="0" fontId="315" fillId="0" borderId="0" applyNumberFormat="0" applyFill="0" applyBorder="0" applyAlignment="0" applyProtection="0">
      <alignment vertical="top"/>
      <protection locked="0"/>
    </xf>
    <xf numFmtId="0" fontId="242" fillId="0" borderId="0" applyNumberFormat="0" applyFill="0" applyBorder="0" applyAlignment="0" applyProtection="0">
      <alignment vertical="top"/>
      <protection locked="0"/>
    </xf>
    <xf numFmtId="0" fontId="316" fillId="0" borderId="0" applyNumberFormat="0" applyFill="0" applyBorder="0" applyAlignment="0" applyProtection="0">
      <alignment vertical="top"/>
      <protection locked="0"/>
    </xf>
    <xf numFmtId="0" fontId="38" fillId="0" borderId="15" applyNumberFormat="0" applyFont="0" applyFill="0" applyAlignment="0" applyProtection="0"/>
    <xf numFmtId="0" fontId="222" fillId="0" borderId="15">
      <protection locked="0"/>
    </xf>
    <xf numFmtId="181" fontId="28" fillId="0" borderId="0" applyFont="0" applyFill="0" applyBorder="0" applyAlignment="0" applyProtection="0"/>
    <xf numFmtId="180" fontId="28" fillId="0" borderId="0" applyFont="0" applyFill="0" applyBorder="0" applyAlignment="0" applyProtection="0"/>
    <xf numFmtId="0" fontId="28" fillId="0" borderId="0" applyFont="0" applyFill="0" applyBorder="0" applyAlignment="0" applyProtection="0"/>
    <xf numFmtId="41" fontId="22" fillId="0" borderId="0" applyFont="0" applyFill="0" applyBorder="0" applyAlignment="0" applyProtection="0"/>
    <xf numFmtId="302" fontId="191" fillId="0" borderId="0" applyFont="0" applyFill="0" applyBorder="0" applyAlignment="0" applyProtection="0"/>
    <xf numFmtId="0" fontId="317" fillId="0" borderId="0" applyFont="0" applyFill="0" applyBorder="0" applyAlignment="0" applyProtection="0"/>
    <xf numFmtId="257" fontId="191" fillId="0" borderId="0" applyFont="0" applyFill="0" applyBorder="0" applyAlignment="0" applyProtection="0"/>
    <xf numFmtId="303" fontId="73" fillId="0" borderId="0" applyFont="0" applyFill="0" applyBorder="0" applyAlignment="0" applyProtection="0"/>
    <xf numFmtId="304" fontId="73" fillId="0" borderId="0">
      <protection locked="0"/>
    </xf>
    <xf numFmtId="183" fontId="38" fillId="0" borderId="0" applyFont="0" applyFill="0" applyBorder="0" applyAlignment="0" applyProtection="0"/>
    <xf numFmtId="305" fontId="73" fillId="0" borderId="0">
      <protection locked="0"/>
    </xf>
    <xf numFmtId="40" fontId="183" fillId="0" borderId="0" applyFont="0" applyFill="0" applyBorder="0" applyAlignment="0" applyProtection="0"/>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xf numFmtId="0" fontId="311" fillId="0" borderId="0">
      <alignment vertical="center"/>
    </xf>
  </cellStyleXfs>
  <cellXfs count="667">
    <xf numFmtId="0" fontId="0" fillId="0" borderId="0" xfId="0">
      <alignment vertical="center"/>
    </xf>
    <xf numFmtId="184" fontId="0" fillId="0" borderId="0" xfId="0" applyNumberFormat="1">
      <alignment vertical="center"/>
    </xf>
    <xf numFmtId="0" fontId="78" fillId="0" borderId="0" xfId="0" applyFont="1">
      <alignment vertical="center"/>
    </xf>
    <xf numFmtId="0" fontId="131" fillId="36" borderId="0" xfId="5418" applyFont="1" applyFill="1" applyBorder="1" applyAlignment="1" applyProtection="1">
      <alignment vertical="center" wrapText="1"/>
      <protection locked="0"/>
    </xf>
    <xf numFmtId="0" fontId="78" fillId="0" borderId="0" xfId="0" applyFont="1">
      <alignment vertical="center"/>
    </xf>
    <xf numFmtId="0" fontId="0" fillId="0" borderId="0" xfId="0">
      <alignment vertical="center"/>
    </xf>
    <xf numFmtId="0" fontId="134" fillId="0" borderId="0" xfId="0" applyFont="1" applyAlignment="1">
      <alignment horizontal="center" vertical="center"/>
    </xf>
    <xf numFmtId="0" fontId="147" fillId="0" borderId="0" xfId="0" applyFont="1" applyAlignment="1">
      <alignment horizontal="center" vertical="center"/>
    </xf>
    <xf numFmtId="187" fontId="148" fillId="0" borderId="0" xfId="0" applyNumberFormat="1" applyFont="1" applyAlignment="1">
      <alignment horizontal="center" vertical="center"/>
    </xf>
    <xf numFmtId="187" fontId="149" fillId="0" borderId="0" xfId="1" applyNumberFormat="1" applyFont="1" applyAlignment="1">
      <alignment horizontal="center" vertical="center"/>
    </xf>
    <xf numFmtId="0" fontId="146" fillId="0" borderId="0" xfId="0" applyFont="1" applyAlignment="1">
      <alignment horizontal="center" vertical="center"/>
    </xf>
    <xf numFmtId="0" fontId="146" fillId="0" borderId="0" xfId="0" applyFont="1" applyAlignment="1">
      <alignment horizontal="center" vertical="center" wrapText="1"/>
    </xf>
    <xf numFmtId="0" fontId="20" fillId="0" borderId="0" xfId="0" applyFont="1" applyAlignment="1">
      <alignment horizontal="center" vertical="center"/>
    </xf>
    <xf numFmtId="0" fontId="134" fillId="0" borderId="0" xfId="0" applyFont="1" applyFill="1" applyAlignment="1">
      <alignment horizontal="center" vertical="center"/>
    </xf>
    <xf numFmtId="190" fontId="148" fillId="60" borderId="116" xfId="0" applyNumberFormat="1" applyFont="1" applyFill="1" applyBorder="1" applyAlignment="1">
      <alignment horizontal="center" vertical="center"/>
    </xf>
    <xf numFmtId="187" fontId="154" fillId="36" borderId="50" xfId="0" applyNumberFormat="1" applyFont="1" applyFill="1" applyBorder="1" applyAlignment="1">
      <alignment horizontal="center" vertical="center" wrapText="1"/>
    </xf>
    <xf numFmtId="187" fontId="154" fillId="66" borderId="50" xfId="0" applyNumberFormat="1" applyFont="1" applyFill="1" applyBorder="1" applyAlignment="1">
      <alignment horizontal="center" vertical="center" wrapText="1"/>
    </xf>
    <xf numFmtId="187" fontId="152" fillId="63" borderId="50" xfId="50698" applyNumberFormat="1" applyFont="1" applyFill="1" applyBorder="1" applyAlignment="1">
      <alignment horizontal="center" vertical="center" wrapText="1"/>
    </xf>
    <xf numFmtId="187" fontId="148" fillId="61" borderId="50" xfId="50698" applyNumberFormat="1" applyFont="1" applyFill="1" applyBorder="1" applyAlignment="1">
      <alignment horizontal="center" vertical="center" wrapText="1"/>
    </xf>
    <xf numFmtId="187" fontId="152" fillId="67" borderId="50" xfId="50698" applyNumberFormat="1" applyFont="1" applyFill="1" applyBorder="1" applyAlignment="1">
      <alignment horizontal="center" vertical="center" wrapText="1"/>
    </xf>
    <xf numFmtId="187" fontId="154" fillId="62" borderId="50" xfId="0" applyNumberFormat="1" applyFont="1" applyFill="1" applyBorder="1" applyAlignment="1">
      <alignment horizontal="center" vertical="center" wrapText="1"/>
    </xf>
    <xf numFmtId="0" fontId="148" fillId="69" borderId="50" xfId="50698" applyFont="1" applyFill="1" applyBorder="1" applyAlignment="1">
      <alignment horizontal="center" vertical="center" wrapText="1"/>
    </xf>
    <xf numFmtId="187" fontId="152" fillId="68" borderId="50" xfId="50698" applyNumberFormat="1" applyFont="1" applyFill="1" applyBorder="1" applyAlignment="1">
      <alignment horizontal="center" vertical="center" wrapText="1"/>
    </xf>
    <xf numFmtId="187" fontId="154" fillId="71" borderId="50" xfId="0" applyNumberFormat="1" applyFont="1" applyFill="1" applyBorder="1" applyAlignment="1">
      <alignment horizontal="center" vertical="center" wrapText="1"/>
    </xf>
    <xf numFmtId="187" fontId="154" fillId="64" borderId="50" xfId="0" applyNumberFormat="1" applyFont="1" applyFill="1" applyBorder="1" applyAlignment="1">
      <alignment horizontal="center" vertical="center" wrapText="1"/>
    </xf>
    <xf numFmtId="187" fontId="154" fillId="72" borderId="50" xfId="0" applyNumberFormat="1" applyFont="1" applyFill="1" applyBorder="1" applyAlignment="1">
      <alignment horizontal="center" vertical="center" wrapText="1"/>
    </xf>
    <xf numFmtId="187" fontId="137" fillId="60" borderId="122" xfId="1" applyNumberFormat="1" applyFont="1" applyFill="1" applyBorder="1" applyAlignment="1">
      <alignment horizontal="center" vertical="center" wrapText="1"/>
    </xf>
    <xf numFmtId="187" fontId="154" fillId="75" borderId="123" xfId="0" applyNumberFormat="1" applyFont="1" applyFill="1" applyBorder="1" applyAlignment="1">
      <alignment horizontal="center" vertical="center"/>
    </xf>
    <xf numFmtId="0" fontId="155" fillId="0" borderId="0" xfId="0" applyFont="1" applyFill="1" applyAlignment="1">
      <alignment horizontal="center" vertical="center"/>
    </xf>
    <xf numFmtId="187" fontId="154" fillId="36" borderId="20" xfId="0" applyNumberFormat="1" applyFont="1" applyFill="1" applyBorder="1" applyAlignment="1">
      <alignment horizontal="center" vertical="center" wrapText="1"/>
    </xf>
    <xf numFmtId="187" fontId="137" fillId="74" borderId="48" xfId="1" applyNumberFormat="1" applyFont="1" applyFill="1" applyBorder="1" applyAlignment="1">
      <alignment horizontal="center" vertical="center"/>
    </xf>
    <xf numFmtId="0" fontId="154" fillId="75" borderId="50" xfId="0" applyFont="1" applyFill="1" applyBorder="1" applyAlignment="1">
      <alignment horizontal="center" vertical="center"/>
    </xf>
    <xf numFmtId="0" fontId="134" fillId="0" borderId="0" xfId="0" applyFont="1" applyAlignment="1">
      <alignment horizontal="center" vertical="center" wrapText="1"/>
    </xf>
    <xf numFmtId="49" fontId="134" fillId="0" borderId="0" xfId="0" applyNumberFormat="1" applyFont="1" applyAlignment="1">
      <alignment horizontal="center" vertical="center"/>
    </xf>
    <xf numFmtId="0" fontId="155" fillId="0" borderId="0" xfId="0" applyFont="1" applyAlignment="1">
      <alignment horizontal="center" vertical="center"/>
    </xf>
    <xf numFmtId="0" fontId="147" fillId="0" borderId="0" xfId="0" applyFont="1" applyAlignment="1">
      <alignment horizontal="left" vertical="center"/>
    </xf>
    <xf numFmtId="0" fontId="157" fillId="0" borderId="0" xfId="0" applyFont="1">
      <alignment vertical="center"/>
    </xf>
    <xf numFmtId="0" fontId="78" fillId="0" borderId="0" xfId="0" applyFont="1" applyAlignment="1">
      <alignment horizontal="center" vertical="center"/>
    </xf>
    <xf numFmtId="0" fontId="78" fillId="0" borderId="0" xfId="0" applyFont="1" applyFill="1">
      <alignment vertical="center"/>
    </xf>
    <xf numFmtId="0" fontId="162" fillId="36" borderId="0" xfId="0" applyFont="1" applyFill="1">
      <alignment vertical="center"/>
    </xf>
    <xf numFmtId="176" fontId="45" fillId="36" borderId="37" xfId="5419" applyNumberFormat="1" applyFont="1" applyFill="1" applyBorder="1" applyAlignment="1">
      <alignment horizontal="center" vertical="center"/>
    </xf>
    <xf numFmtId="176" fontId="45" fillId="36" borderId="32" xfId="5419" applyNumberFormat="1" applyFont="1" applyFill="1" applyBorder="1" applyAlignment="1">
      <alignment horizontal="center" vertical="center"/>
    </xf>
    <xf numFmtId="186" fontId="160" fillId="36" borderId="0" xfId="5418" applyNumberFormat="1" applyFont="1" applyFill="1" applyBorder="1" applyAlignment="1" applyProtection="1">
      <protection hidden="1"/>
    </xf>
    <xf numFmtId="186" fontId="145" fillId="36" borderId="0" xfId="5418" applyNumberFormat="1" applyFont="1" applyFill="1" applyBorder="1" applyAlignment="1" applyProtection="1">
      <protection hidden="1"/>
    </xf>
    <xf numFmtId="0" fontId="0" fillId="36" borderId="0" xfId="0" applyFill="1">
      <alignment vertical="center"/>
    </xf>
    <xf numFmtId="0" fontId="148" fillId="36" borderId="134" xfId="50698" applyFont="1" applyFill="1" applyBorder="1" applyAlignment="1">
      <alignment horizontal="center" vertical="center" wrapText="1"/>
    </xf>
    <xf numFmtId="187" fontId="154" fillId="36" borderId="134" xfId="0" applyNumberFormat="1" applyFont="1" applyFill="1" applyBorder="1" applyAlignment="1">
      <alignment horizontal="center" vertical="center" wrapText="1"/>
    </xf>
    <xf numFmtId="0" fontId="165" fillId="0" borderId="0" xfId="0" applyFont="1" applyAlignment="1">
      <alignment horizontal="center" vertical="center"/>
    </xf>
    <xf numFmtId="0" fontId="166" fillId="0" borderId="0" xfId="0" applyFont="1" applyAlignment="1">
      <alignment horizontal="center" vertical="center"/>
    </xf>
    <xf numFmtId="0" fontId="132" fillId="0" borderId="0" xfId="0" applyFont="1" applyAlignment="1">
      <alignment horizontal="center" vertical="center"/>
    </xf>
    <xf numFmtId="49" fontId="166" fillId="0" borderId="0" xfId="0" applyNumberFormat="1" applyFont="1" applyAlignment="1">
      <alignment horizontal="center" vertical="center"/>
    </xf>
    <xf numFmtId="0" fontId="166" fillId="0" borderId="0" xfId="0" applyFont="1" applyAlignment="1">
      <alignment horizontal="center" vertical="center" wrapText="1"/>
    </xf>
    <xf numFmtId="0" fontId="148" fillId="69" borderId="134" xfId="50698" applyFont="1" applyFill="1" applyBorder="1" applyAlignment="1">
      <alignment horizontal="center" vertical="center" wrapText="1"/>
    </xf>
    <xf numFmtId="0" fontId="148" fillId="65" borderId="134" xfId="50698" applyFont="1" applyFill="1" applyBorder="1" applyAlignment="1">
      <alignment horizontal="center" vertical="center" wrapText="1"/>
    </xf>
    <xf numFmtId="0" fontId="148" fillId="61" borderId="134" xfId="50698" applyFont="1" applyFill="1" applyBorder="1" applyAlignment="1">
      <alignment horizontal="center" vertical="center" wrapText="1"/>
    </xf>
    <xf numFmtId="187" fontId="137" fillId="74" borderId="137" xfId="1" applyNumberFormat="1" applyFont="1" applyFill="1" applyBorder="1" applyAlignment="1">
      <alignment horizontal="center" vertical="center"/>
    </xf>
    <xf numFmtId="187" fontId="148" fillId="65" borderId="50" xfId="50698" applyNumberFormat="1" applyFont="1" applyFill="1" applyBorder="1" applyAlignment="1">
      <alignment horizontal="center" vertical="center" wrapText="1"/>
    </xf>
    <xf numFmtId="0" fontId="148" fillId="72" borderId="134" xfId="50698" applyFont="1" applyFill="1" applyBorder="1" applyAlignment="1">
      <alignment horizontal="center" vertical="center" wrapText="1"/>
    </xf>
    <xf numFmtId="0" fontId="148" fillId="64" borderId="134" xfId="50698" applyFont="1" applyFill="1" applyBorder="1" applyAlignment="1">
      <alignment horizontal="center" vertical="center" wrapText="1"/>
    </xf>
    <xf numFmtId="0" fontId="148" fillId="71" borderId="134" xfId="50698" applyFont="1" applyFill="1" applyBorder="1" applyAlignment="1">
      <alignment horizontal="center" vertical="center" wrapText="1"/>
    </xf>
    <xf numFmtId="0" fontId="152" fillId="70" borderId="134" xfId="50698" applyFont="1" applyFill="1" applyBorder="1" applyAlignment="1">
      <alignment horizontal="center" vertical="center" wrapText="1"/>
    </xf>
    <xf numFmtId="0" fontId="152" fillId="68" borderId="134" xfId="50698" applyFont="1" applyFill="1" applyBorder="1" applyAlignment="1">
      <alignment horizontal="center" vertical="center" wrapText="1"/>
    </xf>
    <xf numFmtId="0" fontId="148" fillId="62" borderId="134" xfId="50698" applyFont="1" applyFill="1" applyBorder="1" applyAlignment="1">
      <alignment horizontal="center" vertical="center" wrapText="1"/>
    </xf>
    <xf numFmtId="0" fontId="152" fillId="67" borderId="134" xfId="50698" applyFont="1" applyFill="1" applyBorder="1" applyAlignment="1">
      <alignment horizontal="center" vertical="center" wrapText="1"/>
    </xf>
    <xf numFmtId="0" fontId="152" fillId="63" borderId="134" xfId="50698" applyFont="1" applyFill="1" applyBorder="1" applyAlignment="1">
      <alignment horizontal="center" vertical="center" wrapText="1"/>
    </xf>
    <xf numFmtId="0" fontId="148" fillId="66" borderId="134" xfId="50698" applyFont="1" applyFill="1" applyBorder="1" applyAlignment="1">
      <alignment horizontal="center" vertical="center" wrapText="1"/>
    </xf>
    <xf numFmtId="0" fontId="151" fillId="36" borderId="134" xfId="50698" applyFont="1" applyFill="1" applyBorder="1" applyAlignment="1">
      <alignment horizontal="center" vertical="center" wrapText="1"/>
    </xf>
    <xf numFmtId="0" fontId="78" fillId="36" borderId="0" xfId="0" applyFont="1" applyFill="1" applyAlignment="1">
      <alignment horizontal="center" vertical="center"/>
    </xf>
    <xf numFmtId="0" fontId="157" fillId="36" borderId="0" xfId="0" applyFont="1" applyFill="1" applyAlignment="1">
      <alignment horizontal="center" vertical="center"/>
    </xf>
    <xf numFmtId="14" fontId="148" fillId="59" borderId="134" xfId="0" quotePrefix="1" applyNumberFormat="1" applyFont="1" applyFill="1" applyBorder="1" applyAlignment="1">
      <alignment horizontal="center" vertical="center"/>
    </xf>
    <xf numFmtId="0" fontId="0" fillId="0" borderId="0" xfId="0" applyAlignment="1">
      <alignment horizontal="center" vertical="center"/>
    </xf>
    <xf numFmtId="0" fontId="146" fillId="0" borderId="0" xfId="0" applyFont="1" applyBorder="1" applyAlignment="1">
      <alignment horizontal="center" vertical="center"/>
    </xf>
    <xf numFmtId="0" fontId="139" fillId="0" borderId="0" xfId="0" applyFont="1" applyAlignment="1">
      <alignment horizontal="center" vertical="center"/>
    </xf>
    <xf numFmtId="176" fontId="45" fillId="36" borderId="42" xfId="5419" applyNumberFormat="1" applyFont="1" applyFill="1" applyBorder="1" applyAlignment="1">
      <alignment horizontal="center" vertical="center"/>
    </xf>
    <xf numFmtId="176" fontId="45" fillId="36" borderId="36" xfId="5419" applyNumberFormat="1" applyFont="1" applyFill="1" applyBorder="1" applyAlignment="1">
      <alignment horizontal="center" vertical="center"/>
    </xf>
    <xf numFmtId="176" fontId="45" fillId="36" borderId="141" xfId="5419" applyNumberFormat="1" applyFont="1" applyFill="1" applyBorder="1" applyAlignment="1">
      <alignment horizontal="center" vertical="center"/>
    </xf>
    <xf numFmtId="176" fontId="45" fillId="36" borderId="38" xfId="5419" applyNumberFormat="1" applyFont="1" applyFill="1" applyBorder="1" applyAlignment="1">
      <alignment horizontal="center" vertical="center"/>
    </xf>
    <xf numFmtId="0" fontId="0" fillId="36" borderId="21" xfId="0" applyFill="1" applyBorder="1" applyAlignment="1">
      <alignment horizontal="center" vertical="center"/>
    </xf>
    <xf numFmtId="0" fontId="0" fillId="36" borderId="0" xfId="0" applyFill="1" applyBorder="1" applyAlignment="1">
      <alignment horizontal="center" vertical="center"/>
    </xf>
    <xf numFmtId="0" fontId="148" fillId="73" borderId="123" xfId="0" applyFont="1" applyFill="1" applyBorder="1" applyAlignment="1">
      <alignment horizontal="center" vertical="center"/>
    </xf>
    <xf numFmtId="195" fontId="140" fillId="59" borderId="50" xfId="0" applyNumberFormat="1" applyFont="1" applyFill="1" applyBorder="1" applyAlignment="1">
      <alignment horizontal="center" vertical="center"/>
    </xf>
    <xf numFmtId="185" fontId="140" fillId="59" borderId="50" xfId="369" applyNumberFormat="1" applyFont="1" applyFill="1" applyBorder="1" applyAlignment="1">
      <alignment horizontal="center" vertical="center"/>
    </xf>
    <xf numFmtId="185" fontId="140" fillId="59" borderId="50" xfId="0" applyNumberFormat="1" applyFont="1" applyFill="1" applyBorder="1" applyAlignment="1">
      <alignment horizontal="center" vertical="center"/>
    </xf>
    <xf numFmtId="0" fontId="142" fillId="0" borderId="0" xfId="0" applyFont="1">
      <alignment vertical="center"/>
    </xf>
    <xf numFmtId="188" fontId="159" fillId="59" borderId="50" xfId="0" applyNumberFormat="1" applyFont="1" applyFill="1" applyBorder="1" applyAlignment="1">
      <alignment horizontal="center" vertical="center"/>
    </xf>
    <xf numFmtId="0" fontId="141" fillId="59" borderId="55" xfId="0" applyFont="1" applyFill="1" applyBorder="1" applyAlignment="1" applyProtection="1">
      <alignment horizontal="center" vertical="center" wrapText="1"/>
      <protection locked="0"/>
    </xf>
    <xf numFmtId="0" fontId="141" fillId="59" borderId="33" xfId="339" applyFont="1" applyFill="1" applyBorder="1" applyAlignment="1">
      <alignment horizontal="center" vertical="center" wrapText="1"/>
    </xf>
    <xf numFmtId="0" fontId="320" fillId="0" borderId="0" xfId="371" applyFont="1" applyFill="1"/>
    <xf numFmtId="49" fontId="136" fillId="0" borderId="0" xfId="372" applyNumberFormat="1" applyFont="1" applyFill="1" applyAlignment="1">
      <alignment horizontal="left" vertical="center"/>
    </xf>
    <xf numFmtId="14" fontId="320" fillId="0" borderId="0" xfId="371" applyNumberFormat="1" applyFont="1" applyFill="1" applyAlignment="1">
      <alignment horizontal="center"/>
    </xf>
    <xf numFmtId="14" fontId="319" fillId="59" borderId="17" xfId="371" applyNumberFormat="1" applyFont="1" applyFill="1" applyBorder="1" applyAlignment="1">
      <alignment horizontal="center" vertical="center"/>
    </xf>
    <xf numFmtId="49" fontId="319" fillId="59" borderId="19" xfId="372" applyNumberFormat="1" applyFont="1" applyFill="1" applyBorder="1" applyAlignment="1">
      <alignment horizontal="center" vertical="center"/>
    </xf>
    <xf numFmtId="0" fontId="133" fillId="36" borderId="0" xfId="5418" applyFont="1" applyFill="1" applyBorder="1" applyAlignment="1">
      <alignment vertical="center"/>
    </xf>
    <xf numFmtId="0" fontId="145" fillId="36" borderId="0" xfId="5418" applyFont="1" applyFill="1" applyBorder="1" applyAlignment="1" applyProtection="1">
      <alignment wrapText="1"/>
      <protection locked="0"/>
    </xf>
    <xf numFmtId="14" fontId="136" fillId="0" borderId="132" xfId="371" applyNumberFormat="1" applyFont="1" applyFill="1" applyBorder="1" applyAlignment="1">
      <alignment horizontal="center" vertical="center"/>
    </xf>
    <xf numFmtId="14" fontId="322" fillId="59" borderId="171" xfId="371" applyNumberFormat="1" applyFont="1" applyFill="1" applyBorder="1" applyAlignment="1">
      <alignment horizontal="center" vertical="center"/>
    </xf>
    <xf numFmtId="14" fontId="323" fillId="0" borderId="0" xfId="0" applyNumberFormat="1" applyFont="1">
      <alignment vertical="center"/>
    </xf>
    <xf numFmtId="0" fontId="27" fillId="36" borderId="0" xfId="0" applyFont="1" applyFill="1" applyBorder="1" applyAlignment="1">
      <alignment horizontal="center" vertical="center"/>
    </xf>
    <xf numFmtId="0" fontId="27" fillId="0" borderId="0" xfId="0" applyFont="1">
      <alignment vertical="center"/>
    </xf>
    <xf numFmtId="0" fontId="137" fillId="59" borderId="34" xfId="5418" applyFont="1" applyFill="1" applyBorder="1" applyAlignment="1">
      <alignment horizontal="center" vertical="center"/>
    </xf>
    <xf numFmtId="0" fontId="137" fillId="59" borderId="33" xfId="5418" applyFont="1" applyFill="1" applyBorder="1" applyAlignment="1">
      <alignment horizontal="center" vertical="center"/>
    </xf>
    <xf numFmtId="0" fontId="137" fillId="59" borderId="35" xfId="5418" applyFont="1" applyFill="1" applyBorder="1" applyAlignment="1">
      <alignment horizontal="center" vertical="center"/>
    </xf>
    <xf numFmtId="49" fontId="76" fillId="0" borderId="132" xfId="372" applyNumberFormat="1" applyFont="1" applyFill="1" applyBorder="1" applyAlignment="1">
      <alignment horizontal="left" vertical="center"/>
    </xf>
    <xf numFmtId="14" fontId="326" fillId="0" borderId="0" xfId="0" applyNumberFormat="1" applyFont="1" applyAlignment="1">
      <alignment horizontal="center" vertical="center"/>
    </xf>
    <xf numFmtId="0" fontId="138" fillId="0" borderId="0" xfId="0" applyFont="1">
      <alignment vertical="center"/>
    </xf>
    <xf numFmtId="0" fontId="142" fillId="72" borderId="134" xfId="0" applyFont="1" applyFill="1" applyBorder="1" applyAlignment="1">
      <alignment horizontal="center" vertical="center"/>
    </xf>
    <xf numFmtId="0" fontId="142" fillId="36" borderId="134" xfId="0" applyFont="1" applyFill="1" applyBorder="1" applyAlignment="1">
      <alignment horizontal="center" vertical="center"/>
    </xf>
    <xf numFmtId="49" fontId="161" fillId="36" borderId="134" xfId="0" applyNumberFormat="1" applyFont="1" applyFill="1" applyBorder="1" applyAlignment="1">
      <alignment horizontal="center" vertical="center"/>
    </xf>
    <xf numFmtId="0" fontId="327" fillId="36" borderId="48" xfId="0" applyFont="1" applyFill="1" applyBorder="1" applyAlignment="1">
      <alignment horizontal="center" vertical="center" wrapText="1"/>
    </xf>
    <xf numFmtId="49" fontId="161" fillId="0" borderId="134" xfId="0" applyNumberFormat="1" applyFont="1" applyFill="1" applyBorder="1" applyAlignment="1">
      <alignment horizontal="center" vertical="center"/>
    </xf>
    <xf numFmtId="14" fontId="154" fillId="59" borderId="134" xfId="0" quotePrefix="1" applyNumberFormat="1" applyFont="1" applyFill="1" applyBorder="1" applyAlignment="1">
      <alignment horizontal="center" vertical="center" wrapText="1"/>
    </xf>
    <xf numFmtId="188" fontId="328" fillId="36" borderId="20" xfId="0" applyNumberFormat="1" applyFont="1" applyFill="1" applyBorder="1" applyAlignment="1">
      <alignment horizontal="center" vertical="center"/>
    </xf>
    <xf numFmtId="0" fontId="134" fillId="0" borderId="0" xfId="0" applyFont="1" applyAlignment="1">
      <alignment horizontal="left" vertical="center"/>
    </xf>
    <xf numFmtId="0" fontId="134" fillId="0" borderId="0" xfId="0" applyFont="1" applyAlignment="1">
      <alignment horizontal="left" vertical="center" wrapText="1"/>
    </xf>
    <xf numFmtId="49" fontId="134" fillId="0" borderId="0" xfId="0" applyNumberFormat="1" applyFont="1" applyAlignment="1">
      <alignment horizontal="left" vertical="center"/>
    </xf>
    <xf numFmtId="0" fontId="155" fillId="0" borderId="0" xfId="0" applyFont="1" applyAlignment="1">
      <alignment horizontal="left" vertical="center"/>
    </xf>
    <xf numFmtId="43" fontId="78" fillId="0" borderId="0" xfId="0" applyNumberFormat="1" applyFont="1" applyFill="1">
      <alignment vertical="center"/>
    </xf>
    <xf numFmtId="196" fontId="78" fillId="0" borderId="0" xfId="0" applyNumberFormat="1" applyFont="1" applyFill="1">
      <alignment vertical="center"/>
    </xf>
    <xf numFmtId="189" fontId="328" fillId="36" borderId="20" xfId="0" applyNumberFormat="1" applyFont="1" applyFill="1" applyBorder="1" applyAlignment="1">
      <alignment horizontal="center" vertical="center"/>
    </xf>
    <xf numFmtId="189" fontId="140" fillId="59" borderId="50" xfId="0" applyNumberFormat="1" applyFont="1" applyFill="1" applyBorder="1" applyAlignment="1">
      <alignment horizontal="center" vertical="center"/>
    </xf>
    <xf numFmtId="49" fontId="328" fillId="0" borderId="23" xfId="372" applyNumberFormat="1" applyFont="1" applyFill="1" applyBorder="1" applyAlignment="1">
      <alignment horizontal="left" vertical="center"/>
    </xf>
    <xf numFmtId="49" fontId="328" fillId="0" borderId="20" xfId="372" applyNumberFormat="1" applyFont="1" applyFill="1" applyBorder="1" applyAlignment="1">
      <alignment horizontal="left" vertical="center"/>
    </xf>
    <xf numFmtId="49" fontId="332" fillId="0" borderId="132" xfId="372" applyNumberFormat="1" applyFont="1" applyFill="1" applyBorder="1" applyAlignment="1">
      <alignment horizontal="left" vertical="center"/>
    </xf>
    <xf numFmtId="49" fontId="333" fillId="0" borderId="132" xfId="372" applyNumberFormat="1" applyFont="1" applyFill="1" applyBorder="1" applyAlignment="1">
      <alignment horizontal="left" vertical="center"/>
    </xf>
    <xf numFmtId="0" fontId="334" fillId="36" borderId="0" xfId="0" applyFont="1" applyFill="1">
      <alignment vertical="center"/>
    </xf>
    <xf numFmtId="49" fontId="155" fillId="36" borderId="0" xfId="0" applyNumberFormat="1" applyFont="1" applyFill="1" applyBorder="1" applyAlignment="1">
      <alignment vertical="center" wrapText="1"/>
    </xf>
    <xf numFmtId="0" fontId="155" fillId="36" borderId="0" xfId="0" applyFont="1" applyFill="1" applyBorder="1" applyAlignment="1">
      <alignment vertical="center" wrapText="1"/>
    </xf>
    <xf numFmtId="49" fontId="331" fillId="0" borderId="0" xfId="372" applyNumberFormat="1" applyFont="1" applyFill="1" applyBorder="1" applyAlignment="1">
      <alignment horizontal="left" vertical="center"/>
    </xf>
    <xf numFmtId="14" fontId="136" fillId="0" borderId="23" xfId="371" applyNumberFormat="1" applyFont="1" applyFill="1" applyBorder="1" applyAlignment="1">
      <alignment horizontal="center" vertical="center"/>
    </xf>
    <xf numFmtId="14" fontId="136" fillId="0" borderId="20" xfId="371" applyNumberFormat="1" applyFont="1" applyFill="1" applyBorder="1" applyAlignment="1">
      <alignment horizontal="center" vertical="center"/>
    </xf>
    <xf numFmtId="0" fontId="320" fillId="0" borderId="0" xfId="371" applyFont="1" applyFill="1" applyBorder="1"/>
    <xf numFmtId="0" fontId="330" fillId="0" borderId="0" xfId="371" applyFont="1" applyFill="1" applyBorder="1"/>
    <xf numFmtId="0" fontId="329" fillId="0" borderId="0" xfId="371" applyFont="1" applyFill="1" applyBorder="1"/>
    <xf numFmtId="32" fontId="78" fillId="0" borderId="0" xfId="0" applyNumberFormat="1" applyFont="1">
      <alignment vertical="center"/>
    </xf>
    <xf numFmtId="0" fontId="335" fillId="0" borderId="0" xfId="0" applyFont="1" applyAlignment="1">
      <alignment horizontal="left" vertical="center"/>
    </xf>
    <xf numFmtId="0" fontId="335" fillId="0" borderId="0" xfId="0" applyNumberFormat="1" applyFont="1">
      <alignment vertical="center"/>
    </xf>
    <xf numFmtId="0" fontId="336" fillId="0" borderId="0" xfId="0" applyFont="1" applyFill="1">
      <alignment vertical="center"/>
    </xf>
    <xf numFmtId="0" fontId="336" fillId="0" borderId="0" xfId="0" applyFont="1">
      <alignment vertical="center"/>
    </xf>
    <xf numFmtId="185" fontId="336" fillId="0" borderId="0" xfId="369" applyNumberFormat="1" applyFont="1">
      <alignment vertical="center"/>
    </xf>
    <xf numFmtId="0" fontId="337" fillId="0" borderId="0" xfId="0" applyFont="1">
      <alignment vertical="center"/>
    </xf>
    <xf numFmtId="14" fontId="136" fillId="0" borderId="173" xfId="371" applyNumberFormat="1" applyFont="1" applyFill="1" applyBorder="1" applyAlignment="1">
      <alignment horizontal="center" vertical="center"/>
    </xf>
    <xf numFmtId="0" fontId="142" fillId="0" borderId="0" xfId="0" applyFont="1" applyAlignment="1">
      <alignment horizontal="center" vertical="center"/>
    </xf>
    <xf numFmtId="49" fontId="328" fillId="0" borderId="173" xfId="372" applyNumberFormat="1" applyFont="1" applyFill="1" applyBorder="1" applyAlignment="1">
      <alignment horizontal="left" vertical="center"/>
    </xf>
    <xf numFmtId="0" fontId="139" fillId="0" borderId="0" xfId="0" applyFont="1" applyAlignment="1">
      <alignment horizontal="center" vertical="center"/>
    </xf>
    <xf numFmtId="0" fontId="35" fillId="36" borderId="0" xfId="0" applyFont="1" applyFill="1" applyBorder="1" applyAlignment="1">
      <alignment horizontal="center" vertical="center"/>
    </xf>
    <xf numFmtId="0" fontId="35" fillId="0" borderId="0" xfId="0" applyFont="1">
      <alignment vertical="center"/>
    </xf>
    <xf numFmtId="1" fontId="20" fillId="75" borderId="124" xfId="0" applyNumberFormat="1" applyFont="1" applyFill="1" applyBorder="1" applyAlignment="1">
      <alignment horizontal="center" vertical="center"/>
    </xf>
    <xf numFmtId="189" fontId="328" fillId="76" borderId="20" xfId="0" applyNumberFormat="1" applyFont="1" applyFill="1" applyBorder="1" applyAlignment="1">
      <alignment horizontal="center" vertical="center"/>
    </xf>
    <xf numFmtId="41" fontId="328" fillId="36" borderId="20" xfId="1" applyFont="1" applyFill="1" applyBorder="1" applyAlignment="1">
      <alignment horizontal="center" vertical="center"/>
    </xf>
    <xf numFmtId="0" fontId="328" fillId="36" borderId="20" xfId="0" applyFont="1" applyFill="1" applyBorder="1" applyAlignment="1">
      <alignment horizontal="center" vertical="center"/>
    </xf>
    <xf numFmtId="1" fontId="20" fillId="75" borderId="50" xfId="0" applyNumberFormat="1" applyFont="1" applyFill="1" applyBorder="1" applyAlignment="1">
      <alignment horizontal="center" vertical="center"/>
    </xf>
    <xf numFmtId="0" fontId="20" fillId="75" borderId="50" xfId="0" applyFont="1" applyFill="1" applyBorder="1" applyAlignment="1">
      <alignment horizontal="center" vertical="center"/>
    </xf>
    <xf numFmtId="0" fontId="144" fillId="36" borderId="144" xfId="5418" applyFont="1" applyFill="1" applyBorder="1" applyAlignment="1"/>
    <xf numFmtId="0" fontId="144" fillId="36" borderId="0" xfId="5418" applyFont="1" applyFill="1" applyBorder="1" applyAlignment="1"/>
    <xf numFmtId="0" fontId="339" fillId="76" borderId="0" xfId="0" applyFont="1" applyFill="1" applyAlignment="1">
      <alignment horizontal="left" vertical="center"/>
    </xf>
    <xf numFmtId="0" fontId="339" fillId="76" borderId="0" xfId="0" applyFont="1" applyFill="1" applyAlignment="1">
      <alignment horizontal="center" vertical="center"/>
    </xf>
    <xf numFmtId="0" fontId="141" fillId="59" borderId="34" xfId="0" applyFont="1" applyFill="1" applyBorder="1" applyAlignment="1" applyProtection="1">
      <alignment horizontal="center" vertical="center" wrapText="1"/>
      <protection locked="0"/>
    </xf>
    <xf numFmtId="0" fontId="141" fillId="59" borderId="33" xfId="0" applyFont="1" applyFill="1" applyBorder="1" applyAlignment="1" applyProtection="1">
      <alignment horizontal="center" vertical="center" wrapText="1"/>
      <protection hidden="1"/>
    </xf>
    <xf numFmtId="14" fontId="340" fillId="126" borderId="177" xfId="0" applyNumberFormat="1" applyFont="1" applyFill="1" applyBorder="1" applyAlignment="1">
      <alignment horizontal="center" vertical="center" wrapText="1"/>
    </xf>
    <xf numFmtId="184" fontId="159" fillId="36" borderId="49" xfId="0" applyNumberFormat="1" applyFont="1" applyFill="1" applyBorder="1" applyAlignment="1">
      <alignment horizontal="center" vertical="center"/>
    </xf>
    <xf numFmtId="185" fontId="328" fillId="36" borderId="20" xfId="0" applyNumberFormat="1" applyFont="1" applyFill="1" applyBorder="1" applyAlignment="1">
      <alignment horizontal="center" vertical="center"/>
    </xf>
    <xf numFmtId="185" fontId="328" fillId="36" borderId="20" xfId="369" applyNumberFormat="1" applyFont="1" applyFill="1" applyBorder="1" applyAlignment="1">
      <alignment horizontal="center" vertical="center"/>
    </xf>
    <xf numFmtId="14" fontId="321" fillId="36" borderId="0" xfId="0" applyNumberFormat="1" applyFont="1" applyFill="1">
      <alignment vertical="center"/>
    </xf>
    <xf numFmtId="0" fontId="338" fillId="36" borderId="0" xfId="5418" applyFont="1" applyFill="1" applyBorder="1" applyAlignment="1"/>
    <xf numFmtId="0" fontId="137" fillId="59" borderId="179" xfId="5418" applyFont="1" applyFill="1" applyBorder="1" applyAlignment="1">
      <alignment horizontal="center" vertical="center"/>
    </xf>
    <xf numFmtId="14" fontId="180" fillId="77" borderId="187" xfId="5418" applyNumberFormat="1" applyFont="1" applyFill="1" applyBorder="1" applyAlignment="1">
      <alignment horizontal="center" vertical="center"/>
    </xf>
    <xf numFmtId="0" fontId="137" fillId="36" borderId="189" xfId="5418" applyFont="1" applyFill="1" applyBorder="1" applyAlignment="1">
      <alignment horizontal="center" vertical="center"/>
    </xf>
    <xf numFmtId="49" fontId="137" fillId="36" borderId="191" xfId="5418" applyNumberFormat="1" applyFont="1" applyFill="1" applyBorder="1" applyAlignment="1">
      <alignment horizontal="center" vertical="center"/>
    </xf>
    <xf numFmtId="0" fontId="137" fillId="36" borderId="192" xfId="5418" applyFont="1" applyFill="1" applyBorder="1" applyAlignment="1">
      <alignment horizontal="center" vertical="center"/>
    </xf>
    <xf numFmtId="176" fontId="137" fillId="36" borderId="194" xfId="5419" applyNumberFormat="1" applyFont="1" applyFill="1" applyBorder="1" applyAlignment="1">
      <alignment horizontal="center" vertical="center"/>
    </xf>
    <xf numFmtId="176" fontId="137" fillId="36" borderId="195" xfId="5419" applyNumberFormat="1" applyFont="1" applyFill="1" applyBorder="1" applyAlignment="1">
      <alignment horizontal="center" vertical="center"/>
    </xf>
    <xf numFmtId="176" fontId="137" fillId="36" borderId="196" xfId="5419" applyNumberFormat="1" applyFont="1" applyFill="1" applyBorder="1" applyAlignment="1">
      <alignment horizontal="center" vertical="center"/>
    </xf>
    <xf numFmtId="176" fontId="45" fillId="36" borderId="197" xfId="5419" applyNumberFormat="1" applyFont="1" applyFill="1" applyBorder="1" applyAlignment="1">
      <alignment horizontal="center" vertical="center"/>
    </xf>
    <xf numFmtId="176" fontId="137" fillId="36" borderId="198" xfId="5419" applyNumberFormat="1" applyFont="1" applyFill="1" applyBorder="1" applyAlignment="1">
      <alignment horizontal="center" vertical="center"/>
    </xf>
    <xf numFmtId="0" fontId="132" fillId="59" borderId="179" xfId="5418" applyFont="1" applyFill="1" applyBorder="1" applyAlignment="1">
      <alignment horizontal="center" vertical="center"/>
    </xf>
    <xf numFmtId="0" fontId="137" fillId="59" borderId="204" xfId="5418" applyFont="1" applyFill="1" applyBorder="1" applyAlignment="1">
      <alignment horizontal="center" vertical="center"/>
    </xf>
    <xf numFmtId="0" fontId="137" fillId="59" borderId="206" xfId="5418" applyFont="1" applyFill="1" applyBorder="1" applyAlignment="1">
      <alignment horizontal="center" vertical="center"/>
    </xf>
    <xf numFmtId="0" fontId="137" fillId="59" borderId="207" xfId="5418" applyFont="1" applyFill="1" applyBorder="1" applyAlignment="1">
      <alignment horizontal="center" vertical="center"/>
    </xf>
    <xf numFmtId="0" fontId="341" fillId="0" borderId="0" xfId="0" applyFont="1">
      <alignment vertical="center"/>
    </xf>
    <xf numFmtId="0" fontId="138" fillId="0" borderId="0" xfId="0" applyFont="1">
      <alignment vertical="center"/>
    </xf>
    <xf numFmtId="49" fontId="76" fillId="0" borderId="0" xfId="372" applyNumberFormat="1" applyFont="1" applyFill="1" applyBorder="1" applyAlignment="1">
      <alignment horizontal="left" vertical="center"/>
    </xf>
    <xf numFmtId="0" fontId="327" fillId="36" borderId="117" xfId="0" applyFont="1" applyFill="1" applyBorder="1" applyAlignment="1">
      <alignment horizontal="center" vertical="center" wrapText="1"/>
    </xf>
    <xf numFmtId="14" fontId="136" fillId="0" borderId="171" xfId="371" applyNumberFormat="1" applyFont="1" applyFill="1" applyBorder="1" applyAlignment="1">
      <alignment horizontal="center" vertical="center"/>
    </xf>
    <xf numFmtId="0" fontId="153" fillId="59" borderId="134" xfId="0" applyFont="1" applyFill="1" applyBorder="1" applyAlignment="1" applyProtection="1">
      <alignment horizontal="center" vertical="center" wrapText="1"/>
      <protection locked="0"/>
    </xf>
    <xf numFmtId="187" fontId="154" fillId="36" borderId="173" xfId="0" applyNumberFormat="1" applyFont="1" applyFill="1" applyBorder="1" applyAlignment="1">
      <alignment horizontal="center" vertical="center" wrapText="1"/>
    </xf>
    <xf numFmtId="0" fontId="342" fillId="73" borderId="123" xfId="0" applyFont="1" applyFill="1" applyBorder="1" applyAlignment="1">
      <alignment horizontal="center" vertical="center"/>
    </xf>
    <xf numFmtId="0" fontId="343" fillId="73" borderId="123" xfId="0" applyFont="1" applyFill="1" applyBorder="1" applyAlignment="1">
      <alignment horizontal="center" vertical="center"/>
    </xf>
    <xf numFmtId="0" fontId="154" fillId="73" borderId="123" xfId="0" applyFont="1" applyFill="1" applyBorder="1" applyAlignment="1">
      <alignment horizontal="center" vertical="center"/>
    </xf>
    <xf numFmtId="0" fontId="141" fillId="59" borderId="33" xfId="0" applyFont="1" applyFill="1" applyBorder="1" applyAlignment="1" applyProtection="1">
      <alignment horizontal="center" vertical="center" wrapText="1"/>
      <protection locked="0"/>
    </xf>
    <xf numFmtId="0" fontId="154" fillId="59" borderId="134" xfId="0" applyFont="1" applyFill="1" applyBorder="1" applyAlignment="1" applyProtection="1">
      <alignment horizontal="center" vertical="center" wrapText="1"/>
      <protection locked="0"/>
    </xf>
    <xf numFmtId="0" fontId="139" fillId="0" borderId="0" xfId="0" applyFont="1" applyAlignment="1">
      <alignment horizontal="center" vertical="center"/>
    </xf>
    <xf numFmtId="0" fontId="344" fillId="127" borderId="0" xfId="0" applyFont="1" applyFill="1" applyAlignment="1"/>
    <xf numFmtId="194" fontId="138" fillId="0" borderId="0" xfId="0" applyNumberFormat="1" applyFont="1">
      <alignment vertical="center"/>
    </xf>
    <xf numFmtId="194" fontId="328" fillId="36" borderId="134" xfId="0" applyNumberFormat="1" applyFont="1" applyFill="1" applyBorder="1" applyAlignment="1">
      <alignment horizontal="center" vertical="center"/>
    </xf>
    <xf numFmtId="194" fontId="328" fillId="36" borderId="20" xfId="0" applyNumberFormat="1" applyFont="1" applyFill="1" applyBorder="1" applyAlignment="1">
      <alignment horizontal="center" vertical="center"/>
    </xf>
    <xf numFmtId="0" fontId="154" fillId="59" borderId="172" xfId="0" applyFont="1" applyFill="1" applyBorder="1" applyAlignment="1" applyProtection="1">
      <alignment horizontal="center" vertical="center" wrapText="1"/>
      <protection locked="0"/>
    </xf>
    <xf numFmtId="41" fontId="328" fillId="36" borderId="49" xfId="1" applyFont="1" applyFill="1" applyBorder="1" applyAlignment="1">
      <alignment horizontal="center" vertical="center"/>
    </xf>
    <xf numFmtId="14" fontId="340" fillId="126" borderId="0" xfId="0" applyNumberFormat="1" applyFont="1" applyFill="1" applyBorder="1" applyAlignment="1">
      <alignment horizontal="center" vertical="center" wrapText="1"/>
    </xf>
    <xf numFmtId="184" fontId="159" fillId="36" borderId="0" xfId="0" applyNumberFormat="1" applyFont="1" applyFill="1" applyBorder="1" applyAlignment="1">
      <alignment horizontal="center" vertical="center"/>
    </xf>
    <xf numFmtId="41" fontId="328" fillId="36" borderId="0" xfId="1" applyFont="1" applyFill="1" applyBorder="1" applyAlignment="1">
      <alignment horizontal="center" vertical="center"/>
    </xf>
    <xf numFmtId="0" fontId="328" fillId="36" borderId="0" xfId="0" applyFont="1" applyFill="1" applyBorder="1" applyAlignment="1">
      <alignment horizontal="center" vertical="center"/>
    </xf>
    <xf numFmtId="41" fontId="328" fillId="36" borderId="50" xfId="1" applyFont="1" applyFill="1" applyBorder="1" applyAlignment="1">
      <alignment horizontal="center" vertical="center"/>
    </xf>
    <xf numFmtId="0" fontId="78" fillId="0" borderId="133" xfId="0" applyFont="1" applyBorder="1">
      <alignment vertical="center"/>
    </xf>
    <xf numFmtId="0" fontId="141" fillId="59" borderId="142" xfId="0" applyFont="1" applyFill="1" applyBorder="1" applyAlignment="1" applyProtection="1">
      <alignment horizontal="center" vertical="center" wrapText="1"/>
      <protection locked="0"/>
    </xf>
    <xf numFmtId="184" fontId="159" fillId="36" borderId="223" xfId="0" applyNumberFormat="1" applyFont="1" applyFill="1" applyBorder="1" applyAlignment="1">
      <alignment horizontal="center" vertical="center"/>
    </xf>
    <xf numFmtId="0" fontId="141" fillId="59" borderId="225" xfId="0" applyFont="1" applyFill="1" applyBorder="1" applyAlignment="1" applyProtection="1">
      <alignment horizontal="center" vertical="center" wrapText="1"/>
      <protection locked="0"/>
    </xf>
    <xf numFmtId="0" fontId="141" fillId="59" borderId="226" xfId="0" applyFont="1" applyFill="1" applyBorder="1" applyAlignment="1" applyProtection="1">
      <alignment horizontal="center" vertical="center" wrapText="1"/>
      <protection locked="0"/>
    </xf>
    <xf numFmtId="0" fontId="154" fillId="59" borderId="219" xfId="0" applyFont="1" applyFill="1" applyBorder="1" applyAlignment="1" applyProtection="1">
      <alignment horizontal="center" vertical="center" wrapText="1"/>
      <protection locked="0"/>
    </xf>
    <xf numFmtId="0" fontId="154" fillId="59" borderId="227" xfId="0" applyFont="1" applyFill="1" applyBorder="1" applyAlignment="1" applyProtection="1">
      <alignment horizontal="center" vertical="center" wrapText="1"/>
      <protection locked="0"/>
    </xf>
    <xf numFmtId="41" fontId="328" fillId="36" borderId="224" xfId="1" applyFont="1" applyFill="1" applyBorder="1" applyAlignment="1">
      <alignment horizontal="center" vertical="center"/>
    </xf>
    <xf numFmtId="41" fontId="328" fillId="36" borderId="138" xfId="1" applyFont="1" applyFill="1" applyBorder="1" applyAlignment="1">
      <alignment horizontal="center" vertical="center"/>
    </xf>
    <xf numFmtId="41" fontId="328" fillId="36" borderId="229" xfId="1" applyFont="1" applyFill="1" applyBorder="1" applyAlignment="1">
      <alignment horizontal="center" vertical="center"/>
    </xf>
    <xf numFmtId="41" fontId="328" fillId="36" borderId="230" xfId="1" applyFont="1" applyFill="1" applyBorder="1" applyAlignment="1">
      <alignment horizontal="center" vertical="center"/>
    </xf>
    <xf numFmtId="14" fontId="318" fillId="36" borderId="172" xfId="0" applyNumberFormat="1" applyFont="1" applyFill="1" applyBorder="1" applyAlignment="1">
      <alignment horizontal="center" vertical="center"/>
    </xf>
    <xf numFmtId="0" fontId="318" fillId="36" borderId="48" xfId="0" applyFont="1" applyFill="1" applyBorder="1" applyAlignment="1">
      <alignment horizontal="center" vertical="center"/>
    </xf>
    <xf numFmtId="185" fontId="328" fillId="36" borderId="232" xfId="369" applyNumberFormat="1" applyFont="1" applyFill="1" applyBorder="1" applyAlignment="1">
      <alignment horizontal="center" vertical="center"/>
    </xf>
    <xf numFmtId="185" fontId="328" fillId="36" borderId="32" xfId="0" applyNumberFormat="1" applyFont="1" applyFill="1" applyBorder="1" applyAlignment="1">
      <alignment horizontal="center" vertical="center"/>
    </xf>
    <xf numFmtId="185" fontId="328" fillId="36" borderId="32" xfId="369" applyNumberFormat="1" applyFont="1" applyFill="1" applyBorder="1" applyAlignment="1">
      <alignment horizontal="center" vertical="center"/>
    </xf>
    <xf numFmtId="192" fontId="45" fillId="36" borderId="235" xfId="369" quotePrefix="1" applyNumberFormat="1" applyFont="1" applyFill="1" applyBorder="1" applyAlignment="1" applyProtection="1">
      <alignment horizontal="center" vertical="center"/>
      <protection hidden="1"/>
    </xf>
    <xf numFmtId="192" fontId="45" fillId="36" borderId="234" xfId="1" applyNumberFormat="1" applyFont="1" applyFill="1" applyBorder="1" applyAlignment="1" applyProtection="1">
      <alignment horizontal="center" vertical="center"/>
      <protection hidden="1"/>
    </xf>
    <xf numFmtId="192" fontId="45" fillId="36" borderId="234" xfId="369" quotePrefix="1" applyNumberFormat="1" applyFont="1" applyFill="1" applyBorder="1" applyAlignment="1" applyProtection="1">
      <alignment horizontal="center" vertical="center"/>
      <protection hidden="1"/>
    </xf>
    <xf numFmtId="191" fontId="45" fillId="36" borderId="234" xfId="1" applyNumberFormat="1" applyFont="1" applyFill="1" applyBorder="1" applyAlignment="1" applyProtection="1">
      <alignment horizontal="center" vertical="center"/>
      <protection hidden="1"/>
    </xf>
    <xf numFmtId="193" fontId="45" fillId="36" borderId="236" xfId="1" applyNumberFormat="1" applyFont="1" applyFill="1" applyBorder="1" applyAlignment="1" applyProtection="1">
      <alignment horizontal="center" vertical="center"/>
      <protection hidden="1"/>
    </xf>
    <xf numFmtId="188" fontId="136" fillId="36" borderId="237" xfId="0" applyNumberFormat="1" applyFont="1" applyFill="1" applyBorder="1" applyAlignment="1">
      <alignment horizontal="center" vertical="center"/>
    </xf>
    <xf numFmtId="193" fontId="45" fillId="36" borderId="234" xfId="1" applyNumberFormat="1" applyFont="1" applyFill="1" applyBorder="1" applyAlignment="1" applyProtection="1">
      <alignment horizontal="center" vertical="center"/>
      <protection hidden="1"/>
    </xf>
    <xf numFmtId="14" fontId="346" fillId="77" borderId="222" xfId="0" applyNumberFormat="1" applyFont="1" applyFill="1" applyBorder="1" applyAlignment="1">
      <alignment horizontal="center" vertical="center" wrapText="1"/>
    </xf>
    <xf numFmtId="49" fontId="136" fillId="0" borderId="23" xfId="372" applyNumberFormat="1" applyFont="1" applyFill="1" applyBorder="1" applyAlignment="1">
      <alignment horizontal="left" vertical="center"/>
    </xf>
    <xf numFmtId="0" fontId="45" fillId="36" borderId="23" xfId="0" quotePrefix="1" applyFont="1" applyFill="1" applyBorder="1" applyAlignment="1">
      <alignment vertical="center" wrapText="1"/>
    </xf>
    <xf numFmtId="0" fontId="45" fillId="36" borderId="23" xfId="0" applyFont="1" applyFill="1" applyBorder="1" applyAlignment="1">
      <alignment vertical="center" wrapText="1"/>
    </xf>
    <xf numFmtId="49" fontId="136" fillId="0" borderId="20" xfId="372" applyNumberFormat="1" applyFont="1" applyFill="1" applyBorder="1" applyAlignment="1">
      <alignment horizontal="left" vertical="center"/>
    </xf>
    <xf numFmtId="49" fontId="136" fillId="36" borderId="23" xfId="372" applyNumberFormat="1" applyFont="1" applyFill="1" applyBorder="1" applyAlignment="1">
      <alignment horizontal="left" vertical="center"/>
    </xf>
    <xf numFmtId="0" fontId="78" fillId="0" borderId="0" xfId="0" applyFont="1" applyBorder="1">
      <alignment vertical="center"/>
    </xf>
    <xf numFmtId="41" fontId="328" fillId="36" borderId="239" xfId="1" applyFont="1" applyFill="1" applyBorder="1" applyAlignment="1">
      <alignment horizontal="center" vertical="center"/>
    </xf>
    <xf numFmtId="0" fontId="78" fillId="0" borderId="0" xfId="0" applyFont="1" applyBorder="1" applyAlignment="1">
      <alignment horizontal="center" vertical="center"/>
    </xf>
    <xf numFmtId="14" fontId="340" fillId="126" borderId="135" xfId="0" applyNumberFormat="1" applyFont="1" applyFill="1" applyBorder="1" applyAlignment="1">
      <alignment horizontal="center" vertical="center" wrapText="1"/>
    </xf>
    <xf numFmtId="14" fontId="340" fillId="126" borderId="138" xfId="0" applyNumberFormat="1" applyFont="1" applyFill="1" applyBorder="1" applyAlignment="1">
      <alignment horizontal="center" vertical="center" wrapText="1"/>
    </xf>
    <xf numFmtId="184" fontId="159" fillId="36" borderId="123" xfId="0" applyNumberFormat="1" applyFont="1" applyFill="1" applyBorder="1" applyAlignment="1">
      <alignment horizontal="center" vertical="center"/>
    </xf>
    <xf numFmtId="185" fontId="328" fillId="36" borderId="50" xfId="0" applyNumberFormat="1" applyFont="1" applyFill="1" applyBorder="1" applyAlignment="1">
      <alignment horizontal="center" vertical="center"/>
    </xf>
    <xf numFmtId="185" fontId="328" fillId="36" borderId="50" xfId="369" applyNumberFormat="1" applyFont="1" applyFill="1" applyBorder="1" applyAlignment="1">
      <alignment horizontal="center" vertical="center"/>
    </xf>
    <xf numFmtId="0" fontId="328" fillId="36" borderId="50" xfId="0" applyFont="1" applyFill="1" applyBorder="1" applyAlignment="1">
      <alignment horizontal="center" vertical="center"/>
    </xf>
    <xf numFmtId="189" fontId="328" fillId="36" borderId="50" xfId="0" applyNumberFormat="1" applyFont="1" applyFill="1" applyBorder="1" applyAlignment="1">
      <alignment horizontal="center" vertical="center"/>
    </xf>
    <xf numFmtId="189" fontId="328" fillId="76" borderId="50" xfId="0" applyNumberFormat="1" applyFont="1" applyFill="1" applyBorder="1" applyAlignment="1">
      <alignment horizontal="center" vertical="center"/>
    </xf>
    <xf numFmtId="188" fontId="328" fillId="36" borderId="50" xfId="0" applyNumberFormat="1" applyFont="1" applyFill="1" applyBorder="1" applyAlignment="1">
      <alignment horizontal="center" vertical="center"/>
    </xf>
    <xf numFmtId="194" fontId="328" fillId="36" borderId="50" xfId="0" applyNumberFormat="1" applyFont="1" applyFill="1" applyBorder="1" applyAlignment="1">
      <alignment horizontal="center" vertical="center"/>
    </xf>
    <xf numFmtId="0" fontId="138" fillId="36" borderId="0" xfId="0" applyFont="1" applyFill="1">
      <alignment vertical="center"/>
    </xf>
    <xf numFmtId="46" fontId="138" fillId="0" borderId="0" xfId="0" applyNumberFormat="1" applyFont="1">
      <alignment vertical="center"/>
    </xf>
    <xf numFmtId="0" fontId="45" fillId="36" borderId="23" xfId="0" applyFont="1" applyFill="1" applyBorder="1" applyAlignment="1">
      <alignment horizontal="left" vertical="center" wrapText="1"/>
    </xf>
    <xf numFmtId="0" fontId="139" fillId="0" borderId="0" xfId="0" applyFont="1" applyAlignment="1">
      <alignment horizontal="center" vertical="center"/>
    </xf>
    <xf numFmtId="49" fontId="136" fillId="0" borderId="173" xfId="372" applyNumberFormat="1" applyFont="1" applyFill="1" applyBorder="1" applyAlignment="1">
      <alignment horizontal="left" vertical="center"/>
    </xf>
    <xf numFmtId="49" fontId="136" fillId="0" borderId="127" xfId="372" applyNumberFormat="1" applyFont="1" applyFill="1" applyBorder="1" applyAlignment="1">
      <alignment horizontal="left" vertical="center"/>
    </xf>
    <xf numFmtId="0" fontId="311" fillId="0" borderId="0" xfId="54767">
      <alignment vertical="center"/>
    </xf>
    <xf numFmtId="21" fontId="311" fillId="0" borderId="0" xfId="54767" applyNumberFormat="1">
      <alignment vertical="center"/>
    </xf>
    <xf numFmtId="0" fontId="0" fillId="0" borderId="128" xfId="0" applyBorder="1">
      <alignment vertical="center"/>
    </xf>
    <xf numFmtId="0" fontId="142" fillId="0" borderId="128" xfId="0" applyFont="1" applyBorder="1" applyAlignment="1">
      <alignment horizontal="center" vertical="center"/>
    </xf>
    <xf numFmtId="0" fontId="0" fillId="0" borderId="128" xfId="0" applyBorder="1" applyAlignment="1">
      <alignment horizontal="center" vertical="center"/>
    </xf>
    <xf numFmtId="0" fontId="142" fillId="0" borderId="128" xfId="0" applyFont="1" applyBorder="1">
      <alignment vertical="center"/>
    </xf>
    <xf numFmtId="0" fontId="78" fillId="0" borderId="128" xfId="0" applyFont="1" applyBorder="1" applyAlignment="1">
      <alignment horizontal="center" vertical="center"/>
    </xf>
    <xf numFmtId="14" fontId="318" fillId="76" borderId="172" xfId="0" applyNumberFormat="1" applyFont="1" applyFill="1" applyBorder="1" applyAlignment="1">
      <alignment horizontal="center" vertical="center"/>
    </xf>
    <xf numFmtId="0" fontId="318" fillId="76" borderId="48" xfId="0" applyFont="1" applyFill="1" applyBorder="1" applyAlignment="1">
      <alignment horizontal="center" vertical="center"/>
    </xf>
    <xf numFmtId="41" fontId="328" fillId="76" borderId="49" xfId="1" applyFont="1" applyFill="1" applyBorder="1" applyAlignment="1">
      <alignment horizontal="center" vertical="center"/>
    </xf>
    <xf numFmtId="41" fontId="328" fillId="76" borderId="224" xfId="1" applyFont="1" applyFill="1" applyBorder="1" applyAlignment="1">
      <alignment horizontal="center" vertical="center"/>
    </xf>
    <xf numFmtId="41" fontId="328" fillId="76" borderId="239" xfId="1" applyFont="1" applyFill="1" applyBorder="1" applyAlignment="1">
      <alignment horizontal="center" vertical="center"/>
    </xf>
    <xf numFmtId="14" fontId="138" fillId="36" borderId="172" xfId="0" applyNumberFormat="1" applyFont="1" applyFill="1" applyBorder="1" applyAlignment="1">
      <alignment horizontal="center" vertical="center"/>
    </xf>
    <xf numFmtId="0" fontId="138" fillId="36" borderId="48" xfId="0" applyFont="1" applyFill="1" applyBorder="1" applyAlignment="1">
      <alignment horizontal="center" vertical="center"/>
    </xf>
    <xf numFmtId="41" fontId="136" fillId="36" borderId="49" xfId="1" applyFont="1" applyFill="1" applyBorder="1" applyAlignment="1">
      <alignment horizontal="center" vertical="center"/>
    </xf>
    <xf numFmtId="41" fontId="136" fillId="36" borderId="227" xfId="1" applyFont="1" applyFill="1" applyBorder="1" applyAlignment="1">
      <alignment horizontal="center" vertical="center"/>
    </xf>
    <xf numFmtId="41" fontId="136" fillId="36" borderId="239" xfId="1" applyFont="1" applyFill="1" applyBorder="1" applyAlignment="1">
      <alignment horizontal="center" vertical="center"/>
    </xf>
    <xf numFmtId="41" fontId="136" fillId="36" borderId="224" xfId="1" applyFont="1" applyFill="1" applyBorder="1" applyAlignment="1">
      <alignment horizontal="center" vertical="center"/>
    </xf>
    <xf numFmtId="14" fontId="347" fillId="126" borderId="177" xfId="0" applyNumberFormat="1" applyFont="1" applyFill="1" applyBorder="1" applyAlignment="1">
      <alignment horizontal="center" vertical="center" wrapText="1"/>
    </xf>
    <xf numFmtId="184" fontId="348" fillId="36" borderId="117" xfId="0" applyNumberFormat="1" applyFont="1" applyFill="1" applyBorder="1" applyAlignment="1">
      <alignment horizontal="center" vertical="center"/>
    </xf>
    <xf numFmtId="41" fontId="136" fillId="36" borderId="20" xfId="1" applyFont="1" applyFill="1" applyBorder="1" applyAlignment="1">
      <alignment horizontal="center" vertical="center"/>
    </xf>
    <xf numFmtId="41" fontId="136" fillId="36" borderId="142" xfId="1" applyFont="1" applyFill="1" applyBorder="1" applyAlignment="1">
      <alignment horizontal="center" vertical="center"/>
    </xf>
    <xf numFmtId="41" fontId="136" fillId="36" borderId="228" xfId="1" applyFont="1" applyFill="1" applyBorder="1" applyAlignment="1">
      <alignment horizontal="center" vertical="center"/>
    </xf>
    <xf numFmtId="184" fontId="348" fillId="36" borderId="49" xfId="0" applyNumberFormat="1" applyFont="1" applyFill="1" applyBorder="1" applyAlignment="1">
      <alignment horizontal="center" vertical="center"/>
    </xf>
    <xf numFmtId="185" fontId="136" fillId="36" borderId="20" xfId="0" applyNumberFormat="1" applyFont="1" applyFill="1" applyBorder="1" applyAlignment="1">
      <alignment horizontal="center" vertical="center"/>
    </xf>
    <xf numFmtId="185" fontId="136" fillId="36" borderId="20" xfId="369" applyNumberFormat="1" applyFont="1" applyFill="1" applyBorder="1" applyAlignment="1">
      <alignment horizontal="center" vertical="center"/>
    </xf>
    <xf numFmtId="0" fontId="136" fillId="36" borderId="20" xfId="0" applyFont="1" applyFill="1" applyBorder="1" applyAlignment="1">
      <alignment horizontal="center" vertical="center"/>
    </xf>
    <xf numFmtId="189" fontId="136" fillId="36" borderId="20" xfId="0" applyNumberFormat="1" applyFont="1" applyFill="1" applyBorder="1" applyAlignment="1">
      <alignment horizontal="center" vertical="center"/>
    </xf>
    <xf numFmtId="189" fontId="136" fillId="76" borderId="20" xfId="0" applyNumberFormat="1" applyFont="1" applyFill="1" applyBorder="1" applyAlignment="1">
      <alignment horizontal="center" vertical="center"/>
    </xf>
    <xf numFmtId="188" fontId="136" fillId="36" borderId="20" xfId="0" applyNumberFormat="1" applyFont="1" applyFill="1" applyBorder="1" applyAlignment="1">
      <alignment horizontal="center" vertical="center"/>
    </xf>
    <xf numFmtId="307" fontId="136" fillId="36" borderId="20" xfId="0" applyNumberFormat="1" applyFont="1" applyFill="1" applyBorder="1" applyAlignment="1">
      <alignment horizontal="center" vertical="center"/>
    </xf>
    <xf numFmtId="14" fontId="347" fillId="128" borderId="177" xfId="0" applyNumberFormat="1" applyFont="1" applyFill="1" applyBorder="1" applyAlignment="1">
      <alignment horizontal="center" vertical="center" wrapText="1"/>
    </xf>
    <xf numFmtId="184" fontId="348" fillId="128" borderId="49" xfId="0" applyNumberFormat="1" applyFont="1" applyFill="1" applyBorder="1" applyAlignment="1">
      <alignment horizontal="center" vertical="center"/>
    </xf>
    <xf numFmtId="41" fontId="136" fillId="128" borderId="20" xfId="1" applyFont="1" applyFill="1" applyBorder="1" applyAlignment="1">
      <alignment horizontal="center" vertical="center"/>
    </xf>
    <xf numFmtId="185" fontId="136" fillId="128" borderId="20" xfId="0" applyNumberFormat="1" applyFont="1" applyFill="1" applyBorder="1" applyAlignment="1">
      <alignment horizontal="center" vertical="center"/>
    </xf>
    <xf numFmtId="185" fontId="136" fillId="128" borderId="20" xfId="369" applyNumberFormat="1" applyFont="1" applyFill="1" applyBorder="1" applyAlignment="1">
      <alignment horizontal="center" vertical="center"/>
    </xf>
    <xf numFmtId="0" fontId="136" fillId="128" borderId="20" xfId="0" applyFont="1" applyFill="1" applyBorder="1" applyAlignment="1">
      <alignment horizontal="center" vertical="center"/>
    </xf>
    <xf numFmtId="189" fontId="136" fillId="128" borderId="20" xfId="0" applyNumberFormat="1" applyFont="1" applyFill="1" applyBorder="1" applyAlignment="1">
      <alignment horizontal="center" vertical="center"/>
    </xf>
    <xf numFmtId="188" fontId="136" fillId="128" borderId="20" xfId="0" applyNumberFormat="1" applyFont="1" applyFill="1" applyBorder="1" applyAlignment="1">
      <alignment horizontal="center" vertical="center"/>
    </xf>
    <xf numFmtId="307" fontId="136" fillId="128" borderId="20" xfId="0" applyNumberFormat="1" applyFont="1" applyFill="1" applyBorder="1" applyAlignment="1">
      <alignment horizontal="center" vertical="center"/>
    </xf>
    <xf numFmtId="14" fontId="347" fillId="128" borderId="138" xfId="0" applyNumberFormat="1" applyFont="1" applyFill="1" applyBorder="1" applyAlignment="1">
      <alignment horizontal="center" vertical="center" wrapText="1"/>
    </xf>
    <xf numFmtId="184" fontId="348" fillId="128" borderId="123" xfId="0" applyNumberFormat="1" applyFont="1" applyFill="1" applyBorder="1" applyAlignment="1">
      <alignment horizontal="center" vertical="center"/>
    </xf>
    <xf numFmtId="41" fontId="136" fillId="128" borderId="50" xfId="1" applyFont="1" applyFill="1" applyBorder="1" applyAlignment="1">
      <alignment horizontal="center" vertical="center"/>
    </xf>
    <xf numFmtId="185" fontId="136" fillId="128" borderId="50" xfId="0" applyNumberFormat="1" applyFont="1" applyFill="1" applyBorder="1" applyAlignment="1">
      <alignment horizontal="center" vertical="center"/>
    </xf>
    <xf numFmtId="185" fontId="136" fillId="128" borderId="50" xfId="369" applyNumberFormat="1" applyFont="1" applyFill="1" applyBorder="1" applyAlignment="1">
      <alignment horizontal="center" vertical="center"/>
    </xf>
    <xf numFmtId="0" fontId="136" fillId="128" borderId="50" xfId="0" applyFont="1" applyFill="1" applyBorder="1" applyAlignment="1">
      <alignment horizontal="center" vertical="center"/>
    </xf>
    <xf numFmtId="189" fontId="136" fillId="128" borderId="50" xfId="0" applyNumberFormat="1" applyFont="1" applyFill="1" applyBorder="1" applyAlignment="1">
      <alignment horizontal="center" vertical="center"/>
    </xf>
    <xf numFmtId="188" fontId="136" fillId="128" borderId="50" xfId="0" applyNumberFormat="1" applyFont="1" applyFill="1" applyBorder="1" applyAlignment="1">
      <alignment horizontal="center" vertical="center"/>
    </xf>
    <xf numFmtId="307" fontId="136" fillId="128" borderId="50" xfId="0" applyNumberFormat="1" applyFont="1" applyFill="1" applyBorder="1" applyAlignment="1">
      <alignment horizontal="center" vertical="center"/>
    </xf>
    <xf numFmtId="184" fontId="348" fillId="128" borderId="117" xfId="0" applyNumberFormat="1" applyFont="1" applyFill="1" applyBorder="1" applyAlignment="1">
      <alignment horizontal="center" vertical="center"/>
    </xf>
    <xf numFmtId="41" fontId="136" fillId="128" borderId="49" xfId="1" applyFont="1" applyFill="1" applyBorder="1" applyAlignment="1">
      <alignment horizontal="center" vertical="center"/>
    </xf>
    <xf numFmtId="41" fontId="136" fillId="128" borderId="224" xfId="1" applyFont="1" applyFill="1" applyBorder="1" applyAlignment="1">
      <alignment horizontal="center" vertical="center"/>
    </xf>
    <xf numFmtId="41" fontId="136" fillId="128" borderId="228" xfId="1" applyFont="1" applyFill="1" applyBorder="1" applyAlignment="1">
      <alignment horizontal="center" vertical="center"/>
    </xf>
    <xf numFmtId="14" fontId="138" fillId="128" borderId="172" xfId="0" applyNumberFormat="1" applyFont="1" applyFill="1" applyBorder="1" applyAlignment="1">
      <alignment horizontal="center" vertical="center"/>
    </xf>
    <xf numFmtId="0" fontId="138" fillId="128" borderId="48" xfId="0" applyFont="1" applyFill="1" applyBorder="1" applyAlignment="1">
      <alignment horizontal="center" vertical="center"/>
    </xf>
    <xf numFmtId="41" fontId="136" fillId="128" borderId="239" xfId="1" applyFont="1" applyFill="1" applyBorder="1" applyAlignment="1">
      <alignment horizontal="center" vertical="center"/>
    </xf>
    <xf numFmtId="14" fontId="318" fillId="36" borderId="176" xfId="0" applyNumberFormat="1" applyFont="1" applyFill="1" applyBorder="1" applyAlignment="1">
      <alignment horizontal="center" vertical="center"/>
    </xf>
    <xf numFmtId="0" fontId="318" fillId="36" borderId="137" xfId="0" applyFont="1" applyFill="1" applyBorder="1" applyAlignment="1">
      <alignment horizontal="center" vertical="center"/>
    </xf>
    <xf numFmtId="41" fontId="328" fillId="36" borderId="127" xfId="1" applyFont="1" applyFill="1" applyBorder="1" applyAlignment="1">
      <alignment horizontal="center" vertical="center"/>
    </xf>
    <xf numFmtId="41" fontId="328" fillId="36" borderId="240" xfId="1" applyFont="1" applyFill="1" applyBorder="1" applyAlignment="1">
      <alignment horizontal="center" vertical="center"/>
    </xf>
    <xf numFmtId="41" fontId="328" fillId="36" borderId="241" xfId="1" applyFont="1" applyFill="1" applyBorder="1" applyAlignment="1">
      <alignment horizontal="center" vertical="center"/>
    </xf>
    <xf numFmtId="0" fontId="78" fillId="0" borderId="128" xfId="0" applyFont="1" applyBorder="1">
      <alignment vertical="center"/>
    </xf>
    <xf numFmtId="184" fontId="348" fillId="36" borderId="134" xfId="0" applyNumberFormat="1" applyFont="1" applyFill="1" applyBorder="1" applyAlignment="1">
      <alignment horizontal="center" vertical="center"/>
    </xf>
    <xf numFmtId="185" fontId="136" fillId="36" borderId="134" xfId="0" applyNumberFormat="1" applyFont="1" applyFill="1" applyBorder="1" applyAlignment="1">
      <alignment horizontal="center" vertical="center"/>
    </xf>
    <xf numFmtId="185" fontId="136" fillId="36" borderId="134" xfId="369" applyNumberFormat="1" applyFont="1" applyFill="1" applyBorder="1" applyAlignment="1">
      <alignment horizontal="center" vertical="center"/>
    </xf>
    <xf numFmtId="188" fontId="136" fillId="36" borderId="134" xfId="0" applyNumberFormat="1" applyFont="1" applyFill="1" applyBorder="1" applyAlignment="1">
      <alignment horizontal="center" vertical="center"/>
    </xf>
    <xf numFmtId="184" fontId="159" fillId="36" borderId="134" xfId="0" applyNumberFormat="1" applyFont="1" applyFill="1" applyBorder="1" applyAlignment="1">
      <alignment horizontal="center" vertical="center"/>
    </xf>
    <xf numFmtId="188" fontId="328" fillId="36" borderId="134" xfId="0" applyNumberFormat="1" applyFont="1" applyFill="1" applyBorder="1" applyAlignment="1">
      <alignment horizontal="center" vertical="center"/>
    </xf>
    <xf numFmtId="14" fontId="347" fillId="36" borderId="134" xfId="0" applyNumberFormat="1" applyFont="1" applyFill="1" applyBorder="1" applyAlignment="1">
      <alignment horizontal="center" vertical="center" wrapText="1"/>
    </xf>
    <xf numFmtId="0" fontId="311" fillId="36" borderId="0" xfId="54767" applyFill="1">
      <alignment vertical="center"/>
    </xf>
    <xf numFmtId="21" fontId="311" fillId="36" borderId="0" xfId="54767" applyNumberFormat="1" applyFill="1">
      <alignment vertical="center"/>
    </xf>
    <xf numFmtId="0" fontId="311" fillId="36" borderId="0" xfId="54769" applyFill="1">
      <alignment vertical="center"/>
    </xf>
    <xf numFmtId="21" fontId="311" fillId="36" borderId="0" xfId="54769" applyNumberFormat="1" applyFill="1">
      <alignment vertical="center"/>
    </xf>
    <xf numFmtId="0" fontId="138" fillId="0" borderId="0" xfId="0" applyFont="1" applyFill="1">
      <alignment vertical="center"/>
    </xf>
    <xf numFmtId="0" fontId="138" fillId="129" borderId="0" xfId="0" applyFont="1" applyFill="1">
      <alignment vertical="center"/>
    </xf>
    <xf numFmtId="184" fontId="348" fillId="0" borderId="134" xfId="0" applyNumberFormat="1" applyFont="1" applyFill="1" applyBorder="1" applyAlignment="1">
      <alignment horizontal="center" vertical="center"/>
    </xf>
    <xf numFmtId="185" fontId="136" fillId="0" borderId="134" xfId="0" applyNumberFormat="1" applyFont="1" applyFill="1" applyBorder="1" applyAlignment="1">
      <alignment horizontal="center" vertical="center"/>
    </xf>
    <xf numFmtId="185" fontId="136" fillId="0" borderId="134" xfId="369" applyNumberFormat="1" applyFont="1" applyFill="1" applyBorder="1" applyAlignment="1">
      <alignment horizontal="center" vertical="center"/>
    </xf>
    <xf numFmtId="188" fontId="136" fillId="0" borderId="134" xfId="0" applyNumberFormat="1" applyFont="1" applyFill="1" applyBorder="1" applyAlignment="1">
      <alignment horizontal="center" vertical="center"/>
    </xf>
    <xf numFmtId="14" fontId="347" fillId="0" borderId="177" xfId="0" applyNumberFormat="1" applyFont="1" applyFill="1" applyBorder="1" applyAlignment="1">
      <alignment horizontal="center" vertical="center" wrapText="1"/>
    </xf>
    <xf numFmtId="184" fontId="348" fillId="0" borderId="117" xfId="0" applyNumberFormat="1" applyFont="1" applyFill="1" applyBorder="1" applyAlignment="1">
      <alignment horizontal="center" vertical="center"/>
    </xf>
    <xf numFmtId="0" fontId="45" fillId="0" borderId="173" xfId="0" applyFont="1" applyFill="1" applyBorder="1" applyAlignment="1">
      <alignment vertical="center" wrapText="1"/>
    </xf>
    <xf numFmtId="0" fontId="45" fillId="0" borderId="23" xfId="0" applyFont="1" applyFill="1" applyBorder="1" applyAlignment="1">
      <alignment vertical="center" wrapText="1"/>
    </xf>
    <xf numFmtId="0" fontId="45" fillId="0" borderId="173" xfId="0" applyFont="1" applyFill="1" applyBorder="1" applyAlignment="1">
      <alignment horizontal="left" vertical="center" wrapText="1"/>
    </xf>
    <xf numFmtId="49" fontId="136" fillId="0" borderId="23" xfId="372" applyNumberFormat="1" applyFont="1" applyFill="1" applyBorder="1" applyAlignment="1">
      <alignment horizontal="left" vertical="center" wrapText="1"/>
    </xf>
    <xf numFmtId="14" fontId="136" fillId="36" borderId="132" xfId="371" applyNumberFormat="1" applyFont="1" applyFill="1" applyBorder="1" applyAlignment="1">
      <alignment horizontal="center" vertical="center"/>
    </xf>
    <xf numFmtId="14" fontId="136" fillId="36" borderId="20" xfId="371" applyNumberFormat="1" applyFont="1" applyFill="1" applyBorder="1" applyAlignment="1">
      <alignment horizontal="center" vertical="center"/>
    </xf>
    <xf numFmtId="49" fontId="136" fillId="36" borderId="20" xfId="372" applyNumberFormat="1" applyFont="1" applyFill="1" applyBorder="1" applyAlignment="1">
      <alignment horizontal="left" vertical="center"/>
    </xf>
    <xf numFmtId="14" fontId="347" fillId="36" borderId="177" xfId="0" applyNumberFormat="1" applyFont="1" applyFill="1" applyBorder="1" applyAlignment="1">
      <alignment horizontal="center" vertical="center" wrapText="1"/>
    </xf>
    <xf numFmtId="187" fontId="328" fillId="36" borderId="41" xfId="0" applyNumberFormat="1" applyFont="1" applyFill="1" applyBorder="1" applyAlignment="1">
      <alignment horizontal="center" vertical="center"/>
    </xf>
    <xf numFmtId="187" fontId="328" fillId="36" borderId="231" xfId="1" applyNumberFormat="1" applyFont="1" applyFill="1" applyBorder="1" applyAlignment="1">
      <alignment horizontal="center" vertical="center"/>
    </xf>
    <xf numFmtId="187" fontId="328" fillId="36" borderId="232" xfId="1" applyNumberFormat="1" applyFont="1" applyFill="1" applyBorder="1" applyAlignment="1">
      <alignment horizontal="center" vertical="center"/>
    </xf>
    <xf numFmtId="191" fontId="45" fillId="36" borderId="233" xfId="1" applyNumberFormat="1" applyFont="1" applyFill="1" applyBorder="1" applyAlignment="1" applyProtection="1">
      <alignment horizontal="center" vertical="center"/>
      <protection hidden="1"/>
    </xf>
    <xf numFmtId="191" fontId="45" fillId="36" borderId="235" xfId="1" applyNumberFormat="1" applyFont="1" applyFill="1" applyBorder="1" applyAlignment="1" applyProtection="1">
      <alignment horizontal="center" vertical="center"/>
      <protection hidden="1"/>
    </xf>
    <xf numFmtId="0" fontId="349" fillId="36" borderId="0" xfId="5418" applyFont="1" applyFill="1" applyBorder="1" applyAlignment="1"/>
    <xf numFmtId="186" fontId="349" fillId="36" borderId="0" xfId="5418" applyNumberFormat="1" applyFont="1" applyFill="1" applyBorder="1" applyAlignment="1" applyProtection="1">
      <protection hidden="1"/>
    </xf>
    <xf numFmtId="308" fontId="136" fillId="0" borderId="134" xfId="0" applyNumberFormat="1" applyFont="1" applyFill="1" applyBorder="1" applyAlignment="1">
      <alignment horizontal="right" vertical="center"/>
    </xf>
    <xf numFmtId="308" fontId="136" fillId="36" borderId="134" xfId="0" applyNumberFormat="1" applyFont="1" applyFill="1" applyBorder="1" applyAlignment="1">
      <alignment horizontal="right" vertical="center"/>
    </xf>
    <xf numFmtId="308" fontId="136" fillId="0" borderId="134" xfId="1" applyNumberFormat="1" applyFont="1" applyFill="1" applyBorder="1" applyAlignment="1">
      <alignment horizontal="right" vertical="center"/>
    </xf>
    <xf numFmtId="308" fontId="136" fillId="36" borderId="134" xfId="1" applyNumberFormat="1" applyFont="1" applyFill="1" applyBorder="1" applyAlignment="1">
      <alignment horizontal="right" vertical="center"/>
    </xf>
    <xf numFmtId="308" fontId="328" fillId="36" borderId="134" xfId="1" applyNumberFormat="1" applyFont="1" applyFill="1" applyBorder="1" applyAlignment="1">
      <alignment horizontal="right" vertical="center"/>
    </xf>
    <xf numFmtId="308" fontId="328" fillId="36" borderId="134" xfId="0" applyNumberFormat="1" applyFont="1" applyFill="1" applyBorder="1" applyAlignment="1">
      <alignment horizontal="right" vertical="center"/>
    </xf>
    <xf numFmtId="308" fontId="136" fillId="128" borderId="134" xfId="1" applyNumberFormat="1" applyFont="1" applyFill="1" applyBorder="1" applyAlignment="1">
      <alignment horizontal="right" vertical="center"/>
    </xf>
    <xf numFmtId="185" fontId="136" fillId="128" borderId="134" xfId="0" applyNumberFormat="1" applyFont="1" applyFill="1" applyBorder="1" applyAlignment="1">
      <alignment horizontal="center" vertical="center"/>
    </xf>
    <xf numFmtId="308" fontId="136" fillId="128" borderId="134" xfId="0" applyNumberFormat="1" applyFont="1" applyFill="1" applyBorder="1" applyAlignment="1">
      <alignment horizontal="right" vertical="center"/>
    </xf>
    <xf numFmtId="194" fontId="136" fillId="128" borderId="134" xfId="0" applyNumberFormat="1" applyFont="1" applyFill="1" applyBorder="1" applyAlignment="1">
      <alignment horizontal="center" vertical="center"/>
    </xf>
    <xf numFmtId="195" fontId="136" fillId="0" borderId="49" xfId="1" applyNumberFormat="1" applyFont="1" applyFill="1" applyBorder="1" applyAlignment="1">
      <alignment horizontal="right" vertical="center"/>
    </xf>
    <xf numFmtId="195" fontId="136" fillId="0" borderId="20" xfId="1" applyNumberFormat="1" applyFont="1" applyFill="1" applyBorder="1" applyAlignment="1">
      <alignment horizontal="right" vertical="center"/>
    </xf>
    <xf numFmtId="195" fontId="136" fillId="0" borderId="227" xfId="1" applyNumberFormat="1" applyFont="1" applyFill="1" applyBorder="1" applyAlignment="1">
      <alignment horizontal="right" vertical="center"/>
    </xf>
    <xf numFmtId="195" fontId="136" fillId="0" borderId="142" xfId="1" applyNumberFormat="1" applyFont="1" applyFill="1" applyBorder="1" applyAlignment="1">
      <alignment horizontal="right" vertical="center"/>
    </xf>
    <xf numFmtId="195" fontId="136" fillId="0" borderId="224" xfId="1" applyNumberFormat="1" applyFont="1" applyFill="1" applyBorder="1" applyAlignment="1">
      <alignment horizontal="right" vertical="center"/>
    </xf>
    <xf numFmtId="195" fontId="136" fillId="0" borderId="228" xfId="1" applyNumberFormat="1" applyFont="1" applyFill="1" applyBorder="1" applyAlignment="1">
      <alignment horizontal="right" vertical="center"/>
    </xf>
    <xf numFmtId="195" fontId="136" fillId="36" borderId="49" xfId="1" applyNumberFormat="1" applyFont="1" applyFill="1" applyBorder="1" applyAlignment="1">
      <alignment horizontal="right" vertical="center"/>
    </xf>
    <xf numFmtId="195" fontId="136" fillId="36" borderId="20" xfId="1" applyNumberFormat="1" applyFont="1" applyFill="1" applyBorder="1" applyAlignment="1">
      <alignment horizontal="right" vertical="center"/>
    </xf>
    <xf numFmtId="195" fontId="136" fillId="36" borderId="224" xfId="1" applyNumberFormat="1" applyFont="1" applyFill="1" applyBorder="1" applyAlignment="1">
      <alignment horizontal="right" vertical="center"/>
    </xf>
    <xf numFmtId="195" fontId="136" fillId="36" borderId="228" xfId="1" applyNumberFormat="1" applyFont="1" applyFill="1" applyBorder="1" applyAlignment="1">
      <alignment horizontal="right" vertical="center"/>
    </xf>
    <xf numFmtId="195" fontId="136" fillId="36" borderId="227" xfId="1" applyNumberFormat="1" applyFont="1" applyFill="1" applyBorder="1" applyAlignment="1">
      <alignment horizontal="right" vertical="center"/>
    </xf>
    <xf numFmtId="195" fontId="136" fillId="36" borderId="239" xfId="1" applyNumberFormat="1" applyFont="1" applyFill="1" applyBorder="1" applyAlignment="1">
      <alignment horizontal="right" vertical="center"/>
    </xf>
    <xf numFmtId="195" fontId="136" fillId="128" borderId="49" xfId="1" applyNumberFormat="1" applyFont="1" applyFill="1" applyBorder="1" applyAlignment="1">
      <alignment horizontal="right" vertical="center"/>
    </xf>
    <xf numFmtId="195" fontId="136" fillId="128" borderId="239" xfId="1" applyNumberFormat="1" applyFont="1" applyFill="1" applyBorder="1" applyAlignment="1">
      <alignment horizontal="right" vertical="center"/>
    </xf>
    <xf numFmtId="308" fontId="136" fillId="36" borderId="49" xfId="1" applyNumberFormat="1" applyFont="1" applyFill="1" applyBorder="1" applyAlignment="1">
      <alignment horizontal="right" vertical="center"/>
    </xf>
    <xf numFmtId="308" fontId="136" fillId="36" borderId="239" xfId="1" applyNumberFormat="1" applyFont="1" applyFill="1" applyBorder="1" applyAlignment="1">
      <alignment horizontal="right" vertical="center"/>
    </xf>
    <xf numFmtId="308" fontId="136" fillId="36" borderId="224" xfId="1" applyNumberFormat="1" applyFont="1" applyFill="1" applyBorder="1" applyAlignment="1">
      <alignment horizontal="right" vertical="center"/>
    </xf>
    <xf numFmtId="308" fontId="136" fillId="36" borderId="228" xfId="1" applyNumberFormat="1" applyFont="1" applyFill="1" applyBorder="1" applyAlignment="1">
      <alignment horizontal="right" vertical="center"/>
    </xf>
    <xf numFmtId="0" fontId="134" fillId="36" borderId="132" xfId="0" applyFont="1" applyFill="1" applyBorder="1" applyAlignment="1">
      <alignment vertical="center" wrapText="1"/>
    </xf>
    <xf numFmtId="0" fontId="134" fillId="36" borderId="0" xfId="0" applyFont="1" applyFill="1" applyBorder="1" applyAlignment="1">
      <alignment vertical="center" wrapText="1"/>
    </xf>
    <xf numFmtId="49" fontId="134" fillId="36" borderId="132" xfId="0" applyNumberFormat="1" applyFont="1" applyFill="1" applyBorder="1" applyAlignment="1">
      <alignment vertical="center" wrapText="1"/>
    </xf>
    <xf numFmtId="49" fontId="134" fillId="36" borderId="0" xfId="0" applyNumberFormat="1" applyFont="1" applyFill="1" applyBorder="1" applyAlignment="1">
      <alignment vertical="center" wrapText="1"/>
    </xf>
    <xf numFmtId="308" fontId="136" fillId="36" borderId="227" xfId="1" applyNumberFormat="1" applyFont="1" applyFill="1" applyBorder="1" applyAlignment="1">
      <alignment horizontal="right" vertical="center"/>
    </xf>
    <xf numFmtId="0" fontId="45" fillId="36" borderId="132" xfId="0" quotePrefix="1" applyFont="1" applyFill="1" applyBorder="1" applyAlignment="1">
      <alignment vertical="center" wrapText="1"/>
    </xf>
    <xf numFmtId="0" fontId="45" fillId="36" borderId="0" xfId="0" applyFont="1" applyFill="1" applyBorder="1" applyAlignment="1">
      <alignment vertical="center" wrapText="1"/>
    </xf>
    <xf numFmtId="0" fontId="45" fillId="36" borderId="133" xfId="0" applyFont="1" applyFill="1" applyBorder="1" applyAlignment="1">
      <alignment vertical="center" wrapText="1"/>
    </xf>
    <xf numFmtId="0" fontId="45" fillId="36" borderId="132" xfId="0" applyFont="1" applyFill="1" applyBorder="1" applyAlignment="1">
      <alignment vertical="center" wrapText="1"/>
    </xf>
    <xf numFmtId="309" fontId="136" fillId="0" borderId="134" xfId="0" applyNumberFormat="1" applyFont="1" applyFill="1" applyBorder="1" applyAlignment="1">
      <alignment horizontal="center" vertical="center"/>
    </xf>
    <xf numFmtId="309" fontId="136" fillId="36" borderId="134" xfId="0" applyNumberFormat="1" applyFont="1" applyFill="1" applyBorder="1" applyAlignment="1">
      <alignment horizontal="center" vertical="center"/>
    </xf>
    <xf numFmtId="309" fontId="136" fillId="128" borderId="134" xfId="0" applyNumberFormat="1" applyFont="1" applyFill="1" applyBorder="1" applyAlignment="1">
      <alignment horizontal="center" vertical="center"/>
    </xf>
    <xf numFmtId="309" fontId="328" fillId="36" borderId="134" xfId="0" applyNumberFormat="1" applyFont="1" applyFill="1" applyBorder="1" applyAlignment="1">
      <alignment horizontal="center" vertical="center"/>
    </xf>
    <xf numFmtId="185" fontId="136" fillId="128" borderId="134" xfId="369" applyNumberFormat="1" applyFont="1" applyFill="1" applyBorder="1" applyAlignment="1">
      <alignment horizontal="center" vertical="center"/>
    </xf>
    <xf numFmtId="310" fontId="45" fillId="36" borderId="54" xfId="5419" applyNumberFormat="1" applyFont="1" applyFill="1" applyBorder="1" applyAlignment="1">
      <alignment horizontal="right" vertical="center"/>
    </xf>
    <xf numFmtId="308" fontId="136" fillId="128" borderId="49" xfId="1" applyNumberFormat="1" applyFont="1" applyFill="1" applyBorder="1" applyAlignment="1">
      <alignment horizontal="right" vertical="center"/>
    </xf>
    <xf numFmtId="308" fontId="136" fillId="128" borderId="224" xfId="1" applyNumberFormat="1" applyFont="1" applyFill="1" applyBorder="1" applyAlignment="1">
      <alignment horizontal="right" vertical="center"/>
    </xf>
    <xf numFmtId="308" fontId="136" fillId="128" borderId="239" xfId="1" applyNumberFormat="1" applyFont="1" applyFill="1" applyBorder="1" applyAlignment="1">
      <alignment horizontal="right" vertical="center"/>
    </xf>
    <xf numFmtId="308" fontId="328" fillId="36" borderId="177" xfId="1" applyNumberFormat="1" applyFont="1" applyFill="1" applyBorder="1" applyAlignment="1">
      <alignment horizontal="right" vertical="center"/>
    </xf>
    <xf numFmtId="308" fontId="328" fillId="36" borderId="172" xfId="1" applyNumberFormat="1" applyFont="1" applyFill="1" applyBorder="1" applyAlignment="1">
      <alignment horizontal="right" vertical="center"/>
    </xf>
    <xf numFmtId="308" fontId="328" fillId="36" borderId="227" xfId="1" applyNumberFormat="1" applyFont="1" applyFill="1" applyBorder="1" applyAlignment="1">
      <alignment horizontal="right" vertical="center"/>
    </xf>
    <xf numFmtId="308" fontId="328" fillId="36" borderId="228" xfId="1" applyNumberFormat="1" applyFont="1" applyFill="1" applyBorder="1" applyAlignment="1">
      <alignment horizontal="right" vertical="center"/>
    </xf>
    <xf numFmtId="14" fontId="138" fillId="36" borderId="176" xfId="0" applyNumberFormat="1" applyFont="1" applyFill="1" applyBorder="1" applyAlignment="1">
      <alignment horizontal="center" vertical="center"/>
    </xf>
    <xf numFmtId="0" fontId="138" fillId="36" borderId="137" xfId="0" applyFont="1" applyFill="1" applyBorder="1" applyAlignment="1">
      <alignment horizontal="center" vertical="center"/>
    </xf>
    <xf numFmtId="308" fontId="136" fillId="36" borderId="177" xfId="1" applyNumberFormat="1" applyFont="1" applyFill="1" applyBorder="1" applyAlignment="1">
      <alignment horizontal="right" vertical="center"/>
    </xf>
    <xf numFmtId="308" fontId="136" fillId="36" borderId="172" xfId="1" applyNumberFormat="1" applyFont="1" applyFill="1" applyBorder="1" applyAlignment="1">
      <alignment horizontal="right" vertical="center"/>
    </xf>
    <xf numFmtId="14" fontId="136" fillId="129" borderId="132" xfId="371" applyNumberFormat="1" applyFont="1" applyFill="1" applyBorder="1" applyAlignment="1">
      <alignment horizontal="center" vertical="center"/>
    </xf>
    <xf numFmtId="49" fontId="328" fillId="129" borderId="23" xfId="372" applyNumberFormat="1" applyFont="1" applyFill="1" applyBorder="1" applyAlignment="1">
      <alignment horizontal="left" vertical="center"/>
    </xf>
    <xf numFmtId="14" fontId="136" fillId="129" borderId="20" xfId="371" applyNumberFormat="1" applyFont="1" applyFill="1" applyBorder="1" applyAlignment="1">
      <alignment horizontal="center" vertical="center"/>
    </xf>
    <xf numFmtId="49" fontId="328" fillId="129" borderId="20" xfId="372" applyNumberFormat="1" applyFont="1" applyFill="1" applyBorder="1" applyAlignment="1">
      <alignment horizontal="left" vertical="center"/>
    </xf>
    <xf numFmtId="49" fontId="138" fillId="0" borderId="0" xfId="0" applyNumberFormat="1" applyFont="1">
      <alignment vertical="center"/>
    </xf>
    <xf numFmtId="49" fontId="344" fillId="127" borderId="0" xfId="0" applyNumberFormat="1" applyFont="1" applyFill="1" applyAlignment="1"/>
    <xf numFmtId="49" fontId="311" fillId="36" borderId="0" xfId="54767" applyNumberFormat="1" applyFill="1">
      <alignment vertical="center"/>
    </xf>
    <xf numFmtId="49" fontId="311" fillId="0" borderId="0" xfId="54767" applyNumberFormat="1">
      <alignment vertical="center"/>
    </xf>
    <xf numFmtId="0" fontId="137" fillId="36" borderId="0" xfId="0" applyFont="1" applyFill="1" applyBorder="1" applyAlignment="1">
      <alignment vertical="center" wrapText="1"/>
    </xf>
    <xf numFmtId="0" fontId="137" fillId="36" borderId="133" xfId="0" applyFont="1" applyFill="1" applyBorder="1" applyAlignment="1">
      <alignment vertical="center" wrapText="1"/>
    </xf>
    <xf numFmtId="0" fontId="45" fillId="0" borderId="23" xfId="0" quotePrefix="1" applyFont="1" applyFill="1" applyBorder="1" applyAlignment="1">
      <alignment vertical="center" wrapText="1"/>
    </xf>
    <xf numFmtId="309" fontId="328" fillId="36" borderId="54" xfId="0" applyNumberFormat="1" applyFont="1" applyFill="1" applyBorder="1" applyAlignment="1">
      <alignment horizontal="center" vertical="center"/>
    </xf>
    <xf numFmtId="188" fontId="328" fillId="36" borderId="243" xfId="0" applyNumberFormat="1" applyFont="1" applyFill="1" applyBorder="1" applyAlignment="1">
      <alignment horizontal="center" vertical="center"/>
    </xf>
    <xf numFmtId="187" fontId="328" fillId="36" borderId="243" xfId="0" applyNumberFormat="1" applyFont="1" applyFill="1" applyBorder="1" applyAlignment="1">
      <alignment horizontal="center" vertical="center"/>
    </xf>
    <xf numFmtId="194" fontId="328" fillId="36" borderId="244" xfId="0" applyNumberFormat="1" applyFont="1" applyFill="1" applyBorder="1" applyAlignment="1">
      <alignment horizontal="center" vertical="center"/>
    </xf>
    <xf numFmtId="49" fontId="136" fillId="36" borderId="23" xfId="372" applyNumberFormat="1" applyFont="1" applyFill="1" applyBorder="1" applyAlignment="1">
      <alignment horizontal="left" vertical="center" wrapText="1"/>
    </xf>
    <xf numFmtId="0" fontId="155" fillId="36" borderId="133" xfId="0" applyFont="1" applyFill="1" applyBorder="1" applyAlignment="1">
      <alignment horizontal="left" vertical="center" wrapText="1"/>
    </xf>
    <xf numFmtId="14" fontId="136" fillId="0" borderId="20" xfId="371" applyNumberFormat="1" applyFont="1" applyFill="1" applyBorder="1" applyAlignment="1">
      <alignment horizontal="center" vertical="center"/>
    </xf>
    <xf numFmtId="14" fontId="136" fillId="36" borderId="20" xfId="371" applyNumberFormat="1" applyFont="1" applyFill="1" applyBorder="1" applyAlignment="1">
      <alignment horizontal="center" vertical="center"/>
    </xf>
    <xf numFmtId="0" fontId="155" fillId="36" borderId="214" xfId="0" applyFont="1" applyFill="1" applyBorder="1" applyAlignment="1">
      <alignment horizontal="left" vertical="center" wrapText="1"/>
    </xf>
    <xf numFmtId="0" fontId="155" fillId="36" borderId="24" xfId="0" applyFont="1" applyFill="1" applyBorder="1" applyAlignment="1">
      <alignment horizontal="left" vertical="center" wrapText="1"/>
    </xf>
    <xf numFmtId="0" fontId="155" fillId="36" borderId="213" xfId="0" applyFont="1" applyFill="1" applyBorder="1" applyAlignment="1">
      <alignment horizontal="left" vertical="center" wrapText="1"/>
    </xf>
    <xf numFmtId="0" fontId="141" fillId="59" borderId="36" xfId="0" applyFont="1" applyFill="1" applyBorder="1" applyAlignment="1" applyProtection="1">
      <alignment horizontal="center" vertical="center"/>
      <protection hidden="1"/>
    </xf>
    <xf numFmtId="0" fontId="141" fillId="59" borderId="37" xfId="0" applyFont="1" applyFill="1" applyBorder="1" applyAlignment="1" applyProtection="1">
      <alignment horizontal="center" vertical="center"/>
      <protection hidden="1"/>
    </xf>
    <xf numFmtId="0" fontId="155" fillId="36" borderId="132" xfId="0" quotePrefix="1" applyFont="1" applyFill="1" applyBorder="1" applyAlignment="1">
      <alignment horizontal="left" vertical="center" wrapText="1"/>
    </xf>
    <xf numFmtId="0" fontId="155" fillId="36" borderId="0" xfId="0" quotePrefix="1" applyFont="1" applyFill="1" applyBorder="1" applyAlignment="1">
      <alignment horizontal="left" vertical="center" wrapText="1"/>
    </xf>
    <xf numFmtId="0" fontId="155" fillId="36" borderId="0" xfId="0" applyFont="1" applyFill="1" applyBorder="1" applyAlignment="1">
      <alignment horizontal="left" vertical="center" wrapText="1"/>
    </xf>
    <xf numFmtId="0" fontId="155" fillId="36" borderId="133" xfId="0" applyFont="1" applyFill="1" applyBorder="1" applyAlignment="1">
      <alignment horizontal="left" vertical="center" wrapText="1"/>
    </xf>
    <xf numFmtId="0" fontId="137" fillId="36" borderId="132" xfId="0" quotePrefix="1" applyFont="1" applyFill="1" applyBorder="1" applyAlignment="1">
      <alignment horizontal="left" vertical="center" wrapText="1"/>
    </xf>
    <xf numFmtId="0" fontId="137" fillId="36" borderId="0" xfId="0" applyFont="1" applyFill="1" applyBorder="1" applyAlignment="1">
      <alignment horizontal="left" vertical="center" wrapText="1"/>
    </xf>
    <xf numFmtId="0" fontId="137" fillId="36" borderId="133" xfId="0" applyFont="1" applyFill="1" applyBorder="1" applyAlignment="1">
      <alignment horizontal="left" vertical="center" wrapText="1"/>
    </xf>
    <xf numFmtId="0" fontId="349" fillId="36" borderId="0" xfId="5418" applyFont="1" applyFill="1" applyBorder="1" applyAlignment="1" applyProtection="1">
      <alignment horizontal="left" wrapText="1"/>
      <protection locked="0"/>
    </xf>
    <xf numFmtId="0" fontId="140" fillId="59" borderId="119" xfId="0" applyFont="1" applyFill="1" applyBorder="1" applyAlignment="1">
      <alignment horizontal="center" vertical="center"/>
    </xf>
    <xf numFmtId="0" fontId="140" fillId="59" borderId="131" xfId="0" applyFont="1" applyFill="1" applyBorder="1" applyAlignment="1">
      <alignment horizontal="center" vertical="center"/>
    </xf>
    <xf numFmtId="0" fontId="140" fillId="59" borderId="135" xfId="0" applyFont="1" applyFill="1" applyBorder="1" applyAlignment="1">
      <alignment horizontal="center" vertical="center"/>
    </xf>
    <xf numFmtId="0" fontId="140" fillId="59" borderId="215" xfId="0" applyFont="1" applyFill="1" applyBorder="1" applyAlignment="1">
      <alignment horizontal="center" vertical="center"/>
    </xf>
    <xf numFmtId="0" fontId="140" fillId="59" borderId="216" xfId="0" applyFont="1" applyFill="1" applyBorder="1" applyAlignment="1">
      <alignment horizontal="center" vertical="center"/>
    </xf>
    <xf numFmtId="0" fontId="140" fillId="59" borderId="117" xfId="0" applyFont="1" applyFill="1" applyBorder="1" applyAlignment="1">
      <alignment horizontal="center" vertical="center"/>
    </xf>
    <xf numFmtId="0" fontId="141" fillId="59" borderId="217" xfId="0" applyFont="1" applyFill="1" applyBorder="1" applyAlignment="1" applyProtection="1">
      <alignment horizontal="center" vertical="center" wrapText="1"/>
      <protection locked="0"/>
    </xf>
    <xf numFmtId="0" fontId="141" fillId="59" borderId="128" xfId="0" applyFont="1" applyFill="1" applyBorder="1" applyAlignment="1" applyProtection="1">
      <alignment horizontal="center" vertical="center" wrapText="1"/>
      <protection locked="0"/>
    </xf>
    <xf numFmtId="0" fontId="141" fillId="59" borderId="130" xfId="0" applyFont="1" applyFill="1" applyBorder="1" applyAlignment="1" applyProtection="1">
      <alignment horizontal="center" vertical="center" wrapText="1"/>
      <protection locked="0"/>
    </xf>
    <xf numFmtId="0" fontId="141" fillId="59" borderId="52" xfId="0" applyFont="1" applyFill="1" applyBorder="1" applyAlignment="1" applyProtection="1">
      <alignment horizontal="center" vertical="center" wrapText="1"/>
      <protection locked="0"/>
    </xf>
    <xf numFmtId="0" fontId="141" fillId="59" borderId="0" xfId="0" applyFont="1" applyFill="1" applyBorder="1" applyAlignment="1" applyProtection="1">
      <alignment horizontal="center" vertical="center" wrapText="1"/>
      <protection locked="0"/>
    </xf>
    <xf numFmtId="0" fontId="141" fillId="59" borderId="133" xfId="0" applyFont="1" applyFill="1" applyBorder="1" applyAlignment="1" applyProtection="1">
      <alignment horizontal="center" vertical="center" wrapText="1"/>
      <protection locked="0"/>
    </xf>
    <xf numFmtId="0" fontId="141" fillId="59" borderId="220" xfId="0" applyFont="1" applyFill="1" applyBorder="1" applyAlignment="1" applyProtection="1">
      <alignment horizontal="center" vertical="center" wrapText="1"/>
      <protection locked="0"/>
    </xf>
    <xf numFmtId="0" fontId="141" fillId="59" borderId="14" xfId="0" applyFont="1" applyFill="1" applyBorder="1" applyAlignment="1" applyProtection="1">
      <alignment horizontal="center" vertical="center" wrapText="1"/>
      <protection locked="0"/>
    </xf>
    <xf numFmtId="0" fontId="141" fillId="59" borderId="221" xfId="0" applyFont="1" applyFill="1" applyBorder="1" applyAlignment="1" applyProtection="1">
      <alignment horizontal="center" vertical="center" wrapText="1"/>
      <protection locked="0"/>
    </xf>
    <xf numFmtId="14" fontId="180" fillId="77" borderId="212" xfId="5418" applyNumberFormat="1" applyFont="1" applyFill="1" applyBorder="1" applyAlignment="1">
      <alignment horizontal="center" vertical="center"/>
    </xf>
    <xf numFmtId="14" fontId="180" fillId="77" borderId="202" xfId="5418" applyNumberFormat="1" applyFont="1" applyFill="1" applyBorder="1" applyAlignment="1">
      <alignment horizontal="center" vertical="center"/>
    </xf>
    <xf numFmtId="14" fontId="180" fillId="77" borderId="192" xfId="5418" applyNumberFormat="1" applyFont="1" applyFill="1" applyBorder="1" applyAlignment="1">
      <alignment horizontal="center" vertical="center"/>
    </xf>
    <xf numFmtId="0" fontId="132" fillId="59" borderId="180" xfId="5418" applyFont="1" applyFill="1" applyBorder="1" applyAlignment="1">
      <alignment horizontal="center" vertical="center"/>
    </xf>
    <xf numFmtId="0" fontId="132" fillId="59" borderId="185" xfId="5418" applyFont="1" applyFill="1" applyBorder="1" applyAlignment="1">
      <alignment horizontal="center" vertical="center"/>
    </xf>
    <xf numFmtId="0" fontId="132" fillId="59" borderId="186" xfId="5418" applyFont="1" applyFill="1" applyBorder="1" applyAlignment="1">
      <alignment horizontal="center" vertical="center"/>
    </xf>
    <xf numFmtId="0" fontId="155" fillId="36" borderId="129" xfId="0" quotePrefix="1" applyFont="1" applyFill="1" applyBorder="1" applyAlignment="1">
      <alignment horizontal="left" vertical="center" wrapText="1"/>
    </xf>
    <xf numFmtId="0" fontId="155" fillId="36" borderId="128" xfId="0" applyFont="1" applyFill="1" applyBorder="1" applyAlignment="1">
      <alignment horizontal="left" vertical="center" wrapText="1"/>
    </xf>
    <xf numFmtId="0" fontId="155" fillId="36" borderId="130" xfId="0" applyFont="1" applyFill="1" applyBorder="1" applyAlignment="1">
      <alignment horizontal="left" vertical="center" wrapText="1"/>
    </xf>
    <xf numFmtId="186" fontId="141" fillId="36" borderId="238" xfId="0" applyNumberFormat="1" applyFont="1" applyFill="1" applyBorder="1" applyAlignment="1" applyProtection="1">
      <alignment horizontal="center" vertical="center"/>
      <protection hidden="1"/>
    </xf>
    <xf numFmtId="0" fontId="137" fillId="59" borderId="180" xfId="5418" applyFont="1" applyFill="1" applyBorder="1" applyAlignment="1">
      <alignment horizontal="center" vertical="center"/>
    </xf>
    <xf numFmtId="0" fontId="137" fillId="59" borderId="18" xfId="5418" applyFont="1" applyFill="1" applyBorder="1" applyAlignment="1">
      <alignment horizontal="center" vertical="center"/>
    </xf>
    <xf numFmtId="0" fontId="137" fillId="0" borderId="175" xfId="5418" quotePrefix="1" applyFont="1" applyFill="1" applyBorder="1" applyAlignment="1">
      <alignment horizontal="left" vertical="center" wrapText="1"/>
    </xf>
    <xf numFmtId="0" fontId="137" fillId="0" borderId="40" xfId="5418" applyFont="1" applyFill="1" applyBorder="1" applyAlignment="1">
      <alignment horizontal="left" vertical="center" wrapText="1"/>
    </xf>
    <xf numFmtId="0" fontId="137" fillId="0" borderId="178" xfId="5418" applyFont="1" applyFill="1" applyBorder="1" applyAlignment="1">
      <alignment horizontal="left" vertical="center" wrapText="1"/>
    </xf>
    <xf numFmtId="0" fontId="137" fillId="0" borderId="208" xfId="5418" applyFont="1" applyFill="1" applyBorder="1" applyAlignment="1">
      <alignment horizontal="left" vertical="center" wrapText="1"/>
    </xf>
    <xf numFmtId="0" fontId="137" fillId="0" borderId="209" xfId="5418" applyFont="1" applyFill="1" applyBorder="1" applyAlignment="1">
      <alignment horizontal="left" vertical="center"/>
    </xf>
    <xf numFmtId="0" fontId="137" fillId="0" borderId="210" xfId="5418" applyFont="1" applyFill="1" applyBorder="1" applyAlignment="1">
      <alignment horizontal="left" vertical="center"/>
    </xf>
    <xf numFmtId="14" fontId="180" fillId="77" borderId="41" xfId="0" applyNumberFormat="1" applyFont="1" applyFill="1" applyBorder="1" applyAlignment="1" applyProtection="1">
      <alignment horizontal="center" vertical="center"/>
      <protection hidden="1"/>
    </xf>
    <xf numFmtId="17" fontId="141" fillId="36" borderId="39" xfId="0" applyNumberFormat="1" applyFont="1" applyFill="1" applyBorder="1" applyAlignment="1" applyProtection="1">
      <alignment horizontal="center" vertical="center"/>
      <protection hidden="1"/>
    </xf>
    <xf numFmtId="0" fontId="141" fillId="59" borderId="140" xfId="0" applyFont="1" applyFill="1" applyBorder="1" applyAlignment="1" applyProtection="1">
      <alignment horizontal="center" vertical="center" wrapText="1"/>
      <protection locked="0"/>
    </xf>
    <xf numFmtId="0" fontId="141" fillId="59" borderId="174" xfId="0" applyFont="1" applyFill="1" applyBorder="1" applyAlignment="1" applyProtection="1">
      <alignment horizontal="center" vertical="center" wrapText="1"/>
      <protection locked="0"/>
    </xf>
    <xf numFmtId="0" fontId="141" fillId="59" borderId="127" xfId="370" applyFont="1" applyFill="1" applyBorder="1" applyAlignment="1">
      <alignment horizontal="center" vertical="center" wrapText="1"/>
    </xf>
    <xf numFmtId="0" fontId="141" fillId="59" borderId="49" xfId="370" applyFont="1" applyFill="1" applyBorder="1" applyAlignment="1">
      <alignment horizontal="center" vertical="center" wrapText="1"/>
    </xf>
    <xf numFmtId="187" fontId="137" fillId="36" borderId="173" xfId="5419" applyNumberFormat="1" applyFont="1" applyFill="1" applyBorder="1" applyAlignment="1">
      <alignment horizontal="center" vertical="center"/>
    </xf>
    <xf numFmtId="187" fontId="137" fillId="36" borderId="23" xfId="5419" applyNumberFormat="1" applyFont="1" applyFill="1" applyBorder="1" applyAlignment="1">
      <alignment horizontal="center" vertical="center"/>
    </xf>
    <xf numFmtId="187" fontId="137" fillId="36" borderId="193" xfId="5419" applyNumberFormat="1" applyFont="1" applyFill="1" applyBorder="1" applyAlignment="1">
      <alignment horizontal="center" vertical="center"/>
    </xf>
    <xf numFmtId="49" fontId="325" fillId="36" borderId="199" xfId="1" applyNumberFormat="1" applyFont="1" applyFill="1" applyBorder="1" applyAlignment="1">
      <alignment horizontal="left" vertical="center" wrapText="1"/>
    </xf>
    <xf numFmtId="49" fontId="325" fillId="36" borderId="200" xfId="1" applyNumberFormat="1" applyFont="1" applyFill="1" applyBorder="1" applyAlignment="1">
      <alignment horizontal="left" vertical="center" wrapText="1"/>
    </xf>
    <xf numFmtId="306" fontId="179" fillId="125" borderId="21" xfId="0" applyNumberFormat="1" applyFont="1" applyFill="1" applyBorder="1" applyAlignment="1" applyProtection="1">
      <alignment horizontal="center" vertical="center"/>
      <protection locked="0"/>
    </xf>
    <xf numFmtId="306" fontId="179" fillId="125" borderId="0" xfId="0" applyNumberFormat="1" applyFont="1" applyFill="1" applyBorder="1" applyAlignment="1" applyProtection="1">
      <alignment horizontal="center" vertical="center"/>
      <protection locked="0"/>
    </xf>
    <xf numFmtId="306" fontId="179" fillId="125" borderId="22" xfId="0" applyNumberFormat="1" applyFont="1" applyFill="1" applyBorder="1" applyAlignment="1" applyProtection="1">
      <alignment horizontal="center" vertical="center"/>
      <protection locked="0"/>
    </xf>
    <xf numFmtId="0" fontId="137" fillId="59" borderId="185" xfId="5418" applyFont="1" applyFill="1" applyBorder="1" applyAlignment="1">
      <alignment horizontal="center" vertical="center"/>
    </xf>
    <xf numFmtId="0" fontId="137" fillId="59" borderId="186" xfId="5418" applyFont="1" applyFill="1" applyBorder="1" applyAlignment="1">
      <alignment horizontal="center" vertical="center"/>
    </xf>
    <xf numFmtId="0" fontId="137" fillId="59" borderId="53" xfId="5418" applyFont="1" applyFill="1" applyBorder="1" applyAlignment="1">
      <alignment horizontal="center" vertical="center"/>
    </xf>
    <xf numFmtId="0" fontId="137" fillId="59" borderId="188" xfId="5418" applyFont="1" applyFill="1" applyBorder="1" applyAlignment="1">
      <alignment horizontal="center" vertical="center"/>
    </xf>
    <xf numFmtId="0" fontId="137" fillId="59" borderId="182" xfId="5418" applyFont="1" applyFill="1" applyBorder="1" applyAlignment="1">
      <alignment horizontal="center" vertical="center"/>
    </xf>
    <xf numFmtId="0" fontId="137" fillId="59" borderId="183" xfId="5418" applyFont="1" applyFill="1" applyBorder="1" applyAlignment="1">
      <alignment horizontal="center" vertical="center"/>
    </xf>
    <xf numFmtId="0" fontId="137" fillId="59" borderId="184" xfId="5418" applyFont="1" applyFill="1" applyBorder="1" applyAlignment="1">
      <alignment horizontal="center" vertical="center"/>
    </xf>
    <xf numFmtId="49" fontId="324" fillId="36" borderId="42" xfId="1" applyNumberFormat="1" applyFont="1" applyFill="1" applyBorder="1" applyAlignment="1">
      <alignment horizontal="left" vertical="center" wrapText="1"/>
    </xf>
    <xf numFmtId="49" fontId="324" fillId="36" borderId="40" xfId="1" applyNumberFormat="1" applyFont="1" applyFill="1" applyBorder="1" applyAlignment="1">
      <alignment horizontal="left" vertical="center" wrapText="1"/>
    </xf>
    <xf numFmtId="49" fontId="324" fillId="36" borderId="190" xfId="1" applyNumberFormat="1" applyFont="1" applyFill="1" applyBorder="1" applyAlignment="1">
      <alignment horizontal="left" vertical="center" wrapText="1"/>
    </xf>
    <xf numFmtId="0" fontId="345" fillId="0" borderId="143" xfId="5418" applyFont="1" applyBorder="1" applyAlignment="1">
      <alignment horizontal="center" vertical="center"/>
    </xf>
    <xf numFmtId="0" fontId="345" fillId="0" borderId="144" xfId="5418" applyFont="1" applyBorder="1" applyAlignment="1">
      <alignment horizontal="center" vertical="center"/>
    </xf>
    <xf numFmtId="0" fontId="345" fillId="0" borderId="145" xfId="5418" applyFont="1" applyBorder="1" applyAlignment="1">
      <alignment horizontal="center" vertical="center"/>
    </xf>
    <xf numFmtId="0" fontId="345" fillId="0" borderId="146" xfId="5418" applyFont="1" applyBorder="1" applyAlignment="1">
      <alignment horizontal="center" vertical="center"/>
    </xf>
    <xf numFmtId="0" fontId="345" fillId="0" borderId="0" xfId="5418" applyFont="1" applyBorder="1" applyAlignment="1">
      <alignment horizontal="center" vertical="center"/>
    </xf>
    <xf numFmtId="0" fontId="345" fillId="0" borderId="147" xfId="5418" applyFont="1" applyBorder="1" applyAlignment="1">
      <alignment horizontal="center" vertical="center"/>
    </xf>
    <xf numFmtId="0" fontId="345" fillId="0" borderId="148" xfId="5418" applyFont="1" applyBorder="1" applyAlignment="1">
      <alignment horizontal="center" vertical="center"/>
    </xf>
    <xf numFmtId="0" fontId="345" fillId="0" borderId="149" xfId="5418" applyFont="1" applyBorder="1" applyAlignment="1">
      <alignment horizontal="center" vertical="center"/>
    </xf>
    <xf numFmtId="0" fontId="345" fillId="0" borderId="150" xfId="5418" applyFont="1" applyBorder="1" applyAlignment="1">
      <alignment horizontal="center" vertical="center"/>
    </xf>
    <xf numFmtId="0" fontId="137" fillId="59" borderId="181" xfId="5418" applyFont="1" applyFill="1" applyBorder="1" applyAlignment="1">
      <alignment horizontal="center" vertical="center" wrapText="1"/>
    </xf>
    <xf numFmtId="0" fontId="137" fillId="59" borderId="20" xfId="5418" applyFont="1" applyFill="1" applyBorder="1" applyAlignment="1">
      <alignment horizontal="center" vertical="center" wrapText="1"/>
    </xf>
    <xf numFmtId="0" fontId="137" fillId="59" borderId="180" xfId="5418" applyFont="1" applyFill="1" applyBorder="1" applyAlignment="1">
      <alignment horizontal="center" vertical="center" wrapText="1"/>
    </xf>
    <xf numFmtId="0" fontId="137" fillId="59" borderId="18" xfId="5418" applyFont="1" applyFill="1" applyBorder="1" applyAlignment="1">
      <alignment horizontal="center" vertical="center" wrapText="1"/>
    </xf>
    <xf numFmtId="0" fontId="137" fillId="59" borderId="203" xfId="5418" applyFont="1" applyFill="1" applyBorder="1" applyAlignment="1">
      <alignment horizontal="center" vertical="center"/>
    </xf>
    <xf numFmtId="0" fontId="137" fillId="59" borderId="205" xfId="5418" applyFont="1" applyFill="1" applyBorder="1" applyAlignment="1">
      <alignment horizontal="center" vertical="center"/>
    </xf>
    <xf numFmtId="0" fontId="137" fillId="59" borderId="201" xfId="5418" applyFont="1" applyFill="1" applyBorder="1" applyAlignment="1">
      <alignment horizontal="center" vertical="center"/>
    </xf>
    <xf numFmtId="0" fontId="0" fillId="0" borderId="175" xfId="0" applyBorder="1" applyAlignment="1">
      <alignment horizontal="center" vertical="center"/>
    </xf>
    <xf numFmtId="0" fontId="0" fillId="0" borderId="40" xfId="0" applyBorder="1" applyAlignment="1">
      <alignment horizontal="center" vertical="center"/>
    </xf>
    <xf numFmtId="0" fontId="0" fillId="0" borderId="190" xfId="0" applyBorder="1" applyAlignment="1">
      <alignment horizontal="center" vertical="center"/>
    </xf>
    <xf numFmtId="0" fontId="0" fillId="0" borderId="208" xfId="0" applyBorder="1" applyAlignment="1">
      <alignment horizontal="center" vertical="center"/>
    </xf>
    <xf numFmtId="0" fontId="0" fillId="0" borderId="209" xfId="0" applyBorder="1" applyAlignment="1">
      <alignment horizontal="center" vertical="center"/>
    </xf>
    <xf numFmtId="0" fontId="0" fillId="0" borderId="211" xfId="0" applyBorder="1" applyAlignment="1">
      <alignment horizontal="center" vertical="center"/>
    </xf>
    <xf numFmtId="0" fontId="155" fillId="36" borderId="133" xfId="0" quotePrefix="1" applyFont="1" applyFill="1" applyBorder="1" applyAlignment="1">
      <alignment horizontal="left" vertical="center" wrapText="1"/>
    </xf>
    <xf numFmtId="14" fontId="138" fillId="128" borderId="242" xfId="0" applyNumberFormat="1" applyFont="1" applyFill="1" applyBorder="1" applyAlignment="1">
      <alignment horizontal="center" vertical="center"/>
    </xf>
    <xf numFmtId="14" fontId="138" fillId="128" borderId="219" xfId="0" applyNumberFormat="1" applyFont="1" applyFill="1" applyBorder="1" applyAlignment="1">
      <alignment horizontal="center" vertical="center"/>
    </xf>
    <xf numFmtId="0" fontId="153" fillId="59" borderId="217" xfId="0" applyFont="1" applyFill="1" applyBorder="1" applyAlignment="1" applyProtection="1">
      <alignment horizontal="center" vertical="center" wrapText="1"/>
      <protection locked="0"/>
    </xf>
    <xf numFmtId="0" fontId="153" fillId="59" borderId="128" xfId="0" applyFont="1" applyFill="1" applyBorder="1" applyAlignment="1" applyProtection="1">
      <alignment horizontal="center" vertical="center" wrapText="1"/>
      <protection locked="0"/>
    </xf>
    <xf numFmtId="0" fontId="153" fillId="59" borderId="130" xfId="0" applyFont="1" applyFill="1" applyBorder="1" applyAlignment="1" applyProtection="1">
      <alignment horizontal="center" vertical="center" wrapText="1"/>
      <protection locked="0"/>
    </xf>
    <xf numFmtId="0" fontId="153" fillId="59" borderId="52" xfId="0" applyFont="1" applyFill="1" applyBorder="1" applyAlignment="1" applyProtection="1">
      <alignment horizontal="center" vertical="center" wrapText="1"/>
      <protection locked="0"/>
    </xf>
    <xf numFmtId="0" fontId="153" fillId="59" borderId="0" xfId="0" applyFont="1" applyFill="1" applyBorder="1" applyAlignment="1" applyProtection="1">
      <alignment horizontal="center" vertical="center" wrapText="1"/>
      <protection locked="0"/>
    </xf>
    <xf numFmtId="0" fontId="153" fillId="59" borderId="133" xfId="0" applyFont="1" applyFill="1" applyBorder="1" applyAlignment="1" applyProtection="1">
      <alignment horizontal="center" vertical="center" wrapText="1"/>
      <protection locked="0"/>
    </xf>
    <xf numFmtId="0" fontId="153" fillId="59" borderId="218" xfId="0" applyFont="1" applyFill="1" applyBorder="1" applyAlignment="1" applyProtection="1">
      <alignment horizontal="center" vertical="center" wrapText="1"/>
      <protection locked="0"/>
    </xf>
    <xf numFmtId="0" fontId="153" fillId="59" borderId="53" xfId="0" applyFont="1" applyFill="1" applyBorder="1" applyAlignment="1" applyProtection="1">
      <alignment horizontal="center" vertical="center" wrapText="1"/>
      <protection locked="0"/>
    </xf>
    <xf numFmtId="0" fontId="153" fillId="59" borderId="142" xfId="0" applyFont="1" applyFill="1" applyBorder="1" applyAlignment="1" applyProtection="1">
      <alignment horizontal="center" vertical="center" wrapText="1"/>
      <protection locked="0"/>
    </xf>
    <xf numFmtId="0" fontId="318" fillId="59" borderId="215" xfId="0" applyFont="1" applyFill="1" applyBorder="1" applyAlignment="1">
      <alignment horizontal="center" vertical="center"/>
    </xf>
    <xf numFmtId="0" fontId="318" fillId="59" borderId="216" xfId="0" applyFont="1" applyFill="1" applyBorder="1" applyAlignment="1">
      <alignment horizontal="center" vertical="center"/>
    </xf>
    <xf numFmtId="0" fontId="318" fillId="59" borderId="117" xfId="0" applyFont="1" applyFill="1" applyBorder="1" applyAlignment="1">
      <alignment horizontal="center" vertical="center"/>
    </xf>
    <xf numFmtId="14" fontId="347" fillId="128" borderId="172" xfId="0" applyNumberFormat="1" applyFont="1" applyFill="1" applyBorder="1" applyAlignment="1">
      <alignment horizontal="center" vertical="center" wrapText="1"/>
    </xf>
    <xf numFmtId="0" fontId="140" fillId="59" borderId="124" xfId="0" applyFont="1" applyFill="1" applyBorder="1" applyAlignment="1">
      <alignment horizontal="center" vertical="center"/>
    </xf>
    <xf numFmtId="0" fontId="140" fillId="59" borderId="123" xfId="0" applyFont="1" applyFill="1" applyBorder="1" applyAlignment="1">
      <alignment horizontal="center" vertical="center"/>
    </xf>
    <xf numFmtId="0" fontId="318" fillId="59" borderId="119" xfId="0" applyFont="1" applyFill="1" applyBorder="1" applyAlignment="1">
      <alignment horizontal="center" vertical="center"/>
    </xf>
    <xf numFmtId="0" fontId="318" fillId="59" borderId="131" xfId="0" applyFont="1" applyFill="1" applyBorder="1" applyAlignment="1">
      <alignment horizontal="center" vertical="center"/>
    </xf>
    <xf numFmtId="0" fontId="318" fillId="59" borderId="135" xfId="0" applyFont="1" applyFill="1" applyBorder="1" applyAlignment="1">
      <alignment horizontal="center" vertical="center"/>
    </xf>
    <xf numFmtId="0" fontId="143" fillId="0" borderId="0" xfId="0" applyFont="1" applyAlignment="1">
      <alignment horizontal="center" vertical="center"/>
    </xf>
    <xf numFmtId="0" fontId="139" fillId="0" borderId="0" xfId="0" applyFont="1" applyAlignment="1">
      <alignment horizontal="center" vertical="center"/>
    </xf>
    <xf numFmtId="0" fontId="318" fillId="59" borderId="115" xfId="0" applyFont="1" applyFill="1" applyBorder="1" applyAlignment="1">
      <alignment horizontal="center" vertical="center"/>
    </xf>
    <xf numFmtId="0" fontId="318" fillId="59" borderId="23" xfId="0" applyFont="1" applyFill="1" applyBorder="1" applyAlignment="1">
      <alignment horizontal="center" vertical="center"/>
    </xf>
    <xf numFmtId="0" fontId="318" fillId="59" borderId="20" xfId="0" applyFont="1" applyFill="1" applyBorder="1" applyAlignment="1">
      <alignment horizontal="center" vertical="center"/>
    </xf>
    <xf numFmtId="0" fontId="153" fillId="59" borderId="129" xfId="0" applyFont="1" applyFill="1" applyBorder="1" applyAlignment="1" applyProtection="1">
      <alignment horizontal="center" vertical="center" wrapText="1"/>
      <protection locked="0"/>
    </xf>
    <xf numFmtId="0" fontId="153" fillId="59" borderId="118" xfId="0" applyFont="1" applyFill="1" applyBorder="1" applyAlignment="1" applyProtection="1">
      <alignment horizontal="center" vertical="center" wrapText="1"/>
      <protection locked="0"/>
    </xf>
    <xf numFmtId="0" fontId="153" fillId="59" borderId="132" xfId="0" applyFont="1" applyFill="1" applyBorder="1" applyAlignment="1" applyProtection="1">
      <alignment horizontal="center" vertical="center" wrapText="1"/>
      <protection locked="0"/>
    </xf>
    <xf numFmtId="0" fontId="153" fillId="59" borderId="127" xfId="0" applyFont="1" applyFill="1" applyBorder="1" applyAlignment="1" applyProtection="1">
      <alignment horizontal="center" vertical="center" wrapText="1"/>
      <protection locked="0"/>
    </xf>
    <xf numFmtId="0" fontId="153" fillId="59" borderId="18" xfId="0" applyFont="1" applyFill="1" applyBorder="1" applyAlignment="1" applyProtection="1">
      <alignment horizontal="center" vertical="center" wrapText="1"/>
      <protection locked="0"/>
    </xf>
    <xf numFmtId="0" fontId="153" fillId="59" borderId="49" xfId="0" applyFont="1" applyFill="1" applyBorder="1" applyAlignment="1" applyProtection="1">
      <alignment horizontal="center" vertical="center" wrapText="1"/>
      <protection locked="0"/>
    </xf>
    <xf numFmtId="0" fontId="153" fillId="59" borderId="120" xfId="0" applyFont="1" applyFill="1" applyBorder="1" applyAlignment="1" applyProtection="1">
      <alignment horizontal="center" vertical="center"/>
      <protection hidden="1"/>
    </xf>
    <xf numFmtId="0" fontId="153" fillId="59" borderId="121" xfId="0" applyFont="1" applyFill="1" applyBorder="1" applyAlignment="1" applyProtection="1">
      <alignment horizontal="center" vertical="center"/>
      <protection hidden="1"/>
    </xf>
    <xf numFmtId="0" fontId="153" fillId="59" borderId="171" xfId="0" applyFont="1" applyFill="1" applyBorder="1" applyAlignment="1" applyProtection="1">
      <alignment horizontal="center" vertical="center"/>
      <protection hidden="1"/>
    </xf>
    <xf numFmtId="0" fontId="153" fillId="59" borderId="176" xfId="0" applyFont="1" applyFill="1" applyBorder="1" applyAlignment="1" applyProtection="1">
      <alignment horizontal="center" vertical="center"/>
      <protection hidden="1"/>
    </xf>
    <xf numFmtId="0" fontId="153" fillId="59" borderId="18" xfId="0" applyFont="1" applyFill="1" applyBorder="1" applyAlignment="1" applyProtection="1">
      <alignment horizontal="center" vertical="center"/>
      <protection hidden="1"/>
    </xf>
    <xf numFmtId="0" fontId="153" fillId="59" borderId="49" xfId="0" applyFont="1" applyFill="1" applyBorder="1" applyAlignment="1" applyProtection="1">
      <alignment horizontal="center" vertical="center"/>
      <protection hidden="1"/>
    </xf>
    <xf numFmtId="0" fontId="134" fillId="0" borderId="52" xfId="0" applyFont="1" applyBorder="1" applyAlignment="1">
      <alignment horizontal="center" vertical="center" wrapText="1"/>
    </xf>
    <xf numFmtId="0" fontId="134" fillId="0" borderId="127" xfId="0" applyFont="1" applyBorder="1" applyAlignment="1">
      <alignment horizontal="center" vertical="center" wrapText="1"/>
    </xf>
    <xf numFmtId="0" fontId="155" fillId="75" borderId="124" xfId="0" applyFont="1" applyFill="1" applyBorder="1" applyAlignment="1">
      <alignment horizontal="center" vertical="center"/>
    </xf>
    <xf numFmtId="0" fontId="155" fillId="75" borderId="125" xfId="0" applyFont="1" applyFill="1" applyBorder="1" applyAlignment="1">
      <alignment horizontal="center" vertical="center"/>
    </xf>
    <xf numFmtId="0" fontId="155" fillId="75" borderId="126" xfId="0" applyFont="1" applyFill="1" applyBorder="1" applyAlignment="1">
      <alignment horizontal="center" vertical="center"/>
    </xf>
    <xf numFmtId="0" fontId="154" fillId="73" borderId="114" xfId="0" applyFont="1" applyFill="1" applyBorder="1" applyAlignment="1">
      <alignment horizontal="center" vertical="center" wrapText="1"/>
    </xf>
    <xf numFmtId="0" fontId="154" fillId="73" borderId="50" xfId="0" applyFont="1" applyFill="1" applyBorder="1" applyAlignment="1">
      <alignment horizontal="center" vertical="center" wrapText="1"/>
    </xf>
    <xf numFmtId="0" fontId="153" fillId="60" borderId="114" xfId="0" applyFont="1" applyFill="1" applyBorder="1" applyAlignment="1">
      <alignment horizontal="center" vertical="center" wrapText="1"/>
    </xf>
    <xf numFmtId="0" fontId="153" fillId="60" borderId="113" xfId="0" applyFont="1" applyFill="1" applyBorder="1" applyAlignment="1">
      <alignment horizontal="center" vertical="center" wrapText="1"/>
    </xf>
    <xf numFmtId="0" fontId="146" fillId="0" borderId="0" xfId="0" applyFont="1" applyBorder="1" applyAlignment="1">
      <alignment horizontal="left" vertical="center"/>
    </xf>
    <xf numFmtId="0" fontId="150" fillId="0" borderId="0" xfId="0" applyFont="1" applyAlignment="1">
      <alignment horizontal="right" vertical="center"/>
    </xf>
    <xf numFmtId="0" fontId="134" fillId="73" borderId="112" xfId="0" applyFont="1" applyFill="1" applyBorder="1" applyAlignment="1">
      <alignment horizontal="center" vertical="center"/>
    </xf>
    <xf numFmtId="0" fontId="134" fillId="73" borderId="114" xfId="0" applyFont="1" applyFill="1" applyBorder="1" applyAlignment="1">
      <alignment horizontal="center" vertical="center"/>
    </xf>
    <xf numFmtId="0" fontId="134" fillId="73" borderId="138" xfId="0" applyFont="1" applyFill="1" applyBorder="1" applyAlignment="1">
      <alignment horizontal="center" vertical="center"/>
    </xf>
    <xf numFmtId="0" fontId="134" fillId="73" borderId="50" xfId="0" applyFont="1" applyFill="1" applyBorder="1" applyAlignment="1">
      <alignment horizontal="center" vertical="center"/>
    </xf>
    <xf numFmtId="0" fontId="134" fillId="73" borderId="115" xfId="0" applyFont="1" applyFill="1" applyBorder="1" applyAlignment="1">
      <alignment horizontal="center" vertical="center"/>
    </xf>
    <xf numFmtId="0" fontId="134" fillId="73" borderId="51" xfId="0" applyFont="1" applyFill="1" applyBorder="1" applyAlignment="1">
      <alignment horizontal="center" vertical="center"/>
    </xf>
    <xf numFmtId="49" fontId="134" fillId="73" borderId="114" xfId="0" applyNumberFormat="1" applyFont="1" applyFill="1" applyBorder="1" applyAlignment="1">
      <alignment horizontal="center" vertical="center"/>
    </xf>
    <xf numFmtId="49" fontId="134" fillId="73" borderId="50" xfId="0" applyNumberFormat="1" applyFont="1" applyFill="1" applyBorder="1" applyAlignment="1">
      <alignment horizontal="center" vertical="center"/>
    </xf>
    <xf numFmtId="0" fontId="153" fillId="73" borderId="113" xfId="0" applyFont="1" applyFill="1" applyBorder="1" applyAlignment="1">
      <alignment horizontal="center" vertical="center"/>
    </xf>
    <xf numFmtId="0" fontId="153" fillId="73" borderId="122" xfId="0" applyFont="1" applyFill="1" applyBorder="1" applyAlignment="1">
      <alignment horizontal="center" vertical="center"/>
    </xf>
    <xf numFmtId="14" fontId="328" fillId="0" borderId="173" xfId="371" applyNumberFormat="1" applyFont="1" applyFill="1" applyBorder="1" applyAlignment="1">
      <alignment horizontal="center" vertical="center"/>
    </xf>
    <xf numFmtId="14" fontId="328" fillId="0" borderId="23" xfId="371" applyNumberFormat="1" applyFont="1" applyFill="1" applyBorder="1" applyAlignment="1">
      <alignment horizontal="center" vertical="center"/>
    </xf>
    <xf numFmtId="14" fontId="328" fillId="0" borderId="20" xfId="371" applyNumberFormat="1" applyFont="1" applyFill="1" applyBorder="1" applyAlignment="1">
      <alignment horizontal="center" vertical="center"/>
    </xf>
    <xf numFmtId="14" fontId="136" fillId="36" borderId="173" xfId="371" applyNumberFormat="1" applyFont="1" applyFill="1" applyBorder="1" applyAlignment="1">
      <alignment horizontal="center" vertical="center"/>
    </xf>
    <xf numFmtId="14" fontId="136" fillId="36" borderId="23" xfId="371" applyNumberFormat="1" applyFont="1" applyFill="1" applyBorder="1" applyAlignment="1">
      <alignment horizontal="center" vertical="center"/>
    </xf>
    <xf numFmtId="14" fontId="328" fillId="129" borderId="173" xfId="371" applyNumberFormat="1" applyFont="1" applyFill="1" applyBorder="1" applyAlignment="1">
      <alignment horizontal="center" vertical="center"/>
    </xf>
    <xf numFmtId="14" fontId="328" fillId="129" borderId="23" xfId="371" applyNumberFormat="1" applyFont="1" applyFill="1" applyBorder="1" applyAlignment="1">
      <alignment horizontal="center" vertical="center"/>
    </xf>
    <xf numFmtId="14" fontId="328" fillId="129" borderId="20" xfId="371" applyNumberFormat="1" applyFont="1" applyFill="1" applyBorder="1" applyAlignment="1">
      <alignment horizontal="center" vertical="center"/>
    </xf>
    <xf numFmtId="14" fontId="136" fillId="0" borderId="173" xfId="371" applyNumberFormat="1" applyFont="1" applyFill="1" applyBorder="1" applyAlignment="1">
      <alignment horizontal="center" vertical="center"/>
    </xf>
    <xf numFmtId="14" fontId="136" fillId="0" borderId="23" xfId="371" applyNumberFormat="1" applyFont="1" applyFill="1" applyBorder="1" applyAlignment="1">
      <alignment horizontal="center" vertical="center"/>
    </xf>
    <xf numFmtId="14" fontId="136" fillId="0" borderId="20" xfId="371" applyNumberFormat="1" applyFont="1" applyFill="1" applyBorder="1" applyAlignment="1">
      <alignment horizontal="center" vertical="center"/>
    </xf>
    <xf numFmtId="14" fontId="136" fillId="36" borderId="20" xfId="371" applyNumberFormat="1" applyFont="1" applyFill="1" applyBorder="1" applyAlignment="1">
      <alignment horizontal="center" vertical="center"/>
    </xf>
    <xf numFmtId="0" fontId="311" fillId="0" borderId="0" xfId="54856">
      <alignment vertical="center"/>
    </xf>
    <xf numFmtId="0" fontId="311" fillId="129" borderId="0" xfId="54856" applyFill="1">
      <alignment vertical="center"/>
    </xf>
    <xf numFmtId="21" fontId="311" fillId="129" borderId="0" xfId="54856" applyNumberFormat="1" applyFill="1">
      <alignment vertical="center"/>
    </xf>
    <xf numFmtId="21" fontId="311" fillId="0" borderId="0" xfId="54856" applyNumberFormat="1">
      <alignment vertical="center"/>
    </xf>
    <xf numFmtId="0" fontId="311" fillId="0" borderId="0" xfId="54857">
      <alignment vertical="center"/>
    </xf>
    <xf numFmtId="21" fontId="311" fillId="0" borderId="0" xfId="54857" applyNumberFormat="1">
      <alignment vertical="center"/>
    </xf>
    <xf numFmtId="0" fontId="311" fillId="129" borderId="0" xfId="54857" applyFill="1">
      <alignment vertical="center"/>
    </xf>
    <xf numFmtId="21" fontId="311" fillId="129" borderId="0" xfId="54857" applyNumberFormat="1" applyFill="1">
      <alignment vertical="center"/>
    </xf>
    <xf numFmtId="49" fontId="328" fillId="129" borderId="173" xfId="372" applyNumberFormat="1" applyFont="1" applyFill="1" applyBorder="1" applyAlignment="1">
      <alignment horizontal="left" vertical="center"/>
    </xf>
    <xf numFmtId="14" fontId="340" fillId="128" borderId="172" xfId="0" applyNumberFormat="1" applyFont="1" applyFill="1" applyBorder="1" applyAlignment="1">
      <alignment horizontal="center" vertical="center" wrapText="1"/>
    </xf>
    <xf numFmtId="308" fontId="328" fillId="128" borderId="134" xfId="1" applyNumberFormat="1" applyFont="1" applyFill="1" applyBorder="1" applyAlignment="1">
      <alignment horizontal="right" vertical="center"/>
    </xf>
    <xf numFmtId="185" fontId="328" fillId="128" borderId="134" xfId="0" applyNumberFormat="1" applyFont="1" applyFill="1" applyBorder="1" applyAlignment="1">
      <alignment horizontal="center" vertical="center"/>
    </xf>
    <xf numFmtId="185" fontId="328" fillId="128" borderId="134" xfId="369" applyNumberFormat="1" applyFont="1" applyFill="1" applyBorder="1" applyAlignment="1">
      <alignment horizontal="center" vertical="center"/>
    </xf>
    <xf numFmtId="308" fontId="328" fillId="128" borderId="134" xfId="0" applyNumberFormat="1" applyFont="1" applyFill="1" applyBorder="1" applyAlignment="1">
      <alignment horizontal="right" vertical="center"/>
    </xf>
    <xf numFmtId="309" fontId="328" fillId="128" borderId="134" xfId="0" applyNumberFormat="1" applyFont="1" applyFill="1" applyBorder="1" applyAlignment="1">
      <alignment horizontal="center" vertical="center"/>
    </xf>
    <xf numFmtId="194" fontId="328" fillId="128" borderId="134" xfId="0" applyNumberFormat="1" applyFont="1" applyFill="1" applyBorder="1" applyAlignment="1">
      <alignment horizontal="center" vertical="center"/>
    </xf>
    <xf numFmtId="14" fontId="318" fillId="76" borderId="242" xfId="0" applyNumberFormat="1" applyFont="1" applyFill="1" applyBorder="1" applyAlignment="1">
      <alignment horizontal="center" vertical="center"/>
    </xf>
    <xf numFmtId="14" fontId="318" fillId="76" borderId="219" xfId="0" applyNumberFormat="1" applyFont="1" applyFill="1" applyBorder="1" applyAlignment="1">
      <alignment horizontal="center" vertical="center"/>
    </xf>
    <xf numFmtId="14" fontId="318" fillId="128" borderId="242" xfId="0" applyNumberFormat="1" applyFont="1" applyFill="1" applyBorder="1" applyAlignment="1">
      <alignment horizontal="center" vertical="center"/>
    </xf>
    <xf numFmtId="14" fontId="318" fillId="128" borderId="219" xfId="0" applyNumberFormat="1" applyFont="1" applyFill="1" applyBorder="1" applyAlignment="1">
      <alignment horizontal="center" vertical="center"/>
    </xf>
    <xf numFmtId="191" fontId="328" fillId="128" borderId="49" xfId="1" applyNumberFormat="1" applyFont="1" applyFill="1" applyBorder="1" applyAlignment="1">
      <alignment horizontal="right" vertical="center"/>
    </xf>
    <xf numFmtId="191" fontId="328" fillId="128" borderId="224" xfId="1" applyNumberFormat="1" applyFont="1" applyFill="1" applyBorder="1" applyAlignment="1">
      <alignment horizontal="right" vertical="center"/>
    </xf>
    <xf numFmtId="191" fontId="328" fillId="128" borderId="239" xfId="1" applyNumberFormat="1" applyFont="1" applyFill="1" applyBorder="1" applyAlignment="1">
      <alignment horizontal="right" vertical="center"/>
    </xf>
    <xf numFmtId="191" fontId="328" fillId="76" borderId="49" xfId="1" applyNumberFormat="1" applyFont="1" applyFill="1" applyBorder="1" applyAlignment="1">
      <alignment horizontal="right" vertical="center"/>
    </xf>
    <xf numFmtId="191" fontId="328" fillId="76" borderId="224" xfId="1" applyNumberFormat="1" applyFont="1" applyFill="1" applyBorder="1" applyAlignment="1">
      <alignment horizontal="right" vertical="center"/>
    </xf>
    <xf numFmtId="191" fontId="328" fillId="76" borderId="239" xfId="1" applyNumberFormat="1" applyFont="1" applyFill="1" applyBorder="1" applyAlignment="1">
      <alignment horizontal="right" vertical="center"/>
    </xf>
    <xf numFmtId="0" fontId="140" fillId="59" borderId="245" xfId="0" applyFont="1" applyFill="1" applyBorder="1" applyAlignment="1">
      <alignment horizontal="center" vertical="center"/>
    </xf>
    <xf numFmtId="0" fontId="140" fillId="59" borderId="246" xfId="0" applyFont="1" applyFill="1" applyBorder="1" applyAlignment="1">
      <alignment horizontal="center" vertical="center"/>
    </xf>
    <xf numFmtId="195" fontId="140" fillId="59" borderId="51" xfId="0" applyNumberFormat="1" applyFont="1" applyFill="1" applyBorder="1" applyAlignment="1">
      <alignment horizontal="center" vertical="center"/>
    </xf>
    <xf numFmtId="185" fontId="140" fillId="59" borderId="51" xfId="369" applyNumberFormat="1" applyFont="1" applyFill="1" applyBorder="1" applyAlignment="1">
      <alignment horizontal="center" vertical="center"/>
    </xf>
    <xf numFmtId="185" fontId="140" fillId="59" borderId="51" xfId="0" applyNumberFormat="1" applyFont="1" applyFill="1" applyBorder="1" applyAlignment="1">
      <alignment horizontal="center" vertical="center"/>
    </xf>
    <xf numFmtId="189" fontId="140" fillId="59" borderId="51" xfId="0" applyNumberFormat="1" applyFont="1" applyFill="1" applyBorder="1" applyAlignment="1">
      <alignment horizontal="center" vertical="center"/>
    </xf>
    <xf numFmtId="188" fontId="159" fillId="59" borderId="51" xfId="0" applyNumberFormat="1" applyFont="1" applyFill="1" applyBorder="1" applyAlignment="1">
      <alignment horizontal="center" vertical="center"/>
    </xf>
    <xf numFmtId="0" fontId="153" fillId="59" borderId="247" xfId="0" applyFont="1" applyFill="1" applyBorder="1" applyAlignment="1" applyProtection="1">
      <alignment horizontal="center" vertical="center"/>
      <protection hidden="1"/>
    </xf>
    <xf numFmtId="0" fontId="153" fillId="59" borderId="248" xfId="0" applyFont="1" applyFill="1" applyBorder="1" applyAlignment="1" applyProtection="1">
      <alignment horizontal="center" vertical="center"/>
      <protection hidden="1"/>
    </xf>
    <xf numFmtId="0" fontId="153" fillId="59" borderId="142" xfId="0" applyFont="1" applyFill="1" applyBorder="1" applyAlignment="1" applyProtection="1">
      <alignment horizontal="center" vertical="center"/>
      <protection hidden="1"/>
    </xf>
    <xf numFmtId="0" fontId="153" fillId="59" borderId="48" xfId="339" applyFont="1" applyFill="1" applyBorder="1" applyAlignment="1">
      <alignment horizontal="center" vertical="center" wrapText="1"/>
    </xf>
    <xf numFmtId="194" fontId="0" fillId="0" borderId="48" xfId="0" applyNumberFormat="1" applyFont="1" applyFill="1" applyBorder="1" applyAlignment="1">
      <alignment horizontal="center" vertical="center"/>
    </xf>
    <xf numFmtId="194" fontId="136" fillId="0" borderId="48" xfId="0" applyNumberFormat="1" applyFont="1" applyFill="1" applyBorder="1" applyAlignment="1">
      <alignment horizontal="center" vertical="center"/>
    </xf>
    <xf numFmtId="194" fontId="136" fillId="36" borderId="48" xfId="0" applyNumberFormat="1" applyFont="1" applyFill="1" applyBorder="1" applyAlignment="1">
      <alignment horizontal="center" vertical="center"/>
    </xf>
    <xf numFmtId="14" fontId="347" fillId="128" borderId="242" xfId="0" applyNumberFormat="1" applyFont="1" applyFill="1" applyBorder="1" applyAlignment="1">
      <alignment horizontal="center" vertical="center" wrapText="1"/>
    </xf>
    <xf numFmtId="194" fontId="136" fillId="128" borderId="48" xfId="0" applyNumberFormat="1" applyFont="1" applyFill="1" applyBorder="1" applyAlignment="1">
      <alignment horizontal="center" vertical="center"/>
    </xf>
    <xf numFmtId="188" fontId="136" fillId="36" borderId="48" xfId="0" applyNumberFormat="1" applyFont="1" applyFill="1" applyBorder="1" applyAlignment="1">
      <alignment horizontal="center" vertical="center"/>
    </xf>
    <xf numFmtId="14" fontId="340" fillId="36" borderId="177" xfId="0" applyNumberFormat="1" applyFont="1" applyFill="1" applyBorder="1" applyAlignment="1">
      <alignment horizontal="center" vertical="center" wrapText="1"/>
    </xf>
    <xf numFmtId="194" fontId="328" fillId="36" borderId="48" xfId="0" applyNumberFormat="1" applyFont="1" applyFill="1" applyBorder="1" applyAlignment="1">
      <alignment horizontal="center" vertical="center"/>
    </xf>
    <xf numFmtId="14" fontId="340" fillId="128" borderId="242" xfId="0" applyNumberFormat="1" applyFont="1" applyFill="1" applyBorder="1" applyAlignment="1">
      <alignment horizontal="center" vertical="center" wrapText="1"/>
    </xf>
    <xf numFmtId="194" fontId="328" fillId="128" borderId="48" xfId="0" applyNumberFormat="1" applyFont="1" applyFill="1" applyBorder="1" applyAlignment="1">
      <alignment horizontal="center" vertical="center"/>
    </xf>
    <xf numFmtId="14" fontId="340" fillId="76" borderId="124" xfId="0" applyNumberFormat="1" applyFont="1" applyFill="1" applyBorder="1" applyAlignment="1">
      <alignment horizontal="center" vertical="center" wrapText="1"/>
    </xf>
    <xf numFmtId="14" fontId="340" fillId="76" borderId="123" xfId="0" applyNumberFormat="1" applyFont="1" applyFill="1" applyBorder="1" applyAlignment="1">
      <alignment horizontal="center" vertical="center" wrapText="1"/>
    </xf>
    <xf numFmtId="308" fontId="328" fillId="76" borderId="50" xfId="1" applyNumberFormat="1" applyFont="1" applyFill="1" applyBorder="1" applyAlignment="1">
      <alignment horizontal="right" vertical="center"/>
    </xf>
    <xf numFmtId="185" fontId="328" fillId="76" borderId="50" xfId="0" applyNumberFormat="1" applyFont="1" applyFill="1" applyBorder="1" applyAlignment="1">
      <alignment horizontal="center" vertical="center"/>
    </xf>
    <xf numFmtId="185" fontId="328" fillId="76" borderId="50" xfId="369" applyNumberFormat="1" applyFont="1" applyFill="1" applyBorder="1" applyAlignment="1">
      <alignment horizontal="center" vertical="center"/>
    </xf>
    <xf numFmtId="191" fontId="328" fillId="76" borderId="50" xfId="0" applyNumberFormat="1" applyFont="1" applyFill="1" applyBorder="1" applyAlignment="1">
      <alignment horizontal="right" vertical="center"/>
    </xf>
    <xf numFmtId="309" fontId="328" fillId="76" borderId="50" xfId="0" applyNumberFormat="1" applyFont="1" applyFill="1" applyBorder="1" applyAlignment="1">
      <alignment horizontal="center" vertical="center"/>
    </xf>
    <xf numFmtId="308" fontId="328" fillId="76" borderId="50" xfId="0" applyNumberFormat="1" applyFont="1" applyFill="1" applyBorder="1" applyAlignment="1">
      <alignment horizontal="right" vertical="center"/>
    </xf>
    <xf numFmtId="194" fontId="328" fillId="76" borderId="50" xfId="0" applyNumberFormat="1" applyFont="1" applyFill="1" applyBorder="1" applyAlignment="1">
      <alignment horizontal="center" vertical="center"/>
    </xf>
    <xf numFmtId="194" fontId="328" fillId="76" borderId="122" xfId="0" applyNumberFormat="1" applyFont="1" applyFill="1" applyBorder="1" applyAlignment="1">
      <alignment horizontal="center" vertical="center"/>
    </xf>
    <xf numFmtId="0" fontId="141" fillId="59" borderId="217" xfId="370" applyFont="1" applyFill="1" applyBorder="1" applyAlignment="1">
      <alignment horizontal="center" vertical="center" wrapText="1"/>
    </xf>
    <xf numFmtId="0" fontId="141" fillId="59" borderId="118" xfId="370" applyFont="1" applyFill="1" applyBorder="1" applyAlignment="1">
      <alignment horizontal="center" vertical="center" wrapText="1"/>
    </xf>
    <xf numFmtId="0" fontId="141" fillId="59" borderId="129" xfId="0" applyFont="1" applyFill="1" applyBorder="1" applyAlignment="1" applyProtection="1">
      <alignment horizontal="center" vertical="center" wrapText="1"/>
      <protection locked="0"/>
    </xf>
    <xf numFmtId="0" fontId="141" fillId="59" borderId="118" xfId="0" applyFont="1" applyFill="1" applyBorder="1" applyAlignment="1" applyProtection="1">
      <alignment horizontal="center" vertical="center" wrapText="1"/>
      <protection locked="0"/>
    </xf>
    <xf numFmtId="0" fontId="141" fillId="59" borderId="129" xfId="0" applyFont="1" applyFill="1" applyBorder="1" applyAlignment="1" applyProtection="1">
      <alignment horizontal="center" vertical="center"/>
      <protection hidden="1"/>
    </xf>
    <xf numFmtId="0" fontId="141" fillId="59" borderId="128" xfId="0" applyFont="1" applyFill="1" applyBorder="1" applyAlignment="1" applyProtection="1">
      <alignment horizontal="center" vertical="center"/>
      <protection hidden="1"/>
    </xf>
    <xf numFmtId="0" fontId="141" fillId="59" borderId="130" xfId="0" applyFont="1" applyFill="1" applyBorder="1" applyAlignment="1" applyProtection="1">
      <alignment horizontal="center" vertical="center"/>
      <protection hidden="1"/>
    </xf>
    <xf numFmtId="0" fontId="141" fillId="59" borderId="52" xfId="370" applyFont="1" applyFill="1" applyBorder="1" applyAlignment="1">
      <alignment horizontal="center" vertical="center" wrapText="1"/>
    </xf>
    <xf numFmtId="0" fontId="141" fillId="59" borderId="249" xfId="0" applyFont="1" applyFill="1" applyBorder="1" applyAlignment="1" applyProtection="1">
      <alignment horizontal="center" vertical="center"/>
      <protection hidden="1"/>
    </xf>
    <xf numFmtId="0" fontId="141" fillId="59" borderId="218" xfId="370" applyFont="1" applyFill="1" applyBorder="1" applyAlignment="1">
      <alignment horizontal="center" vertical="center" wrapText="1"/>
    </xf>
    <xf numFmtId="0" fontId="141" fillId="59" borderId="250" xfId="339" applyFont="1" applyFill="1" applyBorder="1" applyAlignment="1">
      <alignment horizontal="center" vertical="center" wrapText="1"/>
    </xf>
    <xf numFmtId="14" fontId="180" fillId="77" borderId="251" xfId="0" applyNumberFormat="1" applyFont="1" applyFill="1" applyBorder="1" applyAlignment="1" applyProtection="1">
      <alignment horizontal="center" vertical="center"/>
      <protection hidden="1"/>
    </xf>
    <xf numFmtId="17" fontId="141" fillId="36" borderId="252" xfId="0" applyNumberFormat="1" applyFont="1" applyFill="1" applyBorder="1" applyAlignment="1" applyProtection="1">
      <alignment horizontal="center" vertical="center"/>
      <protection hidden="1"/>
    </xf>
    <xf numFmtId="186" fontId="141" fillId="36" borderId="253" xfId="0" applyNumberFormat="1" applyFont="1" applyFill="1" applyBorder="1" applyAlignment="1" applyProtection="1">
      <alignment horizontal="center" vertical="center"/>
      <protection hidden="1"/>
    </xf>
    <xf numFmtId="188" fontId="136" fillId="36" borderId="254" xfId="0" applyNumberFormat="1" applyFont="1" applyFill="1" applyBorder="1" applyAlignment="1">
      <alignment horizontal="center" vertical="center"/>
    </xf>
    <xf numFmtId="194" fontId="0" fillId="0" borderId="133" xfId="0" applyNumberFormat="1" applyFont="1" applyBorder="1" applyAlignment="1">
      <alignment horizontal="center" vertical="center"/>
    </xf>
    <xf numFmtId="194" fontId="136" fillId="128" borderId="117" xfId="0" applyNumberFormat="1" applyFont="1" applyFill="1" applyBorder="1" applyAlignment="1">
      <alignment horizontal="center" vertical="center"/>
    </xf>
    <xf numFmtId="188" fontId="136" fillId="128" borderId="122" xfId="0" applyNumberFormat="1" applyFont="1" applyFill="1" applyBorder="1" applyAlignment="1">
      <alignment horizontal="center" vertical="center"/>
    </xf>
    <xf numFmtId="14" fontId="340" fillId="76" borderId="222" xfId="0" applyNumberFormat="1" applyFont="1" applyFill="1" applyBorder="1" applyAlignment="1">
      <alignment horizontal="center" vertical="center" wrapText="1"/>
    </xf>
    <xf numFmtId="184" fontId="159" fillId="76" borderId="246" xfId="0" applyNumberFormat="1" applyFont="1" applyFill="1" applyBorder="1" applyAlignment="1">
      <alignment horizontal="center" vertical="center"/>
    </xf>
    <xf numFmtId="41" fontId="328" fillId="76" borderId="51" xfId="1" applyFont="1" applyFill="1" applyBorder="1" applyAlignment="1">
      <alignment horizontal="center" vertical="center"/>
    </xf>
    <xf numFmtId="185" fontId="328" fillId="76" borderId="51" xfId="0" applyNumberFormat="1" applyFont="1" applyFill="1" applyBorder="1" applyAlignment="1">
      <alignment horizontal="center" vertical="center"/>
    </xf>
    <xf numFmtId="185" fontId="328" fillId="76" borderId="51" xfId="369" applyNumberFormat="1" applyFont="1" applyFill="1" applyBorder="1" applyAlignment="1">
      <alignment horizontal="center" vertical="center"/>
    </xf>
    <xf numFmtId="0" fontId="328" fillId="76" borderId="51" xfId="0" applyFont="1" applyFill="1" applyBorder="1" applyAlignment="1">
      <alignment horizontal="center" vertical="center"/>
    </xf>
    <xf numFmtId="189" fontId="328" fillId="76" borderId="51" xfId="0" applyNumberFormat="1" applyFont="1" applyFill="1" applyBorder="1" applyAlignment="1">
      <alignment horizontal="center" vertical="center"/>
    </xf>
    <xf numFmtId="188" fontId="328" fillId="76" borderId="51" xfId="0" applyNumberFormat="1" applyFont="1" applyFill="1" applyBorder="1" applyAlignment="1">
      <alignment horizontal="center" vertical="center"/>
    </xf>
    <xf numFmtId="307" fontId="328" fillId="76" borderId="51" xfId="0" applyNumberFormat="1" applyFont="1" applyFill="1" applyBorder="1" applyAlignment="1">
      <alignment horizontal="center" vertical="center"/>
    </xf>
    <xf numFmtId="194" fontId="328" fillId="76" borderId="223" xfId="0" applyNumberFormat="1" applyFont="1" applyFill="1" applyBorder="1" applyAlignment="1">
      <alignment horizontal="center" vertical="center"/>
    </xf>
  </cellXfs>
  <cellStyles count="54858">
    <cellStyle name="          _x000d__x000a_386grabber=AVGA.3GR_x000d_" xfId="51543"/>
    <cellStyle name="          _x000d__x000a_386grabber=vga.3gr_x000d__x000a_" xfId="51544"/>
    <cellStyle name="          _x000d__x000a_mouse.drv=lmouse.drv" xfId="51545"/>
    <cellStyle name="          _x000d__x000a_shell=progman.exe_x000d__x000a_m" xfId="51546"/>
    <cellStyle name=" 허용예산.xls]3v16ictONiIe4PXBkWMyPCb5O" xfId="51547"/>
    <cellStyle name="_x000a_386grabber=M" xfId="51548"/>
    <cellStyle name="$" xfId="51549"/>
    <cellStyle name="$_db진흥" xfId="51550"/>
    <cellStyle name="$_견적2" xfId="51551"/>
    <cellStyle name="$_기아" xfId="51552"/>
    <cellStyle name="(표준)" xfId="51553"/>
    <cellStyle name="?" xfId="51554"/>
    <cellStyle name="??_x000c_蕓&quot;_x000d_婦U_x0001_&quot;_x0004_?_x0007__x0001__x0001_" xfId="51555"/>
    <cellStyle name="??_x000c_溜_x0012__x000d_肥U_x0001_?_x0006_?_x0007__x0001__x0001_" xfId="51556"/>
    <cellStyle name="??&amp;O?&amp;H?_x0008__x000f__x0007_?_x0007__x0001__x0001_" xfId="51557"/>
    <cellStyle name="??&amp;O?&amp;H?_x0008_??_x0007__x0001__x0001_" xfId="51558"/>
    <cellStyle name="??&amp;O?&amp;H?_x0001__x0010_?_x0007__x0001__x0001_" xfId="51559"/>
    <cellStyle name="??&amp;O?&amp;H?_x0008_x_x000b_P_x000c__x0007__x0001__x0001_" xfId="51560"/>
    <cellStyle name="???Ø_MID EU SGI " xfId="51561"/>
    <cellStyle name="??_#6???? " xfId="51562"/>
    <cellStyle name="?503_99매출" xfId="51563"/>
    <cellStyle name="_(20080304) 교원나라상호저축은행_DR견적서_v1" xfId="51564"/>
    <cellStyle name="_(CICK) 롯데_체크_포인트플러스 신규 발급 일일실적보고서" xfId="51565"/>
    <cellStyle name="_(이젠씨에스티)투비던 040608 김도범님" xfId="51566"/>
    <cellStyle name="_(주)한화04기말-FS" xfId="51567"/>
    <cellStyle name="_(주)한화-04반기" xfId="51568"/>
    <cellStyle name="_(주)한화-2004 3분기(최종)" xfId="51569"/>
    <cellStyle name="_`01예상집계" xfId="51570"/>
    <cellStyle name="_`02투자비비교" xfId="51571"/>
    <cellStyle name="_~0010017" xfId="51572"/>
    <cellStyle name="_~0065317" xfId="51573"/>
    <cellStyle name="_+손익예측" xfId="51574"/>
    <cellStyle name="_▣ 견적서_삼성네트웍스" xfId="51575"/>
    <cellStyle name="_▷계획대비실적" xfId="51576"/>
    <cellStyle name="_▷계획대비실적_1" xfId="51577"/>
    <cellStyle name="_★SH센터_GSH 급여 시뮬레이션 자료_최종" xfId="51578"/>
    <cellStyle name="_0.종합" xfId="51579"/>
    <cellStyle name="_0_2004년 11월 급여_한미_프로모션결과" xfId="51580"/>
    <cellStyle name="_00. salespoint  Price LIST(한누리디지탈)" xfId="51581"/>
    <cellStyle name="_00. salespoint 표준 견적서(한누리디지탈)" xfId="51582"/>
    <cellStyle name="_00. 표준 Salespoint 견적서(한누리디지탈)" xfId="51583"/>
    <cellStyle name="_0113배송" xfId="51584"/>
    <cellStyle name="_0113배송_▷계획대비실적" xfId="51585"/>
    <cellStyle name="_0113배송_15.MRO(S3080)" xfId="51586"/>
    <cellStyle name="_0113배송_200705전략구매팀 실적-정리" xfId="51587"/>
    <cellStyle name="_0113배송_PI팀(미반영 예산)_최종본" xfId="51588"/>
    <cellStyle name="_0113배송_PI팀(미반영 예산)_최종본_PI팀(미반영 예산)_최종본" xfId="51589"/>
    <cellStyle name="_0113배송_별첨_4)07년예산편성양식" xfId="51590"/>
    <cellStyle name="_0113배송_복사본 '08년 SKT 사업부문 관리지표(0219)" xfId="51591"/>
    <cellStyle name="_0114배송" xfId="51592"/>
    <cellStyle name="_0114배송_▷계획대비실적" xfId="51593"/>
    <cellStyle name="_0114배송_15.MRO(S3080)" xfId="51594"/>
    <cellStyle name="_0114배송_200705전략구매팀 실적-정리" xfId="51595"/>
    <cellStyle name="_0114배송_PI팀(미반영 예산)_최종본" xfId="51596"/>
    <cellStyle name="_0114배송_PI팀(미반영 예산)_최종본_PI팀(미반영 예산)_최종본" xfId="51597"/>
    <cellStyle name="_0114배송_별첨_4)07년예산편성양식" xfId="51598"/>
    <cellStyle name="_0114배송_복사본 '08년 SKT 사업부문 관리지표(0219)" xfId="51599"/>
    <cellStyle name="_020923 휴먼정보기술_서순옥대리_D500(470032-705)" xfId="51600"/>
    <cellStyle name="_03월31일" xfId="51601"/>
    <cellStyle name="_03월31일_▷계획대비실적" xfId="51602"/>
    <cellStyle name="_03월31일_15.MRO(S3080)" xfId="51603"/>
    <cellStyle name="_03월31일_200705전략구매팀 실적-정리" xfId="51604"/>
    <cellStyle name="_03월31일_PI팀(미반영 예산)_최종본" xfId="51605"/>
    <cellStyle name="_03월31일_PI팀(미반영 예산)_최종본_PI팀(미반영 예산)_최종본" xfId="51606"/>
    <cellStyle name="_03월31일_별첨_4)07년예산편성양식" xfId="51607"/>
    <cellStyle name="_03월31일_복사본 '08년 SKT 사업부문 관리지표(0219)" xfId="51608"/>
    <cellStyle name="_06년1분기_제조" xfId="51609"/>
    <cellStyle name="_071220_매입&amp;매출&amp;마진(0712)_총괄" xfId="51610"/>
    <cellStyle name="_080_메쉬네트웍스_0320" xfId="51611"/>
    <cellStyle name="_081027_2009년 예산계획_IT서비스팀 v4" xfId="51612"/>
    <cellStyle name="_086_와이더덴_0323" xfId="51613"/>
    <cellStyle name="_08년 경영관리본부 예산(2500억,116억)" xfId="51614"/>
    <cellStyle name="_'08년 사업부문별 손익 집계(20080610)-2" xfId="51615"/>
    <cellStyle name="_091_투비정보통신_20060330" xfId="51616"/>
    <cellStyle name="_09년 2차 전사사업계획(09.02.23)_MRO인쇄매출(2)_2490억_63억" xfId="51617"/>
    <cellStyle name="_09년 2차 전사사업계획(09.02.23)_자산관리원가변경_2490억_63억" xfId="51618"/>
    <cellStyle name="_09년 그룹경영실적_해피올_홈케어 2월 손익 보고(기조실)" xfId="51619"/>
    <cellStyle name="_09년 그룹경영실적_해피올_홈케어 2월 손익 보고(기조실)-민선" xfId="51620"/>
    <cellStyle name="_'09년 사업부문별 손익 집계(2009.3.6)_확정" xfId="51621"/>
    <cellStyle name="_1. '99년 대비 '00년 부문별 비교-XXX" xfId="51622"/>
    <cellStyle name="_1.매출계획" xfId="51623"/>
    <cellStyle name="_1.설치및AS" xfId="51624"/>
    <cellStyle name="_1.인건비계획" xfId="51625"/>
    <cellStyle name="_1.총계 (2)" xfId="51626"/>
    <cellStyle name="_1.현대백화점 전점 변경 합의서" xfId="51627"/>
    <cellStyle name="_1_2004년 하반기 NHN 월별 추정매출_0803" xfId="51628"/>
    <cellStyle name="_1_2004년 하반기업무과제 매출추정_TS1그룹" xfId="51629"/>
    <cellStyle name="_1_삼성카드_매출 시뮬" xfId="51630"/>
    <cellStyle name="_10월23일" xfId="51631"/>
    <cellStyle name="_10월23일_▷계획대비실적" xfId="51632"/>
    <cellStyle name="_10월23일_15.MRO(S3080)" xfId="51633"/>
    <cellStyle name="_10월23일_200705전략구매팀 실적-정리" xfId="51634"/>
    <cellStyle name="_10월23일_PI팀(미반영 예산)_최종본" xfId="51635"/>
    <cellStyle name="_10월23일_PI팀(미반영 예산)_최종본_PI팀(미반영 예산)_최종본" xfId="51636"/>
    <cellStyle name="_10월23일_별첨_4)07년예산편성양식" xfId="51637"/>
    <cellStyle name="_10월23일_복사본 '08년 SKT 사업부문 관리지표(0219)" xfId="51638"/>
    <cellStyle name="_1-1.09년인력계획" xfId="51639"/>
    <cellStyle name="_1-1.MRO사업본부장" xfId="51640"/>
    <cellStyle name="_11월03일" xfId="51641"/>
    <cellStyle name="_11월03일_▷계획대비실적" xfId="51642"/>
    <cellStyle name="_11월03일_15.MRO(S3080)" xfId="51643"/>
    <cellStyle name="_11월03일_200705전략구매팀 실적-정리" xfId="51644"/>
    <cellStyle name="_11월03일_PI팀(미반영 예산)_최종본" xfId="51645"/>
    <cellStyle name="_11월03일_PI팀(미반영 예산)_최종본_PI팀(미반영 예산)_최종본" xfId="51646"/>
    <cellStyle name="_11월03일_별첨_4)07년예산편성양식" xfId="51647"/>
    <cellStyle name="_11월03일_복사본 '08년 SKT 사업부문 관리지표(0219)" xfId="51648"/>
    <cellStyle name="_11월대손충당금" xfId="51649"/>
    <cellStyle name="_11월월차보고(손익확정)" xfId="51650"/>
    <cellStyle name="_1-2.MRO기획파트" xfId="51651"/>
    <cellStyle name="_12월 급여_한미_2004_인사팀" xfId="51652"/>
    <cellStyle name="_12월월차보고" xfId="51653"/>
    <cellStyle name="_12월저장" xfId="51654"/>
    <cellStyle name="_144번 견적 - 양지은 대리님 요청" xfId="51655"/>
    <cellStyle name="_15.MRO(S3080)" xfId="51656"/>
    <cellStyle name="_1분기_월별제조" xfId="51657"/>
    <cellStyle name="_1분기외상매출금연령" xfId="51658"/>
    <cellStyle name="_1분기재무제표(최종)" xfId="51659"/>
    <cellStyle name="_1월 일보자료" xfId="51660"/>
    <cellStyle name="_1월_구매_HW" xfId="51661"/>
    <cellStyle name="_2.교육훈련비" xfId="51662"/>
    <cellStyle name="_2002-12-30 동부건설 견적서(2단계사업)" xfId="51663"/>
    <cellStyle name="_2003-3-14 대림콩크리트 GW견적" xfId="51664"/>
    <cellStyle name="_2005.8-정보기술-MA계약-나래시스템.본점MA계약 변경" xfId="51665"/>
    <cellStyle name="_2005년 1월_매출추정" xfId="51666"/>
    <cellStyle name="_2005년 프로젝트별 매출추정0124" xfId="51667"/>
    <cellStyle name="_2006-02-10 Notes License 견적서 (2)" xfId="51668"/>
    <cellStyle name="_200607전략구매팀 실적" xfId="51669"/>
    <cellStyle name="_200607전략구매팀 실적_200705전략구매팀 실적-정리" xfId="51670"/>
    <cellStyle name="_200607전략구매팀 실적_별첨_4)07년예산편성양식" xfId="51671"/>
    <cellStyle name="_200705전략구매팀 실적-정리" xfId="51672"/>
    <cellStyle name="_2008년" xfId="51673"/>
    <cellStyle name="_2241 주석사항의 워크시트" xfId="51674"/>
    <cellStyle name="_2243 경영비율의 워크시트" xfId="51675"/>
    <cellStyle name="_2262 수정사항집계표" xfId="51676"/>
    <cellStyle name="_2분기재무제표(자료)" xfId="51677"/>
    <cellStyle name="_2분기재무제표(제시)" xfId="51678"/>
    <cellStyle name="_2차_0812_공영DBM1" xfId="51679"/>
    <cellStyle name="_3. 근무시간(R.H)" xfId="51680"/>
    <cellStyle name="_3.MRO영업1팀(외부영업)" xfId="51681"/>
    <cellStyle name="_3.감가상각비" xfId="51682"/>
    <cellStyle name="_3.추가자료" xfId="51683"/>
    <cellStyle name="_3-2-1도어락(B2C)" xfId="51684"/>
    <cellStyle name="_3-2-2.도어락(B2B)" xfId="51685"/>
    <cellStyle name="_3-3.SKT" xfId="51686"/>
    <cellStyle name="_4.MRO영업1팀(내부-OA파트)" xfId="51687"/>
    <cellStyle name="_4분기손익분석" xfId="51688"/>
    <cellStyle name="_4월" xfId="51689"/>
    <cellStyle name="_4월25일" xfId="51690"/>
    <cellStyle name="_4월25일_▷계획대비실적" xfId="51691"/>
    <cellStyle name="_4월25일_15.MRO(S3080)" xfId="51692"/>
    <cellStyle name="_4월25일_200705전략구매팀 실적-정리" xfId="51693"/>
    <cellStyle name="_4월25일_PI팀(미반영 예산)_최종본" xfId="51694"/>
    <cellStyle name="_4월25일_PI팀(미반영 예산)_최종본_PI팀(미반영 예산)_최종본" xfId="51695"/>
    <cellStyle name="_4월25일_별첨_4)07년예산편성양식" xfId="51696"/>
    <cellStyle name="_4월25일_복사본 '08년 SKT 사업부문 관리지표(0219)" xfId="51697"/>
    <cellStyle name="_4월근무평가" xfId="51698"/>
    <cellStyle name="_5.MRO영업2팀(내부-공장)" xfId="51699"/>
    <cellStyle name="_5.인스케어본부" xfId="51700"/>
    <cellStyle name="_500user견적(021014)-GW,Wf,EDMS,검색" xfId="51701"/>
    <cellStyle name="_5월16일" xfId="51702"/>
    <cellStyle name="_5월16일_▷계획대비실적" xfId="51703"/>
    <cellStyle name="_5월16일_15.MRO(S3080)" xfId="51704"/>
    <cellStyle name="_5월16일_200705전략구매팀 실적-정리" xfId="51705"/>
    <cellStyle name="_5월16일_PI팀(미반영 예산)_최종본" xfId="51706"/>
    <cellStyle name="_5월16일_PI팀(미반영 예산)_최종본_PI팀(미반영 예산)_최종본" xfId="51707"/>
    <cellStyle name="_5월16일_별첨_4)07년예산편성양식" xfId="51708"/>
    <cellStyle name="_5월16일_복사본 '08년 SKT 사업부문 관리지표(0219)" xfId="51709"/>
    <cellStyle name="_5월20일" xfId="51710"/>
    <cellStyle name="_5월20일_▷계획대비실적" xfId="51711"/>
    <cellStyle name="_5월20일_15.MRO(S3080)" xfId="51712"/>
    <cellStyle name="_5월20일_200705전략구매팀 실적-정리" xfId="51713"/>
    <cellStyle name="_5월20일_PI팀(미반영 예산)_최종본" xfId="51714"/>
    <cellStyle name="_5월20일_PI팀(미반영 예산)_최종본_PI팀(미반영 예산)_최종본" xfId="51715"/>
    <cellStyle name="_5월20일_별첨_4)07년예산편성양식" xfId="51716"/>
    <cellStyle name="_5월20일_복사본 '08년 SKT 사업부문 관리지표(0219)" xfId="51717"/>
    <cellStyle name="_5월22일" xfId="51718"/>
    <cellStyle name="_5월22일_▷계획대비실적" xfId="51719"/>
    <cellStyle name="_5월22일_15.MRO(S3080)" xfId="51720"/>
    <cellStyle name="_5월22일_200705전략구매팀 실적-정리" xfId="51721"/>
    <cellStyle name="_5월22일_PI팀(미반영 예산)_최종본" xfId="51722"/>
    <cellStyle name="_5월22일_PI팀(미반영 예산)_최종본_PI팀(미반영 예산)_최종본" xfId="51723"/>
    <cellStyle name="_5월22일_별첨_4)07년예산편성양식" xfId="51724"/>
    <cellStyle name="_5월22일_복사본 '08년 SKT 사업부문 관리지표(0219)" xfId="51725"/>
    <cellStyle name="_5월27일" xfId="51726"/>
    <cellStyle name="_5월27일_▷계획대비실적" xfId="51727"/>
    <cellStyle name="_5월27일_15.MRO(S3080)" xfId="51728"/>
    <cellStyle name="_5월27일_200705전략구매팀 실적-정리" xfId="51729"/>
    <cellStyle name="_5월27일_PI팀(미반영 예산)_최종본" xfId="51730"/>
    <cellStyle name="_5월27일_PI팀(미반영 예산)_최종본_PI팀(미반영 예산)_최종본" xfId="51731"/>
    <cellStyle name="_5월27일_별첨_4)07년예산편성양식" xfId="51732"/>
    <cellStyle name="_5월27일_복사본 '08년 SKT 사업부문 관리지표(0219)" xfId="51733"/>
    <cellStyle name="_5월2일" xfId="51734"/>
    <cellStyle name="_5월2일_▷계획대비실적" xfId="51735"/>
    <cellStyle name="_5월2일_15.MRO(S3080)" xfId="51736"/>
    <cellStyle name="_5월2일_200705전략구매팀 실적-정리" xfId="51737"/>
    <cellStyle name="_5월2일_PI팀(미반영 예산)_최종본" xfId="51738"/>
    <cellStyle name="_5월2일_PI팀(미반영 예산)_최종본_PI팀(미반영 예산)_최종본" xfId="51739"/>
    <cellStyle name="_5월2일_별첨_4)07년예산편성양식" xfId="51740"/>
    <cellStyle name="_5월2일_복사본 '08년 SKT 사업부문 관리지표(0219)" xfId="51741"/>
    <cellStyle name="_5월근무평가" xfId="51742"/>
    <cellStyle name="_5월근무평가1" xfId="51743"/>
    <cellStyle name="_6.MR영업2팀(FA파트)" xfId="51744"/>
    <cellStyle name="_6월13일" xfId="51745"/>
    <cellStyle name="_6월13일_▷계획대비실적" xfId="51746"/>
    <cellStyle name="_6월13일_15.MRO(S3080)" xfId="51747"/>
    <cellStyle name="_6월13일_200705전략구매팀 실적-정리" xfId="51748"/>
    <cellStyle name="_6월13일_PI팀(미반영 예산)_최종본" xfId="51749"/>
    <cellStyle name="_6월13일_PI팀(미반영 예산)_최종본_PI팀(미반영 예산)_최종본" xfId="51750"/>
    <cellStyle name="_6월13일_별첨_4)07년예산편성양식" xfId="51751"/>
    <cellStyle name="_6월13일_복사본 '08년 SKT 사업부문 관리지표(0219)" xfId="51752"/>
    <cellStyle name="_6월5일" xfId="51753"/>
    <cellStyle name="_6월5일_▷계획대비실적" xfId="51754"/>
    <cellStyle name="_6월5일_15.MRO(S3080)" xfId="51755"/>
    <cellStyle name="_6월5일_200705전략구매팀 실적-정리" xfId="51756"/>
    <cellStyle name="_6월5일_PI팀(미반영 예산)_최종본" xfId="51757"/>
    <cellStyle name="_6월5일_PI팀(미반영 예산)_최종본_PI팀(미반영 예산)_최종본" xfId="51758"/>
    <cellStyle name="_6월5일_별첨_4)07년예산편성양식" xfId="51759"/>
    <cellStyle name="_6월5일_복사본 '08년 SKT 사업부문 관리지표(0219)" xfId="51760"/>
    <cellStyle name="_7~12월" xfId="51761"/>
    <cellStyle name="_7~12월 홈케어제외,3사업단문의" xfId="51762"/>
    <cellStyle name="_8월11일" xfId="51763"/>
    <cellStyle name="_8월11일_▷계획대비실적" xfId="51764"/>
    <cellStyle name="_8월11일_15.MRO(S3080)" xfId="51765"/>
    <cellStyle name="_8월11일_200705전략구매팀 실적-정리" xfId="51766"/>
    <cellStyle name="_8월11일_PI팀(미반영 예산)_최종본" xfId="51767"/>
    <cellStyle name="_8월11일_PI팀(미반영 예산)_최종본_PI팀(미반영 예산)_최종본" xfId="51768"/>
    <cellStyle name="_8월11일_별첨_4)07년예산편성양식" xfId="51769"/>
    <cellStyle name="_8월11일_복사본 '08년 SKT 사업부문 관리지표(0219)" xfId="51770"/>
    <cellStyle name="_8월13일" xfId="51771"/>
    <cellStyle name="_8월13일_▷계획대비실적" xfId="51772"/>
    <cellStyle name="_8월13일_15.MRO(S3080)" xfId="51773"/>
    <cellStyle name="_8월13일_200705전략구매팀 실적-정리" xfId="51774"/>
    <cellStyle name="_8월13일_PI팀(미반영 예산)_최종본" xfId="51775"/>
    <cellStyle name="_8월13일_PI팀(미반영 예산)_최종본_PI팀(미반영 예산)_최종본" xfId="51776"/>
    <cellStyle name="_8월13일_별첨_4)07년예산편성양식" xfId="51777"/>
    <cellStyle name="_8월13일_복사본 '08년 SKT 사업부문 관리지표(0219)" xfId="51778"/>
    <cellStyle name="_8월29일" xfId="51779"/>
    <cellStyle name="_8월29일_▷계획대비실적" xfId="51780"/>
    <cellStyle name="_8월29일_15.MRO(S3080)" xfId="51781"/>
    <cellStyle name="_8월29일_200705전략구매팀 실적-정리" xfId="51782"/>
    <cellStyle name="_8월29일_PI팀(미반영 예산)_최종본" xfId="51783"/>
    <cellStyle name="_8월29일_PI팀(미반영 예산)_최종본_PI팀(미반영 예산)_최종본" xfId="51784"/>
    <cellStyle name="_8월29일_별첨_4)07년예산편성양식" xfId="51785"/>
    <cellStyle name="_8월29일_복사본 '08년 SKT 사업부문 관리지표(0219)" xfId="51786"/>
    <cellStyle name="_9월15일" xfId="51787"/>
    <cellStyle name="_9월15일_▷계획대비실적" xfId="51788"/>
    <cellStyle name="_9월15일_15.MRO(S3080)" xfId="51789"/>
    <cellStyle name="_9월15일_200705전략구매팀 실적-정리" xfId="51790"/>
    <cellStyle name="_9월15일_PI팀(미반영 예산)_최종본" xfId="51791"/>
    <cellStyle name="_9월15일_PI팀(미반영 예산)_최종본_PI팀(미반영 예산)_최종본" xfId="51792"/>
    <cellStyle name="_9월15일_별첨_4)07년예산편성양식" xfId="51793"/>
    <cellStyle name="_9월15일_복사본 '08년 SKT 사업부문 관리지표(0219)" xfId="51794"/>
    <cellStyle name="_9월24일" xfId="51795"/>
    <cellStyle name="_9월24일_▷계획대비실적" xfId="51796"/>
    <cellStyle name="_9월24일_15.MRO(S3080)" xfId="51797"/>
    <cellStyle name="_9월24일_200705전략구매팀 실적-정리" xfId="51798"/>
    <cellStyle name="_9월24일_PI팀(미반영 예산)_최종본" xfId="51799"/>
    <cellStyle name="_9월24일_PI팀(미반영 예산)_최종본_PI팀(미반영 예산)_최종본" xfId="51800"/>
    <cellStyle name="_9월24일_별첨_4)07년예산편성양식" xfId="51801"/>
    <cellStyle name="_9월24일_복사본 '08년 SKT 사업부문 관리지표(0219)" xfId="51802"/>
    <cellStyle name="_9월2일" xfId="51803"/>
    <cellStyle name="_9월2일_▷계획대비실적" xfId="51804"/>
    <cellStyle name="_9월2일_15.MRO(S3080)" xfId="51805"/>
    <cellStyle name="_9월2일_200705전략구매팀 실적-정리" xfId="51806"/>
    <cellStyle name="_9월2일_PI팀(미반영 예산)_최종본" xfId="51807"/>
    <cellStyle name="_9월2일_PI팀(미반영 예산)_최종본_PI팀(미반영 예산)_최종본" xfId="51808"/>
    <cellStyle name="_9월2일_별첨_4)07년예산편성양식" xfId="51809"/>
    <cellStyle name="_9월2일_복사본 '08년 SKT 사업부문 관리지표(0219)" xfId="51810"/>
    <cellStyle name="_Ⅰ.B2C" xfId="51811"/>
    <cellStyle name="_Ⅱ.B2B" xfId="51812"/>
    <cellStyle name="_Ⅲ.자금" xfId="51813"/>
    <cellStyle name="_Ⅳ.계획" xfId="51814"/>
    <cellStyle name="_Ⅴ.예대외" xfId="51815"/>
    <cellStyle name="_AES견적서_울산엔진 이종방지 시스템 구축(" xfId="51816"/>
    <cellStyle name="_A-HP rp5470_TGinfonet 0927" xfId="51817"/>
    <cellStyle name="_A-SUN 420R_박용희 과장님 0426-fix" xfId="51818"/>
    <cellStyle name="_Ax_quotation_standard_ENG" xfId="51819"/>
    <cellStyle name="_a생산기술1026" xfId="51820"/>
    <cellStyle name="_Book1" xfId="51821"/>
    <cellStyle name="_Book1_200705전략구매팀 실적-정리" xfId="51822"/>
    <cellStyle name="_Book1_별첨_4)07년예산편성양식" xfId="51823"/>
    <cellStyle name="_Chanel Asia Region Final Budget 20060518" xfId="51824"/>
    <cellStyle name="_CICK유지보수유지보수 견적-수정0104" xfId="51825"/>
    <cellStyle name="_Compaq servers Products Line up 20030310" xfId="51826"/>
    <cellStyle name="_COWAY200707월손익_기조실_통보" xfId="51827"/>
    <cellStyle name="_CPQRC_Storage_Dec05" xfId="51828"/>
    <cellStyle name="_Data" xfId="51829"/>
    <cellStyle name="_delivery_040723" xfId="51830"/>
    <cellStyle name="_delivery_040723_▷계획대비실적" xfId="51831"/>
    <cellStyle name="_delivery_040723_15.MRO(S3080)" xfId="51832"/>
    <cellStyle name="_delivery_040723_200705전략구매팀 실적-정리" xfId="51833"/>
    <cellStyle name="_delivery_040723_PI팀(미반영 예산)_최종본" xfId="51834"/>
    <cellStyle name="_delivery_040723_PI팀(미반영 예산)_최종본_PI팀(미반영 예산)_최종본" xfId="51835"/>
    <cellStyle name="_delivery_040723_별첨_4)07년예산편성양식" xfId="51836"/>
    <cellStyle name="_delivery_040723_복사본 '08년 SKT 사업부문 관리지표(0219)" xfId="51837"/>
    <cellStyle name="_delivery_050202" xfId="51838"/>
    <cellStyle name="_delivery_050202_▷계획대비실적" xfId="51839"/>
    <cellStyle name="_delivery_050202_15.MRO(S3080)" xfId="51840"/>
    <cellStyle name="_delivery_050202_200705전략구매팀 실적-정리" xfId="51841"/>
    <cellStyle name="_delivery_050202_PI팀(미반영 예산)_최종본" xfId="51842"/>
    <cellStyle name="_delivery_050202_PI팀(미반영 예산)_최종본_PI팀(미반영 예산)_최종본" xfId="51843"/>
    <cellStyle name="_delivery_050202_별첨_4)07년예산편성양식" xfId="51844"/>
    <cellStyle name="_delivery_050202_복사본 '08년 SKT 사업부문 관리지표(0219)" xfId="51845"/>
    <cellStyle name="_delivery_050517" xfId="51846"/>
    <cellStyle name="_delivery_050517_▷계획대비실적" xfId="51847"/>
    <cellStyle name="_delivery_050517_15.MRO(S3080)" xfId="51848"/>
    <cellStyle name="_delivery_050517_200705전략구매팀 실적-정리" xfId="51849"/>
    <cellStyle name="_delivery_050517_PI팀(미반영 예산)_최종본" xfId="51850"/>
    <cellStyle name="_delivery_050517_PI팀(미반영 예산)_최종본_PI팀(미반영 예산)_최종본" xfId="51851"/>
    <cellStyle name="_delivery_050517_별첨_4)07년예산편성양식" xfId="51852"/>
    <cellStyle name="_delivery_050517_복사본 '08년 SKT 사업부문 관리지표(0219)" xfId="51853"/>
    <cellStyle name="_delivery_050520" xfId="51854"/>
    <cellStyle name="_delivery_050520_▷계획대비실적" xfId="51855"/>
    <cellStyle name="_delivery_050520_15.MRO(S3080)" xfId="51856"/>
    <cellStyle name="_delivery_050520_200705전략구매팀 실적-정리" xfId="51857"/>
    <cellStyle name="_delivery_050520_PI팀(미반영 예산)_최종본" xfId="51858"/>
    <cellStyle name="_delivery_050520_PI팀(미반영 예산)_최종본_PI팀(미반영 예산)_최종본" xfId="51859"/>
    <cellStyle name="_delivery_050520_별첨_4)07년예산편성양식" xfId="51860"/>
    <cellStyle name="_delivery_050520_복사본 '08년 SKT 사업부문 관리지표(0219)" xfId="51861"/>
    <cellStyle name="_delivery_050901" xfId="51862"/>
    <cellStyle name="_delivery_050901_▷계획대비실적" xfId="51863"/>
    <cellStyle name="_delivery_050901_15.MRO(S3080)" xfId="51864"/>
    <cellStyle name="_delivery_050901_200705전략구매팀 실적-정리" xfId="51865"/>
    <cellStyle name="_delivery_050901_PI팀(미반영 예산)_최종본" xfId="51866"/>
    <cellStyle name="_delivery_050901_PI팀(미반영 예산)_최종본_PI팀(미반영 예산)_최종본" xfId="51867"/>
    <cellStyle name="_delivery_050901_별첨_4)07년예산편성양식" xfId="51868"/>
    <cellStyle name="_delivery_050901_복사본 '08년 SKT 사업부문 관리지표(0219)" xfId="51869"/>
    <cellStyle name="_delivery_050906" xfId="51870"/>
    <cellStyle name="_delivery_050906_▷계획대비실적" xfId="51871"/>
    <cellStyle name="_delivery_050906_15.MRO(S3080)" xfId="51872"/>
    <cellStyle name="_delivery_050906_200705전략구매팀 실적-정리" xfId="51873"/>
    <cellStyle name="_delivery_050906_PI팀(미반영 예산)_최종본" xfId="51874"/>
    <cellStyle name="_delivery_050906_PI팀(미반영 예산)_최종본_PI팀(미반영 예산)_최종본" xfId="51875"/>
    <cellStyle name="_delivery_050906_별첨_4)07년예산편성양식" xfId="51876"/>
    <cellStyle name="_delivery_050906_복사본 '08년 SKT 사업부문 관리지표(0219)" xfId="51877"/>
    <cellStyle name="_delivery_050907" xfId="51878"/>
    <cellStyle name="_delivery_050907_▷계획대비실적" xfId="51879"/>
    <cellStyle name="_delivery_050907_15.MRO(S3080)" xfId="51880"/>
    <cellStyle name="_delivery_050907_200705전략구매팀 실적-정리" xfId="51881"/>
    <cellStyle name="_delivery_050907_PI팀(미반영 예산)_최종본" xfId="51882"/>
    <cellStyle name="_delivery_050907_PI팀(미반영 예산)_최종본_PI팀(미반영 예산)_최종본" xfId="51883"/>
    <cellStyle name="_delivery_050907_별첨_4)07년예산편성양식" xfId="51884"/>
    <cellStyle name="_delivery_050907_복사본 '08년 SKT 사업부문 관리지표(0219)" xfId="51885"/>
    <cellStyle name="_delivery_0510" xfId="51886"/>
    <cellStyle name="_delivery_0510_▷계획대비실적" xfId="51887"/>
    <cellStyle name="_delivery_0510_15.MRO(S3080)" xfId="51888"/>
    <cellStyle name="_delivery_0510_200705전략구매팀 실적-정리" xfId="51889"/>
    <cellStyle name="_delivery_0510_PI팀(미반영 예산)_최종본" xfId="51890"/>
    <cellStyle name="_delivery_0510_PI팀(미반영 예산)_최종본_PI팀(미반영 예산)_최종본" xfId="51891"/>
    <cellStyle name="_delivery_0510_별첨_4)07년예산편성양식" xfId="51892"/>
    <cellStyle name="_delivery_0510_복사본 '08년 SKT 사업부문 관리지표(0219)" xfId="51893"/>
    <cellStyle name="_DELL견적1" xfId="51894"/>
    <cellStyle name="_DIC200206견적 (version 0625)" xfId="51895"/>
    <cellStyle name="_Ditco-020 최한만과장님 20040625 LG전선 hp Server1" xfId="51896"/>
    <cellStyle name="_EMC_견적서_공영DBM_050218" xfId="51897"/>
    <cellStyle name="_Hanall FY06 0302" xfId="51898"/>
    <cellStyle name="_Happy Call 견적서-조영현과장님" xfId="51899"/>
    <cellStyle name="_Intel" xfId="51900"/>
    <cellStyle name="_IS_FY05_DEC_유외상품수불부" xfId="51901"/>
    <cellStyle name="_IS_FY05_DEC_유외상품수불부_9월리빙손익관리-20080821-김수영팀장님" xfId="51902"/>
    <cellStyle name="_IS_FY05_DEC_유외상품수불부_9월리빙손익관리-20080826-김수영팀장님" xfId="51903"/>
    <cellStyle name="_IS_FY05_DEC_유외상품수불부_Sheet1" xfId="51904"/>
    <cellStyle name="_Japan - Pricing  Volume Table2" xfId="51905"/>
    <cellStyle name="_KMS 영업현황판" xfId="51906"/>
    <cellStyle name="_KTC추석제안서(김기태 과장님) (2)" xfId="51907"/>
    <cellStyle name="_KTF전용_중성펜_홍보용품" xfId="51908"/>
    <cellStyle name="_KTNET_견적서_060718_수정3" xfId="51909"/>
    <cellStyle name="_KTNET_고객센터_11월 용역료(1205)" xfId="51910"/>
    <cellStyle name="_KTNET_급여 Table_2006_12_12_작업중" xfId="51911"/>
    <cellStyle name="_KTNET_급여 Table_KTNET 전달_1226" xfId="51912"/>
    <cellStyle name="_KTNET_상담원명부_20061221b" xfId="51913"/>
    <cellStyle name="_KTNet이전비용" xfId="51914"/>
    <cellStyle name="_LGT_R_20030512" xfId="51915"/>
    <cellStyle name="_LG전선_DL580외 서버클러스터링_4월30일" xfId="51916"/>
    <cellStyle name="_L카드 매출(200503)" xfId="51917"/>
    <cellStyle name="_methison_qotation" xfId="51918"/>
    <cellStyle name="_MRO" xfId="51919"/>
    <cellStyle name="_ms solution" xfId="51920"/>
    <cellStyle name="_MySQL_4월 가격표_0424" xfId="51921"/>
    <cellStyle name="_MySQL가격_0719" xfId="51922"/>
    <cellStyle name="_Notebook VS POS비교자료" xfId="51923"/>
    <cellStyle name="_NTspec" xfId="51924"/>
    <cellStyle name="_Office plus 통화시간(2004)" xfId="51925"/>
    <cellStyle name="_PCA생명_단기사원_급여지급11" xfId="3"/>
    <cellStyle name="_PCA생명_단기사원_급여지급11-1" xfId="4"/>
    <cellStyle name="_PERSONAL" xfId="51926"/>
    <cellStyle name="_PI팀(미반영 예산)_최종본" xfId="51927"/>
    <cellStyle name="_PI팀(미반영 예산)_최종본_PI팀(미반영 예산)_최종본" xfId="51928"/>
    <cellStyle name="_ProCurve Quick Reference Card - December 2005" xfId="51929"/>
    <cellStyle name="_ProCurve Quick Reference Card - January 2006" xfId="51930"/>
    <cellStyle name="_ProCurve Quick Reference Card - July 1 2005" xfId="51931"/>
    <cellStyle name="_ProCurve Quick Reference Card - July 1 2005_Book1" xfId="51932"/>
    <cellStyle name="_ProCurve Quick Reference Card - July 1 2005_HP_Care_Pack_Aug05" xfId="51933"/>
    <cellStyle name="_ProCurve Quick Reference Card - July 1 2005_HP_Care_Pack_July05" xfId="51934"/>
    <cellStyle name="_ProCurve Quick Reference Card - October 1  2005" xfId="51935"/>
    <cellStyle name="_ProCurve Quick Reference Card - October 2005 v2" xfId="51936"/>
    <cellStyle name="_PV_본부별손익양식" xfId="51937"/>
    <cellStyle name="_Quotations_2004.03.15" xfId="51938"/>
    <cellStyle name="_R8_CPQRC Storage 7-29-05" xfId="51939"/>
    <cellStyle name="_RAY 견적" xfId="51940"/>
    <cellStyle name="_RedHat" xfId="51941"/>
    <cellStyle name="_report_20010528" xfId="51942"/>
    <cellStyle name="_Salespoint  Price LIST(한누리디지탈)" xfId="51943"/>
    <cellStyle name="_salespoint 견적서-Service(소프트파워)" xfId="51944"/>
    <cellStyle name="_salespoint 기능표(소프트파워)" xfId="51945"/>
    <cellStyle name="_Sheet1" xfId="51946"/>
    <cellStyle name="_Sheet1_09년 2차 전사사업계획(09.02.23)_MRO인쇄매출(2)_2490억_63억" xfId="51947"/>
    <cellStyle name="_Sheet1_09년 2차 전사사업계획(09.02.23)_자산관리원가변경_2490억_63억" xfId="51948"/>
    <cellStyle name="_Sheet1_09년 그룹경영실적_해피올_홈케어 2월 손익 보고(기조실)" xfId="51949"/>
    <cellStyle name="_Sheet1_09년 그룹경영실적_해피올_홈케어 2월 손익 보고(기조실)-민선" xfId="51950"/>
    <cellStyle name="_Sheet1_'09년 사업부문별 손익 집계(2009.3.6)_확정" xfId="51951"/>
    <cellStyle name="_Sheet1_1" xfId="51952"/>
    <cellStyle name="_Sheet1_11월 코웨이 손익보고_기조실_송부용" xfId="51953"/>
    <cellStyle name="_Sheet1_작업용" xfId="51954"/>
    <cellStyle name="_Sheet10" xfId="51955"/>
    <cellStyle name="_Sheet2" xfId="51956"/>
    <cellStyle name="_Sheet2 2" xfId="51957"/>
    <cellStyle name="_Sheet2 3" xfId="51958"/>
    <cellStyle name="_Sheet2_09년 2차 전사사업계획(09.02.23)_MRO인쇄매출(2)_2490억_63억" xfId="51959"/>
    <cellStyle name="_Sheet2_09년 2차 전사사업계획(09.02.23)_자산관리원가변경_2490억_63억" xfId="51960"/>
    <cellStyle name="_Sheet2_2010_매출및매출원가계획(외부용_외부416_091106_송부용)최종" xfId="51961"/>
    <cellStyle name="_Sheet2_CR파트 개인별 매출액 목표_2010 최종" xfId="51962"/>
    <cellStyle name="_Sheet2_Sheet1" xfId="51963"/>
    <cellStyle name="_Sheet2_작업용" xfId="51964"/>
    <cellStyle name="_Sheet3" xfId="51965"/>
    <cellStyle name="_Sheet4" xfId="51966"/>
    <cellStyle name="_SH센터_우리은행 급여 시뮬레이션 자료" xfId="51967"/>
    <cellStyle name="_SH센터_우리은행 급여씨뮬(1)" xfId="51968"/>
    <cellStyle name="_SK083-송재형대리님 3월 18일 과금검증시스템 BiVerT 2.0 구축건 SUN V880외" xfId="51969"/>
    <cellStyle name="_SSC 07년 2월 전략구매팀 청구내역(씽크빅)" xfId="51970"/>
    <cellStyle name="_TA급여재설계_0402_v1.2" xfId="51971"/>
    <cellStyle name="_TDMF 견적_PCC" xfId="51972"/>
    <cellStyle name="_TS1_2005년 3월(월보)" xfId="51973"/>
    <cellStyle name="_TU 급여(2005-01)" xfId="51974"/>
    <cellStyle name="_x3400" xfId="51975"/>
    <cellStyle name="_개발 2004반기 F9" xfId="51976"/>
    <cellStyle name="_견본" xfId="51977"/>
    <cellStyle name="_견본 (2)" xfId="51978"/>
    <cellStyle name="_견본 (2)_1" xfId="51979"/>
    <cellStyle name="_견본_1" xfId="51980"/>
    <cellStyle name="_견적 범우화학(2003.01.29-Sim)KM,GW,EDM" xfId="51981"/>
    <cellStyle name="_견적(최종_CNS)_2004.06.28_(솔루션,개발,하드웨어)_LG전선 그룹웨어" xfId="51982"/>
    <cellStyle name="_견적1_2004.05.03_(e-Novator EKP.net_GW)_LG전선" xfId="51983"/>
    <cellStyle name="_견적서(인성정보_최종 수정 견적서_0531)" xfId="51984"/>
    <cellStyle name="_견적서_To최문성_발송070105 (2)" xfId="51985"/>
    <cellStyle name="_견적서4" xfId="51986"/>
    <cellStyle name="_견적수정_인우_070714_최종" xfId="51987"/>
    <cellStyle name="_견적폼_SV(200702)" xfId="51988"/>
    <cellStyle name="_견적-하이콤정보통신(2002.08.16).." xfId="51989"/>
    <cellStyle name="_광양2-1터미날 견적" xfId="51990"/>
    <cellStyle name="_교원나라_AMS500_1TB_080304" xfId="51991"/>
    <cellStyle name="_교원나라_ORACLE RDBMS 10g Enterprise" xfId="51992"/>
    <cellStyle name="_교원나라상호저축은행_DR(통합)_080303" xfId="51993"/>
    <cellStyle name="_교학사건(060302)인성디지탈견적서 (2)" xfId="51994"/>
    <cellStyle name="_구매TFT전체취합자료_최종본(0425)" xfId="51995"/>
    <cellStyle name="_굿센테크(견적서) (3)" xfId="51996"/>
    <cellStyle name="_굿센테크날러지(0524)_Ahnlab(1)" xfId="51997"/>
    <cellStyle name="_굿센테크날러지-060306" xfId="51998"/>
    <cellStyle name="_굿센테크날러지-060418" xfId="51999"/>
    <cellStyle name="_굿센테크날러지-060510" xfId="52000"/>
    <cellStyle name="_굿센테크날러지-060522" xfId="52001"/>
    <cellStyle name="_굿센테크날러지-060602 (2)" xfId="52002"/>
    <cellStyle name="_굿센테크날러지-060607(1)" xfId="52003"/>
    <cellStyle name="_굿센테크날러지-060627" xfId="52004"/>
    <cellStyle name="_굿센테크놀러지(1012)Office" xfId="52005"/>
    <cellStyle name="_기아자동차_견적서_공영DBM_030407" xfId="52006"/>
    <cellStyle name="_나스컴견적_대림LG_DL580_Veritas_최종공급가" xfId="52007"/>
    <cellStyle name="_노동연구원_AMS500WMS_3TB_1213" xfId="52008"/>
    <cellStyle name="_논현CS4_인원History" xfId="52009"/>
    <cellStyle name="_담당자별 매입매출 자료" xfId="52010"/>
    <cellStyle name="_대손현황" xfId="52011"/>
    <cellStyle name="_대우일렉트로닉스 견적-(GW,EDM)EKP.NET@(20030224)" xfId="52012"/>
    <cellStyle name="_대우일렉트로닉스 견적-(GW,EDM)EKP.NET@(20030225)" xfId="52013"/>
    <cellStyle name="_대우일렉트로닉스 견적-(하드웨어 부문)EKP.NET@(20030227)" xfId="52014"/>
    <cellStyle name="_대우일렉트로닉스 견적-(하드웨어 부문)EKP.NET@(20030303)" xfId="52015"/>
    <cellStyle name="_대우종합기계_일정계획_공영DBM_040220" xfId="52016"/>
    <cellStyle name="_도미노_손익시뮬(V1)" xfId="52017"/>
    <cellStyle name="_동신정보기술사장님(SRSH4-1Way-2G-36G)04-0315" xfId="52018"/>
    <cellStyle name="_매출_매출원가계획" xfId="52019"/>
    <cellStyle name="_매출원가관련(렌탈,멤버쉽)" xfId="52020"/>
    <cellStyle name="_매출원가정리(강철호)" xfId="52021"/>
    <cellStyle name="_배송내역040126" xfId="52022"/>
    <cellStyle name="_배송내역040126_▷계획대비실적" xfId="52023"/>
    <cellStyle name="_배송내역040126_15.MRO(S3080)" xfId="52024"/>
    <cellStyle name="_배송내역040126_200705전략구매팀 실적-정리" xfId="52025"/>
    <cellStyle name="_배송내역040126_PI팀(미반영 예산)_최종본" xfId="52026"/>
    <cellStyle name="_배송내역040126_PI팀(미반영 예산)_최종본_PI팀(미반영 예산)_최종본" xfId="52027"/>
    <cellStyle name="_배송내역040126_별첨_4)07년예산편성양식" xfId="52028"/>
    <cellStyle name="_배송내역040126_복사본 '08년 SKT 사업부문 관리지표(0219)" xfId="52029"/>
    <cellStyle name="_배송내역040412" xfId="52030"/>
    <cellStyle name="_배송내역040412_▷계획대비실적" xfId="52031"/>
    <cellStyle name="_배송내역040412_15.MRO(S3080)" xfId="52032"/>
    <cellStyle name="_배송내역040412_200705전략구매팀 실적-정리" xfId="52033"/>
    <cellStyle name="_배송내역040412_PI팀(미반영 예산)_최종본" xfId="52034"/>
    <cellStyle name="_배송내역040412_PI팀(미반영 예산)_최종본_PI팀(미반영 예산)_최종본" xfId="52035"/>
    <cellStyle name="_배송내역040412_별첨_4)07년예산편성양식" xfId="52036"/>
    <cellStyle name="_배송내역040412_복사본 '08년 SKT 사업부문 관리지표(0219)" xfId="52037"/>
    <cellStyle name="_배송내역040514" xfId="52038"/>
    <cellStyle name="_배송내역040514_▷계획대비실적" xfId="52039"/>
    <cellStyle name="_배송내역040514_15.MRO(S3080)" xfId="52040"/>
    <cellStyle name="_배송내역040514_200705전략구매팀 실적-정리" xfId="52041"/>
    <cellStyle name="_배송내역040514_PI팀(미반영 예산)_최종본" xfId="52042"/>
    <cellStyle name="_배송내역040514_PI팀(미반영 예산)_최종본_PI팀(미반영 예산)_최종본" xfId="52043"/>
    <cellStyle name="_배송내역040514_별첨_4)07년예산편성양식" xfId="52044"/>
    <cellStyle name="_배송내역040514_복사본 '08년 SKT 사업부문 관리지표(0219)" xfId="52045"/>
    <cellStyle name="_배송내역040603" xfId="52046"/>
    <cellStyle name="_배송내역040603_▷계획대비실적" xfId="52047"/>
    <cellStyle name="_배송내역040603_15.MRO(S3080)" xfId="52048"/>
    <cellStyle name="_배송내역040603_200705전략구매팀 실적-정리" xfId="52049"/>
    <cellStyle name="_배송내역040603_PI팀(미반영 예산)_최종본" xfId="52050"/>
    <cellStyle name="_배송내역040603_PI팀(미반영 예산)_최종본_PI팀(미반영 예산)_최종본" xfId="52051"/>
    <cellStyle name="_배송내역040603_별첨_4)07년예산편성양식" xfId="52052"/>
    <cellStyle name="_배송내역040603_복사본 '08년 SKT 사업부문 관리지표(0219)" xfId="52053"/>
    <cellStyle name="_배송내역040604" xfId="52054"/>
    <cellStyle name="_배송내역040604_▷계획대비실적" xfId="52055"/>
    <cellStyle name="_배송내역040604_15.MRO(S3080)" xfId="52056"/>
    <cellStyle name="_배송내역040604_200705전략구매팀 실적-정리" xfId="52057"/>
    <cellStyle name="_배송내역040604_PI팀(미반영 예산)_최종본" xfId="52058"/>
    <cellStyle name="_배송내역040604_PI팀(미반영 예산)_최종본_PI팀(미반영 예산)_최종본" xfId="52059"/>
    <cellStyle name="_배송내역040604_별첨_4)07년예산편성양식" xfId="52060"/>
    <cellStyle name="_배송내역040604_복사본 '08년 SKT 사업부문 관리지표(0219)" xfId="52061"/>
    <cellStyle name="_배송내역040608" xfId="52062"/>
    <cellStyle name="_배송내역040608_▷계획대비실적" xfId="52063"/>
    <cellStyle name="_배송내역040608_15.MRO(S3080)" xfId="52064"/>
    <cellStyle name="_배송내역040608_200705전략구매팀 실적-정리" xfId="52065"/>
    <cellStyle name="_배송내역040608_PI팀(미반영 예산)_최종본" xfId="52066"/>
    <cellStyle name="_배송내역040608_PI팀(미반영 예산)_최종본_PI팀(미반영 예산)_최종본" xfId="52067"/>
    <cellStyle name="_배송내역040608_별첨_4)07년예산편성양식" xfId="52068"/>
    <cellStyle name="_배송내역040608_복사본 '08년 SKT 사업부문 관리지표(0219)" xfId="52069"/>
    <cellStyle name="_배송내역040623" xfId="52070"/>
    <cellStyle name="_배송내역040623_▷계획대비실적" xfId="52071"/>
    <cellStyle name="_배송내역040623_15.MRO(S3080)" xfId="52072"/>
    <cellStyle name="_배송내역040623_200705전략구매팀 실적-정리" xfId="52073"/>
    <cellStyle name="_배송내역040623_PI팀(미반영 예산)_최종본" xfId="52074"/>
    <cellStyle name="_배송내역040623_PI팀(미반영 예산)_최종본_PI팀(미반영 예산)_최종본" xfId="52075"/>
    <cellStyle name="_배송내역040623_별첨_4)07년예산편성양식" xfId="52076"/>
    <cellStyle name="_배송내역040623_복사본 '08년 SKT 사업부문 관리지표(0219)" xfId="52077"/>
    <cellStyle name="_배송내역040630" xfId="52078"/>
    <cellStyle name="_배송내역040630_▷계획대비실적" xfId="52079"/>
    <cellStyle name="_배송내역040630_15.MRO(S3080)" xfId="52080"/>
    <cellStyle name="_배송내역040630_200705전략구매팀 실적-정리" xfId="52081"/>
    <cellStyle name="_배송내역040630_PI팀(미반영 예산)_최종본" xfId="52082"/>
    <cellStyle name="_배송내역040630_PI팀(미반영 예산)_최종본_PI팀(미반영 예산)_최종본" xfId="52083"/>
    <cellStyle name="_배송내역040630_별첨_4)07년예산편성양식" xfId="52084"/>
    <cellStyle name="_배송내역040630_복사본 '08년 SKT 사업부문 관리지표(0219)" xfId="52085"/>
    <cellStyle name="_별첨_2)08년수정사업계획_SKT." xfId="52086"/>
    <cellStyle name="_별첨-3)2009년 예산계획공통비" xfId="52087"/>
    <cellStyle name="_복사본 '08년 SKT 사업부문 관리지표(0219)" xfId="52088"/>
    <cellStyle name="_복사본 굿센테크날러지-060613" xfId="52089"/>
    <cellStyle name="_분기별" xfId="52090"/>
    <cellStyle name="_삼성네트웍스(AAS_AAS IPS_최대원)0040218_DNS" xfId="52091"/>
    <cellStyle name="_서초센터_17층" xfId="52092"/>
    <cellStyle name="_손익세부" xfId="52093"/>
    <cellStyle name="_수정)오라관광" xfId="52094"/>
    <cellStyle name="_스카이라이프(플래티늄)_070426(송)" xfId="52095"/>
    <cellStyle name="_스카이라이프(플래티늄)_070427(송)" xfId="52096"/>
    <cellStyle name="_스태틱(TT1066WD1 TT1270 SHG2)04-0206" xfId="52097"/>
    <cellStyle name="_스태틱(TT-1066WP1)03-1208" xfId="52098"/>
    <cellStyle name="_시지탱크(SRSH4)04-0109" xfId="52099"/>
    <cellStyle name="_실적자료(타사)" xfId="52100"/>
    <cellStyle name="_영업양수도관련" xfId="52101"/>
    <cellStyle name="_오라_Alteon2208_20040407" xfId="52102"/>
    <cellStyle name="_오라관광(unix)" xfId="52103"/>
    <cellStyle name="_오라관광_Hardware_20040930" xfId="52104"/>
    <cellStyle name="_온넷견적서" xfId="52105"/>
    <cellStyle name="_외환 Daily Report (2004년 01월)" xfId="52106"/>
    <cellStyle name="_우리은행 견적_교체카드_071016" xfId="52107"/>
    <cellStyle name="_우리은행_wooricard 급여씨뮬_1114" xfId="52108"/>
    <cellStyle name="_웅진코웨이 F-1239_20060630(수정)" xfId="52109"/>
    <cellStyle name="_웅진코웨이 FS_20061231" xfId="52110"/>
    <cellStyle name="_월근무평가" xfId="52111"/>
    <cellStyle name="_유성식" xfId="52112"/>
    <cellStyle name="_유태곤)견적2002-06-03" xfId="52113"/>
    <cellStyle name="_이익잉여금처분계산서(안)" xfId="52114"/>
    <cellStyle name="_이전자료_참피온 견적서_공영DBM_SFA" xfId="52115"/>
    <cellStyle name="_이진수-019-1 김윤수과장님 10월 15일 시스템이설견적" xfId="52116"/>
    <cellStyle name="_인천남항(IBM)20030917" xfId="52117"/>
    <cellStyle name="_자본 UNIT1" xfId="52118"/>
    <cellStyle name="_작업용" xfId="52119"/>
    <cellStyle name="_장철영-001 원순재대리님 20040106 서울대연구동 Blade Server 이전견적" xfId="52120"/>
    <cellStyle name="_재무제표(공시)" xfId="52121"/>
    <cellStyle name="_재무제표(최종)" xfId="52122"/>
    <cellStyle name="_제시3(현금수정및수정분개포함)" xfId="52123"/>
    <cellStyle name="_제조원가 " xfId="52124"/>
    <cellStyle name="_제조원가명세서(1분기)" xfId="52125"/>
    <cellStyle name="_조현기_종합견적_20020531" xfId="52126"/>
    <cellStyle name="_존슨앤존슨_임대서비스 견적서(DP포함)_공영DBM_030321" xfId="52127"/>
    <cellStyle name="_첨부.인력계획" xfId="52128"/>
    <cellStyle name="_최종_조직,업무분장표(050926)-완료" xfId="52129"/>
    <cellStyle name="_최초(대차,손익)_0212" xfId="52130"/>
    <cellStyle name="_최초제시" xfId="52131"/>
    <cellStyle name="_최초제시재무제표" xfId="52132"/>
    <cellStyle name="_코웨이" xfId="52133"/>
    <cellStyle name="_코웨이반기 F-123" xfId="52134"/>
    <cellStyle name="_콜센터PL과장님드릴자료2" xfId="52135"/>
    <cellStyle name="_판매관리비(본부+혁신팀)" xfId="52136"/>
    <cellStyle name="_포상비지급내역(2005_2월)" xfId="52137"/>
    <cellStyle name="_한화04반기-FS" xfId="52138"/>
    <cellStyle name="_합병에 대한회계처리검토" xfId="52139"/>
    <cellStyle name="_햇살eshop 이벤트 당첨자 명단_050301" xfId="52140"/>
    <cellStyle name="_햇살eshop 이벤트 당첨자 명단_050301_▷계획대비실적" xfId="52141"/>
    <cellStyle name="_햇살eshop 이벤트 당첨자 명단_050301_15.MRO(S3080)" xfId="52142"/>
    <cellStyle name="_햇살eshop 이벤트 당첨자 명단_050301_200705전략구매팀 실적-정리" xfId="52143"/>
    <cellStyle name="_햇살eshop 이벤트 당첨자 명단_050301_PI팀(미반영 예산)_최종본" xfId="52144"/>
    <cellStyle name="_햇살eshop 이벤트 당첨자 명단_050301_PI팀(미반영 예산)_최종본_PI팀(미반영 예산)_최종본" xfId="52145"/>
    <cellStyle name="_햇살eshop 이벤트 당첨자 명단_050301_별첨_4)07년예산편성양식" xfId="52146"/>
    <cellStyle name="_햇살eshop 이벤트 당첨자 명단_050301_복사본 '08년 SKT 사업부문 관리지표(0219)" xfId="52147"/>
    <cellStyle name="_행정공제회 DR구성-SUN" xfId="52148"/>
    <cellStyle name="_현대카드 교육일정" xfId="52149"/>
    <cellStyle name="_홈케어_08년수정사업계획(인력,매출,원가,투자)-ver3" xfId="52150"/>
    <cellStyle name="_홈케어_08년수정사업계획(판관비)_집계" xfId="52151"/>
    <cellStyle name="_효성인포메이션시스템(노동연구원 AMS500 " xfId="52152"/>
    <cellStyle name="¤@?e_TEST-1 " xfId="52153"/>
    <cellStyle name="=C:\WINDOWS\SYSTEM32\COMMAND.COM" xfId="52154"/>
    <cellStyle name="=C:\WINNT\SYSTEM32\COMMAND.COM" xfId="52155"/>
    <cellStyle name="≤汰?수)_영업외수지" xfId="52156"/>
    <cellStyle name="0,0_x000d__x000a_NA_x000d__x000a_" xfId="52157"/>
    <cellStyle name="0뾍R_x0005_?뾍b_x0005_" xfId="52158"/>
    <cellStyle name="16ictONiIe4PXBkWMyPCb5O" xfId="52159"/>
    <cellStyle name="¹eºÐA²_9709A¡Æ÷" xfId="52160"/>
    <cellStyle name="20% - Accent1" xfId="706"/>
    <cellStyle name="20% - Accent1 2" xfId="5197"/>
    <cellStyle name="20% - Accent1 3" xfId="5198"/>
    <cellStyle name="20% - Accent1 4" xfId="5199"/>
    <cellStyle name="20% - Accent2" xfId="707"/>
    <cellStyle name="20% - Accent2 2" xfId="5200"/>
    <cellStyle name="20% - Accent2 3" xfId="5201"/>
    <cellStyle name="20% - Accent2 4" xfId="5202"/>
    <cellStyle name="20% - Accent3" xfId="708"/>
    <cellStyle name="20% - Accent3 2" xfId="5203"/>
    <cellStyle name="20% - Accent3 3" xfId="5204"/>
    <cellStyle name="20% - Accent3 4" xfId="5205"/>
    <cellStyle name="20% - Accent4" xfId="709"/>
    <cellStyle name="20% - Accent4 2" xfId="5206"/>
    <cellStyle name="20% - Accent4 3" xfId="5207"/>
    <cellStyle name="20% - Accent4 4" xfId="5208"/>
    <cellStyle name="20% - Accent5" xfId="710"/>
    <cellStyle name="20% - Accent5 2" xfId="5209"/>
    <cellStyle name="20% - Accent5 3" xfId="5210"/>
    <cellStyle name="20% - Accent5 4" xfId="5211"/>
    <cellStyle name="20% - Accent6" xfId="711"/>
    <cellStyle name="20% - Accent6 2" xfId="5212"/>
    <cellStyle name="20% - Accent6 3" xfId="5213"/>
    <cellStyle name="20% - Accent6 4" xfId="5214"/>
    <cellStyle name="20% - 强调文字颜色 1" xfId="712"/>
    <cellStyle name="20% - 强调文字颜色 1 2" xfId="713"/>
    <cellStyle name="20% - 强调文字颜色 1 2 2" xfId="714"/>
    <cellStyle name="20% - 强调文字颜色 1 2 2 2" xfId="715"/>
    <cellStyle name="20% - 强调文字颜色 1 2 2 2 2" xfId="716"/>
    <cellStyle name="20% - 强调文字颜色 1 2 2 2 2 2" xfId="4372"/>
    <cellStyle name="20% - 强调文字颜色 1 2 2 2 2 3" xfId="4680"/>
    <cellStyle name="20% - 强调文字颜色 1 2 2 2 3" xfId="717"/>
    <cellStyle name="20% - 强调文字颜色 1 2 2 2 3 2" xfId="718"/>
    <cellStyle name="20% - 强调文字颜色 1 2 2 2 3 2 2" xfId="4409"/>
    <cellStyle name="20% - 强调文字颜色 1 2 2 2 3 2 3" xfId="4681"/>
    <cellStyle name="20% - 强调文字颜色 1 2 2 2 3 3" xfId="4408"/>
    <cellStyle name="20% - 强调文字颜色 1 2 2 2 4" xfId="719"/>
    <cellStyle name="20% - 强调文字颜色 1 2 2 2 4 2" xfId="720"/>
    <cellStyle name="20% - 强调文字颜色 1 2 2 2 4 2 2" xfId="4411"/>
    <cellStyle name="20% - 强调文字颜色 1 2 2 2 4 2 3" xfId="4682"/>
    <cellStyle name="20% - 强调文字颜色 1 2 2 2 4 3" xfId="4410"/>
    <cellStyle name="20% - 强调文字颜色 1 2 2 2 5" xfId="721"/>
    <cellStyle name="20% - 强调文字颜色 1 2 2 2 5 2" xfId="722"/>
    <cellStyle name="20% - 强调文字颜色 1 2 2 2 6" xfId="4605"/>
    <cellStyle name="20% - 强调文字颜色 1 2 3" xfId="723"/>
    <cellStyle name="20% - 强调文字颜色 1 2 3 2" xfId="724"/>
    <cellStyle name="20% - 强调文字颜色 1 2 3 2 2" xfId="4373"/>
    <cellStyle name="20% - 强调文字颜色 1 2 3 2 3" xfId="4683"/>
    <cellStyle name="20% - 强调文字颜色 1 2 3 3" xfId="725"/>
    <cellStyle name="20% - 强调文字颜色 1 2 3 3 2" xfId="726"/>
    <cellStyle name="20% - 强调文字颜色 1 2 3 3 2 2" xfId="4413"/>
    <cellStyle name="20% - 强调文字颜色 1 2 3 3 2 3" xfId="4684"/>
    <cellStyle name="20% - 强调文字颜色 1 2 3 3 3" xfId="4412"/>
    <cellStyle name="20% - 强调文字颜色 1 2 3 4" xfId="727"/>
    <cellStyle name="20% - 强调文字颜色 1 2 3 4 2" xfId="728"/>
    <cellStyle name="20% - 强调文字颜色 1 2 3 4 2 2" xfId="4415"/>
    <cellStyle name="20% - 强调文字颜色 1 2 3 4 2 3" xfId="4685"/>
    <cellStyle name="20% - 强调文字颜色 1 2 3 4 3" xfId="4414"/>
    <cellStyle name="20% - 强调文字颜色 1 2 3 5" xfId="729"/>
    <cellStyle name="20% - 强调文字颜色 1 2 3 5 2" xfId="730"/>
    <cellStyle name="20% - 强调文字颜色 1 2 3 6" xfId="4606"/>
    <cellStyle name="20% - 强调文字颜色 1 3" xfId="731"/>
    <cellStyle name="20% - 强调文字颜色 1 3 2" xfId="732"/>
    <cellStyle name="20% - 强调文字颜色 1 3 2 2" xfId="733"/>
    <cellStyle name="20% - 强调文字颜色 1 3 2 2 2" xfId="4374"/>
    <cellStyle name="20% - 强调文字颜色 1 3 2 2 3" xfId="4686"/>
    <cellStyle name="20% - 强调文字颜色 1 3 2 3" xfId="734"/>
    <cellStyle name="20% - 强调文字颜色 1 3 2 3 2" xfId="735"/>
    <cellStyle name="20% - 强调文字颜色 1 3 2 3 2 2" xfId="4417"/>
    <cellStyle name="20% - 强调文字颜色 1 3 2 3 2 3" xfId="4687"/>
    <cellStyle name="20% - 强调文字颜色 1 3 2 3 3" xfId="4416"/>
    <cellStyle name="20% - 强调文字颜色 1 3 2 4" xfId="736"/>
    <cellStyle name="20% - 强调文字颜色 1 3 2 4 2" xfId="737"/>
    <cellStyle name="20% - 强调文字颜色 1 3 2 4 2 2" xfId="4419"/>
    <cellStyle name="20% - 强调文字颜色 1 3 2 4 2 3" xfId="4688"/>
    <cellStyle name="20% - 强调文字颜色 1 3 2 4 3" xfId="4418"/>
    <cellStyle name="20% - 强调文字颜色 1 3 2 5" xfId="738"/>
    <cellStyle name="20% - 强调文字颜色 1 3 2 5 2" xfId="739"/>
    <cellStyle name="20% - 强调文字颜色 1 3 2 6" xfId="4607"/>
    <cellStyle name="20% - 强调文字颜色 1 4" xfId="740"/>
    <cellStyle name="20% - 强调文字颜色 1 4 2" xfId="741"/>
    <cellStyle name="20% - 强调文字颜色 1 4 2 2" xfId="4421"/>
    <cellStyle name="20% - 强调文字颜色 1 4 2 3" xfId="4689"/>
    <cellStyle name="20% - 强调文字颜色 1 4 3" xfId="4420"/>
    <cellStyle name="20% - 强调文字颜色 1 5" xfId="742"/>
    <cellStyle name="20% - 强调文字颜色 1 5 2" xfId="743"/>
    <cellStyle name="20% - 强调文字颜色 1 5 2 2" xfId="4423"/>
    <cellStyle name="20% - 强调文字颜色 1 5 2 3" xfId="4690"/>
    <cellStyle name="20% - 强调文字颜色 1 5 3" xfId="4422"/>
    <cellStyle name="20% - 强调文字颜色 1 6" xfId="744"/>
    <cellStyle name="20% - 强调文字颜色 1 6 2" xfId="745"/>
    <cellStyle name="20% - 强调文字颜色 1 7" xfId="4604"/>
    <cellStyle name="20% - 强调文字颜色 2" xfId="746"/>
    <cellStyle name="20% - 强调文字颜色 2 2" xfId="747"/>
    <cellStyle name="20% - 强调文字颜色 2 2 2" xfId="748"/>
    <cellStyle name="20% - 强调文字颜色 2 2 2 2" xfId="749"/>
    <cellStyle name="20% - 强调文字颜色 2 2 2 2 2" xfId="750"/>
    <cellStyle name="20% - 强调文字颜色 2 2 2 2 2 2" xfId="4375"/>
    <cellStyle name="20% - 强调文字颜色 2 2 2 2 2 3" xfId="4691"/>
    <cellStyle name="20% - 强调文字颜色 2 2 2 2 3" xfId="751"/>
    <cellStyle name="20% - 强调文字颜色 2 2 2 2 3 2" xfId="752"/>
    <cellStyle name="20% - 强调文字颜色 2 2 2 2 3 2 2" xfId="4425"/>
    <cellStyle name="20% - 强调文字颜色 2 2 2 2 3 2 3" xfId="4692"/>
    <cellStyle name="20% - 强调文字颜色 2 2 2 2 3 3" xfId="4424"/>
    <cellStyle name="20% - 强调文字颜色 2 2 2 2 4" xfId="753"/>
    <cellStyle name="20% - 强调文字颜色 2 2 2 2 4 2" xfId="754"/>
    <cellStyle name="20% - 强调文字颜色 2 2 2 2 4 2 2" xfId="4427"/>
    <cellStyle name="20% - 强调文字颜色 2 2 2 2 4 2 3" xfId="4693"/>
    <cellStyle name="20% - 强调文字颜色 2 2 2 2 4 3" xfId="4426"/>
    <cellStyle name="20% - 强调文字颜色 2 2 2 2 5" xfId="755"/>
    <cellStyle name="20% - 强调文字颜色 2 2 2 2 5 2" xfId="756"/>
    <cellStyle name="20% - 强调文字颜色 2 2 2 2 6" xfId="4609"/>
    <cellStyle name="20% - 强调文字颜色 2 2 3" xfId="757"/>
    <cellStyle name="20% - 强调文字颜色 2 2 3 2" xfId="758"/>
    <cellStyle name="20% - 强调文字颜色 2 2 3 2 2" xfId="4376"/>
    <cellStyle name="20% - 强调文字颜色 2 2 3 2 3" xfId="4694"/>
    <cellStyle name="20% - 强调文字颜色 2 2 3 3" xfId="759"/>
    <cellStyle name="20% - 强调文字颜色 2 2 3 3 2" xfId="760"/>
    <cellStyle name="20% - 强调文字颜色 2 2 3 3 2 2" xfId="4429"/>
    <cellStyle name="20% - 强调文字颜色 2 2 3 3 2 3" xfId="4695"/>
    <cellStyle name="20% - 强调文字颜色 2 2 3 3 3" xfId="4428"/>
    <cellStyle name="20% - 强调文字颜色 2 2 3 4" xfId="761"/>
    <cellStyle name="20% - 强调文字颜色 2 2 3 4 2" xfId="762"/>
    <cellStyle name="20% - 强调文字颜色 2 2 3 4 2 2" xfId="4431"/>
    <cellStyle name="20% - 强调文字颜色 2 2 3 4 2 3" xfId="4696"/>
    <cellStyle name="20% - 强调文字颜色 2 2 3 4 3" xfId="4430"/>
    <cellStyle name="20% - 强调文字颜色 2 2 3 5" xfId="763"/>
    <cellStyle name="20% - 强调文字颜色 2 2 3 5 2" xfId="764"/>
    <cellStyle name="20% - 强调文字颜色 2 2 3 6" xfId="4610"/>
    <cellStyle name="20% - 强调文字颜色 2 3" xfId="765"/>
    <cellStyle name="20% - 强调文字颜色 2 3 2" xfId="766"/>
    <cellStyle name="20% - 强调文字颜色 2 3 2 2" xfId="767"/>
    <cellStyle name="20% - 强调文字颜色 2 3 2 2 2" xfId="4377"/>
    <cellStyle name="20% - 强调文字颜色 2 3 2 2 3" xfId="4697"/>
    <cellStyle name="20% - 强调文字颜色 2 3 2 3" xfId="768"/>
    <cellStyle name="20% - 强调文字颜色 2 3 2 3 2" xfId="769"/>
    <cellStyle name="20% - 强调文字颜色 2 3 2 3 2 2" xfId="4433"/>
    <cellStyle name="20% - 强调文字颜色 2 3 2 3 2 3" xfId="4698"/>
    <cellStyle name="20% - 强调文字颜色 2 3 2 3 3" xfId="4432"/>
    <cellStyle name="20% - 强调文字颜色 2 3 2 4" xfId="770"/>
    <cellStyle name="20% - 强调文字颜色 2 3 2 4 2" xfId="771"/>
    <cellStyle name="20% - 强调文字颜色 2 3 2 4 2 2" xfId="4435"/>
    <cellStyle name="20% - 强调文字颜色 2 3 2 4 2 3" xfId="4699"/>
    <cellStyle name="20% - 强调文字颜色 2 3 2 4 3" xfId="4434"/>
    <cellStyle name="20% - 强调文字颜色 2 3 2 5" xfId="772"/>
    <cellStyle name="20% - 强调文字颜色 2 3 2 5 2" xfId="773"/>
    <cellStyle name="20% - 强调文字颜色 2 3 2 6" xfId="4611"/>
    <cellStyle name="20% - 强调文字颜色 2 4" xfId="774"/>
    <cellStyle name="20% - 强调文字颜色 2 4 2" xfId="775"/>
    <cellStyle name="20% - 强调文字颜色 2 4 2 2" xfId="4437"/>
    <cellStyle name="20% - 强调文字颜色 2 4 2 3" xfId="4700"/>
    <cellStyle name="20% - 强调文字颜色 2 4 3" xfId="4436"/>
    <cellStyle name="20% - 强调文字颜色 2 5" xfId="776"/>
    <cellStyle name="20% - 强调文字颜色 2 5 2" xfId="777"/>
    <cellStyle name="20% - 强调文字颜色 2 5 2 2" xfId="4439"/>
    <cellStyle name="20% - 强调文字颜色 2 5 2 3" xfId="4701"/>
    <cellStyle name="20% - 强调文字颜色 2 5 3" xfId="4438"/>
    <cellStyle name="20% - 强调文字颜色 2 6" xfId="778"/>
    <cellStyle name="20% - 强调文字颜色 2 6 2" xfId="779"/>
    <cellStyle name="20% - 强调文字颜色 2 7" xfId="4608"/>
    <cellStyle name="20% - 强调文字颜色 3" xfId="780"/>
    <cellStyle name="20% - 强调文字颜色 3 2" xfId="781"/>
    <cellStyle name="20% - 强调文字颜色 3 2 2" xfId="782"/>
    <cellStyle name="20% - 强调文字颜色 3 2 2 2" xfId="783"/>
    <cellStyle name="20% - 强调文字颜色 3 2 2 2 2" xfId="784"/>
    <cellStyle name="20% - 强调文字颜色 3 2 2 2 2 2" xfId="4378"/>
    <cellStyle name="20% - 强调文字颜色 3 2 2 2 2 3" xfId="4702"/>
    <cellStyle name="20% - 强调文字颜色 3 2 2 2 3" xfId="785"/>
    <cellStyle name="20% - 强调文字颜色 3 2 2 2 3 2" xfId="786"/>
    <cellStyle name="20% - 强调文字颜色 3 2 2 2 3 2 2" xfId="4441"/>
    <cellStyle name="20% - 强调文字颜色 3 2 2 2 3 2 3" xfId="4703"/>
    <cellStyle name="20% - 强调文字颜色 3 2 2 2 3 3" xfId="4440"/>
    <cellStyle name="20% - 强调文字颜色 3 2 2 2 4" xfId="787"/>
    <cellStyle name="20% - 强调文字颜色 3 2 2 2 4 2" xfId="788"/>
    <cellStyle name="20% - 强调文字颜色 3 2 2 2 4 2 2" xfId="4443"/>
    <cellStyle name="20% - 强调文字颜色 3 2 2 2 4 2 3" xfId="4704"/>
    <cellStyle name="20% - 强调文字颜色 3 2 2 2 4 3" xfId="4442"/>
    <cellStyle name="20% - 强调文字颜色 3 2 2 2 5" xfId="789"/>
    <cellStyle name="20% - 强调文字颜色 3 2 2 2 5 2" xfId="790"/>
    <cellStyle name="20% - 强调文字颜色 3 2 2 2 6" xfId="4613"/>
    <cellStyle name="20% - 强调文字颜色 3 2 3" xfId="791"/>
    <cellStyle name="20% - 强调文字颜色 3 2 3 2" xfId="792"/>
    <cellStyle name="20% - 强调文字颜色 3 2 3 2 2" xfId="4379"/>
    <cellStyle name="20% - 强调文字颜色 3 2 3 2 3" xfId="4705"/>
    <cellStyle name="20% - 强调文字颜色 3 2 3 3" xfId="793"/>
    <cellStyle name="20% - 强调文字颜色 3 2 3 3 2" xfId="794"/>
    <cellStyle name="20% - 强调文字颜色 3 2 3 3 2 2" xfId="4445"/>
    <cellStyle name="20% - 强调文字颜色 3 2 3 3 2 3" xfId="4706"/>
    <cellStyle name="20% - 强调文字颜色 3 2 3 3 3" xfId="4444"/>
    <cellStyle name="20% - 强调文字颜色 3 2 3 4" xfId="795"/>
    <cellStyle name="20% - 强调文字颜色 3 2 3 4 2" xfId="796"/>
    <cellStyle name="20% - 强调文字颜色 3 2 3 4 2 2" xfId="4447"/>
    <cellStyle name="20% - 强调文字颜色 3 2 3 4 2 3" xfId="4707"/>
    <cellStyle name="20% - 强调文字颜色 3 2 3 4 3" xfId="4446"/>
    <cellStyle name="20% - 强调文字颜色 3 2 3 5" xfId="797"/>
    <cellStyle name="20% - 强调文字颜色 3 2 3 5 2" xfId="798"/>
    <cellStyle name="20% - 强调文字颜色 3 2 3 6" xfId="4614"/>
    <cellStyle name="20% - 强调文字颜色 3 3" xfId="799"/>
    <cellStyle name="20% - 强调文字颜色 3 3 2" xfId="800"/>
    <cellStyle name="20% - 强调文字颜色 3 3 2 2" xfId="801"/>
    <cellStyle name="20% - 强调文字颜色 3 3 2 2 2" xfId="4380"/>
    <cellStyle name="20% - 强调文字颜色 3 3 2 2 3" xfId="4708"/>
    <cellStyle name="20% - 强调文字颜色 3 3 2 3" xfId="802"/>
    <cellStyle name="20% - 强调文字颜色 3 3 2 3 2" xfId="803"/>
    <cellStyle name="20% - 强调文字颜色 3 3 2 3 2 2" xfId="4449"/>
    <cellStyle name="20% - 强调文字颜色 3 3 2 3 2 3" xfId="4709"/>
    <cellStyle name="20% - 强调文字颜色 3 3 2 3 3" xfId="4448"/>
    <cellStyle name="20% - 强调文字颜色 3 3 2 4" xfId="804"/>
    <cellStyle name="20% - 强调文字颜色 3 3 2 4 2" xfId="805"/>
    <cellStyle name="20% - 强调文字颜色 3 3 2 4 2 2" xfId="4451"/>
    <cellStyle name="20% - 强调文字颜色 3 3 2 4 2 3" xfId="4710"/>
    <cellStyle name="20% - 强调文字颜色 3 3 2 4 3" xfId="4450"/>
    <cellStyle name="20% - 强调文字颜色 3 3 2 5" xfId="806"/>
    <cellStyle name="20% - 强调文字颜色 3 3 2 5 2" xfId="807"/>
    <cellStyle name="20% - 强调文字颜色 3 3 2 6" xfId="4615"/>
    <cellStyle name="20% - 强调文字颜色 3 4" xfId="808"/>
    <cellStyle name="20% - 强调文字颜色 3 4 2" xfId="809"/>
    <cellStyle name="20% - 强调文字颜色 3 4 2 2" xfId="4453"/>
    <cellStyle name="20% - 强调文字颜色 3 4 2 3" xfId="4711"/>
    <cellStyle name="20% - 强调文字颜色 3 4 3" xfId="4452"/>
    <cellStyle name="20% - 强调文字颜色 3 5" xfId="810"/>
    <cellStyle name="20% - 强调文字颜色 3 5 2" xfId="811"/>
    <cellStyle name="20% - 强调文字颜色 3 5 2 2" xfId="4455"/>
    <cellStyle name="20% - 强调文字颜色 3 5 2 3" xfId="4712"/>
    <cellStyle name="20% - 强调文字颜色 3 5 3" xfId="4454"/>
    <cellStyle name="20% - 强调文字颜色 3 6" xfId="812"/>
    <cellStyle name="20% - 强调文字颜色 3 6 2" xfId="813"/>
    <cellStyle name="20% - 强调文字颜色 3 7" xfId="4612"/>
    <cellStyle name="20% - 强调文字颜色 4" xfId="814"/>
    <cellStyle name="20% - 强调文字颜色 4 2" xfId="815"/>
    <cellStyle name="20% - 强调文字颜色 4 2 2" xfId="816"/>
    <cellStyle name="20% - 强调文字颜色 4 2 2 2" xfId="817"/>
    <cellStyle name="20% - 强调文字颜色 4 2 2 2 2" xfId="818"/>
    <cellStyle name="20% - 强调文字颜色 4 2 2 2 2 2" xfId="4381"/>
    <cellStyle name="20% - 强调文字颜色 4 2 2 2 2 3" xfId="4713"/>
    <cellStyle name="20% - 强调文字颜色 4 2 2 2 3" xfId="819"/>
    <cellStyle name="20% - 强调文字颜色 4 2 2 2 3 2" xfId="820"/>
    <cellStyle name="20% - 强调文字颜色 4 2 2 2 3 2 2" xfId="4457"/>
    <cellStyle name="20% - 强调文字颜色 4 2 2 2 3 2 3" xfId="4714"/>
    <cellStyle name="20% - 强调文字颜色 4 2 2 2 3 3" xfId="4456"/>
    <cellStyle name="20% - 强调文字颜色 4 2 2 2 4" xfId="821"/>
    <cellStyle name="20% - 强调文字颜色 4 2 2 2 4 2" xfId="822"/>
    <cellStyle name="20% - 强调文字颜色 4 2 2 2 4 2 2" xfId="4459"/>
    <cellStyle name="20% - 强调文字颜色 4 2 2 2 4 2 3" xfId="4715"/>
    <cellStyle name="20% - 强调文字颜色 4 2 2 2 4 3" xfId="4458"/>
    <cellStyle name="20% - 强调文字颜色 4 2 2 2 5" xfId="823"/>
    <cellStyle name="20% - 强调文字颜色 4 2 2 2 5 2" xfId="824"/>
    <cellStyle name="20% - 强调文字颜色 4 2 2 2 6" xfId="4617"/>
    <cellStyle name="20% - 强调文字颜色 4 2 3" xfId="825"/>
    <cellStyle name="20% - 强调文字颜色 4 2 3 2" xfId="826"/>
    <cellStyle name="20% - 强调文字颜色 4 2 3 2 2" xfId="4382"/>
    <cellStyle name="20% - 强调文字颜色 4 2 3 2 3" xfId="4716"/>
    <cellStyle name="20% - 强调文字颜色 4 2 3 3" xfId="827"/>
    <cellStyle name="20% - 强调文字颜色 4 2 3 3 2" xfId="828"/>
    <cellStyle name="20% - 强调文字颜色 4 2 3 3 2 2" xfId="4461"/>
    <cellStyle name="20% - 强调文字颜色 4 2 3 3 2 3" xfId="4717"/>
    <cellStyle name="20% - 强调文字颜色 4 2 3 3 3" xfId="4460"/>
    <cellStyle name="20% - 强调文字颜色 4 2 3 4" xfId="829"/>
    <cellStyle name="20% - 强调文字颜色 4 2 3 4 2" xfId="830"/>
    <cellStyle name="20% - 强调文字颜色 4 2 3 4 2 2" xfId="4463"/>
    <cellStyle name="20% - 强调文字颜色 4 2 3 4 2 3" xfId="4718"/>
    <cellStyle name="20% - 强调文字颜色 4 2 3 4 3" xfId="4462"/>
    <cellStyle name="20% - 强调文字颜色 4 2 3 5" xfId="831"/>
    <cellStyle name="20% - 强调文字颜色 4 2 3 5 2" xfId="832"/>
    <cellStyle name="20% - 强调文字颜色 4 2 3 6" xfId="4618"/>
    <cellStyle name="20% - 强调文字颜色 4 3" xfId="833"/>
    <cellStyle name="20% - 强调文字颜色 4 3 2" xfId="834"/>
    <cellStyle name="20% - 强调文字颜色 4 3 2 2" xfId="835"/>
    <cellStyle name="20% - 强调文字颜色 4 3 2 2 2" xfId="4383"/>
    <cellStyle name="20% - 强调文字颜色 4 3 2 2 3" xfId="4719"/>
    <cellStyle name="20% - 强调文字颜色 4 3 2 3" xfId="836"/>
    <cellStyle name="20% - 强调文字颜色 4 3 2 3 2" xfId="837"/>
    <cellStyle name="20% - 强调文字颜色 4 3 2 3 2 2" xfId="4465"/>
    <cellStyle name="20% - 强调文字颜色 4 3 2 3 2 3" xfId="4720"/>
    <cellStyle name="20% - 强调文字颜色 4 3 2 3 3" xfId="4464"/>
    <cellStyle name="20% - 强调文字颜色 4 3 2 4" xfId="838"/>
    <cellStyle name="20% - 强调文字颜色 4 3 2 4 2" xfId="839"/>
    <cellStyle name="20% - 强调文字颜色 4 3 2 4 2 2" xfId="4467"/>
    <cellStyle name="20% - 强调文字颜色 4 3 2 4 2 3" xfId="4721"/>
    <cellStyle name="20% - 强调文字颜色 4 3 2 4 3" xfId="4466"/>
    <cellStyle name="20% - 强调文字颜色 4 3 2 5" xfId="840"/>
    <cellStyle name="20% - 强调文字颜色 4 3 2 5 2" xfId="841"/>
    <cellStyle name="20% - 强调文字颜色 4 3 2 6" xfId="4619"/>
    <cellStyle name="20% - 强调文字颜色 4 4" xfId="842"/>
    <cellStyle name="20% - 强调文字颜色 4 4 2" xfId="843"/>
    <cellStyle name="20% - 强调文字颜色 4 4 2 2" xfId="4469"/>
    <cellStyle name="20% - 强调文字颜色 4 4 2 3" xfId="4722"/>
    <cellStyle name="20% - 强调文字颜色 4 4 3" xfId="4468"/>
    <cellStyle name="20% - 强调文字颜色 4 5" xfId="844"/>
    <cellStyle name="20% - 强调文字颜色 4 5 2" xfId="845"/>
    <cellStyle name="20% - 强调文字颜色 4 5 2 2" xfId="4471"/>
    <cellStyle name="20% - 强调文字颜色 4 5 2 3" xfId="4723"/>
    <cellStyle name="20% - 强调文字颜色 4 5 3" xfId="4470"/>
    <cellStyle name="20% - 强调文字颜色 4 6" xfId="846"/>
    <cellStyle name="20% - 强调文字颜色 4 6 2" xfId="847"/>
    <cellStyle name="20% - 强调文字颜色 4 7" xfId="4616"/>
    <cellStyle name="20% - 强调文字颜色 5" xfId="848"/>
    <cellStyle name="20% - 强调文字颜色 5 2" xfId="849"/>
    <cellStyle name="20% - 强调文字颜色 5 2 2" xfId="850"/>
    <cellStyle name="20% - 强调文字颜色 5 2 2 2" xfId="851"/>
    <cellStyle name="20% - 强调文字颜色 5 2 2 2 2" xfId="852"/>
    <cellStyle name="20% - 强调文字颜色 5 2 2 2 2 2" xfId="4384"/>
    <cellStyle name="20% - 强调文字颜色 5 2 2 2 2 3" xfId="4724"/>
    <cellStyle name="20% - 强调文字颜色 5 2 2 2 3" xfId="853"/>
    <cellStyle name="20% - 强调文字颜色 5 2 2 2 3 2" xfId="854"/>
    <cellStyle name="20% - 强调文字颜色 5 2 2 2 3 2 2" xfId="4473"/>
    <cellStyle name="20% - 强调文字颜色 5 2 2 2 3 2 3" xfId="4725"/>
    <cellStyle name="20% - 强调文字颜色 5 2 2 2 3 3" xfId="4472"/>
    <cellStyle name="20% - 强调文字颜色 5 2 2 2 4" xfId="855"/>
    <cellStyle name="20% - 强调文字颜色 5 2 2 2 4 2" xfId="856"/>
    <cellStyle name="20% - 强调文字颜色 5 2 2 2 4 2 2" xfId="4475"/>
    <cellStyle name="20% - 强调文字颜色 5 2 2 2 4 2 3" xfId="4726"/>
    <cellStyle name="20% - 强调文字颜色 5 2 2 2 4 3" xfId="4474"/>
    <cellStyle name="20% - 强调文字颜色 5 2 2 2 5" xfId="857"/>
    <cellStyle name="20% - 强调文字颜色 5 2 2 2 5 2" xfId="858"/>
    <cellStyle name="20% - 强调文字颜色 5 2 2 2 6" xfId="4621"/>
    <cellStyle name="20% - 强调文字颜色 5 2 3" xfId="859"/>
    <cellStyle name="20% - 强调文字颜色 5 2 3 2" xfId="860"/>
    <cellStyle name="20% - 强调文字颜色 5 2 3 2 2" xfId="4385"/>
    <cellStyle name="20% - 强调文字颜色 5 2 3 2 3" xfId="4727"/>
    <cellStyle name="20% - 强调文字颜色 5 2 3 3" xfId="861"/>
    <cellStyle name="20% - 强调文字颜色 5 2 3 3 2" xfId="862"/>
    <cellStyle name="20% - 强调文字颜色 5 2 3 3 2 2" xfId="4477"/>
    <cellStyle name="20% - 强调文字颜色 5 2 3 3 2 3" xfId="4728"/>
    <cellStyle name="20% - 强调文字颜色 5 2 3 3 3" xfId="4476"/>
    <cellStyle name="20% - 强调文字颜色 5 2 3 4" xfId="863"/>
    <cellStyle name="20% - 强调文字颜色 5 2 3 4 2" xfId="864"/>
    <cellStyle name="20% - 强调文字颜色 5 2 3 4 2 2" xfId="4479"/>
    <cellStyle name="20% - 强调文字颜色 5 2 3 4 2 3" xfId="4729"/>
    <cellStyle name="20% - 强调文字颜色 5 2 3 4 3" xfId="4478"/>
    <cellStyle name="20% - 强调文字颜色 5 2 3 5" xfId="865"/>
    <cellStyle name="20% - 强调文字颜色 5 2 3 5 2" xfId="866"/>
    <cellStyle name="20% - 强调文字颜色 5 2 3 6" xfId="4622"/>
    <cellStyle name="20% - 强调文字颜色 5 3" xfId="867"/>
    <cellStyle name="20% - 强调文字颜色 5 3 2" xfId="868"/>
    <cellStyle name="20% - 强调文字颜色 5 3 2 2" xfId="869"/>
    <cellStyle name="20% - 强调文字颜色 5 3 2 2 2" xfId="4386"/>
    <cellStyle name="20% - 强调文字颜色 5 3 2 2 3" xfId="4730"/>
    <cellStyle name="20% - 强调文字颜色 5 3 2 3" xfId="870"/>
    <cellStyle name="20% - 强调文字颜色 5 3 2 3 2" xfId="871"/>
    <cellStyle name="20% - 强调文字颜色 5 3 2 3 2 2" xfId="4481"/>
    <cellStyle name="20% - 强调文字颜色 5 3 2 3 2 3" xfId="4731"/>
    <cellStyle name="20% - 强调文字颜色 5 3 2 3 3" xfId="4480"/>
    <cellStyle name="20% - 强调文字颜色 5 3 2 4" xfId="872"/>
    <cellStyle name="20% - 强调文字颜色 5 3 2 4 2" xfId="873"/>
    <cellStyle name="20% - 强调文字颜色 5 3 2 4 2 2" xfId="4483"/>
    <cellStyle name="20% - 强调文字颜色 5 3 2 4 2 3" xfId="4732"/>
    <cellStyle name="20% - 强调文字颜色 5 3 2 4 3" xfId="4482"/>
    <cellStyle name="20% - 强调文字颜色 5 3 2 5" xfId="874"/>
    <cellStyle name="20% - 强调文字颜色 5 3 2 5 2" xfId="875"/>
    <cellStyle name="20% - 强调文字颜色 5 3 2 6" xfId="4623"/>
    <cellStyle name="20% - 强调文字颜色 5 4" xfId="876"/>
    <cellStyle name="20% - 强调文字颜色 5 4 2" xfId="877"/>
    <cellStyle name="20% - 强调文字颜色 5 4 2 2" xfId="4485"/>
    <cellStyle name="20% - 强调文字颜色 5 4 2 3" xfId="4733"/>
    <cellStyle name="20% - 强调文字颜色 5 4 3" xfId="4484"/>
    <cellStyle name="20% - 强调文字颜色 5 5" xfId="878"/>
    <cellStyle name="20% - 强调文字颜色 5 5 2" xfId="879"/>
    <cellStyle name="20% - 强调文字颜色 5 5 2 2" xfId="4487"/>
    <cellStyle name="20% - 强调文字颜色 5 5 2 3" xfId="4734"/>
    <cellStyle name="20% - 强调文字颜色 5 5 3" xfId="4486"/>
    <cellStyle name="20% - 强调文字颜色 5 6" xfId="880"/>
    <cellStyle name="20% - 强调文字颜色 5 6 2" xfId="881"/>
    <cellStyle name="20% - 强调文字颜色 5 7" xfId="4620"/>
    <cellStyle name="20% - 强调文字颜色 6" xfId="882"/>
    <cellStyle name="20% - 强调文字颜色 6 2" xfId="883"/>
    <cellStyle name="20% - 强调文字颜色 6 2 2" xfId="884"/>
    <cellStyle name="20% - 强调文字颜色 6 2 2 2" xfId="885"/>
    <cellStyle name="20% - 强调文字颜色 6 2 2 2 2" xfId="886"/>
    <cellStyle name="20% - 强调文字颜色 6 2 2 2 2 2" xfId="4387"/>
    <cellStyle name="20% - 强调文字颜色 6 2 2 2 2 3" xfId="4735"/>
    <cellStyle name="20% - 强调文字颜色 6 2 2 2 3" xfId="887"/>
    <cellStyle name="20% - 强调文字颜色 6 2 2 2 3 2" xfId="888"/>
    <cellStyle name="20% - 强调文字颜色 6 2 2 2 3 2 2" xfId="4489"/>
    <cellStyle name="20% - 强调文字颜色 6 2 2 2 3 2 3" xfId="4736"/>
    <cellStyle name="20% - 强调文字颜色 6 2 2 2 3 3" xfId="4488"/>
    <cellStyle name="20% - 强调文字颜色 6 2 2 2 4" xfId="889"/>
    <cellStyle name="20% - 强调文字颜色 6 2 2 2 4 2" xfId="890"/>
    <cellStyle name="20% - 强调文字颜色 6 2 2 2 4 2 2" xfId="4491"/>
    <cellStyle name="20% - 强调文字颜色 6 2 2 2 4 2 3" xfId="4737"/>
    <cellStyle name="20% - 强调文字颜色 6 2 2 2 4 3" xfId="4490"/>
    <cellStyle name="20% - 强调文字颜色 6 2 2 2 5" xfId="891"/>
    <cellStyle name="20% - 强调文字颜色 6 2 2 2 5 2" xfId="892"/>
    <cellStyle name="20% - 强调文字颜色 6 2 2 2 6" xfId="4625"/>
    <cellStyle name="20% - 强调文字颜色 6 2 3" xfId="893"/>
    <cellStyle name="20% - 强调文字颜色 6 2 3 2" xfId="894"/>
    <cellStyle name="20% - 强调文字颜色 6 2 3 2 2" xfId="4388"/>
    <cellStyle name="20% - 强调文字颜色 6 2 3 2 3" xfId="4738"/>
    <cellStyle name="20% - 强调文字颜色 6 2 3 3" xfId="895"/>
    <cellStyle name="20% - 强调文字颜色 6 2 3 3 2" xfId="896"/>
    <cellStyle name="20% - 强调文字颜色 6 2 3 3 2 2" xfId="4493"/>
    <cellStyle name="20% - 强调文字颜色 6 2 3 3 2 3" xfId="4739"/>
    <cellStyle name="20% - 强调文字颜色 6 2 3 3 3" xfId="4492"/>
    <cellStyle name="20% - 强调文字颜色 6 2 3 4" xfId="897"/>
    <cellStyle name="20% - 强调文字颜色 6 2 3 4 2" xfId="898"/>
    <cellStyle name="20% - 强调文字颜色 6 2 3 4 2 2" xfId="4495"/>
    <cellStyle name="20% - 强调文字颜色 6 2 3 4 2 3" xfId="4740"/>
    <cellStyle name="20% - 强调文字颜色 6 2 3 4 3" xfId="4494"/>
    <cellStyle name="20% - 强调文字颜色 6 2 3 5" xfId="899"/>
    <cellStyle name="20% - 强调文字颜色 6 2 3 5 2" xfId="900"/>
    <cellStyle name="20% - 强调文字颜色 6 2 3 6" xfId="4626"/>
    <cellStyle name="20% - 强调文字颜色 6 3" xfId="901"/>
    <cellStyle name="20% - 强调文字颜色 6 3 2" xfId="902"/>
    <cellStyle name="20% - 强调文字颜色 6 3 2 2" xfId="903"/>
    <cellStyle name="20% - 强调文字颜色 6 3 2 2 2" xfId="4389"/>
    <cellStyle name="20% - 强调文字颜色 6 3 2 2 3" xfId="4741"/>
    <cellStyle name="20% - 强调文字颜色 6 3 2 3" xfId="904"/>
    <cellStyle name="20% - 强调文字颜色 6 3 2 3 2" xfId="905"/>
    <cellStyle name="20% - 强调文字颜色 6 3 2 3 2 2" xfId="4497"/>
    <cellStyle name="20% - 强调文字颜色 6 3 2 3 2 3" xfId="4742"/>
    <cellStyle name="20% - 强调文字颜色 6 3 2 3 3" xfId="4496"/>
    <cellStyle name="20% - 强调文字颜色 6 3 2 4" xfId="906"/>
    <cellStyle name="20% - 强调文字颜色 6 3 2 4 2" xfId="907"/>
    <cellStyle name="20% - 强调文字颜色 6 3 2 4 2 2" xfId="4499"/>
    <cellStyle name="20% - 强调文字颜色 6 3 2 4 2 3" xfId="4743"/>
    <cellStyle name="20% - 强调文字颜色 6 3 2 4 3" xfId="4498"/>
    <cellStyle name="20% - 强调文字颜色 6 3 2 5" xfId="908"/>
    <cellStyle name="20% - 强调文字颜色 6 3 2 5 2" xfId="909"/>
    <cellStyle name="20% - 强调文字颜色 6 3 2 6" xfId="4627"/>
    <cellStyle name="20% - 强调文字颜色 6 4" xfId="910"/>
    <cellStyle name="20% - 强调文字颜色 6 4 2" xfId="911"/>
    <cellStyle name="20% - 强调文字颜色 6 4 2 2" xfId="4501"/>
    <cellStyle name="20% - 强调文字颜色 6 4 2 3" xfId="4744"/>
    <cellStyle name="20% - 强调文字颜色 6 4 3" xfId="4500"/>
    <cellStyle name="20% - 强调文字颜色 6 5" xfId="912"/>
    <cellStyle name="20% - 强调文字颜色 6 5 2" xfId="913"/>
    <cellStyle name="20% - 强调文字颜色 6 5 2 2" xfId="4503"/>
    <cellStyle name="20% - 强调文字颜色 6 5 2 3" xfId="4745"/>
    <cellStyle name="20% - 强调文字颜色 6 5 3" xfId="4502"/>
    <cellStyle name="20% - 强调文字颜色 6 6" xfId="914"/>
    <cellStyle name="20% - 强调文字颜色 6 6 2" xfId="915"/>
    <cellStyle name="20% - 强调文字颜色 6 7" xfId="4624"/>
    <cellStyle name="20% - 강조색1 10" xfId="52161"/>
    <cellStyle name="20% - 강조색1 10 2" xfId="52162"/>
    <cellStyle name="20% - 강조색1 11" xfId="52163"/>
    <cellStyle name="20% - 강조색1 11 2" xfId="52164"/>
    <cellStyle name="20% - 강조색1 12" xfId="52165"/>
    <cellStyle name="20% - 강조색1 13" xfId="52166"/>
    <cellStyle name="20% - 강조색1 14" xfId="52167"/>
    <cellStyle name="20% - 강조색1 15" xfId="52168"/>
    <cellStyle name="20% - 강조색1 16" xfId="52169"/>
    <cellStyle name="20% - 강조색1 17" xfId="52170"/>
    <cellStyle name="20% - 강조색1 18" xfId="52171"/>
    <cellStyle name="20% - 강조색1 19" xfId="52172"/>
    <cellStyle name="20% - 강조색1 2" xfId="5"/>
    <cellStyle name="20% - 강조색1 2 10" xfId="918"/>
    <cellStyle name="20% - 강조색1 2 10 2" xfId="919"/>
    <cellStyle name="20% - 강조색1 2 11" xfId="920"/>
    <cellStyle name="20% - 강조색1 2 11 2" xfId="921"/>
    <cellStyle name="20% - 강조색1 2 12" xfId="922"/>
    <cellStyle name="20% - 강조색1 2 12 2" xfId="923"/>
    <cellStyle name="20% - 강조색1 2 13" xfId="924"/>
    <cellStyle name="20% - 강조색1 2 13 2" xfId="925"/>
    <cellStyle name="20% - 강조색1 2 14" xfId="926"/>
    <cellStyle name="20% - 강조색1 2 14 2" xfId="927"/>
    <cellStyle name="20% - 강조색1 2 15" xfId="928"/>
    <cellStyle name="20% - 강조색1 2 15 2" xfId="929"/>
    <cellStyle name="20% - 강조색1 2 16" xfId="930"/>
    <cellStyle name="20% - 강조색1 2 16 2" xfId="931"/>
    <cellStyle name="20% - 강조색1 2 17" xfId="932"/>
    <cellStyle name="20% - 강조색1 2 17 2" xfId="933"/>
    <cellStyle name="20% - 강조색1 2 18" xfId="934"/>
    <cellStyle name="20% - 강조색1 2 18 2" xfId="935"/>
    <cellStyle name="20% - 강조색1 2 19" xfId="936"/>
    <cellStyle name="20% - 강조색1 2 19 2" xfId="937"/>
    <cellStyle name="20% - 강조색1 2 2" xfId="938"/>
    <cellStyle name="20% - 강조색1 2 2 2" xfId="939"/>
    <cellStyle name="20% - 강조색1 2 2 3" xfId="50699"/>
    <cellStyle name="20% - 강조색1 2 2_CRM팀 1단계 정보확인 DB 검색코드_110425" xfId="940"/>
    <cellStyle name="20% - 강조색1 2 20" xfId="941"/>
    <cellStyle name="20% - 강조색1 2 20 2" xfId="942"/>
    <cellStyle name="20% - 강조색1 2 21" xfId="943"/>
    <cellStyle name="20% - 강조색1 2 21 2" xfId="944"/>
    <cellStyle name="20% - 강조색1 2 22" xfId="945"/>
    <cellStyle name="20% - 강조색1 2 22 2" xfId="946"/>
    <cellStyle name="20% - 강조색1 2 23" xfId="947"/>
    <cellStyle name="20% - 강조색1 2 23 2" xfId="948"/>
    <cellStyle name="20% - 강조색1 2 24" xfId="949"/>
    <cellStyle name="20% - 강조색1 2 24 2" xfId="950"/>
    <cellStyle name="20% - 강조색1 2 25" xfId="951"/>
    <cellStyle name="20% - 강조색1 2 26" xfId="952"/>
    <cellStyle name="20% - 강조색1 2 27" xfId="4829"/>
    <cellStyle name="20% - 강조색1 2 28" xfId="917"/>
    <cellStyle name="20% - 강조색1 2 29" xfId="51239"/>
    <cellStyle name="20% - 강조색1 2 3" xfId="953"/>
    <cellStyle name="20% - 강조색1 2 3 2" xfId="954"/>
    <cellStyle name="20% - 강조색1 2 4" xfId="955"/>
    <cellStyle name="20% - 강조색1 2 4 2" xfId="956"/>
    <cellStyle name="20% - 강조색1 2 5" xfId="957"/>
    <cellStyle name="20% - 강조색1 2 5 2" xfId="958"/>
    <cellStyle name="20% - 강조색1 2 6" xfId="959"/>
    <cellStyle name="20% - 강조색1 2 6 2" xfId="960"/>
    <cellStyle name="20% - 강조색1 2 7" xfId="961"/>
    <cellStyle name="20% - 강조색1 2 7 2" xfId="962"/>
    <cellStyle name="20% - 강조색1 2 8" xfId="963"/>
    <cellStyle name="20% - 강조색1 2 8 2" xfId="964"/>
    <cellStyle name="20% - 강조색1 2 9" xfId="965"/>
    <cellStyle name="20% - 강조색1 2 9 2" xfId="966"/>
    <cellStyle name="20% - 강조색1 2_CRM팀 1단계 정보확인 DB 검색코드_110425" xfId="967"/>
    <cellStyle name="20% - 강조색1 20" xfId="52173"/>
    <cellStyle name="20% - 강조색1 21" xfId="52174"/>
    <cellStyle name="20% - 강조색1 22" xfId="52175"/>
    <cellStyle name="20% - 강조색1 22 2" xfId="52176"/>
    <cellStyle name="20% - 강조색1 22 2 2" xfId="52177"/>
    <cellStyle name="20% - 강조색1 22 3" xfId="52178"/>
    <cellStyle name="20% - 강조색1 23" xfId="52179"/>
    <cellStyle name="20% - 강조색1 23 2" xfId="52180"/>
    <cellStyle name="20% - 강조색1 23 2 2" xfId="52181"/>
    <cellStyle name="20% - 강조색1 23 3" xfId="52182"/>
    <cellStyle name="20% - 강조색1 24" xfId="52183"/>
    <cellStyle name="20% - 강조색1 24 2" xfId="52184"/>
    <cellStyle name="20% - 강조색1 24 2 2" xfId="52185"/>
    <cellStyle name="20% - 강조색1 24 3" xfId="52186"/>
    <cellStyle name="20% - 강조색1 25" xfId="52187"/>
    <cellStyle name="20% - 강조색1 25 2" xfId="52188"/>
    <cellStyle name="20% - 강조색1 25 2 2" xfId="52189"/>
    <cellStyle name="20% - 강조색1 25 3" xfId="52190"/>
    <cellStyle name="20% - 강조색1 26" xfId="52191"/>
    <cellStyle name="20% - 강조색1 26 2" xfId="52192"/>
    <cellStyle name="20% - 강조색1 26 2 2" xfId="52193"/>
    <cellStyle name="20% - 강조색1 26 3" xfId="52194"/>
    <cellStyle name="20% - 강조색1 3" xfId="6"/>
    <cellStyle name="20% - 강조색1 3 2" xfId="969"/>
    <cellStyle name="20% - 강조색1 3 2 2" xfId="50700"/>
    <cellStyle name="20% - 강조색1 3 3" xfId="968"/>
    <cellStyle name="20% - 강조색1 3 4" xfId="52195"/>
    <cellStyle name="20% - 강조색1 3 5" xfId="52196"/>
    <cellStyle name="20% - 강조색1 3_사업부문" xfId="52197"/>
    <cellStyle name="20% - 강조색1 4" xfId="7"/>
    <cellStyle name="20% - 강조색1 4 2" xfId="971"/>
    <cellStyle name="20% - 강조색1 4 2 2" xfId="50701"/>
    <cellStyle name="20% - 강조색1 4 3" xfId="970"/>
    <cellStyle name="20% - 강조색1 4 4" xfId="52198"/>
    <cellStyle name="20% - 강조색1 4 5" xfId="52199"/>
    <cellStyle name="20% - 강조색1 4_사업부문" xfId="52200"/>
    <cellStyle name="20% - 강조색1 5" xfId="8"/>
    <cellStyle name="20% - 강조색1 5 2" xfId="973"/>
    <cellStyle name="20% - 강조색1 5 2 2" xfId="50702"/>
    <cellStyle name="20% - 강조색1 5 3" xfId="972"/>
    <cellStyle name="20% - 강조색1 5_사업부문" xfId="52201"/>
    <cellStyle name="20% - 강조색1 6" xfId="9"/>
    <cellStyle name="20% - 강조색1 6 2" xfId="975"/>
    <cellStyle name="20% - 강조색1 6 2 2" xfId="50703"/>
    <cellStyle name="20% - 강조색1 6 3" xfId="974"/>
    <cellStyle name="20% - 강조색1 6_사업부문" xfId="52202"/>
    <cellStyle name="20% - 강조색1 7" xfId="10"/>
    <cellStyle name="20% - 강조색1 7 2" xfId="5215"/>
    <cellStyle name="20% - 강조색1 7 3" xfId="50704"/>
    <cellStyle name="20% - 강조색1 7_사업부문" xfId="52203"/>
    <cellStyle name="20% - 강조색1 8" xfId="976"/>
    <cellStyle name="20% - 강조색1 8 2" xfId="52204"/>
    <cellStyle name="20% - 강조색1 9" xfId="916"/>
    <cellStyle name="20% - 강조색1 9 2" xfId="52205"/>
    <cellStyle name="20% - 강조색2 10" xfId="52206"/>
    <cellStyle name="20% - 강조색2 10 2" xfId="52207"/>
    <cellStyle name="20% - 강조색2 11" xfId="52208"/>
    <cellStyle name="20% - 강조색2 11 2" xfId="52209"/>
    <cellStyle name="20% - 강조색2 12" xfId="52210"/>
    <cellStyle name="20% - 강조색2 13" xfId="52211"/>
    <cellStyle name="20% - 강조색2 14" xfId="52212"/>
    <cellStyle name="20% - 강조색2 15" xfId="52213"/>
    <cellStyle name="20% - 강조색2 16" xfId="52214"/>
    <cellStyle name="20% - 강조색2 17" xfId="52215"/>
    <cellStyle name="20% - 강조색2 18" xfId="52216"/>
    <cellStyle name="20% - 강조색2 19" xfId="52217"/>
    <cellStyle name="20% - 강조색2 2" xfId="11"/>
    <cellStyle name="20% - 강조색2 2 10" xfId="979"/>
    <cellStyle name="20% - 강조색2 2 10 2" xfId="980"/>
    <cellStyle name="20% - 강조색2 2 11" xfId="981"/>
    <cellStyle name="20% - 강조색2 2 11 2" xfId="982"/>
    <cellStyle name="20% - 강조색2 2 12" xfId="983"/>
    <cellStyle name="20% - 강조색2 2 12 2" xfId="984"/>
    <cellStyle name="20% - 강조색2 2 13" xfId="985"/>
    <cellStyle name="20% - 강조색2 2 13 2" xfId="986"/>
    <cellStyle name="20% - 강조색2 2 14" xfId="987"/>
    <cellStyle name="20% - 강조색2 2 14 2" xfId="988"/>
    <cellStyle name="20% - 강조색2 2 15" xfId="989"/>
    <cellStyle name="20% - 강조색2 2 15 2" xfId="990"/>
    <cellStyle name="20% - 강조색2 2 16" xfId="991"/>
    <cellStyle name="20% - 강조색2 2 16 2" xfId="992"/>
    <cellStyle name="20% - 강조색2 2 17" xfId="993"/>
    <cellStyle name="20% - 강조색2 2 17 2" xfId="994"/>
    <cellStyle name="20% - 강조색2 2 18" xfId="995"/>
    <cellStyle name="20% - 강조색2 2 18 2" xfId="996"/>
    <cellStyle name="20% - 강조색2 2 19" xfId="997"/>
    <cellStyle name="20% - 강조색2 2 19 2" xfId="998"/>
    <cellStyle name="20% - 강조색2 2 2" xfId="999"/>
    <cellStyle name="20% - 강조색2 2 2 2" xfId="1000"/>
    <cellStyle name="20% - 강조색2 2 2 3" xfId="50705"/>
    <cellStyle name="20% - 강조색2 2 2_CRM팀 1단계 정보확인 DB 검색코드_110425" xfId="1001"/>
    <cellStyle name="20% - 강조색2 2 20" xfId="1002"/>
    <cellStyle name="20% - 강조색2 2 20 2" xfId="1003"/>
    <cellStyle name="20% - 강조색2 2 21" xfId="1004"/>
    <cellStyle name="20% - 강조색2 2 21 2" xfId="1005"/>
    <cellStyle name="20% - 강조색2 2 22" xfId="1006"/>
    <cellStyle name="20% - 강조색2 2 22 2" xfId="1007"/>
    <cellStyle name="20% - 강조색2 2 23" xfId="1008"/>
    <cellStyle name="20% - 강조색2 2 23 2" xfId="1009"/>
    <cellStyle name="20% - 강조색2 2 24" xfId="1010"/>
    <cellStyle name="20% - 강조색2 2 24 2" xfId="1011"/>
    <cellStyle name="20% - 강조색2 2 25" xfId="1012"/>
    <cellStyle name="20% - 강조색2 2 26" xfId="1013"/>
    <cellStyle name="20% - 강조색2 2 27" xfId="4830"/>
    <cellStyle name="20% - 강조색2 2 28" xfId="978"/>
    <cellStyle name="20% - 강조색2 2 29" xfId="51240"/>
    <cellStyle name="20% - 강조색2 2 3" xfId="1014"/>
    <cellStyle name="20% - 강조색2 2 3 2" xfId="1015"/>
    <cellStyle name="20% - 강조색2 2 4" xfId="1016"/>
    <cellStyle name="20% - 강조색2 2 4 2" xfId="1017"/>
    <cellStyle name="20% - 강조색2 2 5" xfId="1018"/>
    <cellStyle name="20% - 강조색2 2 5 2" xfId="1019"/>
    <cellStyle name="20% - 강조색2 2 6" xfId="1020"/>
    <cellStyle name="20% - 강조색2 2 6 2" xfId="1021"/>
    <cellStyle name="20% - 강조색2 2 7" xfId="1022"/>
    <cellStyle name="20% - 강조색2 2 7 2" xfId="1023"/>
    <cellStyle name="20% - 강조색2 2 8" xfId="1024"/>
    <cellStyle name="20% - 강조색2 2 8 2" xfId="1025"/>
    <cellStyle name="20% - 강조색2 2 9" xfId="1026"/>
    <cellStyle name="20% - 강조색2 2 9 2" xfId="1027"/>
    <cellStyle name="20% - 강조색2 2_CRM팀 1단계 정보확인 DB 검색코드_110425" xfId="1028"/>
    <cellStyle name="20% - 강조색2 20" xfId="52218"/>
    <cellStyle name="20% - 강조색2 21" xfId="52219"/>
    <cellStyle name="20% - 강조색2 22" xfId="52220"/>
    <cellStyle name="20% - 강조색2 22 2" xfId="52221"/>
    <cellStyle name="20% - 강조색2 22 2 2" xfId="52222"/>
    <cellStyle name="20% - 강조색2 22 3" xfId="52223"/>
    <cellStyle name="20% - 강조색2 23" xfId="52224"/>
    <cellStyle name="20% - 강조색2 23 2" xfId="52225"/>
    <cellStyle name="20% - 강조색2 23 2 2" xfId="52226"/>
    <cellStyle name="20% - 강조색2 23 3" xfId="52227"/>
    <cellStyle name="20% - 강조색2 24" xfId="52228"/>
    <cellStyle name="20% - 강조색2 24 2" xfId="52229"/>
    <cellStyle name="20% - 강조색2 24 2 2" xfId="52230"/>
    <cellStyle name="20% - 강조색2 24 3" xfId="52231"/>
    <cellStyle name="20% - 강조색2 25" xfId="52232"/>
    <cellStyle name="20% - 강조색2 25 2" xfId="52233"/>
    <cellStyle name="20% - 강조색2 25 2 2" xfId="52234"/>
    <cellStyle name="20% - 강조색2 25 3" xfId="52235"/>
    <cellStyle name="20% - 강조색2 26" xfId="52236"/>
    <cellStyle name="20% - 강조색2 26 2" xfId="52237"/>
    <cellStyle name="20% - 강조색2 26 2 2" xfId="52238"/>
    <cellStyle name="20% - 강조색2 26 3" xfId="52239"/>
    <cellStyle name="20% - 강조색2 3" xfId="12"/>
    <cellStyle name="20% - 강조색2 3 2" xfId="1030"/>
    <cellStyle name="20% - 강조색2 3 2 2" xfId="50706"/>
    <cellStyle name="20% - 강조색2 3 3" xfId="1029"/>
    <cellStyle name="20% - 강조색2 3 4" xfId="52240"/>
    <cellStyle name="20% - 강조색2 3 5" xfId="52241"/>
    <cellStyle name="20% - 강조색2 3_사업부문" xfId="52242"/>
    <cellStyle name="20% - 강조색2 4" xfId="13"/>
    <cellStyle name="20% - 강조색2 4 2" xfId="1032"/>
    <cellStyle name="20% - 강조색2 4 2 2" xfId="50707"/>
    <cellStyle name="20% - 강조색2 4 3" xfId="1031"/>
    <cellStyle name="20% - 강조색2 4 4" xfId="52243"/>
    <cellStyle name="20% - 강조색2 4 5" xfId="52244"/>
    <cellStyle name="20% - 강조색2 4_사업부문" xfId="52245"/>
    <cellStyle name="20% - 강조색2 5" xfId="14"/>
    <cellStyle name="20% - 강조색2 5 2" xfId="1034"/>
    <cellStyle name="20% - 강조색2 5 2 2" xfId="50708"/>
    <cellStyle name="20% - 강조색2 5 3" xfId="1033"/>
    <cellStyle name="20% - 강조색2 5_사업부문" xfId="52246"/>
    <cellStyle name="20% - 강조색2 6" xfId="15"/>
    <cellStyle name="20% - 강조색2 6 2" xfId="1036"/>
    <cellStyle name="20% - 강조색2 6 2 2" xfId="50709"/>
    <cellStyle name="20% - 강조색2 6 3" xfId="1035"/>
    <cellStyle name="20% - 강조색2 6_사업부문" xfId="52247"/>
    <cellStyle name="20% - 강조색2 7" xfId="16"/>
    <cellStyle name="20% - 강조색2 7 2" xfId="5216"/>
    <cellStyle name="20% - 강조색2 7 3" xfId="50710"/>
    <cellStyle name="20% - 강조색2 7_사업부문" xfId="52248"/>
    <cellStyle name="20% - 강조색2 8" xfId="1037"/>
    <cellStyle name="20% - 강조색2 8 2" xfId="52249"/>
    <cellStyle name="20% - 강조색2 9" xfId="977"/>
    <cellStyle name="20% - 강조색2 9 2" xfId="52250"/>
    <cellStyle name="20% - 강조색3 10" xfId="52251"/>
    <cellStyle name="20% - 강조색3 10 2" xfId="52252"/>
    <cellStyle name="20% - 강조색3 11" xfId="52253"/>
    <cellStyle name="20% - 강조색3 11 2" xfId="52254"/>
    <cellStyle name="20% - 강조색3 12" xfId="52255"/>
    <cellStyle name="20% - 강조색3 13" xfId="52256"/>
    <cellStyle name="20% - 강조색3 14" xfId="52257"/>
    <cellStyle name="20% - 강조색3 15" xfId="52258"/>
    <cellStyle name="20% - 강조색3 16" xfId="52259"/>
    <cellStyle name="20% - 강조색3 17" xfId="52260"/>
    <cellStyle name="20% - 강조색3 18" xfId="52261"/>
    <cellStyle name="20% - 강조색3 19" xfId="52262"/>
    <cellStyle name="20% - 강조색3 2" xfId="17"/>
    <cellStyle name="20% - 강조색3 2 10" xfId="1040"/>
    <cellStyle name="20% - 강조색3 2 10 2" xfId="1041"/>
    <cellStyle name="20% - 강조색3 2 11" xfId="1042"/>
    <cellStyle name="20% - 강조색3 2 11 2" xfId="1043"/>
    <cellStyle name="20% - 강조색3 2 12" xfId="1044"/>
    <cellStyle name="20% - 강조색3 2 12 2" xfId="1045"/>
    <cellStyle name="20% - 강조색3 2 13" xfId="1046"/>
    <cellStyle name="20% - 강조색3 2 13 2" xfId="1047"/>
    <cellStyle name="20% - 강조색3 2 14" xfId="1048"/>
    <cellStyle name="20% - 강조색3 2 14 2" xfId="1049"/>
    <cellStyle name="20% - 강조색3 2 15" xfId="1050"/>
    <cellStyle name="20% - 강조색3 2 15 2" xfId="1051"/>
    <cellStyle name="20% - 강조색3 2 16" xfId="1052"/>
    <cellStyle name="20% - 강조색3 2 16 2" xfId="1053"/>
    <cellStyle name="20% - 강조색3 2 17" xfId="1054"/>
    <cellStyle name="20% - 강조색3 2 17 2" xfId="1055"/>
    <cellStyle name="20% - 강조색3 2 18" xfId="1056"/>
    <cellStyle name="20% - 강조색3 2 18 2" xfId="1057"/>
    <cellStyle name="20% - 강조색3 2 19" xfId="1058"/>
    <cellStyle name="20% - 강조색3 2 19 2" xfId="1059"/>
    <cellStyle name="20% - 강조색3 2 2" xfId="1060"/>
    <cellStyle name="20% - 강조색3 2 2 2" xfId="1061"/>
    <cellStyle name="20% - 강조색3 2 2 3" xfId="50711"/>
    <cellStyle name="20% - 강조색3 2 2_CRM팀 1단계 정보확인 DB 검색코드_110425" xfId="1062"/>
    <cellStyle name="20% - 강조색3 2 20" xfId="1063"/>
    <cellStyle name="20% - 강조색3 2 20 2" xfId="1064"/>
    <cellStyle name="20% - 강조색3 2 21" xfId="1065"/>
    <cellStyle name="20% - 강조색3 2 21 2" xfId="1066"/>
    <cellStyle name="20% - 강조색3 2 22" xfId="1067"/>
    <cellStyle name="20% - 강조색3 2 22 2" xfId="1068"/>
    <cellStyle name="20% - 강조색3 2 23" xfId="1069"/>
    <cellStyle name="20% - 강조색3 2 23 2" xfId="1070"/>
    <cellStyle name="20% - 강조색3 2 24" xfId="1071"/>
    <cellStyle name="20% - 강조색3 2 24 2" xfId="1072"/>
    <cellStyle name="20% - 강조색3 2 25" xfId="1073"/>
    <cellStyle name="20% - 강조색3 2 26" xfId="1074"/>
    <cellStyle name="20% - 강조색3 2 27" xfId="4831"/>
    <cellStyle name="20% - 강조색3 2 28" xfId="1039"/>
    <cellStyle name="20% - 강조색3 2 29" xfId="51241"/>
    <cellStyle name="20% - 강조색3 2 3" xfId="1075"/>
    <cellStyle name="20% - 강조색3 2 3 2" xfId="1076"/>
    <cellStyle name="20% - 강조색3 2 4" xfId="1077"/>
    <cellStyle name="20% - 강조색3 2 4 2" xfId="1078"/>
    <cellStyle name="20% - 강조색3 2 5" xfId="1079"/>
    <cellStyle name="20% - 강조색3 2 5 2" xfId="1080"/>
    <cellStyle name="20% - 강조색3 2 6" xfId="1081"/>
    <cellStyle name="20% - 강조색3 2 6 2" xfId="1082"/>
    <cellStyle name="20% - 강조색3 2 7" xfId="1083"/>
    <cellStyle name="20% - 강조색3 2 7 2" xfId="1084"/>
    <cellStyle name="20% - 강조색3 2 8" xfId="1085"/>
    <cellStyle name="20% - 강조색3 2 8 2" xfId="1086"/>
    <cellStyle name="20% - 강조색3 2 9" xfId="1087"/>
    <cellStyle name="20% - 강조색3 2 9 2" xfId="1088"/>
    <cellStyle name="20% - 강조색3 2_CRM팀 1단계 정보확인 DB 검색코드_110425" xfId="1089"/>
    <cellStyle name="20% - 강조색3 20" xfId="52263"/>
    <cellStyle name="20% - 강조색3 21" xfId="52264"/>
    <cellStyle name="20% - 강조색3 22" xfId="52265"/>
    <cellStyle name="20% - 강조색3 22 2" xfId="52266"/>
    <cellStyle name="20% - 강조색3 22 2 2" xfId="52267"/>
    <cellStyle name="20% - 강조색3 22 3" xfId="52268"/>
    <cellStyle name="20% - 강조색3 23" xfId="52269"/>
    <cellStyle name="20% - 강조색3 23 2" xfId="52270"/>
    <cellStyle name="20% - 강조색3 23 2 2" xfId="52271"/>
    <cellStyle name="20% - 강조색3 23 3" xfId="52272"/>
    <cellStyle name="20% - 강조색3 24" xfId="52273"/>
    <cellStyle name="20% - 강조색3 24 2" xfId="52274"/>
    <cellStyle name="20% - 강조색3 24 2 2" xfId="52275"/>
    <cellStyle name="20% - 강조색3 24 3" xfId="52276"/>
    <cellStyle name="20% - 강조색3 25" xfId="52277"/>
    <cellStyle name="20% - 강조색3 25 2" xfId="52278"/>
    <cellStyle name="20% - 강조색3 25 2 2" xfId="52279"/>
    <cellStyle name="20% - 강조색3 25 3" xfId="52280"/>
    <cellStyle name="20% - 강조색3 26" xfId="52281"/>
    <cellStyle name="20% - 강조색3 26 2" xfId="52282"/>
    <cellStyle name="20% - 강조색3 26 2 2" xfId="52283"/>
    <cellStyle name="20% - 강조색3 26 3" xfId="52284"/>
    <cellStyle name="20% - 강조색3 3" xfId="18"/>
    <cellStyle name="20% - 강조색3 3 2" xfId="1091"/>
    <cellStyle name="20% - 강조색3 3 2 2" xfId="50712"/>
    <cellStyle name="20% - 강조색3 3 3" xfId="1090"/>
    <cellStyle name="20% - 강조색3 3 4" xfId="52285"/>
    <cellStyle name="20% - 강조색3 3 5" xfId="52286"/>
    <cellStyle name="20% - 강조색3 3_사업부문" xfId="52287"/>
    <cellStyle name="20% - 강조색3 4" xfId="19"/>
    <cellStyle name="20% - 강조색3 4 2" xfId="1093"/>
    <cellStyle name="20% - 강조색3 4 2 2" xfId="50713"/>
    <cellStyle name="20% - 강조색3 4 3" xfId="1092"/>
    <cellStyle name="20% - 강조색3 4 4" xfId="52288"/>
    <cellStyle name="20% - 강조색3 4 5" xfId="52289"/>
    <cellStyle name="20% - 강조색3 4_사업부문" xfId="52290"/>
    <cellStyle name="20% - 강조색3 5" xfId="20"/>
    <cellStyle name="20% - 강조색3 5 2" xfId="1095"/>
    <cellStyle name="20% - 강조색3 5 2 2" xfId="50714"/>
    <cellStyle name="20% - 강조색3 5 3" xfId="1094"/>
    <cellStyle name="20% - 강조색3 5_사업부문" xfId="52291"/>
    <cellStyle name="20% - 강조색3 6" xfId="21"/>
    <cellStyle name="20% - 강조색3 6 2" xfId="1097"/>
    <cellStyle name="20% - 강조색3 6 2 2" xfId="50715"/>
    <cellStyle name="20% - 강조색3 6 3" xfId="1096"/>
    <cellStyle name="20% - 강조색3 6_사업부문" xfId="52292"/>
    <cellStyle name="20% - 강조색3 7" xfId="22"/>
    <cellStyle name="20% - 강조색3 7 2" xfId="5217"/>
    <cellStyle name="20% - 강조색3 7 3" xfId="50716"/>
    <cellStyle name="20% - 강조색3 7_사업부문" xfId="52293"/>
    <cellStyle name="20% - 강조색3 8" xfId="1098"/>
    <cellStyle name="20% - 강조색3 8 2" xfId="52294"/>
    <cellStyle name="20% - 강조색3 9" xfId="1038"/>
    <cellStyle name="20% - 강조색3 9 2" xfId="52295"/>
    <cellStyle name="20% - 강조색4 10" xfId="52296"/>
    <cellStyle name="20% - 강조색4 10 2" xfId="52297"/>
    <cellStyle name="20% - 강조색4 11" xfId="52298"/>
    <cellStyle name="20% - 강조색4 11 2" xfId="52299"/>
    <cellStyle name="20% - 강조색4 12" xfId="52300"/>
    <cellStyle name="20% - 강조색4 13" xfId="52301"/>
    <cellStyle name="20% - 강조색4 14" xfId="52302"/>
    <cellStyle name="20% - 강조색4 15" xfId="52303"/>
    <cellStyle name="20% - 강조색4 16" xfId="52304"/>
    <cellStyle name="20% - 강조색4 17" xfId="52305"/>
    <cellStyle name="20% - 강조색4 18" xfId="52306"/>
    <cellStyle name="20% - 강조색4 19" xfId="52307"/>
    <cellStyle name="20% - 강조색4 2" xfId="23"/>
    <cellStyle name="20% - 강조색4 2 10" xfId="1101"/>
    <cellStyle name="20% - 강조색4 2 10 2" xfId="1102"/>
    <cellStyle name="20% - 강조색4 2 11" xfId="1103"/>
    <cellStyle name="20% - 강조색4 2 11 2" xfId="1104"/>
    <cellStyle name="20% - 강조색4 2 12" xfId="1105"/>
    <cellStyle name="20% - 강조색4 2 12 2" xfId="1106"/>
    <cellStyle name="20% - 강조색4 2 13" xfId="1107"/>
    <cellStyle name="20% - 강조색4 2 13 2" xfId="1108"/>
    <cellStyle name="20% - 강조색4 2 14" xfId="1109"/>
    <cellStyle name="20% - 강조색4 2 14 2" xfId="1110"/>
    <cellStyle name="20% - 강조색4 2 15" xfId="1111"/>
    <cellStyle name="20% - 강조색4 2 15 2" xfId="1112"/>
    <cellStyle name="20% - 강조색4 2 16" xfId="1113"/>
    <cellStyle name="20% - 강조색4 2 16 2" xfId="1114"/>
    <cellStyle name="20% - 강조색4 2 17" xfId="1115"/>
    <cellStyle name="20% - 강조색4 2 17 2" xfId="1116"/>
    <cellStyle name="20% - 강조색4 2 18" xfId="1117"/>
    <cellStyle name="20% - 강조색4 2 18 2" xfId="1118"/>
    <cellStyle name="20% - 강조색4 2 19" xfId="1119"/>
    <cellStyle name="20% - 강조색4 2 19 2" xfId="1120"/>
    <cellStyle name="20% - 강조색4 2 2" xfId="1121"/>
    <cellStyle name="20% - 강조색4 2 2 2" xfId="1122"/>
    <cellStyle name="20% - 강조색4 2 2 3" xfId="50717"/>
    <cellStyle name="20% - 강조색4 2 2_CRM팀 1단계 정보확인 DB 검색코드_110425" xfId="1123"/>
    <cellStyle name="20% - 강조색4 2 20" xfId="1124"/>
    <cellStyle name="20% - 강조색4 2 20 2" xfId="1125"/>
    <cellStyle name="20% - 강조색4 2 21" xfId="1126"/>
    <cellStyle name="20% - 강조색4 2 21 2" xfId="1127"/>
    <cellStyle name="20% - 강조색4 2 22" xfId="1128"/>
    <cellStyle name="20% - 강조색4 2 22 2" xfId="1129"/>
    <cellStyle name="20% - 강조색4 2 23" xfId="1130"/>
    <cellStyle name="20% - 강조색4 2 23 2" xfId="1131"/>
    <cellStyle name="20% - 강조색4 2 24" xfId="1132"/>
    <cellStyle name="20% - 강조색4 2 24 2" xfId="1133"/>
    <cellStyle name="20% - 강조색4 2 25" xfId="1134"/>
    <cellStyle name="20% - 강조색4 2 26" xfId="1135"/>
    <cellStyle name="20% - 강조색4 2 27" xfId="4832"/>
    <cellStyle name="20% - 강조색4 2 28" xfId="1100"/>
    <cellStyle name="20% - 강조색4 2 29" xfId="51242"/>
    <cellStyle name="20% - 강조색4 2 3" xfId="1136"/>
    <cellStyle name="20% - 강조색4 2 3 2" xfId="1137"/>
    <cellStyle name="20% - 강조색4 2 4" xfId="1138"/>
    <cellStyle name="20% - 강조색4 2 4 2" xfId="1139"/>
    <cellStyle name="20% - 강조색4 2 5" xfId="1140"/>
    <cellStyle name="20% - 강조색4 2 5 2" xfId="1141"/>
    <cellStyle name="20% - 강조색4 2 6" xfId="1142"/>
    <cellStyle name="20% - 강조색4 2 6 2" xfId="1143"/>
    <cellStyle name="20% - 강조색4 2 7" xfId="1144"/>
    <cellStyle name="20% - 강조색4 2 7 2" xfId="1145"/>
    <cellStyle name="20% - 강조색4 2 8" xfId="1146"/>
    <cellStyle name="20% - 강조색4 2 8 2" xfId="1147"/>
    <cellStyle name="20% - 강조색4 2 9" xfId="1148"/>
    <cellStyle name="20% - 강조색4 2 9 2" xfId="1149"/>
    <cellStyle name="20% - 강조색4 2_CRM팀 1단계 정보확인 DB 검색코드_110425" xfId="1150"/>
    <cellStyle name="20% - 강조색4 20" xfId="52308"/>
    <cellStyle name="20% - 강조색4 21" xfId="52309"/>
    <cellStyle name="20% - 강조색4 22" xfId="52310"/>
    <cellStyle name="20% - 강조색4 22 2" xfId="52311"/>
    <cellStyle name="20% - 강조색4 22 2 2" xfId="52312"/>
    <cellStyle name="20% - 강조색4 22 3" xfId="52313"/>
    <cellStyle name="20% - 강조색4 23" xfId="52314"/>
    <cellStyle name="20% - 강조색4 23 2" xfId="52315"/>
    <cellStyle name="20% - 강조색4 23 2 2" xfId="52316"/>
    <cellStyle name="20% - 강조색4 23 3" xfId="52317"/>
    <cellStyle name="20% - 강조색4 24" xfId="52318"/>
    <cellStyle name="20% - 강조색4 24 2" xfId="52319"/>
    <cellStyle name="20% - 강조색4 24 2 2" xfId="52320"/>
    <cellStyle name="20% - 강조색4 24 3" xfId="52321"/>
    <cellStyle name="20% - 강조색4 25" xfId="52322"/>
    <cellStyle name="20% - 강조색4 25 2" xfId="52323"/>
    <cellStyle name="20% - 강조색4 25 2 2" xfId="52324"/>
    <cellStyle name="20% - 강조색4 25 3" xfId="52325"/>
    <cellStyle name="20% - 강조색4 26" xfId="52326"/>
    <cellStyle name="20% - 강조색4 26 2" xfId="52327"/>
    <cellStyle name="20% - 강조색4 26 2 2" xfId="52328"/>
    <cellStyle name="20% - 강조색4 26 3" xfId="52329"/>
    <cellStyle name="20% - 강조색4 3" xfId="24"/>
    <cellStyle name="20% - 강조색4 3 2" xfId="1152"/>
    <cellStyle name="20% - 강조색4 3 2 2" xfId="50718"/>
    <cellStyle name="20% - 강조색4 3 3" xfId="1151"/>
    <cellStyle name="20% - 강조색4 3 4" xfId="52330"/>
    <cellStyle name="20% - 강조색4 3 5" xfId="52331"/>
    <cellStyle name="20% - 강조색4 3_사업부문" xfId="52332"/>
    <cellStyle name="20% - 강조색4 4" xfId="25"/>
    <cellStyle name="20% - 강조색4 4 2" xfId="1154"/>
    <cellStyle name="20% - 강조색4 4 2 2" xfId="50719"/>
    <cellStyle name="20% - 강조색4 4 3" xfId="1153"/>
    <cellStyle name="20% - 강조색4 4 4" xfId="52333"/>
    <cellStyle name="20% - 강조색4 4 5" xfId="52334"/>
    <cellStyle name="20% - 강조색4 4_사업부문" xfId="52335"/>
    <cellStyle name="20% - 강조색4 5" xfId="26"/>
    <cellStyle name="20% - 강조색4 5 2" xfId="1156"/>
    <cellStyle name="20% - 강조색4 5 2 2" xfId="50720"/>
    <cellStyle name="20% - 강조색4 5 3" xfId="1155"/>
    <cellStyle name="20% - 강조색4 5_사업부문" xfId="52336"/>
    <cellStyle name="20% - 강조색4 6" xfId="27"/>
    <cellStyle name="20% - 강조색4 6 2" xfId="1158"/>
    <cellStyle name="20% - 강조색4 6 2 2" xfId="50721"/>
    <cellStyle name="20% - 강조색4 6 3" xfId="1157"/>
    <cellStyle name="20% - 강조색4 6_사업부문" xfId="52337"/>
    <cellStyle name="20% - 강조색4 7" xfId="28"/>
    <cellStyle name="20% - 강조색4 7 2" xfId="5218"/>
    <cellStyle name="20% - 강조색4 7 3" xfId="50722"/>
    <cellStyle name="20% - 강조색4 7_사업부문" xfId="52338"/>
    <cellStyle name="20% - 강조색4 8" xfId="1159"/>
    <cellStyle name="20% - 강조색4 8 2" xfId="52339"/>
    <cellStyle name="20% - 강조색4 9" xfId="1099"/>
    <cellStyle name="20% - 강조색4 9 2" xfId="52340"/>
    <cellStyle name="20% - 강조색5 10" xfId="52341"/>
    <cellStyle name="20% - 강조색5 10 2" xfId="52342"/>
    <cellStyle name="20% - 강조색5 11" xfId="52343"/>
    <cellStyle name="20% - 강조색5 11 2" xfId="52344"/>
    <cellStyle name="20% - 강조색5 12" xfId="52345"/>
    <cellStyle name="20% - 강조색5 13" xfId="52346"/>
    <cellStyle name="20% - 강조색5 14" xfId="52347"/>
    <cellStyle name="20% - 강조색5 15" xfId="52348"/>
    <cellStyle name="20% - 강조색5 16" xfId="52349"/>
    <cellStyle name="20% - 강조색5 17" xfId="52350"/>
    <cellStyle name="20% - 강조색5 18" xfId="52351"/>
    <cellStyle name="20% - 강조색5 19" xfId="52352"/>
    <cellStyle name="20% - 강조색5 2" xfId="29"/>
    <cellStyle name="20% - 강조색5 2 10" xfId="1162"/>
    <cellStyle name="20% - 강조색5 2 10 2" xfId="1163"/>
    <cellStyle name="20% - 강조색5 2 11" xfId="1164"/>
    <cellStyle name="20% - 강조색5 2 11 2" xfId="1165"/>
    <cellStyle name="20% - 강조색5 2 12" xfId="1166"/>
    <cellStyle name="20% - 강조색5 2 12 2" xfId="1167"/>
    <cellStyle name="20% - 강조색5 2 13" xfId="1168"/>
    <cellStyle name="20% - 강조색5 2 13 2" xfId="1169"/>
    <cellStyle name="20% - 강조색5 2 14" xfId="1170"/>
    <cellStyle name="20% - 강조색5 2 14 2" xfId="1171"/>
    <cellStyle name="20% - 강조색5 2 15" xfId="1172"/>
    <cellStyle name="20% - 강조색5 2 15 2" xfId="1173"/>
    <cellStyle name="20% - 강조색5 2 16" xfId="1174"/>
    <cellStyle name="20% - 강조색5 2 16 2" xfId="1175"/>
    <cellStyle name="20% - 강조색5 2 17" xfId="1176"/>
    <cellStyle name="20% - 강조색5 2 17 2" xfId="1177"/>
    <cellStyle name="20% - 강조색5 2 18" xfId="1178"/>
    <cellStyle name="20% - 강조색5 2 18 2" xfId="1179"/>
    <cellStyle name="20% - 강조색5 2 19" xfId="1180"/>
    <cellStyle name="20% - 강조색5 2 19 2" xfId="1181"/>
    <cellStyle name="20% - 강조색5 2 2" xfId="1182"/>
    <cellStyle name="20% - 강조색5 2 2 2" xfId="1183"/>
    <cellStyle name="20% - 강조색5 2 2 3" xfId="50723"/>
    <cellStyle name="20% - 강조색5 2 2_CRM팀 1단계 정보확인 DB 검색코드_110425" xfId="1184"/>
    <cellStyle name="20% - 강조색5 2 20" xfId="1185"/>
    <cellStyle name="20% - 강조색5 2 20 2" xfId="1186"/>
    <cellStyle name="20% - 강조색5 2 21" xfId="1187"/>
    <cellStyle name="20% - 강조색5 2 21 2" xfId="1188"/>
    <cellStyle name="20% - 강조색5 2 22" xfId="1189"/>
    <cellStyle name="20% - 강조색5 2 22 2" xfId="1190"/>
    <cellStyle name="20% - 강조색5 2 23" xfId="1191"/>
    <cellStyle name="20% - 강조색5 2 23 2" xfId="1192"/>
    <cellStyle name="20% - 강조색5 2 24" xfId="1193"/>
    <cellStyle name="20% - 강조색5 2 24 2" xfId="1194"/>
    <cellStyle name="20% - 강조색5 2 25" xfId="1195"/>
    <cellStyle name="20% - 강조색5 2 26" xfId="1196"/>
    <cellStyle name="20% - 강조색5 2 27" xfId="4833"/>
    <cellStyle name="20% - 강조색5 2 28" xfId="1161"/>
    <cellStyle name="20% - 강조색5 2 29" xfId="51243"/>
    <cellStyle name="20% - 강조색5 2 3" xfId="1197"/>
    <cellStyle name="20% - 강조색5 2 3 2" xfId="1198"/>
    <cellStyle name="20% - 강조색5 2 4" xfId="1199"/>
    <cellStyle name="20% - 강조색5 2 4 2" xfId="1200"/>
    <cellStyle name="20% - 강조색5 2 5" xfId="1201"/>
    <cellStyle name="20% - 강조색5 2 5 2" xfId="1202"/>
    <cellStyle name="20% - 강조색5 2 6" xfId="1203"/>
    <cellStyle name="20% - 강조색5 2 6 2" xfId="1204"/>
    <cellStyle name="20% - 강조색5 2 7" xfId="1205"/>
    <cellStyle name="20% - 강조색5 2 7 2" xfId="1206"/>
    <cellStyle name="20% - 강조색5 2 8" xfId="1207"/>
    <cellStyle name="20% - 강조색5 2 8 2" xfId="1208"/>
    <cellStyle name="20% - 강조색5 2 9" xfId="1209"/>
    <cellStyle name="20% - 강조색5 2 9 2" xfId="1210"/>
    <cellStyle name="20% - 강조색5 2_CRM팀 1단계 정보확인 DB 검색코드_110425" xfId="1211"/>
    <cellStyle name="20% - 강조색5 20" xfId="52353"/>
    <cellStyle name="20% - 강조색5 21" xfId="52354"/>
    <cellStyle name="20% - 강조색5 22" xfId="52355"/>
    <cellStyle name="20% - 강조색5 22 2" xfId="52356"/>
    <cellStyle name="20% - 강조색5 22 2 2" xfId="52357"/>
    <cellStyle name="20% - 강조색5 22 3" xfId="52358"/>
    <cellStyle name="20% - 강조색5 23" xfId="52359"/>
    <cellStyle name="20% - 강조색5 23 2" xfId="52360"/>
    <cellStyle name="20% - 강조색5 23 2 2" xfId="52361"/>
    <cellStyle name="20% - 강조색5 23 3" xfId="52362"/>
    <cellStyle name="20% - 강조색5 24" xfId="52363"/>
    <cellStyle name="20% - 강조색5 24 2" xfId="52364"/>
    <cellStyle name="20% - 강조색5 24 2 2" xfId="52365"/>
    <cellStyle name="20% - 강조색5 24 3" xfId="52366"/>
    <cellStyle name="20% - 강조색5 25" xfId="52367"/>
    <cellStyle name="20% - 강조색5 25 2" xfId="52368"/>
    <cellStyle name="20% - 강조색5 25 2 2" xfId="52369"/>
    <cellStyle name="20% - 강조색5 25 3" xfId="52370"/>
    <cellStyle name="20% - 강조색5 26" xfId="52371"/>
    <cellStyle name="20% - 강조색5 26 2" xfId="52372"/>
    <cellStyle name="20% - 강조색5 26 2 2" xfId="52373"/>
    <cellStyle name="20% - 강조색5 26 3" xfId="52374"/>
    <cellStyle name="20% - 강조색5 3" xfId="30"/>
    <cellStyle name="20% - 강조색5 3 2" xfId="1213"/>
    <cellStyle name="20% - 강조색5 3 2 2" xfId="50724"/>
    <cellStyle name="20% - 강조색5 3 3" xfId="1212"/>
    <cellStyle name="20% - 강조색5 3 4" xfId="52375"/>
    <cellStyle name="20% - 강조색5 3 5" xfId="52376"/>
    <cellStyle name="20% - 강조색5 3_사업부문" xfId="52377"/>
    <cellStyle name="20% - 강조색5 4" xfId="31"/>
    <cellStyle name="20% - 강조색5 4 2" xfId="1215"/>
    <cellStyle name="20% - 강조색5 4 2 2" xfId="50725"/>
    <cellStyle name="20% - 강조색5 4 3" xfId="1214"/>
    <cellStyle name="20% - 강조색5 4 4" xfId="52378"/>
    <cellStyle name="20% - 강조색5 4 5" xfId="52379"/>
    <cellStyle name="20% - 강조색5 4_사업부문" xfId="52380"/>
    <cellStyle name="20% - 강조색5 5" xfId="32"/>
    <cellStyle name="20% - 강조색5 5 2" xfId="1217"/>
    <cellStyle name="20% - 강조색5 5 2 2" xfId="50726"/>
    <cellStyle name="20% - 강조색5 5 3" xfId="1216"/>
    <cellStyle name="20% - 강조색5 5_사업부문" xfId="52381"/>
    <cellStyle name="20% - 강조색5 6" xfId="33"/>
    <cellStyle name="20% - 강조색5 6 2" xfId="1219"/>
    <cellStyle name="20% - 강조색5 6 2 2" xfId="50727"/>
    <cellStyle name="20% - 강조색5 6 3" xfId="1218"/>
    <cellStyle name="20% - 강조색5 6_사업부문" xfId="52382"/>
    <cellStyle name="20% - 강조색5 7" xfId="34"/>
    <cellStyle name="20% - 강조색5 7 2" xfId="5219"/>
    <cellStyle name="20% - 강조색5 7 3" xfId="50728"/>
    <cellStyle name="20% - 강조색5 7_사업부문" xfId="52383"/>
    <cellStyle name="20% - 강조색5 8" xfId="1220"/>
    <cellStyle name="20% - 강조색5 8 2" xfId="52384"/>
    <cellStyle name="20% - 강조색5 9" xfId="1160"/>
    <cellStyle name="20% - 강조색5 9 2" xfId="52385"/>
    <cellStyle name="20% - 강조색6 10" xfId="52386"/>
    <cellStyle name="20% - 강조색6 10 2" xfId="52387"/>
    <cellStyle name="20% - 강조색6 11" xfId="52388"/>
    <cellStyle name="20% - 강조색6 11 2" xfId="52389"/>
    <cellStyle name="20% - 강조색6 12" xfId="52390"/>
    <cellStyle name="20% - 강조색6 13" xfId="52391"/>
    <cellStyle name="20% - 강조색6 14" xfId="52392"/>
    <cellStyle name="20% - 강조색6 15" xfId="52393"/>
    <cellStyle name="20% - 강조색6 16" xfId="52394"/>
    <cellStyle name="20% - 강조색6 17" xfId="52395"/>
    <cellStyle name="20% - 강조색6 18" xfId="52396"/>
    <cellStyle name="20% - 강조색6 19" xfId="52397"/>
    <cellStyle name="20% - 강조색6 2" xfId="35"/>
    <cellStyle name="20% - 강조색6 2 10" xfId="1223"/>
    <cellStyle name="20% - 강조색6 2 10 2" xfId="1224"/>
    <cellStyle name="20% - 강조색6 2 11" xfId="1225"/>
    <cellStyle name="20% - 강조색6 2 11 2" xfId="1226"/>
    <cellStyle name="20% - 강조색6 2 12" xfId="1227"/>
    <cellStyle name="20% - 강조색6 2 12 2" xfId="1228"/>
    <cellStyle name="20% - 강조색6 2 13" xfId="1229"/>
    <cellStyle name="20% - 강조색6 2 13 2" xfId="1230"/>
    <cellStyle name="20% - 강조색6 2 14" xfId="1231"/>
    <cellStyle name="20% - 강조색6 2 14 2" xfId="1232"/>
    <cellStyle name="20% - 강조색6 2 15" xfId="1233"/>
    <cellStyle name="20% - 강조색6 2 15 2" xfId="1234"/>
    <cellStyle name="20% - 강조색6 2 16" xfId="1235"/>
    <cellStyle name="20% - 강조색6 2 16 2" xfId="1236"/>
    <cellStyle name="20% - 강조색6 2 17" xfId="1237"/>
    <cellStyle name="20% - 강조색6 2 17 2" xfId="1238"/>
    <cellStyle name="20% - 강조색6 2 18" xfId="1239"/>
    <cellStyle name="20% - 강조색6 2 18 2" xfId="1240"/>
    <cellStyle name="20% - 강조색6 2 19" xfId="1241"/>
    <cellStyle name="20% - 강조색6 2 19 2" xfId="1242"/>
    <cellStyle name="20% - 강조색6 2 2" xfId="1243"/>
    <cellStyle name="20% - 강조색6 2 2 2" xfId="1244"/>
    <cellStyle name="20% - 강조색6 2 2 3" xfId="50729"/>
    <cellStyle name="20% - 강조색6 2 2_CRM팀 1단계 정보확인 DB 검색코드_110425" xfId="1245"/>
    <cellStyle name="20% - 강조색6 2 20" xfId="1246"/>
    <cellStyle name="20% - 강조색6 2 20 2" xfId="1247"/>
    <cellStyle name="20% - 강조색6 2 21" xfId="1248"/>
    <cellStyle name="20% - 강조색6 2 21 2" xfId="1249"/>
    <cellStyle name="20% - 강조색6 2 22" xfId="1250"/>
    <cellStyle name="20% - 강조색6 2 22 2" xfId="1251"/>
    <cellStyle name="20% - 강조색6 2 23" xfId="1252"/>
    <cellStyle name="20% - 강조색6 2 23 2" xfId="1253"/>
    <cellStyle name="20% - 강조색6 2 24" xfId="1254"/>
    <cellStyle name="20% - 강조색6 2 24 2" xfId="1255"/>
    <cellStyle name="20% - 강조색6 2 25" xfId="1256"/>
    <cellStyle name="20% - 강조색6 2 26" xfId="1257"/>
    <cellStyle name="20% - 강조색6 2 27" xfId="4834"/>
    <cellStyle name="20% - 강조색6 2 28" xfId="1222"/>
    <cellStyle name="20% - 강조색6 2 29" xfId="51244"/>
    <cellStyle name="20% - 강조색6 2 3" xfId="1258"/>
    <cellStyle name="20% - 강조색6 2 3 2" xfId="1259"/>
    <cellStyle name="20% - 강조색6 2 4" xfId="1260"/>
    <cellStyle name="20% - 강조색6 2 4 2" xfId="1261"/>
    <cellStyle name="20% - 강조색6 2 5" xfId="1262"/>
    <cellStyle name="20% - 강조색6 2 5 2" xfId="1263"/>
    <cellStyle name="20% - 강조색6 2 6" xfId="1264"/>
    <cellStyle name="20% - 강조색6 2 6 2" xfId="1265"/>
    <cellStyle name="20% - 강조색6 2 7" xfId="1266"/>
    <cellStyle name="20% - 강조색6 2 7 2" xfId="1267"/>
    <cellStyle name="20% - 강조색6 2 8" xfId="1268"/>
    <cellStyle name="20% - 강조색6 2 8 2" xfId="1269"/>
    <cellStyle name="20% - 강조색6 2 9" xfId="1270"/>
    <cellStyle name="20% - 강조색6 2 9 2" xfId="1271"/>
    <cellStyle name="20% - 강조색6 2_CRM팀 1단계 정보확인 DB 검색코드_110425" xfId="1272"/>
    <cellStyle name="20% - 강조색6 20" xfId="52398"/>
    <cellStyle name="20% - 강조색6 21" xfId="52399"/>
    <cellStyle name="20% - 강조색6 22" xfId="52400"/>
    <cellStyle name="20% - 강조색6 22 2" xfId="52401"/>
    <cellStyle name="20% - 강조색6 22 2 2" xfId="52402"/>
    <cellStyle name="20% - 강조색6 22 3" xfId="52403"/>
    <cellStyle name="20% - 강조색6 23" xfId="52404"/>
    <cellStyle name="20% - 강조색6 23 2" xfId="52405"/>
    <cellStyle name="20% - 강조색6 23 2 2" xfId="52406"/>
    <cellStyle name="20% - 강조색6 23 3" xfId="52407"/>
    <cellStyle name="20% - 강조색6 24" xfId="52408"/>
    <cellStyle name="20% - 강조색6 24 2" xfId="52409"/>
    <cellStyle name="20% - 강조색6 24 2 2" xfId="52410"/>
    <cellStyle name="20% - 강조색6 24 3" xfId="52411"/>
    <cellStyle name="20% - 강조색6 25" xfId="52412"/>
    <cellStyle name="20% - 강조색6 25 2" xfId="52413"/>
    <cellStyle name="20% - 강조색6 25 2 2" xfId="52414"/>
    <cellStyle name="20% - 강조색6 25 3" xfId="52415"/>
    <cellStyle name="20% - 강조색6 26" xfId="52416"/>
    <cellStyle name="20% - 강조색6 26 2" xfId="52417"/>
    <cellStyle name="20% - 강조색6 26 2 2" xfId="52418"/>
    <cellStyle name="20% - 강조색6 26 3" xfId="52419"/>
    <cellStyle name="20% - 강조색6 3" xfId="36"/>
    <cellStyle name="20% - 강조색6 3 2" xfId="1274"/>
    <cellStyle name="20% - 강조색6 3 2 2" xfId="50730"/>
    <cellStyle name="20% - 강조색6 3 3" xfId="1273"/>
    <cellStyle name="20% - 강조색6 3 4" xfId="52420"/>
    <cellStyle name="20% - 강조색6 3 5" xfId="52421"/>
    <cellStyle name="20% - 강조색6 3_사업부문" xfId="52422"/>
    <cellStyle name="20% - 강조색6 4" xfId="37"/>
    <cellStyle name="20% - 강조색6 4 2" xfId="1276"/>
    <cellStyle name="20% - 강조색6 4 2 2" xfId="50731"/>
    <cellStyle name="20% - 강조색6 4 3" xfId="1275"/>
    <cellStyle name="20% - 강조색6 4 4" xfId="52423"/>
    <cellStyle name="20% - 강조색6 4 5" xfId="52424"/>
    <cellStyle name="20% - 강조색6 4_사업부문" xfId="52425"/>
    <cellStyle name="20% - 강조색6 5" xfId="38"/>
    <cellStyle name="20% - 강조색6 5 2" xfId="1278"/>
    <cellStyle name="20% - 강조색6 5 2 2" xfId="50732"/>
    <cellStyle name="20% - 강조색6 5 3" xfId="1277"/>
    <cellStyle name="20% - 강조색6 5_사업부문" xfId="52426"/>
    <cellStyle name="20% - 강조색6 6" xfId="39"/>
    <cellStyle name="20% - 강조색6 6 2" xfId="1280"/>
    <cellStyle name="20% - 강조색6 6 2 2" xfId="50733"/>
    <cellStyle name="20% - 강조색6 6 3" xfId="1279"/>
    <cellStyle name="20% - 강조색6 6_사업부문" xfId="52427"/>
    <cellStyle name="20% - 강조색6 7" xfId="40"/>
    <cellStyle name="20% - 강조색6 7 2" xfId="5220"/>
    <cellStyle name="20% - 강조색6 7 3" xfId="50734"/>
    <cellStyle name="20% - 강조색6 7_사업부문" xfId="52428"/>
    <cellStyle name="20% - 강조색6 8" xfId="1281"/>
    <cellStyle name="20% - 강조색6 8 2" xfId="52429"/>
    <cellStyle name="20% - 강조색6 9" xfId="1221"/>
    <cellStyle name="20% - 강조색6 9 2" xfId="52430"/>
    <cellStyle name="3_99매출" xfId="52431"/>
    <cellStyle name="32" xfId="52432"/>
    <cellStyle name="40% - Accent1" xfId="1282"/>
    <cellStyle name="40% - Accent1 2" xfId="5221"/>
    <cellStyle name="40% - Accent1 3" xfId="5222"/>
    <cellStyle name="40% - Accent1 4" xfId="5223"/>
    <cellStyle name="40% - Accent2" xfId="1283"/>
    <cellStyle name="40% - Accent2 2" xfId="5224"/>
    <cellStyle name="40% - Accent2 3" xfId="5225"/>
    <cellStyle name="40% - Accent2 4" xfId="5226"/>
    <cellStyle name="40% - Accent3" xfId="1284"/>
    <cellStyle name="40% - Accent3 2" xfId="5227"/>
    <cellStyle name="40% - Accent3 3" xfId="5228"/>
    <cellStyle name="40% - Accent3 4" xfId="5229"/>
    <cellStyle name="40% - Accent4" xfId="1285"/>
    <cellStyle name="40% - Accent4 2" xfId="5230"/>
    <cellStyle name="40% - Accent4 3" xfId="5231"/>
    <cellStyle name="40% - Accent4 4" xfId="5232"/>
    <cellStyle name="40% - Accent5" xfId="1286"/>
    <cellStyle name="40% - Accent5 2" xfId="5233"/>
    <cellStyle name="40% - Accent5 3" xfId="5234"/>
    <cellStyle name="40% - Accent5 4" xfId="5235"/>
    <cellStyle name="40% - Accent6" xfId="1287"/>
    <cellStyle name="40% - Accent6 2" xfId="5236"/>
    <cellStyle name="40% - Accent6 3" xfId="5237"/>
    <cellStyle name="40% - Accent6 4" xfId="5238"/>
    <cellStyle name="40% - 强调文字颜色 1" xfId="1288"/>
    <cellStyle name="40% - 强调文字颜色 1 2" xfId="1289"/>
    <cellStyle name="40% - 强调文字颜色 1 2 2" xfId="1290"/>
    <cellStyle name="40% - 强调文字颜色 1 2 2 2" xfId="1291"/>
    <cellStyle name="40% - 强调文字颜色 1 2 2 2 2" xfId="1292"/>
    <cellStyle name="40% - 强调文字颜色 1 2 2 2 2 2" xfId="4390"/>
    <cellStyle name="40% - 强调文字颜色 1 2 2 2 2 3" xfId="4746"/>
    <cellStyle name="40% - 强调文字颜色 1 2 2 2 3" xfId="1293"/>
    <cellStyle name="40% - 强调文字颜色 1 2 2 2 3 2" xfId="1294"/>
    <cellStyle name="40% - 强调文字颜色 1 2 2 2 3 2 2" xfId="4505"/>
    <cellStyle name="40% - 强调文字颜色 1 2 2 2 3 2 3" xfId="4747"/>
    <cellStyle name="40% - 强调文字颜色 1 2 2 2 3 3" xfId="4504"/>
    <cellStyle name="40% - 强调文字颜色 1 2 2 2 4" xfId="1295"/>
    <cellStyle name="40% - 强调文字颜色 1 2 2 2 4 2" xfId="1296"/>
    <cellStyle name="40% - 强调文字颜色 1 2 2 2 4 2 2" xfId="4507"/>
    <cellStyle name="40% - 强调文字颜色 1 2 2 2 4 2 3" xfId="4748"/>
    <cellStyle name="40% - 强调文字颜色 1 2 2 2 4 3" xfId="4506"/>
    <cellStyle name="40% - 强调文字颜色 1 2 2 2 5" xfId="1297"/>
    <cellStyle name="40% - 强调文字颜色 1 2 2 2 5 2" xfId="1298"/>
    <cellStyle name="40% - 强调文字颜色 1 2 2 2 6" xfId="4629"/>
    <cellStyle name="40% - 强调文字颜色 1 2 3" xfId="1299"/>
    <cellStyle name="40% - 强调文字颜色 1 2 3 2" xfId="1300"/>
    <cellStyle name="40% - 强调文字颜色 1 2 3 2 2" xfId="4391"/>
    <cellStyle name="40% - 强调文字颜色 1 2 3 2 3" xfId="4749"/>
    <cellStyle name="40% - 强调文字颜色 1 2 3 3" xfId="1301"/>
    <cellStyle name="40% - 强调文字颜色 1 2 3 3 2" xfId="1302"/>
    <cellStyle name="40% - 强调文字颜色 1 2 3 3 2 2" xfId="4509"/>
    <cellStyle name="40% - 强调文字颜色 1 2 3 3 2 3" xfId="4750"/>
    <cellStyle name="40% - 强调文字颜色 1 2 3 3 3" xfId="4508"/>
    <cellStyle name="40% - 强调文字颜色 1 2 3 4" xfId="1303"/>
    <cellStyle name="40% - 强调文字颜色 1 2 3 4 2" xfId="1304"/>
    <cellStyle name="40% - 强调文字颜色 1 2 3 4 2 2" xfId="4511"/>
    <cellStyle name="40% - 强调文字颜色 1 2 3 4 2 3" xfId="4751"/>
    <cellStyle name="40% - 强调文字颜色 1 2 3 4 3" xfId="4510"/>
    <cellStyle name="40% - 强调文字颜色 1 2 3 5" xfId="1305"/>
    <cellStyle name="40% - 强调文字颜色 1 2 3 5 2" xfId="1306"/>
    <cellStyle name="40% - 强调文字颜色 1 2 3 6" xfId="4630"/>
    <cellStyle name="40% - 强调文字颜色 1 3" xfId="1307"/>
    <cellStyle name="40% - 强调文字颜色 1 3 2" xfId="1308"/>
    <cellStyle name="40% - 强调文字颜色 1 3 2 2" xfId="1309"/>
    <cellStyle name="40% - 强调文字颜色 1 3 2 2 2" xfId="4392"/>
    <cellStyle name="40% - 强调文字颜色 1 3 2 2 3" xfId="4752"/>
    <cellStyle name="40% - 强调文字颜色 1 3 2 3" xfId="1310"/>
    <cellStyle name="40% - 强调文字颜色 1 3 2 3 2" xfId="1311"/>
    <cellStyle name="40% - 强调文字颜色 1 3 2 3 2 2" xfId="4513"/>
    <cellStyle name="40% - 强调文字颜色 1 3 2 3 2 3" xfId="4753"/>
    <cellStyle name="40% - 强调文字颜色 1 3 2 3 3" xfId="4512"/>
    <cellStyle name="40% - 强调文字颜色 1 3 2 4" xfId="1312"/>
    <cellStyle name="40% - 强调文字颜色 1 3 2 4 2" xfId="1313"/>
    <cellStyle name="40% - 强调文字颜色 1 3 2 4 2 2" xfId="4515"/>
    <cellStyle name="40% - 强调文字颜色 1 3 2 4 2 3" xfId="4754"/>
    <cellStyle name="40% - 强调文字颜色 1 3 2 4 3" xfId="4514"/>
    <cellStyle name="40% - 强调文字颜色 1 3 2 5" xfId="1314"/>
    <cellStyle name="40% - 强调文字颜色 1 3 2 5 2" xfId="1315"/>
    <cellStyle name="40% - 强调文字颜色 1 3 2 6" xfId="4631"/>
    <cellStyle name="40% - 强调文字颜色 1 4" xfId="1316"/>
    <cellStyle name="40% - 强调文字颜色 1 4 2" xfId="1317"/>
    <cellStyle name="40% - 强调文字颜色 1 4 2 2" xfId="4517"/>
    <cellStyle name="40% - 强调文字颜色 1 4 2 3" xfId="4755"/>
    <cellStyle name="40% - 强调文字颜色 1 4 3" xfId="4516"/>
    <cellStyle name="40% - 强调文字颜色 1 5" xfId="1318"/>
    <cellStyle name="40% - 强调文字颜色 1 5 2" xfId="1319"/>
    <cellStyle name="40% - 强调文字颜色 1 5 2 2" xfId="4519"/>
    <cellStyle name="40% - 强调文字颜色 1 5 2 3" xfId="4756"/>
    <cellStyle name="40% - 强调文字颜色 1 5 3" xfId="4518"/>
    <cellStyle name="40% - 强调文字颜色 1 6" xfId="1320"/>
    <cellStyle name="40% - 强调文字颜色 1 6 2" xfId="1321"/>
    <cellStyle name="40% - 强调文字颜色 1 7" xfId="4628"/>
    <cellStyle name="40% - 强调文字颜色 2" xfId="1322"/>
    <cellStyle name="40% - 强调文字颜色 2 2" xfId="1323"/>
    <cellStyle name="40% - 强调文字颜色 2 2 2" xfId="1324"/>
    <cellStyle name="40% - 强调文字颜色 2 2 2 2" xfId="1325"/>
    <cellStyle name="40% - 强调文字颜色 2 2 2 2 2" xfId="1326"/>
    <cellStyle name="40% - 强调文字颜色 2 2 2 2 2 2" xfId="4393"/>
    <cellStyle name="40% - 强调文字颜色 2 2 2 2 2 3" xfId="4757"/>
    <cellStyle name="40% - 强调文字颜色 2 2 2 2 3" xfId="1327"/>
    <cellStyle name="40% - 强调文字颜色 2 2 2 2 3 2" xfId="1328"/>
    <cellStyle name="40% - 强调文字颜色 2 2 2 2 3 2 2" xfId="4521"/>
    <cellStyle name="40% - 强调文字颜色 2 2 2 2 3 2 3" xfId="4758"/>
    <cellStyle name="40% - 强调文字颜色 2 2 2 2 3 3" xfId="4520"/>
    <cellStyle name="40% - 强调文字颜色 2 2 2 2 4" xfId="1329"/>
    <cellStyle name="40% - 强调文字颜色 2 2 2 2 4 2" xfId="1330"/>
    <cellStyle name="40% - 强调文字颜色 2 2 2 2 4 2 2" xfId="4523"/>
    <cellStyle name="40% - 强调文字颜色 2 2 2 2 4 2 3" xfId="4759"/>
    <cellStyle name="40% - 强调文字颜色 2 2 2 2 4 3" xfId="4522"/>
    <cellStyle name="40% - 强调文字颜色 2 2 2 2 5" xfId="1331"/>
    <cellStyle name="40% - 强调文字颜色 2 2 2 2 5 2" xfId="1332"/>
    <cellStyle name="40% - 强调文字颜色 2 2 2 2 6" xfId="4633"/>
    <cellStyle name="40% - 强调文字颜色 2 2 3" xfId="1333"/>
    <cellStyle name="40% - 强调文字颜色 2 2 3 2" xfId="1334"/>
    <cellStyle name="40% - 强调文字颜色 2 2 3 2 2" xfId="4394"/>
    <cellStyle name="40% - 强调文字颜色 2 2 3 2 3" xfId="4760"/>
    <cellStyle name="40% - 强调文字颜色 2 2 3 3" xfId="1335"/>
    <cellStyle name="40% - 强调文字颜色 2 2 3 3 2" xfId="1336"/>
    <cellStyle name="40% - 强调文字颜色 2 2 3 3 2 2" xfId="4525"/>
    <cellStyle name="40% - 强调文字颜色 2 2 3 3 2 3" xfId="4761"/>
    <cellStyle name="40% - 强调文字颜色 2 2 3 3 3" xfId="4524"/>
    <cellStyle name="40% - 强调文字颜色 2 2 3 4" xfId="1337"/>
    <cellStyle name="40% - 强调文字颜色 2 2 3 4 2" xfId="1338"/>
    <cellStyle name="40% - 强调文字颜色 2 2 3 4 2 2" xfId="4527"/>
    <cellStyle name="40% - 强调文字颜色 2 2 3 4 2 3" xfId="4762"/>
    <cellStyle name="40% - 强调文字颜色 2 2 3 4 3" xfId="4526"/>
    <cellStyle name="40% - 强调文字颜色 2 2 3 5" xfId="1339"/>
    <cellStyle name="40% - 强调文字颜色 2 2 3 5 2" xfId="1340"/>
    <cellStyle name="40% - 强调文字颜色 2 2 3 6" xfId="4634"/>
    <cellStyle name="40% - 强调文字颜色 2 3" xfId="1341"/>
    <cellStyle name="40% - 强调文字颜色 2 3 2" xfId="1342"/>
    <cellStyle name="40% - 强调文字颜色 2 3 2 2" xfId="1343"/>
    <cellStyle name="40% - 强调文字颜色 2 3 2 2 2" xfId="4395"/>
    <cellStyle name="40% - 强调文字颜色 2 3 2 2 3" xfId="4763"/>
    <cellStyle name="40% - 强调文字颜色 2 3 2 3" xfId="1344"/>
    <cellStyle name="40% - 强调文字颜色 2 3 2 3 2" xfId="1345"/>
    <cellStyle name="40% - 强调文字颜色 2 3 2 3 2 2" xfId="4529"/>
    <cellStyle name="40% - 强调文字颜色 2 3 2 3 2 3" xfId="4764"/>
    <cellStyle name="40% - 强调文字颜色 2 3 2 3 3" xfId="4528"/>
    <cellStyle name="40% - 强调文字颜色 2 3 2 4" xfId="1346"/>
    <cellStyle name="40% - 强调文字颜色 2 3 2 4 2" xfId="1347"/>
    <cellStyle name="40% - 强调文字颜色 2 3 2 4 2 2" xfId="4531"/>
    <cellStyle name="40% - 强调文字颜色 2 3 2 4 2 3" xfId="4765"/>
    <cellStyle name="40% - 强调文字颜色 2 3 2 4 3" xfId="4530"/>
    <cellStyle name="40% - 强调文字颜色 2 3 2 5" xfId="1348"/>
    <cellStyle name="40% - 强调文字颜色 2 3 2 5 2" xfId="1349"/>
    <cellStyle name="40% - 强调文字颜色 2 3 2 6" xfId="4635"/>
    <cellStyle name="40% - 强调文字颜色 2 4" xfId="1350"/>
    <cellStyle name="40% - 强调文字颜色 2 4 2" xfId="1351"/>
    <cellStyle name="40% - 强调文字颜色 2 4 2 2" xfId="4533"/>
    <cellStyle name="40% - 强调文字颜色 2 4 2 3" xfId="4766"/>
    <cellStyle name="40% - 强调文字颜色 2 4 3" xfId="4532"/>
    <cellStyle name="40% - 强调文字颜色 2 5" xfId="1352"/>
    <cellStyle name="40% - 强调文字颜色 2 5 2" xfId="1353"/>
    <cellStyle name="40% - 强调文字颜色 2 5 2 2" xfId="4535"/>
    <cellStyle name="40% - 强调文字颜色 2 5 2 3" xfId="4767"/>
    <cellStyle name="40% - 强调文字颜色 2 5 3" xfId="4534"/>
    <cellStyle name="40% - 强调文字颜色 2 6" xfId="1354"/>
    <cellStyle name="40% - 强调文字颜色 2 6 2" xfId="1355"/>
    <cellStyle name="40% - 强调文字颜色 2 7" xfId="4632"/>
    <cellStyle name="40% - 强调文字颜色 3" xfId="1356"/>
    <cellStyle name="40% - 强调文字颜色 3 2" xfId="1357"/>
    <cellStyle name="40% - 强调文字颜色 3 2 2" xfId="1358"/>
    <cellStyle name="40% - 强调文字颜色 3 2 2 2" xfId="1359"/>
    <cellStyle name="40% - 强调文字颜色 3 2 2 2 2" xfId="1360"/>
    <cellStyle name="40% - 强调文字颜色 3 2 2 2 2 2" xfId="4396"/>
    <cellStyle name="40% - 强调文字颜色 3 2 2 2 2 3" xfId="4768"/>
    <cellStyle name="40% - 强调文字颜色 3 2 2 2 3" xfId="1361"/>
    <cellStyle name="40% - 强调文字颜色 3 2 2 2 3 2" xfId="1362"/>
    <cellStyle name="40% - 强调文字颜色 3 2 2 2 3 2 2" xfId="4537"/>
    <cellStyle name="40% - 强调文字颜色 3 2 2 2 3 2 3" xfId="4769"/>
    <cellStyle name="40% - 强调文字颜色 3 2 2 2 3 3" xfId="4536"/>
    <cellStyle name="40% - 强调文字颜色 3 2 2 2 4" xfId="1363"/>
    <cellStyle name="40% - 强调文字颜色 3 2 2 2 4 2" xfId="1364"/>
    <cellStyle name="40% - 强调文字颜色 3 2 2 2 4 2 2" xfId="4539"/>
    <cellStyle name="40% - 强调文字颜色 3 2 2 2 4 2 3" xfId="4770"/>
    <cellStyle name="40% - 强调文字颜色 3 2 2 2 4 3" xfId="4538"/>
    <cellStyle name="40% - 强调文字颜色 3 2 2 2 5" xfId="1365"/>
    <cellStyle name="40% - 强调文字颜色 3 2 2 2 5 2" xfId="1366"/>
    <cellStyle name="40% - 强调文字颜色 3 2 2 2 6" xfId="4637"/>
    <cellStyle name="40% - 强调文字颜色 3 2 3" xfId="1367"/>
    <cellStyle name="40% - 强调文字颜色 3 2 3 2" xfId="1368"/>
    <cellStyle name="40% - 强调文字颜色 3 2 3 2 2" xfId="4397"/>
    <cellStyle name="40% - 强调文字颜色 3 2 3 2 3" xfId="4771"/>
    <cellStyle name="40% - 强调文字颜色 3 2 3 3" xfId="1369"/>
    <cellStyle name="40% - 强调文字颜色 3 2 3 3 2" xfId="1370"/>
    <cellStyle name="40% - 强调文字颜色 3 2 3 3 2 2" xfId="4541"/>
    <cellStyle name="40% - 强调文字颜色 3 2 3 3 2 3" xfId="4772"/>
    <cellStyle name="40% - 强调文字颜色 3 2 3 3 3" xfId="4540"/>
    <cellStyle name="40% - 强调文字颜色 3 2 3 4" xfId="1371"/>
    <cellStyle name="40% - 强调文字颜色 3 2 3 4 2" xfId="1372"/>
    <cellStyle name="40% - 强调文字颜色 3 2 3 4 2 2" xfId="4543"/>
    <cellStyle name="40% - 强调文字颜色 3 2 3 4 2 3" xfId="4773"/>
    <cellStyle name="40% - 强调文字颜色 3 2 3 4 3" xfId="4542"/>
    <cellStyle name="40% - 强调文字颜色 3 2 3 5" xfId="1373"/>
    <cellStyle name="40% - 强调文字颜色 3 2 3 5 2" xfId="1374"/>
    <cellStyle name="40% - 强调文字颜色 3 2 3 6" xfId="4638"/>
    <cellStyle name="40% - 强调文字颜色 3 3" xfId="1375"/>
    <cellStyle name="40% - 强调文字颜色 3 3 2" xfId="1376"/>
    <cellStyle name="40% - 强调文字颜色 3 3 2 2" xfId="1377"/>
    <cellStyle name="40% - 强调文字颜色 3 3 2 2 2" xfId="4398"/>
    <cellStyle name="40% - 强调文字颜色 3 3 2 2 3" xfId="4774"/>
    <cellStyle name="40% - 强调文字颜色 3 3 2 3" xfId="1378"/>
    <cellStyle name="40% - 强调文字颜色 3 3 2 3 2" xfId="1379"/>
    <cellStyle name="40% - 强调文字颜色 3 3 2 3 2 2" xfId="4545"/>
    <cellStyle name="40% - 强调文字颜色 3 3 2 3 2 3" xfId="4775"/>
    <cellStyle name="40% - 强调文字颜色 3 3 2 3 3" xfId="4544"/>
    <cellStyle name="40% - 强调文字颜色 3 3 2 4" xfId="1380"/>
    <cellStyle name="40% - 强调文字颜色 3 3 2 4 2" xfId="1381"/>
    <cellStyle name="40% - 强调文字颜色 3 3 2 4 2 2" xfId="4547"/>
    <cellStyle name="40% - 强调文字颜色 3 3 2 4 2 3" xfId="4776"/>
    <cellStyle name="40% - 强调文字颜色 3 3 2 4 3" xfId="4546"/>
    <cellStyle name="40% - 强调文字颜色 3 3 2 5" xfId="1382"/>
    <cellStyle name="40% - 强调文字颜色 3 3 2 5 2" xfId="1383"/>
    <cellStyle name="40% - 强调文字颜色 3 3 2 6" xfId="4639"/>
    <cellStyle name="40% - 强调文字颜色 3 4" xfId="1384"/>
    <cellStyle name="40% - 强调文字颜色 3 4 2" xfId="1385"/>
    <cellStyle name="40% - 强调文字颜色 3 4 2 2" xfId="4549"/>
    <cellStyle name="40% - 强调文字颜色 3 4 2 3" xfId="4777"/>
    <cellStyle name="40% - 强调文字颜色 3 4 3" xfId="4548"/>
    <cellStyle name="40% - 强调文字颜色 3 5" xfId="1386"/>
    <cellStyle name="40% - 强调文字颜色 3 5 2" xfId="1387"/>
    <cellStyle name="40% - 强调文字颜色 3 5 2 2" xfId="4551"/>
    <cellStyle name="40% - 强调文字颜色 3 5 2 3" xfId="4778"/>
    <cellStyle name="40% - 强调文字颜色 3 5 3" xfId="4550"/>
    <cellStyle name="40% - 强调文字颜色 3 6" xfId="1388"/>
    <cellStyle name="40% - 强调文字颜色 3 6 2" xfId="1389"/>
    <cellStyle name="40% - 强调文字颜色 3 7" xfId="4636"/>
    <cellStyle name="40% - 强调文字颜色 4" xfId="1390"/>
    <cellStyle name="40% - 强调文字颜色 4 2" xfId="1391"/>
    <cellStyle name="40% - 强调文字颜色 4 2 2" xfId="1392"/>
    <cellStyle name="40% - 强调文字颜色 4 2 2 2" xfId="1393"/>
    <cellStyle name="40% - 强调文字颜色 4 2 2 2 2" xfId="1394"/>
    <cellStyle name="40% - 强调文字颜色 4 2 2 2 2 2" xfId="4399"/>
    <cellStyle name="40% - 强调文字颜色 4 2 2 2 2 3" xfId="4779"/>
    <cellStyle name="40% - 强调文字颜色 4 2 2 2 3" xfId="1395"/>
    <cellStyle name="40% - 强调文字颜色 4 2 2 2 3 2" xfId="1396"/>
    <cellStyle name="40% - 强调文字颜色 4 2 2 2 3 2 2" xfId="4553"/>
    <cellStyle name="40% - 强调文字颜色 4 2 2 2 3 2 3" xfId="4780"/>
    <cellStyle name="40% - 强调文字颜色 4 2 2 2 3 3" xfId="4552"/>
    <cellStyle name="40% - 强调文字颜色 4 2 2 2 4" xfId="1397"/>
    <cellStyle name="40% - 强调文字颜色 4 2 2 2 4 2" xfId="1398"/>
    <cellStyle name="40% - 强调文字颜色 4 2 2 2 4 2 2" xfId="4555"/>
    <cellStyle name="40% - 强调文字颜色 4 2 2 2 4 2 3" xfId="4781"/>
    <cellStyle name="40% - 强调文字颜色 4 2 2 2 4 3" xfId="4554"/>
    <cellStyle name="40% - 强调文字颜色 4 2 2 2 5" xfId="1399"/>
    <cellStyle name="40% - 强调文字颜色 4 2 2 2 5 2" xfId="1400"/>
    <cellStyle name="40% - 强调文字颜色 4 2 2 2 6" xfId="4641"/>
    <cellStyle name="40% - 强调文字颜色 4 2 3" xfId="1401"/>
    <cellStyle name="40% - 强调文字颜色 4 2 3 2" xfId="1402"/>
    <cellStyle name="40% - 强调文字颜色 4 2 3 2 2" xfId="4400"/>
    <cellStyle name="40% - 强调文字颜色 4 2 3 2 3" xfId="4782"/>
    <cellStyle name="40% - 强调文字颜色 4 2 3 3" xfId="1403"/>
    <cellStyle name="40% - 强调文字颜色 4 2 3 3 2" xfId="1404"/>
    <cellStyle name="40% - 强调文字颜色 4 2 3 3 2 2" xfId="4557"/>
    <cellStyle name="40% - 强调文字颜色 4 2 3 3 2 3" xfId="4783"/>
    <cellStyle name="40% - 强调文字颜色 4 2 3 3 3" xfId="4556"/>
    <cellStyle name="40% - 强调文字颜色 4 2 3 4" xfId="1405"/>
    <cellStyle name="40% - 强调文字颜色 4 2 3 4 2" xfId="1406"/>
    <cellStyle name="40% - 强调文字颜色 4 2 3 4 2 2" xfId="4559"/>
    <cellStyle name="40% - 强调文字颜色 4 2 3 4 2 3" xfId="4784"/>
    <cellStyle name="40% - 强调文字颜色 4 2 3 4 3" xfId="4558"/>
    <cellStyle name="40% - 强调文字颜色 4 2 3 5" xfId="1407"/>
    <cellStyle name="40% - 强调文字颜色 4 2 3 5 2" xfId="1408"/>
    <cellStyle name="40% - 强调文字颜色 4 2 3 6" xfId="4642"/>
    <cellStyle name="40% - 强调文字颜色 4 3" xfId="1409"/>
    <cellStyle name="40% - 强调文字颜色 4 3 2" xfId="1410"/>
    <cellStyle name="40% - 强调文字颜色 4 3 2 2" xfId="1411"/>
    <cellStyle name="40% - 强调文字颜色 4 3 2 2 2" xfId="4401"/>
    <cellStyle name="40% - 强调文字颜色 4 3 2 2 3" xfId="4785"/>
    <cellStyle name="40% - 强调文字颜色 4 3 2 3" xfId="1412"/>
    <cellStyle name="40% - 强调文字颜色 4 3 2 3 2" xfId="1413"/>
    <cellStyle name="40% - 强调文字颜色 4 3 2 3 2 2" xfId="4561"/>
    <cellStyle name="40% - 强调文字颜色 4 3 2 3 2 3" xfId="4786"/>
    <cellStyle name="40% - 强调文字颜色 4 3 2 3 3" xfId="4560"/>
    <cellStyle name="40% - 强调文字颜色 4 3 2 4" xfId="1414"/>
    <cellStyle name="40% - 强调文字颜色 4 3 2 4 2" xfId="1415"/>
    <cellStyle name="40% - 强调文字颜色 4 3 2 4 2 2" xfId="4563"/>
    <cellStyle name="40% - 强调文字颜色 4 3 2 4 2 3" xfId="4787"/>
    <cellStyle name="40% - 强调文字颜色 4 3 2 4 3" xfId="4562"/>
    <cellStyle name="40% - 强调文字颜色 4 3 2 5" xfId="1416"/>
    <cellStyle name="40% - 强调文字颜色 4 3 2 5 2" xfId="1417"/>
    <cellStyle name="40% - 强调文字颜色 4 3 2 6" xfId="4643"/>
    <cellStyle name="40% - 强调文字颜色 4 4" xfId="1418"/>
    <cellStyle name="40% - 强调文字颜色 4 4 2" xfId="1419"/>
    <cellStyle name="40% - 强调文字颜色 4 4 2 2" xfId="4565"/>
    <cellStyle name="40% - 强调文字颜色 4 4 2 3" xfId="4788"/>
    <cellStyle name="40% - 强调文字颜色 4 4 3" xfId="4564"/>
    <cellStyle name="40% - 强调文字颜色 4 5" xfId="1420"/>
    <cellStyle name="40% - 强调文字颜色 4 5 2" xfId="1421"/>
    <cellStyle name="40% - 强调文字颜色 4 5 2 2" xfId="4567"/>
    <cellStyle name="40% - 强调文字颜色 4 5 2 3" xfId="4789"/>
    <cellStyle name="40% - 强调文字颜色 4 5 3" xfId="4566"/>
    <cellStyle name="40% - 强调文字颜色 4 6" xfId="1422"/>
    <cellStyle name="40% - 强调文字颜色 4 6 2" xfId="1423"/>
    <cellStyle name="40% - 强调文字颜色 4 7" xfId="4640"/>
    <cellStyle name="40% - 强调文字颜色 5" xfId="1424"/>
    <cellStyle name="40% - 强调文字颜色 5 2" xfId="1425"/>
    <cellStyle name="40% - 强调文字颜色 5 2 2" xfId="1426"/>
    <cellStyle name="40% - 强调文字颜色 5 2 2 2" xfId="1427"/>
    <cellStyle name="40% - 强调文字颜色 5 2 2 2 2" xfId="1428"/>
    <cellStyle name="40% - 强调文字颜色 5 2 2 2 2 2" xfId="4402"/>
    <cellStyle name="40% - 强调文字颜色 5 2 2 2 2 3" xfId="4790"/>
    <cellStyle name="40% - 强调文字颜色 5 2 2 2 3" xfId="1429"/>
    <cellStyle name="40% - 强调文字颜色 5 2 2 2 3 2" xfId="1430"/>
    <cellStyle name="40% - 强调文字颜色 5 2 2 2 3 2 2" xfId="4569"/>
    <cellStyle name="40% - 强调文字颜色 5 2 2 2 3 2 3" xfId="4791"/>
    <cellStyle name="40% - 强调文字颜色 5 2 2 2 3 3" xfId="4568"/>
    <cellStyle name="40% - 强调文字颜色 5 2 2 2 4" xfId="1431"/>
    <cellStyle name="40% - 强调文字颜色 5 2 2 2 4 2" xfId="1432"/>
    <cellStyle name="40% - 强调文字颜色 5 2 2 2 4 2 2" xfId="4571"/>
    <cellStyle name="40% - 强调文字颜色 5 2 2 2 4 2 3" xfId="4792"/>
    <cellStyle name="40% - 强调文字颜色 5 2 2 2 4 3" xfId="4570"/>
    <cellStyle name="40% - 强调文字颜色 5 2 2 2 5" xfId="1433"/>
    <cellStyle name="40% - 强调文字颜色 5 2 2 2 5 2" xfId="1434"/>
    <cellStyle name="40% - 强调文字颜色 5 2 2 2 6" xfId="4645"/>
    <cellStyle name="40% - 强调文字颜色 5 2 3" xfId="1435"/>
    <cellStyle name="40% - 强调文字颜色 5 2 3 2" xfId="1436"/>
    <cellStyle name="40% - 强调文字颜色 5 2 3 2 2" xfId="4403"/>
    <cellStyle name="40% - 强调文字颜色 5 2 3 2 3" xfId="4793"/>
    <cellStyle name="40% - 强调文字颜色 5 2 3 3" xfId="1437"/>
    <cellStyle name="40% - 强调文字颜色 5 2 3 3 2" xfId="1438"/>
    <cellStyle name="40% - 强调文字颜色 5 2 3 3 2 2" xfId="4573"/>
    <cellStyle name="40% - 强调文字颜色 5 2 3 3 2 3" xfId="4794"/>
    <cellStyle name="40% - 强调文字颜色 5 2 3 3 3" xfId="4572"/>
    <cellStyle name="40% - 强调文字颜色 5 2 3 4" xfId="1439"/>
    <cellStyle name="40% - 强调文字颜色 5 2 3 4 2" xfId="1440"/>
    <cellStyle name="40% - 强调文字颜色 5 2 3 4 2 2" xfId="4575"/>
    <cellStyle name="40% - 强调文字颜色 5 2 3 4 2 3" xfId="4795"/>
    <cellStyle name="40% - 强调文字颜色 5 2 3 4 3" xfId="4574"/>
    <cellStyle name="40% - 强调文字颜色 5 2 3 5" xfId="1441"/>
    <cellStyle name="40% - 强调文字颜色 5 2 3 5 2" xfId="1442"/>
    <cellStyle name="40% - 强调文字颜色 5 2 3 6" xfId="4646"/>
    <cellStyle name="40% - 强调文字颜色 5 3" xfId="1443"/>
    <cellStyle name="40% - 强调文字颜色 5 3 2" xfId="1444"/>
    <cellStyle name="40% - 强调文字颜色 5 3 2 2" xfId="1445"/>
    <cellStyle name="40% - 强调文字颜色 5 3 2 2 2" xfId="4404"/>
    <cellStyle name="40% - 强调文字颜色 5 3 2 2 3" xfId="4796"/>
    <cellStyle name="40% - 强调文字颜色 5 3 2 3" xfId="1446"/>
    <cellStyle name="40% - 强调文字颜色 5 3 2 3 2" xfId="1447"/>
    <cellStyle name="40% - 强调文字颜色 5 3 2 3 2 2" xfId="4577"/>
    <cellStyle name="40% - 强调文字颜色 5 3 2 3 2 3" xfId="4797"/>
    <cellStyle name="40% - 强调文字颜色 5 3 2 3 3" xfId="4576"/>
    <cellStyle name="40% - 强调文字颜色 5 3 2 4" xfId="1448"/>
    <cellStyle name="40% - 强调文字颜色 5 3 2 4 2" xfId="1449"/>
    <cellStyle name="40% - 强调文字颜色 5 3 2 4 2 2" xfId="4579"/>
    <cellStyle name="40% - 强调文字颜色 5 3 2 4 2 3" xfId="4798"/>
    <cellStyle name="40% - 强调文字颜色 5 3 2 4 3" xfId="4578"/>
    <cellStyle name="40% - 强调文字颜色 5 3 2 5" xfId="1450"/>
    <cellStyle name="40% - 强调文字颜色 5 3 2 5 2" xfId="1451"/>
    <cellStyle name="40% - 强调文字颜色 5 3 2 6" xfId="4647"/>
    <cellStyle name="40% - 强调文字颜色 5 4" xfId="1452"/>
    <cellStyle name="40% - 强调文字颜色 5 4 2" xfId="1453"/>
    <cellStyle name="40% - 强调文字颜色 5 4 2 2" xfId="4581"/>
    <cellStyle name="40% - 强调文字颜色 5 4 2 3" xfId="4799"/>
    <cellStyle name="40% - 强调文字颜色 5 4 3" xfId="4580"/>
    <cellStyle name="40% - 强调文字颜色 5 5" xfId="1454"/>
    <cellStyle name="40% - 强调文字颜色 5 5 2" xfId="1455"/>
    <cellStyle name="40% - 强调文字颜色 5 5 2 2" xfId="4583"/>
    <cellStyle name="40% - 强调文字颜色 5 5 2 3" xfId="4800"/>
    <cellStyle name="40% - 强调文字颜色 5 5 3" xfId="4582"/>
    <cellStyle name="40% - 强调文字颜色 5 6" xfId="1456"/>
    <cellStyle name="40% - 强调文字颜色 5 6 2" xfId="1457"/>
    <cellStyle name="40% - 强调文字颜色 5 7" xfId="4644"/>
    <cellStyle name="40% - 强调文字颜色 6" xfId="1458"/>
    <cellStyle name="40% - 强调文字颜色 6 2" xfId="1459"/>
    <cellStyle name="40% - 强调文字颜色 6 2 2" xfId="1460"/>
    <cellStyle name="40% - 强调文字颜色 6 2 2 2" xfId="1461"/>
    <cellStyle name="40% - 强调文字颜色 6 2 2 2 2" xfId="1462"/>
    <cellStyle name="40% - 强调文字颜色 6 2 2 2 2 2" xfId="4405"/>
    <cellStyle name="40% - 强调文字颜色 6 2 2 2 2 3" xfId="4801"/>
    <cellStyle name="40% - 强调文字颜色 6 2 2 2 3" xfId="1463"/>
    <cellStyle name="40% - 强调文字颜色 6 2 2 2 3 2" xfId="1464"/>
    <cellStyle name="40% - 强调文字颜色 6 2 2 2 3 2 2" xfId="4585"/>
    <cellStyle name="40% - 强调文字颜色 6 2 2 2 3 2 3" xfId="4802"/>
    <cellStyle name="40% - 强调文字颜色 6 2 2 2 3 3" xfId="4584"/>
    <cellStyle name="40% - 强调文字颜色 6 2 2 2 4" xfId="1465"/>
    <cellStyle name="40% - 强调文字颜色 6 2 2 2 4 2" xfId="1466"/>
    <cellStyle name="40% - 强调文字颜色 6 2 2 2 4 2 2" xfId="4587"/>
    <cellStyle name="40% - 强调文字颜色 6 2 2 2 4 2 3" xfId="4803"/>
    <cellStyle name="40% - 强调文字颜色 6 2 2 2 4 3" xfId="4586"/>
    <cellStyle name="40% - 强调文字颜色 6 2 2 2 5" xfId="1467"/>
    <cellStyle name="40% - 强调文字颜色 6 2 2 2 5 2" xfId="1468"/>
    <cellStyle name="40% - 强调文字颜色 6 2 2 2 6" xfId="4649"/>
    <cellStyle name="40% - 强调文字颜色 6 2 3" xfId="1469"/>
    <cellStyle name="40% - 强调文字颜色 6 2 3 2" xfId="1470"/>
    <cellStyle name="40% - 强调文字颜色 6 2 3 2 2" xfId="4406"/>
    <cellStyle name="40% - 强调文字颜色 6 2 3 2 3" xfId="4804"/>
    <cellStyle name="40% - 强调文字颜色 6 2 3 3" xfId="1471"/>
    <cellStyle name="40% - 强调文字颜色 6 2 3 3 2" xfId="1472"/>
    <cellStyle name="40% - 强调文字颜色 6 2 3 3 2 2" xfId="4589"/>
    <cellStyle name="40% - 强调文字颜色 6 2 3 3 2 3" xfId="4805"/>
    <cellStyle name="40% - 强调文字颜色 6 2 3 3 3" xfId="4588"/>
    <cellStyle name="40% - 强调文字颜色 6 2 3 4" xfId="1473"/>
    <cellStyle name="40% - 强调文字颜色 6 2 3 4 2" xfId="1474"/>
    <cellStyle name="40% - 强调文字颜色 6 2 3 4 2 2" xfId="4591"/>
    <cellStyle name="40% - 强调文字颜色 6 2 3 4 2 3" xfId="4806"/>
    <cellStyle name="40% - 强调文字颜色 6 2 3 4 3" xfId="4590"/>
    <cellStyle name="40% - 强调文字颜色 6 2 3 5" xfId="1475"/>
    <cellStyle name="40% - 强调文字颜色 6 2 3 5 2" xfId="1476"/>
    <cellStyle name="40% - 强调文字颜色 6 2 3 6" xfId="4650"/>
    <cellStyle name="40% - 强调文字颜色 6 3" xfId="1477"/>
    <cellStyle name="40% - 强调文字颜色 6 3 2" xfId="1478"/>
    <cellStyle name="40% - 强调文字颜色 6 3 2 2" xfId="1479"/>
    <cellStyle name="40% - 强调文字颜色 6 3 2 2 2" xfId="4407"/>
    <cellStyle name="40% - 强调文字颜色 6 3 2 2 3" xfId="4807"/>
    <cellStyle name="40% - 强调文字颜色 6 3 2 3" xfId="1480"/>
    <cellStyle name="40% - 强调文字颜色 6 3 2 3 2" xfId="1481"/>
    <cellStyle name="40% - 强调文字颜色 6 3 2 3 2 2" xfId="4593"/>
    <cellStyle name="40% - 强调文字颜色 6 3 2 3 2 3" xfId="4808"/>
    <cellStyle name="40% - 强调文字颜色 6 3 2 3 3" xfId="4592"/>
    <cellStyle name="40% - 强调文字颜色 6 3 2 4" xfId="1482"/>
    <cellStyle name="40% - 强调文字颜色 6 3 2 4 2" xfId="1483"/>
    <cellStyle name="40% - 强调文字颜色 6 3 2 4 2 2" xfId="4595"/>
    <cellStyle name="40% - 强调文字颜色 6 3 2 4 2 3" xfId="4809"/>
    <cellStyle name="40% - 强调文字颜色 6 3 2 4 3" xfId="4594"/>
    <cellStyle name="40% - 强调文字颜色 6 3 2 5" xfId="1484"/>
    <cellStyle name="40% - 强调文字颜色 6 3 2 5 2" xfId="1485"/>
    <cellStyle name="40% - 强调文字颜色 6 3 2 6" xfId="4651"/>
    <cellStyle name="40% - 强调文字颜色 6 4" xfId="1486"/>
    <cellStyle name="40% - 强调文字颜色 6 4 2" xfId="1487"/>
    <cellStyle name="40% - 强调文字颜色 6 4 2 2" xfId="4597"/>
    <cellStyle name="40% - 强调文字颜色 6 4 2 3" xfId="4810"/>
    <cellStyle name="40% - 强调文字颜色 6 4 3" xfId="4596"/>
    <cellStyle name="40% - 强调文字颜色 6 5" xfId="1488"/>
    <cellStyle name="40% - 强调文字颜色 6 5 2" xfId="1489"/>
    <cellStyle name="40% - 强调文字颜色 6 5 2 2" xfId="4599"/>
    <cellStyle name="40% - 强调文字颜色 6 5 2 3" xfId="4811"/>
    <cellStyle name="40% - 强调文字颜色 6 5 3" xfId="4598"/>
    <cellStyle name="40% - 强调文字颜色 6 6" xfId="1490"/>
    <cellStyle name="40% - 强调文字颜色 6 6 2" xfId="1491"/>
    <cellStyle name="40% - 强调文字颜色 6 7" xfId="4648"/>
    <cellStyle name="40% - 강조색1 10" xfId="52433"/>
    <cellStyle name="40% - 강조색1 10 2" xfId="52434"/>
    <cellStyle name="40% - 강조색1 11" xfId="52435"/>
    <cellStyle name="40% - 강조색1 11 2" xfId="52436"/>
    <cellStyle name="40% - 강조색1 12" xfId="52437"/>
    <cellStyle name="40% - 강조색1 13" xfId="52438"/>
    <cellStyle name="40% - 강조색1 14" xfId="52439"/>
    <cellStyle name="40% - 강조색1 15" xfId="52440"/>
    <cellStyle name="40% - 강조색1 16" xfId="52441"/>
    <cellStyle name="40% - 강조색1 17" xfId="52442"/>
    <cellStyle name="40% - 강조색1 18" xfId="52443"/>
    <cellStyle name="40% - 강조색1 19" xfId="52444"/>
    <cellStyle name="40% - 강조색1 2" xfId="41"/>
    <cellStyle name="40% - 강조색1 2 10" xfId="1494"/>
    <cellStyle name="40% - 강조색1 2 10 2" xfId="1495"/>
    <cellStyle name="40% - 강조색1 2 11" xfId="1496"/>
    <cellStyle name="40% - 강조색1 2 11 2" xfId="1497"/>
    <cellStyle name="40% - 강조색1 2 12" xfId="1498"/>
    <cellStyle name="40% - 강조색1 2 12 2" xfId="1499"/>
    <cellStyle name="40% - 강조색1 2 13" xfId="1500"/>
    <cellStyle name="40% - 강조색1 2 13 2" xfId="1501"/>
    <cellStyle name="40% - 강조색1 2 14" xfId="1502"/>
    <cellStyle name="40% - 강조색1 2 14 2" xfId="1503"/>
    <cellStyle name="40% - 강조색1 2 15" xfId="1504"/>
    <cellStyle name="40% - 강조색1 2 15 2" xfId="1505"/>
    <cellStyle name="40% - 강조색1 2 16" xfId="1506"/>
    <cellStyle name="40% - 강조색1 2 16 2" xfId="1507"/>
    <cellStyle name="40% - 강조색1 2 17" xfId="1508"/>
    <cellStyle name="40% - 강조색1 2 17 2" xfId="1509"/>
    <cellStyle name="40% - 강조색1 2 18" xfId="1510"/>
    <cellStyle name="40% - 강조색1 2 18 2" xfId="1511"/>
    <cellStyle name="40% - 강조색1 2 19" xfId="1512"/>
    <cellStyle name="40% - 강조색1 2 19 2" xfId="1513"/>
    <cellStyle name="40% - 강조색1 2 2" xfId="1514"/>
    <cellStyle name="40% - 강조색1 2 2 2" xfId="1515"/>
    <cellStyle name="40% - 강조색1 2 2 3" xfId="50735"/>
    <cellStyle name="40% - 강조색1 2 2_CRM팀 1단계 정보확인 DB 검색코드_110425" xfId="1516"/>
    <cellStyle name="40% - 강조색1 2 20" xfId="1517"/>
    <cellStyle name="40% - 강조색1 2 20 2" xfId="1518"/>
    <cellStyle name="40% - 강조색1 2 21" xfId="1519"/>
    <cellStyle name="40% - 강조색1 2 21 2" xfId="1520"/>
    <cellStyle name="40% - 강조색1 2 22" xfId="1521"/>
    <cellStyle name="40% - 강조색1 2 22 2" xfId="1522"/>
    <cellStyle name="40% - 강조색1 2 23" xfId="1523"/>
    <cellStyle name="40% - 강조색1 2 23 2" xfId="1524"/>
    <cellStyle name="40% - 강조색1 2 24" xfId="1525"/>
    <cellStyle name="40% - 강조색1 2 24 2" xfId="1526"/>
    <cellStyle name="40% - 강조색1 2 25" xfId="1527"/>
    <cellStyle name="40% - 강조색1 2 26" xfId="1528"/>
    <cellStyle name="40% - 강조색1 2 27" xfId="4835"/>
    <cellStyle name="40% - 강조색1 2 28" xfId="1493"/>
    <cellStyle name="40% - 강조색1 2 29" xfId="51245"/>
    <cellStyle name="40% - 강조색1 2 3" xfId="1529"/>
    <cellStyle name="40% - 강조색1 2 3 2" xfId="1530"/>
    <cellStyle name="40% - 강조색1 2 4" xfId="1531"/>
    <cellStyle name="40% - 강조색1 2 4 2" xfId="1532"/>
    <cellStyle name="40% - 강조색1 2 5" xfId="1533"/>
    <cellStyle name="40% - 강조색1 2 5 2" xfId="1534"/>
    <cellStyle name="40% - 강조색1 2 6" xfId="1535"/>
    <cellStyle name="40% - 강조색1 2 6 2" xfId="1536"/>
    <cellStyle name="40% - 강조색1 2 7" xfId="1537"/>
    <cellStyle name="40% - 강조색1 2 7 2" xfId="1538"/>
    <cellStyle name="40% - 강조색1 2 8" xfId="1539"/>
    <cellStyle name="40% - 강조색1 2 8 2" xfId="1540"/>
    <cellStyle name="40% - 강조색1 2 9" xfId="1541"/>
    <cellStyle name="40% - 강조색1 2 9 2" xfId="1542"/>
    <cellStyle name="40% - 강조색1 2_CRM팀 1단계 정보확인 DB 검색코드_110425" xfId="1543"/>
    <cellStyle name="40% - 강조색1 20" xfId="52445"/>
    <cellStyle name="40% - 강조색1 21" xfId="52446"/>
    <cellStyle name="40% - 강조색1 22" xfId="52447"/>
    <cellStyle name="40% - 강조색1 22 2" xfId="52448"/>
    <cellStyle name="40% - 강조색1 22 2 2" xfId="52449"/>
    <cellStyle name="40% - 강조색1 22 3" xfId="52450"/>
    <cellStyle name="40% - 강조색1 23" xfId="52451"/>
    <cellStyle name="40% - 강조색1 23 2" xfId="52452"/>
    <cellStyle name="40% - 강조색1 23 2 2" xfId="52453"/>
    <cellStyle name="40% - 강조색1 23 3" xfId="52454"/>
    <cellStyle name="40% - 강조색1 24" xfId="52455"/>
    <cellStyle name="40% - 강조색1 24 2" xfId="52456"/>
    <cellStyle name="40% - 강조색1 24 2 2" xfId="52457"/>
    <cellStyle name="40% - 강조색1 24 3" xfId="52458"/>
    <cellStyle name="40% - 강조색1 25" xfId="52459"/>
    <cellStyle name="40% - 강조색1 25 2" xfId="52460"/>
    <cellStyle name="40% - 강조색1 25 2 2" xfId="52461"/>
    <cellStyle name="40% - 강조색1 25 3" xfId="52462"/>
    <cellStyle name="40% - 강조색1 26" xfId="52463"/>
    <cellStyle name="40% - 강조색1 26 2" xfId="52464"/>
    <cellStyle name="40% - 강조색1 26 2 2" xfId="52465"/>
    <cellStyle name="40% - 강조색1 26 3" xfId="52466"/>
    <cellStyle name="40% - 강조색1 3" xfId="42"/>
    <cellStyle name="40% - 강조색1 3 2" xfId="1545"/>
    <cellStyle name="40% - 강조색1 3 2 2" xfId="50736"/>
    <cellStyle name="40% - 강조색1 3 3" xfId="1544"/>
    <cellStyle name="40% - 강조색1 3 4" xfId="52467"/>
    <cellStyle name="40% - 강조색1 3 5" xfId="52468"/>
    <cellStyle name="40% - 강조색1 3_사업부문" xfId="52469"/>
    <cellStyle name="40% - 강조색1 4" xfId="43"/>
    <cellStyle name="40% - 강조색1 4 2" xfId="1547"/>
    <cellStyle name="40% - 강조색1 4 2 2" xfId="50737"/>
    <cellStyle name="40% - 강조색1 4 3" xfId="1546"/>
    <cellStyle name="40% - 강조색1 4 4" xfId="52470"/>
    <cellStyle name="40% - 강조색1 4 5" xfId="52471"/>
    <cellStyle name="40% - 강조색1 4_사업부문" xfId="52472"/>
    <cellStyle name="40% - 강조색1 5" xfId="44"/>
    <cellStyle name="40% - 강조색1 5 2" xfId="1549"/>
    <cellStyle name="40% - 강조색1 5 2 2" xfId="50738"/>
    <cellStyle name="40% - 강조색1 5 3" xfId="1548"/>
    <cellStyle name="40% - 강조색1 5_사업부문" xfId="52473"/>
    <cellStyle name="40% - 강조색1 6" xfId="45"/>
    <cellStyle name="40% - 강조색1 6 2" xfId="1551"/>
    <cellStyle name="40% - 강조색1 6 2 2" xfId="50739"/>
    <cellStyle name="40% - 강조색1 6 3" xfId="1550"/>
    <cellStyle name="40% - 강조색1 6_사업부문" xfId="52474"/>
    <cellStyle name="40% - 강조색1 7" xfId="46"/>
    <cellStyle name="40% - 강조색1 7 2" xfId="5239"/>
    <cellStyle name="40% - 강조색1 7 3" xfId="50740"/>
    <cellStyle name="40% - 강조색1 7_사업부문" xfId="52475"/>
    <cellStyle name="40% - 강조색1 8" xfId="1552"/>
    <cellStyle name="40% - 강조색1 8 2" xfId="52476"/>
    <cellStyle name="40% - 강조색1 9" xfId="1492"/>
    <cellStyle name="40% - 강조색1 9 2" xfId="52477"/>
    <cellStyle name="40% - 강조색2 10" xfId="52478"/>
    <cellStyle name="40% - 강조색2 10 2" xfId="52479"/>
    <cellStyle name="40% - 강조색2 11" xfId="52480"/>
    <cellStyle name="40% - 강조색2 11 2" xfId="52481"/>
    <cellStyle name="40% - 강조색2 12" xfId="52482"/>
    <cellStyle name="40% - 강조색2 13" xfId="52483"/>
    <cellStyle name="40% - 강조색2 14" xfId="52484"/>
    <cellStyle name="40% - 강조색2 15" xfId="52485"/>
    <cellStyle name="40% - 강조색2 16" xfId="52486"/>
    <cellStyle name="40% - 강조색2 17" xfId="52487"/>
    <cellStyle name="40% - 강조색2 18" xfId="52488"/>
    <cellStyle name="40% - 강조색2 19" xfId="52489"/>
    <cellStyle name="40% - 강조색2 2" xfId="47"/>
    <cellStyle name="40% - 강조색2 2 10" xfId="1555"/>
    <cellStyle name="40% - 강조색2 2 10 2" xfId="1556"/>
    <cellStyle name="40% - 강조색2 2 11" xfId="1557"/>
    <cellStyle name="40% - 강조색2 2 11 2" xfId="1558"/>
    <cellStyle name="40% - 강조색2 2 12" xfId="1559"/>
    <cellStyle name="40% - 강조색2 2 12 2" xfId="1560"/>
    <cellStyle name="40% - 강조색2 2 13" xfId="1561"/>
    <cellStyle name="40% - 강조색2 2 13 2" xfId="1562"/>
    <cellStyle name="40% - 강조색2 2 14" xfId="1563"/>
    <cellStyle name="40% - 강조색2 2 14 2" xfId="1564"/>
    <cellStyle name="40% - 강조색2 2 15" xfId="1565"/>
    <cellStyle name="40% - 강조색2 2 15 2" xfId="1566"/>
    <cellStyle name="40% - 강조색2 2 16" xfId="1567"/>
    <cellStyle name="40% - 강조색2 2 16 2" xfId="1568"/>
    <cellStyle name="40% - 강조색2 2 17" xfId="1569"/>
    <cellStyle name="40% - 강조색2 2 17 2" xfId="1570"/>
    <cellStyle name="40% - 강조색2 2 18" xfId="1571"/>
    <cellStyle name="40% - 강조색2 2 18 2" xfId="1572"/>
    <cellStyle name="40% - 강조색2 2 19" xfId="1573"/>
    <cellStyle name="40% - 강조색2 2 19 2" xfId="1574"/>
    <cellStyle name="40% - 강조색2 2 2" xfId="1575"/>
    <cellStyle name="40% - 강조색2 2 2 2" xfId="1576"/>
    <cellStyle name="40% - 강조색2 2 2 3" xfId="50741"/>
    <cellStyle name="40% - 강조색2 2 2_CRM팀 1단계 정보확인 DB 검색코드_110425" xfId="1577"/>
    <cellStyle name="40% - 강조색2 2 20" xfId="1578"/>
    <cellStyle name="40% - 강조색2 2 20 2" xfId="1579"/>
    <cellStyle name="40% - 강조색2 2 21" xfId="1580"/>
    <cellStyle name="40% - 강조색2 2 21 2" xfId="1581"/>
    <cellStyle name="40% - 강조색2 2 22" xfId="1582"/>
    <cellStyle name="40% - 강조색2 2 22 2" xfId="1583"/>
    <cellStyle name="40% - 강조색2 2 23" xfId="1584"/>
    <cellStyle name="40% - 강조색2 2 23 2" xfId="1585"/>
    <cellStyle name="40% - 강조색2 2 24" xfId="1586"/>
    <cellStyle name="40% - 강조색2 2 24 2" xfId="1587"/>
    <cellStyle name="40% - 강조색2 2 25" xfId="1588"/>
    <cellStyle name="40% - 강조색2 2 26" xfId="1589"/>
    <cellStyle name="40% - 강조색2 2 27" xfId="4836"/>
    <cellStyle name="40% - 강조색2 2 28" xfId="1554"/>
    <cellStyle name="40% - 강조색2 2 29" xfId="51246"/>
    <cellStyle name="40% - 강조색2 2 3" xfId="1590"/>
    <cellStyle name="40% - 강조색2 2 3 2" xfId="1591"/>
    <cellStyle name="40% - 강조색2 2 4" xfId="1592"/>
    <cellStyle name="40% - 강조색2 2 4 2" xfId="1593"/>
    <cellStyle name="40% - 강조색2 2 5" xfId="1594"/>
    <cellStyle name="40% - 강조색2 2 5 2" xfId="1595"/>
    <cellStyle name="40% - 강조색2 2 6" xfId="1596"/>
    <cellStyle name="40% - 강조색2 2 6 2" xfId="1597"/>
    <cellStyle name="40% - 강조색2 2 7" xfId="1598"/>
    <cellStyle name="40% - 강조색2 2 7 2" xfId="1599"/>
    <cellStyle name="40% - 강조색2 2 8" xfId="1600"/>
    <cellStyle name="40% - 강조색2 2 8 2" xfId="1601"/>
    <cellStyle name="40% - 강조색2 2 9" xfId="1602"/>
    <cellStyle name="40% - 강조색2 2 9 2" xfId="1603"/>
    <cellStyle name="40% - 강조색2 2_CRM팀 1단계 정보확인 DB 검색코드_110425" xfId="1604"/>
    <cellStyle name="40% - 강조색2 20" xfId="52490"/>
    <cellStyle name="40% - 강조색2 21" xfId="52491"/>
    <cellStyle name="40% - 강조색2 22" xfId="52492"/>
    <cellStyle name="40% - 강조색2 22 2" xfId="52493"/>
    <cellStyle name="40% - 강조색2 22 2 2" xfId="52494"/>
    <cellStyle name="40% - 강조색2 22 3" xfId="52495"/>
    <cellStyle name="40% - 강조색2 23" xfId="52496"/>
    <cellStyle name="40% - 강조색2 23 2" xfId="52497"/>
    <cellStyle name="40% - 강조색2 23 2 2" xfId="52498"/>
    <cellStyle name="40% - 강조색2 23 3" xfId="52499"/>
    <cellStyle name="40% - 강조색2 24" xfId="52500"/>
    <cellStyle name="40% - 강조색2 24 2" xfId="52501"/>
    <cellStyle name="40% - 강조색2 24 2 2" xfId="52502"/>
    <cellStyle name="40% - 강조색2 24 3" xfId="52503"/>
    <cellStyle name="40% - 강조색2 25" xfId="52504"/>
    <cellStyle name="40% - 강조색2 25 2" xfId="52505"/>
    <cellStyle name="40% - 강조색2 25 2 2" xfId="52506"/>
    <cellStyle name="40% - 강조색2 25 3" xfId="52507"/>
    <cellStyle name="40% - 강조색2 26" xfId="52508"/>
    <cellStyle name="40% - 강조색2 26 2" xfId="52509"/>
    <cellStyle name="40% - 강조색2 26 2 2" xfId="52510"/>
    <cellStyle name="40% - 강조색2 26 3" xfId="52511"/>
    <cellStyle name="40% - 강조색2 3" xfId="48"/>
    <cellStyle name="40% - 강조색2 3 2" xfId="1606"/>
    <cellStyle name="40% - 강조색2 3 2 2" xfId="50742"/>
    <cellStyle name="40% - 강조색2 3 3" xfId="1605"/>
    <cellStyle name="40% - 강조색2 3 4" xfId="52512"/>
    <cellStyle name="40% - 강조색2 3 5" xfId="52513"/>
    <cellStyle name="40% - 강조색2 3_사업부문" xfId="52514"/>
    <cellStyle name="40% - 강조색2 4" xfId="49"/>
    <cellStyle name="40% - 강조색2 4 2" xfId="1608"/>
    <cellStyle name="40% - 강조색2 4 2 2" xfId="50743"/>
    <cellStyle name="40% - 강조색2 4 3" xfId="1607"/>
    <cellStyle name="40% - 강조색2 4 4" xfId="52515"/>
    <cellStyle name="40% - 강조색2 4 5" xfId="52516"/>
    <cellStyle name="40% - 강조색2 4_사업부문" xfId="52517"/>
    <cellStyle name="40% - 강조색2 5" xfId="50"/>
    <cellStyle name="40% - 강조색2 5 2" xfId="1610"/>
    <cellStyle name="40% - 강조색2 5 2 2" xfId="50744"/>
    <cellStyle name="40% - 강조색2 5 3" xfId="1609"/>
    <cellStyle name="40% - 강조색2 5_사업부문" xfId="52518"/>
    <cellStyle name="40% - 강조색2 6" xfId="51"/>
    <cellStyle name="40% - 강조색2 6 2" xfId="1612"/>
    <cellStyle name="40% - 강조색2 6 2 2" xfId="50745"/>
    <cellStyle name="40% - 강조색2 6 3" xfId="1611"/>
    <cellStyle name="40% - 강조색2 6_사업부문" xfId="52519"/>
    <cellStyle name="40% - 강조색2 7" xfId="52"/>
    <cellStyle name="40% - 강조색2 7 2" xfId="5240"/>
    <cellStyle name="40% - 강조색2 7 3" xfId="50746"/>
    <cellStyle name="40% - 강조색2 7_사업부문" xfId="52520"/>
    <cellStyle name="40% - 강조색2 8" xfId="1613"/>
    <cellStyle name="40% - 강조색2 8 2" xfId="52521"/>
    <cellStyle name="40% - 강조색2 9" xfId="1553"/>
    <cellStyle name="40% - 강조색2 9 2" xfId="52522"/>
    <cellStyle name="40% - 강조색3 10" xfId="52523"/>
    <cellStyle name="40% - 강조색3 10 2" xfId="52524"/>
    <cellStyle name="40% - 강조색3 11" xfId="52525"/>
    <cellStyle name="40% - 강조색3 11 2" xfId="52526"/>
    <cellStyle name="40% - 강조색3 12" xfId="52527"/>
    <cellStyle name="40% - 강조색3 13" xfId="52528"/>
    <cellStyle name="40% - 강조색3 14" xfId="52529"/>
    <cellStyle name="40% - 강조색3 15" xfId="52530"/>
    <cellStyle name="40% - 강조색3 16" xfId="52531"/>
    <cellStyle name="40% - 강조색3 17" xfId="52532"/>
    <cellStyle name="40% - 강조색3 18" xfId="52533"/>
    <cellStyle name="40% - 강조색3 19" xfId="52534"/>
    <cellStyle name="40% - 강조색3 2" xfId="53"/>
    <cellStyle name="40% - 강조색3 2 10" xfId="1616"/>
    <cellStyle name="40% - 강조색3 2 10 2" xfId="1617"/>
    <cellStyle name="40% - 강조색3 2 11" xfId="1618"/>
    <cellStyle name="40% - 강조색3 2 11 2" xfId="1619"/>
    <cellStyle name="40% - 강조색3 2 12" xfId="1620"/>
    <cellStyle name="40% - 강조색3 2 12 2" xfId="1621"/>
    <cellStyle name="40% - 강조색3 2 13" xfId="1622"/>
    <cellStyle name="40% - 강조색3 2 13 2" xfId="1623"/>
    <cellStyle name="40% - 강조색3 2 14" xfId="1624"/>
    <cellStyle name="40% - 강조색3 2 14 2" xfId="1625"/>
    <cellStyle name="40% - 강조색3 2 15" xfId="1626"/>
    <cellStyle name="40% - 강조색3 2 15 2" xfId="1627"/>
    <cellStyle name="40% - 강조색3 2 16" xfId="1628"/>
    <cellStyle name="40% - 강조색3 2 16 2" xfId="1629"/>
    <cellStyle name="40% - 강조색3 2 17" xfId="1630"/>
    <cellStyle name="40% - 강조색3 2 17 2" xfId="1631"/>
    <cellStyle name="40% - 강조색3 2 18" xfId="1632"/>
    <cellStyle name="40% - 강조색3 2 18 2" xfId="1633"/>
    <cellStyle name="40% - 강조색3 2 19" xfId="1634"/>
    <cellStyle name="40% - 강조색3 2 19 2" xfId="1635"/>
    <cellStyle name="40% - 강조색3 2 2" xfId="1636"/>
    <cellStyle name="40% - 강조색3 2 2 2" xfId="1637"/>
    <cellStyle name="40% - 강조색3 2 2 3" xfId="50747"/>
    <cellStyle name="40% - 강조색3 2 2_CRM팀 1단계 정보확인 DB 검색코드_110425" xfId="1638"/>
    <cellStyle name="40% - 강조색3 2 20" xfId="1639"/>
    <cellStyle name="40% - 강조색3 2 20 2" xfId="1640"/>
    <cellStyle name="40% - 강조색3 2 21" xfId="1641"/>
    <cellStyle name="40% - 강조색3 2 21 2" xfId="1642"/>
    <cellStyle name="40% - 강조색3 2 22" xfId="1643"/>
    <cellStyle name="40% - 강조색3 2 22 2" xfId="1644"/>
    <cellStyle name="40% - 강조색3 2 23" xfId="1645"/>
    <cellStyle name="40% - 강조색3 2 23 2" xfId="1646"/>
    <cellStyle name="40% - 강조색3 2 24" xfId="1647"/>
    <cellStyle name="40% - 강조색3 2 24 2" xfId="1648"/>
    <cellStyle name="40% - 강조색3 2 25" xfId="1649"/>
    <cellStyle name="40% - 강조색3 2 26" xfId="1650"/>
    <cellStyle name="40% - 강조색3 2 27" xfId="4837"/>
    <cellStyle name="40% - 강조색3 2 28" xfId="1615"/>
    <cellStyle name="40% - 강조색3 2 29" xfId="51247"/>
    <cellStyle name="40% - 강조색3 2 3" xfId="1651"/>
    <cellStyle name="40% - 강조색3 2 3 2" xfId="1652"/>
    <cellStyle name="40% - 강조색3 2 4" xfId="1653"/>
    <cellStyle name="40% - 강조색3 2 4 2" xfId="1654"/>
    <cellStyle name="40% - 강조색3 2 5" xfId="1655"/>
    <cellStyle name="40% - 강조색3 2 5 2" xfId="1656"/>
    <cellStyle name="40% - 강조색3 2 6" xfId="1657"/>
    <cellStyle name="40% - 강조색3 2 6 2" xfId="1658"/>
    <cellStyle name="40% - 강조색3 2 7" xfId="1659"/>
    <cellStyle name="40% - 강조색3 2 7 2" xfId="1660"/>
    <cellStyle name="40% - 강조색3 2 8" xfId="1661"/>
    <cellStyle name="40% - 강조색3 2 8 2" xfId="1662"/>
    <cellStyle name="40% - 강조색3 2 9" xfId="1663"/>
    <cellStyle name="40% - 강조색3 2 9 2" xfId="1664"/>
    <cellStyle name="40% - 강조색3 2_CRM팀 1단계 정보확인 DB 검색코드_110425" xfId="1665"/>
    <cellStyle name="40% - 강조색3 20" xfId="52535"/>
    <cellStyle name="40% - 강조색3 21" xfId="52536"/>
    <cellStyle name="40% - 강조색3 22" xfId="52537"/>
    <cellStyle name="40% - 강조색3 22 2" xfId="52538"/>
    <cellStyle name="40% - 강조색3 22 2 2" xfId="52539"/>
    <cellStyle name="40% - 강조색3 22 3" xfId="52540"/>
    <cellStyle name="40% - 강조색3 23" xfId="52541"/>
    <cellStyle name="40% - 강조색3 23 2" xfId="52542"/>
    <cellStyle name="40% - 강조색3 23 2 2" xfId="52543"/>
    <cellStyle name="40% - 강조색3 23 3" xfId="52544"/>
    <cellStyle name="40% - 강조색3 24" xfId="52545"/>
    <cellStyle name="40% - 강조색3 24 2" xfId="52546"/>
    <cellStyle name="40% - 강조색3 24 2 2" xfId="52547"/>
    <cellStyle name="40% - 강조색3 24 3" xfId="52548"/>
    <cellStyle name="40% - 강조색3 25" xfId="52549"/>
    <cellStyle name="40% - 강조색3 25 2" xfId="52550"/>
    <cellStyle name="40% - 강조색3 25 2 2" xfId="52551"/>
    <cellStyle name="40% - 강조색3 25 3" xfId="52552"/>
    <cellStyle name="40% - 강조색3 26" xfId="52553"/>
    <cellStyle name="40% - 강조색3 26 2" xfId="52554"/>
    <cellStyle name="40% - 강조색3 26 2 2" xfId="52555"/>
    <cellStyle name="40% - 강조색3 26 3" xfId="52556"/>
    <cellStyle name="40% - 강조색3 3" xfId="54"/>
    <cellStyle name="40% - 강조색3 3 2" xfId="1667"/>
    <cellStyle name="40% - 강조색3 3 2 2" xfId="50748"/>
    <cellStyle name="40% - 강조색3 3 3" xfId="1666"/>
    <cellStyle name="40% - 강조색3 3 4" xfId="52557"/>
    <cellStyle name="40% - 강조색3 3 5" xfId="52558"/>
    <cellStyle name="40% - 강조색3 3_사업부문" xfId="52559"/>
    <cellStyle name="40% - 강조색3 4" xfId="55"/>
    <cellStyle name="40% - 강조색3 4 2" xfId="1669"/>
    <cellStyle name="40% - 강조색3 4 2 2" xfId="50749"/>
    <cellStyle name="40% - 강조색3 4 3" xfId="1668"/>
    <cellStyle name="40% - 강조색3 4 4" xfId="52560"/>
    <cellStyle name="40% - 강조색3 4 5" xfId="52561"/>
    <cellStyle name="40% - 강조색3 4_사업부문" xfId="52562"/>
    <cellStyle name="40% - 강조색3 5" xfId="56"/>
    <cellStyle name="40% - 강조색3 5 2" xfId="1671"/>
    <cellStyle name="40% - 강조색3 5 2 2" xfId="50750"/>
    <cellStyle name="40% - 강조색3 5 3" xfId="1670"/>
    <cellStyle name="40% - 강조색3 5_사업부문" xfId="52563"/>
    <cellStyle name="40% - 강조색3 6" xfId="57"/>
    <cellStyle name="40% - 강조색3 6 2" xfId="1673"/>
    <cellStyle name="40% - 강조색3 6 2 2" xfId="50751"/>
    <cellStyle name="40% - 강조색3 6 3" xfId="1672"/>
    <cellStyle name="40% - 강조색3 6_사업부문" xfId="52564"/>
    <cellStyle name="40% - 강조색3 7" xfId="58"/>
    <cellStyle name="40% - 강조색3 7 2" xfId="5241"/>
    <cellStyle name="40% - 강조색3 7 3" xfId="50752"/>
    <cellStyle name="40% - 강조색3 7_사업부문" xfId="52565"/>
    <cellStyle name="40% - 강조색3 8" xfId="1674"/>
    <cellStyle name="40% - 강조색3 8 2" xfId="52566"/>
    <cellStyle name="40% - 강조색3 9" xfId="1614"/>
    <cellStyle name="40% - 강조색3 9 2" xfId="52567"/>
    <cellStyle name="40% - 강조색4 10" xfId="52568"/>
    <cellStyle name="40% - 강조색4 10 2" xfId="52569"/>
    <cellStyle name="40% - 강조색4 11" xfId="52570"/>
    <cellStyle name="40% - 강조색4 11 2" xfId="52571"/>
    <cellStyle name="40% - 강조색4 12" xfId="52572"/>
    <cellStyle name="40% - 강조색4 13" xfId="52573"/>
    <cellStyle name="40% - 강조색4 14" xfId="52574"/>
    <cellStyle name="40% - 강조색4 15" xfId="52575"/>
    <cellStyle name="40% - 강조색4 16" xfId="52576"/>
    <cellStyle name="40% - 강조색4 17" xfId="52577"/>
    <cellStyle name="40% - 강조색4 18" xfId="52578"/>
    <cellStyle name="40% - 강조색4 19" xfId="52579"/>
    <cellStyle name="40% - 강조색4 2" xfId="59"/>
    <cellStyle name="40% - 강조색4 2 10" xfId="1677"/>
    <cellStyle name="40% - 강조색4 2 10 2" xfId="1678"/>
    <cellStyle name="40% - 강조색4 2 11" xfId="1679"/>
    <cellStyle name="40% - 강조색4 2 11 2" xfId="1680"/>
    <cellStyle name="40% - 강조색4 2 12" xfId="1681"/>
    <cellStyle name="40% - 강조색4 2 12 2" xfId="1682"/>
    <cellStyle name="40% - 강조색4 2 13" xfId="1683"/>
    <cellStyle name="40% - 강조색4 2 13 2" xfId="1684"/>
    <cellStyle name="40% - 강조색4 2 14" xfId="1685"/>
    <cellStyle name="40% - 강조색4 2 14 2" xfId="1686"/>
    <cellStyle name="40% - 강조색4 2 15" xfId="1687"/>
    <cellStyle name="40% - 강조색4 2 15 2" xfId="1688"/>
    <cellStyle name="40% - 강조색4 2 16" xfId="1689"/>
    <cellStyle name="40% - 강조색4 2 16 2" xfId="1690"/>
    <cellStyle name="40% - 강조색4 2 17" xfId="1691"/>
    <cellStyle name="40% - 강조색4 2 17 2" xfId="1692"/>
    <cellStyle name="40% - 강조색4 2 18" xfId="1693"/>
    <cellStyle name="40% - 강조색4 2 18 2" xfId="1694"/>
    <cellStyle name="40% - 강조색4 2 19" xfId="1695"/>
    <cellStyle name="40% - 강조색4 2 19 2" xfId="1696"/>
    <cellStyle name="40% - 강조색4 2 2" xfId="1697"/>
    <cellStyle name="40% - 강조색4 2 2 2" xfId="1698"/>
    <cellStyle name="40% - 강조색4 2 2 3" xfId="50753"/>
    <cellStyle name="40% - 강조색4 2 2_CRM팀 1단계 정보확인 DB 검색코드_110425" xfId="1699"/>
    <cellStyle name="40% - 강조색4 2 20" xfId="1700"/>
    <cellStyle name="40% - 강조색4 2 20 2" xfId="1701"/>
    <cellStyle name="40% - 강조색4 2 21" xfId="1702"/>
    <cellStyle name="40% - 강조색4 2 21 2" xfId="1703"/>
    <cellStyle name="40% - 강조색4 2 22" xfId="1704"/>
    <cellStyle name="40% - 강조색4 2 22 2" xfId="1705"/>
    <cellStyle name="40% - 강조색4 2 23" xfId="1706"/>
    <cellStyle name="40% - 강조색4 2 23 2" xfId="1707"/>
    <cellStyle name="40% - 강조색4 2 24" xfId="1708"/>
    <cellStyle name="40% - 강조색4 2 24 2" xfId="1709"/>
    <cellStyle name="40% - 강조색4 2 25" xfId="1710"/>
    <cellStyle name="40% - 강조색4 2 26" xfId="1711"/>
    <cellStyle name="40% - 강조색4 2 27" xfId="4838"/>
    <cellStyle name="40% - 강조색4 2 28" xfId="1676"/>
    <cellStyle name="40% - 강조색4 2 29" xfId="51248"/>
    <cellStyle name="40% - 강조색4 2 3" xfId="1712"/>
    <cellStyle name="40% - 강조색4 2 3 2" xfId="1713"/>
    <cellStyle name="40% - 강조색4 2 4" xfId="1714"/>
    <cellStyle name="40% - 강조색4 2 4 2" xfId="1715"/>
    <cellStyle name="40% - 강조색4 2 5" xfId="1716"/>
    <cellStyle name="40% - 강조색4 2 5 2" xfId="1717"/>
    <cellStyle name="40% - 강조색4 2 6" xfId="1718"/>
    <cellStyle name="40% - 강조색4 2 6 2" xfId="1719"/>
    <cellStyle name="40% - 강조색4 2 7" xfId="1720"/>
    <cellStyle name="40% - 강조색4 2 7 2" xfId="1721"/>
    <cellStyle name="40% - 강조색4 2 8" xfId="1722"/>
    <cellStyle name="40% - 강조색4 2 8 2" xfId="1723"/>
    <cellStyle name="40% - 강조색4 2 9" xfId="1724"/>
    <cellStyle name="40% - 강조색4 2 9 2" xfId="1725"/>
    <cellStyle name="40% - 강조색4 2_CRM팀 1단계 정보확인 DB 검색코드_110425" xfId="1726"/>
    <cellStyle name="40% - 강조색4 20" xfId="52580"/>
    <cellStyle name="40% - 강조색4 21" xfId="52581"/>
    <cellStyle name="40% - 강조색4 22" xfId="52582"/>
    <cellStyle name="40% - 강조색4 22 2" xfId="52583"/>
    <cellStyle name="40% - 강조색4 22 2 2" xfId="52584"/>
    <cellStyle name="40% - 강조색4 22 3" xfId="52585"/>
    <cellStyle name="40% - 강조색4 23" xfId="52586"/>
    <cellStyle name="40% - 강조색4 23 2" xfId="52587"/>
    <cellStyle name="40% - 강조색4 23 2 2" xfId="52588"/>
    <cellStyle name="40% - 강조색4 23 3" xfId="52589"/>
    <cellStyle name="40% - 강조색4 24" xfId="52590"/>
    <cellStyle name="40% - 강조색4 24 2" xfId="52591"/>
    <cellStyle name="40% - 강조색4 24 2 2" xfId="52592"/>
    <cellStyle name="40% - 강조색4 24 3" xfId="52593"/>
    <cellStyle name="40% - 강조색4 25" xfId="52594"/>
    <cellStyle name="40% - 강조색4 25 2" xfId="52595"/>
    <cellStyle name="40% - 강조색4 25 2 2" xfId="52596"/>
    <cellStyle name="40% - 강조색4 25 3" xfId="52597"/>
    <cellStyle name="40% - 강조색4 26" xfId="52598"/>
    <cellStyle name="40% - 강조색4 26 2" xfId="52599"/>
    <cellStyle name="40% - 강조색4 26 2 2" xfId="52600"/>
    <cellStyle name="40% - 강조색4 26 3" xfId="52601"/>
    <cellStyle name="40% - 강조색4 3" xfId="60"/>
    <cellStyle name="40% - 강조색4 3 2" xfId="1728"/>
    <cellStyle name="40% - 강조색4 3 2 2" xfId="50754"/>
    <cellStyle name="40% - 강조색4 3 3" xfId="1727"/>
    <cellStyle name="40% - 강조색4 3 4" xfId="52602"/>
    <cellStyle name="40% - 강조색4 3 5" xfId="52603"/>
    <cellStyle name="40% - 강조색4 3_사업부문" xfId="52604"/>
    <cellStyle name="40% - 강조색4 4" xfId="61"/>
    <cellStyle name="40% - 강조색4 4 2" xfId="1730"/>
    <cellStyle name="40% - 강조색4 4 2 2" xfId="50755"/>
    <cellStyle name="40% - 강조색4 4 3" xfId="1729"/>
    <cellStyle name="40% - 강조색4 4 4" xfId="52605"/>
    <cellStyle name="40% - 강조색4 4 5" xfId="52606"/>
    <cellStyle name="40% - 강조색4 4_사업부문" xfId="52607"/>
    <cellStyle name="40% - 강조색4 5" xfId="62"/>
    <cellStyle name="40% - 강조색4 5 2" xfId="1732"/>
    <cellStyle name="40% - 강조색4 5 2 2" xfId="50756"/>
    <cellStyle name="40% - 강조색4 5 3" xfId="1731"/>
    <cellStyle name="40% - 강조색4 5_사업부문" xfId="52608"/>
    <cellStyle name="40% - 강조색4 6" xfId="63"/>
    <cellStyle name="40% - 강조색4 6 2" xfId="1734"/>
    <cellStyle name="40% - 강조색4 6 2 2" xfId="50757"/>
    <cellStyle name="40% - 강조색4 6 3" xfId="1733"/>
    <cellStyle name="40% - 강조색4 6_사업부문" xfId="52609"/>
    <cellStyle name="40% - 강조색4 7" xfId="64"/>
    <cellStyle name="40% - 강조색4 7 2" xfId="5242"/>
    <cellStyle name="40% - 강조색4 7 3" xfId="50758"/>
    <cellStyle name="40% - 강조색4 7_사업부문" xfId="52610"/>
    <cellStyle name="40% - 강조색4 8" xfId="1735"/>
    <cellStyle name="40% - 강조색4 8 2" xfId="52611"/>
    <cellStyle name="40% - 강조색4 9" xfId="1675"/>
    <cellStyle name="40% - 강조색4 9 2" xfId="52612"/>
    <cellStyle name="40% - 강조색5 10" xfId="52613"/>
    <cellStyle name="40% - 강조색5 10 2" xfId="52614"/>
    <cellStyle name="40% - 강조색5 11" xfId="52615"/>
    <cellStyle name="40% - 강조색5 11 2" xfId="52616"/>
    <cellStyle name="40% - 강조색5 12" xfId="52617"/>
    <cellStyle name="40% - 강조색5 13" xfId="52618"/>
    <cellStyle name="40% - 강조색5 14" xfId="52619"/>
    <cellStyle name="40% - 강조색5 15" xfId="52620"/>
    <cellStyle name="40% - 강조색5 16" xfId="52621"/>
    <cellStyle name="40% - 강조색5 17" xfId="52622"/>
    <cellStyle name="40% - 강조색5 18" xfId="52623"/>
    <cellStyle name="40% - 강조색5 19" xfId="52624"/>
    <cellStyle name="40% - 강조색5 2" xfId="65"/>
    <cellStyle name="40% - 강조색5 2 10" xfId="1738"/>
    <cellStyle name="40% - 강조색5 2 10 2" xfId="1739"/>
    <cellStyle name="40% - 강조색5 2 11" xfId="1740"/>
    <cellStyle name="40% - 강조색5 2 11 2" xfId="1741"/>
    <cellStyle name="40% - 강조색5 2 12" xfId="1742"/>
    <cellStyle name="40% - 강조색5 2 12 2" xfId="1743"/>
    <cellStyle name="40% - 강조색5 2 13" xfId="1744"/>
    <cellStyle name="40% - 강조색5 2 13 2" xfId="1745"/>
    <cellStyle name="40% - 강조색5 2 14" xfId="1746"/>
    <cellStyle name="40% - 강조색5 2 14 2" xfId="1747"/>
    <cellStyle name="40% - 강조색5 2 15" xfId="1748"/>
    <cellStyle name="40% - 강조색5 2 15 2" xfId="1749"/>
    <cellStyle name="40% - 강조색5 2 16" xfId="1750"/>
    <cellStyle name="40% - 강조색5 2 16 2" xfId="1751"/>
    <cellStyle name="40% - 강조색5 2 17" xfId="1752"/>
    <cellStyle name="40% - 강조색5 2 17 2" xfId="1753"/>
    <cellStyle name="40% - 강조색5 2 18" xfId="1754"/>
    <cellStyle name="40% - 강조색5 2 18 2" xfId="1755"/>
    <cellStyle name="40% - 강조색5 2 19" xfId="1756"/>
    <cellStyle name="40% - 강조색5 2 19 2" xfId="1757"/>
    <cellStyle name="40% - 강조색5 2 2" xfId="1758"/>
    <cellStyle name="40% - 강조색5 2 2 2" xfId="1759"/>
    <cellStyle name="40% - 강조색5 2 2 3" xfId="50759"/>
    <cellStyle name="40% - 강조색5 2 2_CRM팀 1단계 정보확인 DB 검색코드_110425" xfId="1760"/>
    <cellStyle name="40% - 강조색5 2 20" xfId="1761"/>
    <cellStyle name="40% - 강조색5 2 20 2" xfId="1762"/>
    <cellStyle name="40% - 강조색5 2 21" xfId="1763"/>
    <cellStyle name="40% - 강조색5 2 21 2" xfId="1764"/>
    <cellStyle name="40% - 강조색5 2 22" xfId="1765"/>
    <cellStyle name="40% - 강조색5 2 22 2" xfId="1766"/>
    <cellStyle name="40% - 강조색5 2 23" xfId="1767"/>
    <cellStyle name="40% - 강조색5 2 23 2" xfId="1768"/>
    <cellStyle name="40% - 강조색5 2 24" xfId="1769"/>
    <cellStyle name="40% - 강조색5 2 24 2" xfId="1770"/>
    <cellStyle name="40% - 강조색5 2 25" xfId="1771"/>
    <cellStyle name="40% - 강조색5 2 26" xfId="1772"/>
    <cellStyle name="40% - 강조색5 2 27" xfId="4839"/>
    <cellStyle name="40% - 강조색5 2 28" xfId="1737"/>
    <cellStyle name="40% - 강조색5 2 29" xfId="51249"/>
    <cellStyle name="40% - 강조색5 2 3" xfId="1773"/>
    <cellStyle name="40% - 강조색5 2 3 2" xfId="1774"/>
    <cellStyle name="40% - 강조색5 2 4" xfId="1775"/>
    <cellStyle name="40% - 강조색5 2 4 2" xfId="1776"/>
    <cellStyle name="40% - 강조색5 2 5" xfId="1777"/>
    <cellStyle name="40% - 강조색5 2 5 2" xfId="1778"/>
    <cellStyle name="40% - 강조색5 2 6" xfId="1779"/>
    <cellStyle name="40% - 강조색5 2 6 2" xfId="1780"/>
    <cellStyle name="40% - 강조색5 2 7" xfId="1781"/>
    <cellStyle name="40% - 강조색5 2 7 2" xfId="1782"/>
    <cellStyle name="40% - 강조색5 2 8" xfId="1783"/>
    <cellStyle name="40% - 강조색5 2 8 2" xfId="1784"/>
    <cellStyle name="40% - 강조색5 2 9" xfId="1785"/>
    <cellStyle name="40% - 강조색5 2 9 2" xfId="1786"/>
    <cellStyle name="40% - 강조색5 2_CRM팀 1단계 정보확인 DB 검색코드_110425" xfId="1787"/>
    <cellStyle name="40% - 강조색5 20" xfId="52625"/>
    <cellStyle name="40% - 강조색5 21" xfId="52626"/>
    <cellStyle name="40% - 강조색5 22" xfId="52627"/>
    <cellStyle name="40% - 강조색5 22 2" xfId="52628"/>
    <cellStyle name="40% - 강조색5 22 2 2" xfId="52629"/>
    <cellStyle name="40% - 강조색5 22 3" xfId="52630"/>
    <cellStyle name="40% - 강조색5 23" xfId="52631"/>
    <cellStyle name="40% - 강조색5 23 2" xfId="52632"/>
    <cellStyle name="40% - 강조색5 23 2 2" xfId="52633"/>
    <cellStyle name="40% - 강조색5 23 3" xfId="52634"/>
    <cellStyle name="40% - 강조색5 24" xfId="52635"/>
    <cellStyle name="40% - 강조색5 24 2" xfId="52636"/>
    <cellStyle name="40% - 강조색5 24 2 2" xfId="52637"/>
    <cellStyle name="40% - 강조색5 24 3" xfId="52638"/>
    <cellStyle name="40% - 강조색5 25" xfId="52639"/>
    <cellStyle name="40% - 강조색5 25 2" xfId="52640"/>
    <cellStyle name="40% - 강조색5 25 2 2" xfId="52641"/>
    <cellStyle name="40% - 강조색5 25 3" xfId="52642"/>
    <cellStyle name="40% - 강조색5 26" xfId="52643"/>
    <cellStyle name="40% - 강조색5 26 2" xfId="52644"/>
    <cellStyle name="40% - 강조색5 26 2 2" xfId="52645"/>
    <cellStyle name="40% - 강조색5 26 3" xfId="52646"/>
    <cellStyle name="40% - 강조색5 3" xfId="66"/>
    <cellStyle name="40% - 강조색5 3 2" xfId="1789"/>
    <cellStyle name="40% - 강조색5 3 2 2" xfId="50760"/>
    <cellStyle name="40% - 강조색5 3 3" xfId="1788"/>
    <cellStyle name="40% - 강조색5 3 4" xfId="52647"/>
    <cellStyle name="40% - 강조색5 3 5" xfId="52648"/>
    <cellStyle name="40% - 강조색5 3_사업부문" xfId="52649"/>
    <cellStyle name="40% - 강조색5 4" xfId="67"/>
    <cellStyle name="40% - 강조색5 4 2" xfId="1791"/>
    <cellStyle name="40% - 강조색5 4 2 2" xfId="50761"/>
    <cellStyle name="40% - 강조색5 4 3" xfId="1790"/>
    <cellStyle name="40% - 강조색5 4 4" xfId="52650"/>
    <cellStyle name="40% - 강조색5 4 5" xfId="52651"/>
    <cellStyle name="40% - 강조색5 4_사업부문" xfId="52652"/>
    <cellStyle name="40% - 강조색5 5" xfId="68"/>
    <cellStyle name="40% - 강조색5 5 2" xfId="1793"/>
    <cellStyle name="40% - 강조색5 5 2 2" xfId="50762"/>
    <cellStyle name="40% - 강조색5 5 3" xfId="1792"/>
    <cellStyle name="40% - 강조색5 5_사업부문" xfId="52653"/>
    <cellStyle name="40% - 강조색5 6" xfId="69"/>
    <cellStyle name="40% - 강조색5 6 2" xfId="1795"/>
    <cellStyle name="40% - 강조색5 6 2 2" xfId="50763"/>
    <cellStyle name="40% - 강조색5 6 3" xfId="1794"/>
    <cellStyle name="40% - 강조색5 6_사업부문" xfId="52654"/>
    <cellStyle name="40% - 강조색5 7" xfId="70"/>
    <cellStyle name="40% - 강조색5 7 2" xfId="5243"/>
    <cellStyle name="40% - 강조색5 7 3" xfId="50764"/>
    <cellStyle name="40% - 강조색5 7_사업부문" xfId="52655"/>
    <cellStyle name="40% - 강조색5 8" xfId="1796"/>
    <cellStyle name="40% - 강조색5 8 2" xfId="52656"/>
    <cellStyle name="40% - 강조색5 9" xfId="1736"/>
    <cellStyle name="40% - 강조색5 9 2" xfId="52657"/>
    <cellStyle name="40% - 강조색6 10" xfId="52658"/>
    <cellStyle name="40% - 강조색6 10 2" xfId="52659"/>
    <cellStyle name="40% - 강조색6 11" xfId="52660"/>
    <cellStyle name="40% - 강조색6 11 2" xfId="52661"/>
    <cellStyle name="40% - 강조색6 12" xfId="52662"/>
    <cellStyle name="40% - 강조색6 13" xfId="52663"/>
    <cellStyle name="40% - 강조색6 14" xfId="52664"/>
    <cellStyle name="40% - 강조색6 15" xfId="52665"/>
    <cellStyle name="40% - 강조색6 16" xfId="52666"/>
    <cellStyle name="40% - 강조색6 17" xfId="52667"/>
    <cellStyle name="40% - 강조색6 18" xfId="52668"/>
    <cellStyle name="40% - 강조색6 19" xfId="52669"/>
    <cellStyle name="40% - 강조색6 2" xfId="71"/>
    <cellStyle name="40% - 강조색6 2 10" xfId="1799"/>
    <cellStyle name="40% - 강조색6 2 10 2" xfId="1800"/>
    <cellStyle name="40% - 강조색6 2 11" xfId="1801"/>
    <cellStyle name="40% - 강조색6 2 11 2" xfId="1802"/>
    <cellStyle name="40% - 강조색6 2 12" xfId="1803"/>
    <cellStyle name="40% - 강조색6 2 12 2" xfId="1804"/>
    <cellStyle name="40% - 강조색6 2 13" xfId="1805"/>
    <cellStyle name="40% - 강조색6 2 13 2" xfId="1806"/>
    <cellStyle name="40% - 강조색6 2 14" xfId="1807"/>
    <cellStyle name="40% - 강조색6 2 14 2" xfId="1808"/>
    <cellStyle name="40% - 강조색6 2 15" xfId="1809"/>
    <cellStyle name="40% - 강조색6 2 15 2" xfId="1810"/>
    <cellStyle name="40% - 강조색6 2 16" xfId="1811"/>
    <cellStyle name="40% - 강조색6 2 16 2" xfId="1812"/>
    <cellStyle name="40% - 강조색6 2 17" xfId="1813"/>
    <cellStyle name="40% - 강조색6 2 17 2" xfId="1814"/>
    <cellStyle name="40% - 강조색6 2 18" xfId="1815"/>
    <cellStyle name="40% - 강조색6 2 18 2" xfId="1816"/>
    <cellStyle name="40% - 강조색6 2 19" xfId="1817"/>
    <cellStyle name="40% - 강조색6 2 19 2" xfId="1818"/>
    <cellStyle name="40% - 강조색6 2 2" xfId="1819"/>
    <cellStyle name="40% - 강조색6 2 2 2" xfId="1820"/>
    <cellStyle name="40% - 강조색6 2 2 3" xfId="50765"/>
    <cellStyle name="40% - 강조색6 2 2_CRM팀 1단계 정보확인 DB 검색코드_110425" xfId="1821"/>
    <cellStyle name="40% - 강조색6 2 20" xfId="1822"/>
    <cellStyle name="40% - 강조색6 2 20 2" xfId="1823"/>
    <cellStyle name="40% - 강조색6 2 21" xfId="1824"/>
    <cellStyle name="40% - 강조색6 2 21 2" xfId="1825"/>
    <cellStyle name="40% - 강조색6 2 22" xfId="1826"/>
    <cellStyle name="40% - 강조색6 2 22 2" xfId="1827"/>
    <cellStyle name="40% - 강조색6 2 23" xfId="1828"/>
    <cellStyle name="40% - 강조색6 2 23 2" xfId="1829"/>
    <cellStyle name="40% - 강조색6 2 24" xfId="1830"/>
    <cellStyle name="40% - 강조색6 2 24 2" xfId="1831"/>
    <cellStyle name="40% - 강조색6 2 25" xfId="1832"/>
    <cellStyle name="40% - 강조색6 2 26" xfId="1833"/>
    <cellStyle name="40% - 강조색6 2 27" xfId="4840"/>
    <cellStyle name="40% - 강조색6 2 28" xfId="1798"/>
    <cellStyle name="40% - 강조색6 2 29" xfId="51250"/>
    <cellStyle name="40% - 강조색6 2 3" xfId="1834"/>
    <cellStyle name="40% - 강조색6 2 3 2" xfId="1835"/>
    <cellStyle name="40% - 강조색6 2 4" xfId="1836"/>
    <cellStyle name="40% - 강조색6 2 4 2" xfId="1837"/>
    <cellStyle name="40% - 강조색6 2 5" xfId="1838"/>
    <cellStyle name="40% - 강조색6 2 5 2" xfId="1839"/>
    <cellStyle name="40% - 강조색6 2 6" xfId="1840"/>
    <cellStyle name="40% - 강조색6 2 6 2" xfId="1841"/>
    <cellStyle name="40% - 강조색6 2 7" xfId="1842"/>
    <cellStyle name="40% - 강조색6 2 7 2" xfId="1843"/>
    <cellStyle name="40% - 강조색6 2 8" xfId="1844"/>
    <cellStyle name="40% - 강조색6 2 8 2" xfId="1845"/>
    <cellStyle name="40% - 강조색6 2 9" xfId="1846"/>
    <cellStyle name="40% - 강조색6 2 9 2" xfId="1847"/>
    <cellStyle name="40% - 강조색6 2_CRM팀 1단계 정보확인 DB 검색코드_110425" xfId="1848"/>
    <cellStyle name="40% - 강조색6 20" xfId="52670"/>
    <cellStyle name="40% - 강조색6 21" xfId="52671"/>
    <cellStyle name="40% - 강조색6 22" xfId="52672"/>
    <cellStyle name="40% - 강조색6 22 2" xfId="52673"/>
    <cellStyle name="40% - 강조색6 22 2 2" xfId="52674"/>
    <cellStyle name="40% - 강조색6 22 3" xfId="52675"/>
    <cellStyle name="40% - 강조색6 23" xfId="52676"/>
    <cellStyle name="40% - 강조색6 23 2" xfId="52677"/>
    <cellStyle name="40% - 강조색6 23 2 2" xfId="52678"/>
    <cellStyle name="40% - 강조색6 23 3" xfId="52679"/>
    <cellStyle name="40% - 강조색6 24" xfId="52680"/>
    <cellStyle name="40% - 강조색6 24 2" xfId="52681"/>
    <cellStyle name="40% - 강조색6 24 2 2" xfId="52682"/>
    <cellStyle name="40% - 강조색6 24 3" xfId="52683"/>
    <cellStyle name="40% - 강조색6 25" xfId="52684"/>
    <cellStyle name="40% - 강조색6 25 2" xfId="52685"/>
    <cellStyle name="40% - 강조색6 25 2 2" xfId="52686"/>
    <cellStyle name="40% - 강조색6 25 3" xfId="52687"/>
    <cellStyle name="40% - 강조색6 26" xfId="52688"/>
    <cellStyle name="40% - 강조색6 26 2" xfId="52689"/>
    <cellStyle name="40% - 강조색6 26 2 2" xfId="52690"/>
    <cellStyle name="40% - 강조색6 26 3" xfId="52691"/>
    <cellStyle name="40% - 강조색6 3" xfId="72"/>
    <cellStyle name="40% - 강조색6 3 2" xfId="1850"/>
    <cellStyle name="40% - 강조색6 3 2 2" xfId="50766"/>
    <cellStyle name="40% - 강조색6 3 3" xfId="1849"/>
    <cellStyle name="40% - 강조색6 3 4" xfId="52692"/>
    <cellStyle name="40% - 강조색6 3 5" xfId="52693"/>
    <cellStyle name="40% - 강조색6 3_사업부문" xfId="52694"/>
    <cellStyle name="40% - 강조색6 4" xfId="73"/>
    <cellStyle name="40% - 강조색6 4 2" xfId="1852"/>
    <cellStyle name="40% - 강조색6 4 2 2" xfId="50767"/>
    <cellStyle name="40% - 강조색6 4 3" xfId="1851"/>
    <cellStyle name="40% - 강조색6 4 4" xfId="52695"/>
    <cellStyle name="40% - 강조색6 4 5" xfId="52696"/>
    <cellStyle name="40% - 강조색6 4_사업부문" xfId="52697"/>
    <cellStyle name="40% - 강조색6 5" xfId="74"/>
    <cellStyle name="40% - 강조색6 5 2" xfId="1854"/>
    <cellStyle name="40% - 강조색6 5 2 2" xfId="50768"/>
    <cellStyle name="40% - 강조색6 5 3" xfId="1853"/>
    <cellStyle name="40% - 강조색6 5_사업부문" xfId="52698"/>
    <cellStyle name="40% - 강조색6 6" xfId="75"/>
    <cellStyle name="40% - 강조색6 6 2" xfId="1856"/>
    <cellStyle name="40% - 강조색6 6 2 2" xfId="50769"/>
    <cellStyle name="40% - 강조색6 6 3" xfId="1855"/>
    <cellStyle name="40% - 강조색6 6_사업부문" xfId="52699"/>
    <cellStyle name="40% - 강조색6 7" xfId="76"/>
    <cellStyle name="40% - 강조색6 7 2" xfId="5244"/>
    <cellStyle name="40% - 강조색6 7 3" xfId="50770"/>
    <cellStyle name="40% - 강조색6 7_사업부문" xfId="52700"/>
    <cellStyle name="40% - 강조색6 8" xfId="1857"/>
    <cellStyle name="40% - 강조색6 8 2" xfId="52701"/>
    <cellStyle name="40% - 강조색6 9" xfId="1797"/>
    <cellStyle name="40% - 강조색6 9 2" xfId="52702"/>
    <cellStyle name="60% - Accent1" xfId="1858"/>
    <cellStyle name="60% - Accent1 2" xfId="1859"/>
    <cellStyle name="60% - Accent1 3" xfId="52703"/>
    <cellStyle name="60% - Accent2" xfId="1860"/>
    <cellStyle name="60% - Accent2 2" xfId="1861"/>
    <cellStyle name="60% - Accent2 3" xfId="52704"/>
    <cellStyle name="60% - Accent3" xfId="1862"/>
    <cellStyle name="60% - Accent3 2" xfId="1863"/>
    <cellStyle name="60% - Accent3 3" xfId="52705"/>
    <cellStyle name="60% - Accent4" xfId="1864"/>
    <cellStyle name="60% - Accent4 2" xfId="1865"/>
    <cellStyle name="60% - Accent4 3" xfId="52706"/>
    <cellStyle name="60% - Accent5" xfId="1866"/>
    <cellStyle name="60% - Accent5 2" xfId="1867"/>
    <cellStyle name="60% - Accent5 3" xfId="52707"/>
    <cellStyle name="60% - Accent6" xfId="1868"/>
    <cellStyle name="60% - Accent6 2" xfId="1869"/>
    <cellStyle name="60% - Accent6 3" xfId="52708"/>
    <cellStyle name="60% - 强调文字颜色 1" xfId="1870"/>
    <cellStyle name="60% - 强调文字颜色 1 2" xfId="1871"/>
    <cellStyle name="60% - 强调文字颜色 1 2 2" xfId="1872"/>
    <cellStyle name="60% - 强调文字颜色 1 2 2 2" xfId="1873"/>
    <cellStyle name="60% - 强调文字颜色 1 2 3" xfId="1874"/>
    <cellStyle name="60% - 强调文字颜色 1 3" xfId="1875"/>
    <cellStyle name="60% - 强调文字颜色 1 3 2" xfId="1876"/>
    <cellStyle name="60% - 强调文字颜色 1 3 2 2" xfId="1877"/>
    <cellStyle name="60% - 强调文字颜色 1 3 3" xfId="1878"/>
    <cellStyle name="60% - 强调文字颜色 1 4" xfId="1879"/>
    <cellStyle name="60% - 强调文字颜色 1 4 2" xfId="1880"/>
    <cellStyle name="60% - 强调文字颜色 2" xfId="1881"/>
    <cellStyle name="60% - 强调文字颜色 2 2" xfId="1882"/>
    <cellStyle name="60% - 强调文字颜色 2 2 2" xfId="1883"/>
    <cellStyle name="60% - 强调文字颜色 2 2 2 2" xfId="1884"/>
    <cellStyle name="60% - 强调文字颜色 2 2 3" xfId="1885"/>
    <cellStyle name="60% - 强调文字颜色 2 3" xfId="1886"/>
    <cellStyle name="60% - 强调文字颜色 2 3 2" xfId="1887"/>
    <cellStyle name="60% - 强调文字颜色 2 3 2 2" xfId="1888"/>
    <cellStyle name="60% - 强调文字颜色 2 3 3" xfId="1889"/>
    <cellStyle name="60% - 强调文字颜色 2 4" xfId="1890"/>
    <cellStyle name="60% - 强调文字颜色 2 4 2" xfId="1891"/>
    <cellStyle name="60% - 强调文字颜色 3" xfId="1892"/>
    <cellStyle name="60% - 强调文字颜色 3 2" xfId="1893"/>
    <cellStyle name="60% - 强调文字颜色 3 2 2" xfId="1894"/>
    <cellStyle name="60% - 强调文字颜色 3 2 2 2" xfId="1895"/>
    <cellStyle name="60% - 强调文字颜色 3 2 3" xfId="1896"/>
    <cellStyle name="60% - 强调文字颜色 3 3" xfId="1897"/>
    <cellStyle name="60% - 强调文字颜色 3 3 2" xfId="1898"/>
    <cellStyle name="60% - 强调文字颜色 3 3 2 2" xfId="1899"/>
    <cellStyle name="60% - 强调文字颜色 3 3 3" xfId="1900"/>
    <cellStyle name="60% - 强调文字颜色 3 4" xfId="1901"/>
    <cellStyle name="60% - 强调文字颜色 3 4 2" xfId="1902"/>
    <cellStyle name="60% - 强调文字颜色 4" xfId="1903"/>
    <cellStyle name="60% - 强调文字颜色 4 2" xfId="1904"/>
    <cellStyle name="60% - 强调文字颜色 4 2 2" xfId="1905"/>
    <cellStyle name="60% - 强调文字颜色 4 2 2 2" xfId="1906"/>
    <cellStyle name="60% - 强调文字颜色 4 2 3" xfId="1907"/>
    <cellStyle name="60% - 强调文字颜色 4 3" xfId="1908"/>
    <cellStyle name="60% - 强调文字颜色 4 3 2" xfId="1909"/>
    <cellStyle name="60% - 强调文字颜色 4 3 2 2" xfId="1910"/>
    <cellStyle name="60% - 强调文字颜色 4 3 3" xfId="1911"/>
    <cellStyle name="60% - 强调文字颜色 4 4" xfId="1912"/>
    <cellStyle name="60% - 强调文字颜色 4 4 2" xfId="1913"/>
    <cellStyle name="60% - 强调文字颜色 5" xfId="1914"/>
    <cellStyle name="60% - 强调文字颜色 5 2" xfId="1915"/>
    <cellStyle name="60% - 强调文字颜色 5 2 2" xfId="1916"/>
    <cellStyle name="60% - 强调文字颜色 5 2 2 2" xfId="1917"/>
    <cellStyle name="60% - 强调文字颜色 5 2 3" xfId="1918"/>
    <cellStyle name="60% - 强调文字颜色 5 3" xfId="1919"/>
    <cellStyle name="60% - 强调文字颜色 5 3 2" xfId="1920"/>
    <cellStyle name="60% - 强调文字颜色 5 3 2 2" xfId="1921"/>
    <cellStyle name="60% - 强调文字颜色 5 3 3" xfId="1922"/>
    <cellStyle name="60% - 强调文字颜色 5 4" xfId="1923"/>
    <cellStyle name="60% - 强调文字颜色 5 4 2" xfId="1924"/>
    <cellStyle name="60% - 强调文字颜色 6" xfId="1925"/>
    <cellStyle name="60% - 强调文字颜色 6 2" xfId="1926"/>
    <cellStyle name="60% - 强调文字颜色 6 2 2" xfId="1927"/>
    <cellStyle name="60% - 强调文字颜色 6 2 2 2" xfId="1928"/>
    <cellStyle name="60% - 强调文字颜色 6 2 3" xfId="1929"/>
    <cellStyle name="60% - 强调文字颜色 6 3" xfId="1930"/>
    <cellStyle name="60% - 强调文字颜色 6 3 2" xfId="1931"/>
    <cellStyle name="60% - 强调文字颜色 6 3 2 2" xfId="1932"/>
    <cellStyle name="60% - 强调文字颜色 6 3 3" xfId="1933"/>
    <cellStyle name="60% - 强调文字颜色 6 4" xfId="1934"/>
    <cellStyle name="60% - 强调文字颜色 6 4 2" xfId="1935"/>
    <cellStyle name="60% - 강조색1 10" xfId="52709"/>
    <cellStyle name="60% - 강조색1 10 2" xfId="52710"/>
    <cellStyle name="60% - 강조색1 11" xfId="52711"/>
    <cellStyle name="60% - 강조색1 11 2" xfId="52712"/>
    <cellStyle name="60% - 강조색1 12" xfId="52713"/>
    <cellStyle name="60% - 강조색1 13" xfId="52714"/>
    <cellStyle name="60% - 강조색1 14" xfId="52715"/>
    <cellStyle name="60% - 강조색1 15" xfId="52716"/>
    <cellStyle name="60% - 강조색1 16" xfId="52717"/>
    <cellStyle name="60% - 강조색1 17" xfId="52718"/>
    <cellStyle name="60% - 강조색1 18" xfId="52719"/>
    <cellStyle name="60% - 강조색1 19" xfId="52720"/>
    <cellStyle name="60% - 강조색1 2" xfId="77"/>
    <cellStyle name="60% - 강조색1 2 10" xfId="1938"/>
    <cellStyle name="60% - 강조색1 2 11" xfId="1939"/>
    <cellStyle name="60% - 강조색1 2 12" xfId="1940"/>
    <cellStyle name="60% - 강조색1 2 13" xfId="1941"/>
    <cellStyle name="60% - 강조색1 2 14" xfId="1942"/>
    <cellStyle name="60% - 강조색1 2 15" xfId="1943"/>
    <cellStyle name="60% - 강조색1 2 16" xfId="1944"/>
    <cellStyle name="60% - 강조색1 2 17" xfId="1945"/>
    <cellStyle name="60% - 강조색1 2 18" xfId="1946"/>
    <cellStyle name="60% - 강조색1 2 19" xfId="1947"/>
    <cellStyle name="60% - 강조색1 2 2" xfId="1948"/>
    <cellStyle name="60% - 강조색1 2 2 2" xfId="1949"/>
    <cellStyle name="60% - 강조색1 2 2_CRM팀 1단계 정보확인 DB 검색코드_110425" xfId="1950"/>
    <cellStyle name="60% - 강조색1 2 20" xfId="1951"/>
    <cellStyle name="60% - 강조색1 2 21" xfId="1952"/>
    <cellStyle name="60% - 강조색1 2 22" xfId="1953"/>
    <cellStyle name="60% - 강조색1 2 23" xfId="1954"/>
    <cellStyle name="60% - 강조색1 2 24" xfId="1955"/>
    <cellStyle name="60% - 강조색1 2 25" xfId="1956"/>
    <cellStyle name="60% - 강조색1 2 26" xfId="1957"/>
    <cellStyle name="60% - 강조색1 2 27" xfId="4841"/>
    <cellStyle name="60% - 강조색1 2 28" xfId="1937"/>
    <cellStyle name="60% - 강조색1 2 29" xfId="51251"/>
    <cellStyle name="60% - 강조색1 2 3" xfId="1958"/>
    <cellStyle name="60% - 강조색1 2 4" xfId="1959"/>
    <cellStyle name="60% - 강조색1 2 5" xfId="1960"/>
    <cellStyle name="60% - 강조색1 2 6" xfId="1961"/>
    <cellStyle name="60% - 강조색1 2 7" xfId="1962"/>
    <cellStyle name="60% - 강조색1 2 8" xfId="1963"/>
    <cellStyle name="60% - 강조색1 2 9" xfId="1964"/>
    <cellStyle name="60% - 강조색1 2_CRM팀 1단계 정보확인 DB 검색코드_110425" xfId="1965"/>
    <cellStyle name="60% - 강조색1 20" xfId="52721"/>
    <cellStyle name="60% - 강조색1 21" xfId="52722"/>
    <cellStyle name="60% - 강조색1 22" xfId="52723"/>
    <cellStyle name="60% - 강조색1 23" xfId="52724"/>
    <cellStyle name="60% - 강조색1 24" xfId="52725"/>
    <cellStyle name="60% - 강조색1 25" xfId="52726"/>
    <cellStyle name="60% - 강조색1 26" xfId="52727"/>
    <cellStyle name="60% - 강조색1 3" xfId="78"/>
    <cellStyle name="60% - 강조색1 3 2" xfId="1967"/>
    <cellStyle name="60% - 강조색1 3 2 2" xfId="50814"/>
    <cellStyle name="60% - 강조색1 3 3" xfId="1966"/>
    <cellStyle name="60% - 강조색1 3 4" xfId="52728"/>
    <cellStyle name="60% - 강조색1 3 5" xfId="52729"/>
    <cellStyle name="60% - 강조색1 3_사업부문" xfId="52730"/>
    <cellStyle name="60% - 강조색1 4" xfId="79"/>
    <cellStyle name="60% - 강조색1 4 2" xfId="1969"/>
    <cellStyle name="60% - 강조색1 4 2 2" xfId="50817"/>
    <cellStyle name="60% - 강조색1 4 3" xfId="1968"/>
    <cellStyle name="60% - 강조색1 4 4" xfId="52731"/>
    <cellStyle name="60% - 강조색1 4 5" xfId="52732"/>
    <cellStyle name="60% - 강조색1 4_사업부문" xfId="52733"/>
    <cellStyle name="60% - 강조색1 5" xfId="80"/>
    <cellStyle name="60% - 강조색1 5 2" xfId="1971"/>
    <cellStyle name="60% - 강조색1 5 2 2" xfId="50820"/>
    <cellStyle name="60% - 강조색1 5 3" xfId="1970"/>
    <cellStyle name="60% - 강조색1 5_사업부문" xfId="52734"/>
    <cellStyle name="60% - 강조색1 6" xfId="81"/>
    <cellStyle name="60% - 강조색1 6 2" xfId="1973"/>
    <cellStyle name="60% - 강조색1 6 2 2" xfId="50823"/>
    <cellStyle name="60% - 강조색1 6 3" xfId="1972"/>
    <cellStyle name="60% - 강조색1 6_사업부문" xfId="52735"/>
    <cellStyle name="60% - 강조색1 7" xfId="82"/>
    <cellStyle name="60% - 강조색1 7 2" xfId="5245"/>
    <cellStyle name="60% - 강조색1 7 3" xfId="50826"/>
    <cellStyle name="60% - 강조색1 7_사업부문" xfId="52736"/>
    <cellStyle name="60% - 강조색1 8" xfId="1974"/>
    <cellStyle name="60% - 강조색1 8 2" xfId="52737"/>
    <cellStyle name="60% - 강조색1 8 3" xfId="52738"/>
    <cellStyle name="60% - 강조색1 9" xfId="1936"/>
    <cellStyle name="60% - 강조색1 9 2" xfId="52739"/>
    <cellStyle name="60% - 강조색2 10" xfId="52740"/>
    <cellStyle name="60% - 강조색2 10 2" xfId="52741"/>
    <cellStyle name="60% - 강조색2 11" xfId="52742"/>
    <cellStyle name="60% - 강조색2 11 2" xfId="52743"/>
    <cellStyle name="60% - 강조색2 12" xfId="52744"/>
    <cellStyle name="60% - 강조색2 13" xfId="52745"/>
    <cellStyle name="60% - 강조색2 14" xfId="52746"/>
    <cellStyle name="60% - 강조색2 15" xfId="52747"/>
    <cellStyle name="60% - 강조색2 16" xfId="52748"/>
    <cellStyle name="60% - 강조색2 17" xfId="52749"/>
    <cellStyle name="60% - 강조색2 18" xfId="52750"/>
    <cellStyle name="60% - 강조색2 19" xfId="52751"/>
    <cellStyle name="60% - 강조색2 2" xfId="83"/>
    <cellStyle name="60% - 강조색2 2 10" xfId="1977"/>
    <cellStyle name="60% - 강조색2 2 11" xfId="1978"/>
    <cellStyle name="60% - 강조색2 2 12" xfId="1979"/>
    <cellStyle name="60% - 강조색2 2 13" xfId="1980"/>
    <cellStyle name="60% - 강조색2 2 14" xfId="1981"/>
    <cellStyle name="60% - 강조색2 2 15" xfId="1982"/>
    <cellStyle name="60% - 강조색2 2 16" xfId="1983"/>
    <cellStyle name="60% - 강조색2 2 17" xfId="1984"/>
    <cellStyle name="60% - 강조색2 2 18" xfId="1985"/>
    <cellStyle name="60% - 강조색2 2 19" xfId="1986"/>
    <cellStyle name="60% - 강조색2 2 2" xfId="1987"/>
    <cellStyle name="60% - 강조색2 2 2 2" xfId="1988"/>
    <cellStyle name="60% - 강조색2 2 2_CRM팀 1단계 정보확인 DB 검색코드_110425" xfId="1989"/>
    <cellStyle name="60% - 강조색2 2 20" xfId="1990"/>
    <cellStyle name="60% - 강조색2 2 21" xfId="1991"/>
    <cellStyle name="60% - 강조색2 2 22" xfId="1992"/>
    <cellStyle name="60% - 강조색2 2 23" xfId="1993"/>
    <cellStyle name="60% - 강조색2 2 24" xfId="1994"/>
    <cellStyle name="60% - 강조색2 2 25" xfId="1995"/>
    <cellStyle name="60% - 강조색2 2 26" xfId="1996"/>
    <cellStyle name="60% - 강조색2 2 27" xfId="4842"/>
    <cellStyle name="60% - 강조색2 2 28" xfId="1976"/>
    <cellStyle name="60% - 강조색2 2 29" xfId="51252"/>
    <cellStyle name="60% - 강조색2 2 3" xfId="1997"/>
    <cellStyle name="60% - 강조색2 2 4" xfId="1998"/>
    <cellStyle name="60% - 강조색2 2 5" xfId="1999"/>
    <cellStyle name="60% - 강조색2 2 6" xfId="2000"/>
    <cellStyle name="60% - 강조색2 2 7" xfId="2001"/>
    <cellStyle name="60% - 강조색2 2 8" xfId="2002"/>
    <cellStyle name="60% - 강조색2 2 9" xfId="2003"/>
    <cellStyle name="60% - 강조색2 2_CRM팀 1단계 정보확인 DB 검색코드_110425" xfId="2004"/>
    <cellStyle name="60% - 강조색2 20" xfId="52752"/>
    <cellStyle name="60% - 강조색2 21" xfId="52753"/>
    <cellStyle name="60% - 강조색2 22" xfId="52754"/>
    <cellStyle name="60% - 강조색2 23" xfId="52755"/>
    <cellStyle name="60% - 강조색2 24" xfId="52756"/>
    <cellStyle name="60% - 강조색2 25" xfId="52757"/>
    <cellStyle name="60% - 강조색2 26" xfId="52758"/>
    <cellStyle name="60% - 강조색2 3" xfId="84"/>
    <cellStyle name="60% - 강조색2 3 2" xfId="2006"/>
    <cellStyle name="60% - 강조색2 3 2 2" xfId="50860"/>
    <cellStyle name="60% - 강조색2 3 3" xfId="2005"/>
    <cellStyle name="60% - 강조색2 3 4" xfId="52759"/>
    <cellStyle name="60% - 강조색2 3 5" xfId="52760"/>
    <cellStyle name="60% - 강조색2 3_사업부문" xfId="52761"/>
    <cellStyle name="60% - 강조색2 4" xfId="85"/>
    <cellStyle name="60% - 강조색2 4 2" xfId="2008"/>
    <cellStyle name="60% - 강조색2 4 2 2" xfId="50861"/>
    <cellStyle name="60% - 강조색2 4 3" xfId="2007"/>
    <cellStyle name="60% - 강조색2 4 4" xfId="52762"/>
    <cellStyle name="60% - 강조색2 4 5" xfId="52763"/>
    <cellStyle name="60% - 강조색2 4_사업부문" xfId="52764"/>
    <cellStyle name="60% - 강조색2 5" xfId="86"/>
    <cellStyle name="60% - 강조색2 5 2" xfId="2010"/>
    <cellStyle name="60% - 강조색2 5 2 2" xfId="50862"/>
    <cellStyle name="60% - 강조색2 5 3" xfId="2009"/>
    <cellStyle name="60% - 강조색2 5_사업부문" xfId="52765"/>
    <cellStyle name="60% - 강조색2 6" xfId="87"/>
    <cellStyle name="60% - 강조색2 6 2" xfId="2012"/>
    <cellStyle name="60% - 강조색2 6 2 2" xfId="50863"/>
    <cellStyle name="60% - 강조색2 6 3" xfId="2011"/>
    <cellStyle name="60% - 강조색2 6_사업부문" xfId="52766"/>
    <cellStyle name="60% - 강조색2 7" xfId="88"/>
    <cellStyle name="60% - 강조색2 7 2" xfId="5246"/>
    <cellStyle name="60% - 강조색2 7 3" xfId="50864"/>
    <cellStyle name="60% - 강조색2 7_사업부문" xfId="52767"/>
    <cellStyle name="60% - 강조색2 8" xfId="2013"/>
    <cellStyle name="60% - 강조색2 8 2" xfId="52768"/>
    <cellStyle name="60% - 강조색2 8 3" xfId="52769"/>
    <cellStyle name="60% - 강조색2 9" xfId="1975"/>
    <cellStyle name="60% - 강조색2 9 2" xfId="52770"/>
    <cellStyle name="60% - 강조색3 10" xfId="52771"/>
    <cellStyle name="60% - 강조색3 10 2" xfId="52772"/>
    <cellStyle name="60% - 강조색3 11" xfId="52773"/>
    <cellStyle name="60% - 강조색3 11 2" xfId="52774"/>
    <cellStyle name="60% - 강조색3 12" xfId="52775"/>
    <cellStyle name="60% - 강조색3 13" xfId="52776"/>
    <cellStyle name="60% - 강조색3 14" xfId="52777"/>
    <cellStyle name="60% - 강조색3 15" xfId="52778"/>
    <cellStyle name="60% - 강조색3 16" xfId="52779"/>
    <cellStyle name="60% - 강조색3 17" xfId="52780"/>
    <cellStyle name="60% - 강조색3 18" xfId="52781"/>
    <cellStyle name="60% - 강조색3 19" xfId="52782"/>
    <cellStyle name="60% - 강조색3 2" xfId="89"/>
    <cellStyle name="60% - 강조색3 2 10" xfId="2016"/>
    <cellStyle name="60% - 강조색3 2 11" xfId="2017"/>
    <cellStyle name="60% - 강조색3 2 12" xfId="2018"/>
    <cellStyle name="60% - 강조색3 2 13" xfId="2019"/>
    <cellStyle name="60% - 강조색3 2 14" xfId="2020"/>
    <cellStyle name="60% - 강조색3 2 15" xfId="2021"/>
    <cellStyle name="60% - 강조색3 2 16" xfId="2022"/>
    <cellStyle name="60% - 강조색3 2 17" xfId="2023"/>
    <cellStyle name="60% - 강조색3 2 18" xfId="2024"/>
    <cellStyle name="60% - 강조색3 2 19" xfId="2025"/>
    <cellStyle name="60% - 강조색3 2 2" xfId="2026"/>
    <cellStyle name="60% - 강조색3 2 2 2" xfId="2027"/>
    <cellStyle name="60% - 강조색3 2 2_CRM팀 1단계 정보확인 DB 검색코드_110425" xfId="2028"/>
    <cellStyle name="60% - 강조색3 2 20" xfId="2029"/>
    <cellStyle name="60% - 강조색3 2 21" xfId="2030"/>
    <cellStyle name="60% - 강조색3 2 22" xfId="2031"/>
    <cellStyle name="60% - 강조색3 2 23" xfId="2032"/>
    <cellStyle name="60% - 강조색3 2 24" xfId="2033"/>
    <cellStyle name="60% - 강조색3 2 25" xfId="2034"/>
    <cellStyle name="60% - 강조색3 2 26" xfId="2035"/>
    <cellStyle name="60% - 강조색3 2 27" xfId="4843"/>
    <cellStyle name="60% - 강조색3 2 28" xfId="2015"/>
    <cellStyle name="60% - 강조색3 2 29" xfId="51253"/>
    <cellStyle name="60% - 강조색3 2 3" xfId="2036"/>
    <cellStyle name="60% - 강조색3 2 4" xfId="2037"/>
    <cellStyle name="60% - 강조색3 2 5" xfId="2038"/>
    <cellStyle name="60% - 강조색3 2 6" xfId="2039"/>
    <cellStyle name="60% - 강조색3 2 7" xfId="2040"/>
    <cellStyle name="60% - 강조색3 2 8" xfId="2041"/>
    <cellStyle name="60% - 강조색3 2 9" xfId="2042"/>
    <cellStyle name="60% - 강조색3 2_CRM팀 1단계 정보확인 DB 검색코드_110425" xfId="2043"/>
    <cellStyle name="60% - 강조색3 20" xfId="52783"/>
    <cellStyle name="60% - 강조색3 21" xfId="52784"/>
    <cellStyle name="60% - 강조색3 22" xfId="52785"/>
    <cellStyle name="60% - 강조색3 23" xfId="52786"/>
    <cellStyle name="60% - 강조색3 24" xfId="52787"/>
    <cellStyle name="60% - 강조색3 25" xfId="52788"/>
    <cellStyle name="60% - 강조색3 26" xfId="52789"/>
    <cellStyle name="60% - 강조색3 3" xfId="90"/>
    <cellStyle name="60% - 강조색3 3 2" xfId="2045"/>
    <cellStyle name="60% - 강조색3 3 2 2" xfId="50865"/>
    <cellStyle name="60% - 강조색3 3 3" xfId="2044"/>
    <cellStyle name="60% - 강조색3 3 4" xfId="52790"/>
    <cellStyle name="60% - 강조색3 3 5" xfId="52791"/>
    <cellStyle name="60% - 강조색3 3_사업부문" xfId="52792"/>
    <cellStyle name="60% - 강조색3 4" xfId="91"/>
    <cellStyle name="60% - 강조색3 4 2" xfId="2047"/>
    <cellStyle name="60% - 강조색3 4 2 2" xfId="50866"/>
    <cellStyle name="60% - 강조색3 4 3" xfId="2046"/>
    <cellStyle name="60% - 강조색3 4 4" xfId="52793"/>
    <cellStyle name="60% - 강조색3 4 5" xfId="52794"/>
    <cellStyle name="60% - 강조색3 4_사업부문" xfId="52795"/>
    <cellStyle name="60% - 강조색3 5" xfId="92"/>
    <cellStyle name="60% - 강조색3 5 2" xfId="2049"/>
    <cellStyle name="60% - 강조색3 5 2 2" xfId="50867"/>
    <cellStyle name="60% - 강조색3 5 3" xfId="2048"/>
    <cellStyle name="60% - 강조색3 5_사업부문" xfId="52796"/>
    <cellStyle name="60% - 강조색3 6" xfId="93"/>
    <cellStyle name="60% - 강조색3 6 2" xfId="2051"/>
    <cellStyle name="60% - 강조색3 6 2 2" xfId="50868"/>
    <cellStyle name="60% - 강조색3 6 3" xfId="2050"/>
    <cellStyle name="60% - 강조색3 6_사업부문" xfId="52797"/>
    <cellStyle name="60% - 강조색3 7" xfId="94"/>
    <cellStyle name="60% - 강조색3 7 2" xfId="5247"/>
    <cellStyle name="60% - 강조색3 7 3" xfId="50869"/>
    <cellStyle name="60% - 강조색3 7_사업부문" xfId="52798"/>
    <cellStyle name="60% - 강조색3 8" xfId="2052"/>
    <cellStyle name="60% - 강조색3 8 2" xfId="52799"/>
    <cellStyle name="60% - 강조색3 8 3" xfId="52800"/>
    <cellStyle name="60% - 강조색3 9" xfId="2014"/>
    <cellStyle name="60% - 강조색3 9 2" xfId="52801"/>
    <cellStyle name="60% - 강조색4 10" xfId="52802"/>
    <cellStyle name="60% - 강조색4 10 2" xfId="52803"/>
    <cellStyle name="60% - 강조색4 11" xfId="52804"/>
    <cellStyle name="60% - 강조색4 11 2" xfId="52805"/>
    <cellStyle name="60% - 강조색4 12" xfId="52806"/>
    <cellStyle name="60% - 강조색4 13" xfId="52807"/>
    <cellStyle name="60% - 강조색4 14" xfId="52808"/>
    <cellStyle name="60% - 강조색4 15" xfId="52809"/>
    <cellStyle name="60% - 강조색4 16" xfId="52810"/>
    <cellStyle name="60% - 강조색4 17" xfId="52811"/>
    <cellStyle name="60% - 강조색4 18" xfId="52812"/>
    <cellStyle name="60% - 강조색4 19" xfId="52813"/>
    <cellStyle name="60% - 강조색4 2" xfId="95"/>
    <cellStyle name="60% - 강조색4 2 10" xfId="2055"/>
    <cellStyle name="60% - 강조색4 2 11" xfId="2056"/>
    <cellStyle name="60% - 강조색4 2 12" xfId="2057"/>
    <cellStyle name="60% - 강조색4 2 13" xfId="2058"/>
    <cellStyle name="60% - 강조색4 2 14" xfId="2059"/>
    <cellStyle name="60% - 강조색4 2 15" xfId="2060"/>
    <cellStyle name="60% - 강조색4 2 16" xfId="2061"/>
    <cellStyle name="60% - 강조색4 2 17" xfId="2062"/>
    <cellStyle name="60% - 강조색4 2 18" xfId="2063"/>
    <cellStyle name="60% - 강조색4 2 19" xfId="2064"/>
    <cellStyle name="60% - 강조색4 2 2" xfId="2065"/>
    <cellStyle name="60% - 강조색4 2 2 2" xfId="2066"/>
    <cellStyle name="60% - 강조색4 2 2_CRM팀 1단계 정보확인 DB 검색코드_110425" xfId="2067"/>
    <cellStyle name="60% - 강조색4 2 20" xfId="2068"/>
    <cellStyle name="60% - 강조색4 2 21" xfId="2069"/>
    <cellStyle name="60% - 강조색4 2 22" xfId="2070"/>
    <cellStyle name="60% - 강조색4 2 23" xfId="2071"/>
    <cellStyle name="60% - 강조색4 2 24" xfId="2072"/>
    <cellStyle name="60% - 강조색4 2 25" xfId="2073"/>
    <cellStyle name="60% - 강조색4 2 26" xfId="2074"/>
    <cellStyle name="60% - 강조색4 2 27" xfId="4844"/>
    <cellStyle name="60% - 강조색4 2 28" xfId="2054"/>
    <cellStyle name="60% - 강조색4 2 29" xfId="51254"/>
    <cellStyle name="60% - 강조색4 2 3" xfId="2075"/>
    <cellStyle name="60% - 강조색4 2 4" xfId="2076"/>
    <cellStyle name="60% - 강조색4 2 5" xfId="2077"/>
    <cellStyle name="60% - 강조색4 2 6" xfId="2078"/>
    <cellStyle name="60% - 강조색4 2 7" xfId="2079"/>
    <cellStyle name="60% - 강조색4 2 8" xfId="2080"/>
    <cellStyle name="60% - 강조색4 2 9" xfId="2081"/>
    <cellStyle name="60% - 강조색4 2_CRM팀 1단계 정보확인 DB 검색코드_110425" xfId="2082"/>
    <cellStyle name="60% - 강조색4 20" xfId="52814"/>
    <cellStyle name="60% - 강조색4 21" xfId="52815"/>
    <cellStyle name="60% - 강조색4 22" xfId="52816"/>
    <cellStyle name="60% - 강조색4 23" xfId="52817"/>
    <cellStyle name="60% - 강조색4 24" xfId="52818"/>
    <cellStyle name="60% - 강조색4 25" xfId="52819"/>
    <cellStyle name="60% - 강조색4 26" xfId="52820"/>
    <cellStyle name="60% - 강조색4 3" xfId="96"/>
    <cellStyle name="60% - 강조색4 3 2" xfId="2084"/>
    <cellStyle name="60% - 강조색4 3 2 2" xfId="50870"/>
    <cellStyle name="60% - 강조색4 3 3" xfId="2083"/>
    <cellStyle name="60% - 강조색4 3 4" xfId="52821"/>
    <cellStyle name="60% - 강조색4 3 5" xfId="52822"/>
    <cellStyle name="60% - 강조색4 3_사업부문" xfId="52823"/>
    <cellStyle name="60% - 강조색4 4" xfId="97"/>
    <cellStyle name="60% - 강조색4 4 2" xfId="2086"/>
    <cellStyle name="60% - 강조색4 4 2 2" xfId="50871"/>
    <cellStyle name="60% - 강조색4 4 3" xfId="2085"/>
    <cellStyle name="60% - 강조색4 4 4" xfId="52824"/>
    <cellStyle name="60% - 강조색4 4 5" xfId="52825"/>
    <cellStyle name="60% - 강조색4 4_사업부문" xfId="52826"/>
    <cellStyle name="60% - 강조색4 5" xfId="98"/>
    <cellStyle name="60% - 강조색4 5 2" xfId="2088"/>
    <cellStyle name="60% - 강조색4 5 2 2" xfId="50872"/>
    <cellStyle name="60% - 강조색4 5 3" xfId="2087"/>
    <cellStyle name="60% - 강조색4 5_사업부문" xfId="52827"/>
    <cellStyle name="60% - 강조색4 6" xfId="99"/>
    <cellStyle name="60% - 강조색4 6 2" xfId="2090"/>
    <cellStyle name="60% - 강조색4 6 2 2" xfId="50873"/>
    <cellStyle name="60% - 강조색4 6 3" xfId="2089"/>
    <cellStyle name="60% - 강조색4 6_사업부문" xfId="52828"/>
    <cellStyle name="60% - 강조색4 7" xfId="100"/>
    <cellStyle name="60% - 강조색4 7 2" xfId="5248"/>
    <cellStyle name="60% - 강조색4 7 3" xfId="50874"/>
    <cellStyle name="60% - 강조색4 7_사업부문" xfId="52829"/>
    <cellStyle name="60% - 강조색4 8" xfId="2091"/>
    <cellStyle name="60% - 강조색4 8 2" xfId="52830"/>
    <cellStyle name="60% - 강조색4 8 3" xfId="52831"/>
    <cellStyle name="60% - 강조색4 9" xfId="2053"/>
    <cellStyle name="60% - 강조색4 9 2" xfId="52832"/>
    <cellStyle name="60% - 강조색5 10" xfId="52833"/>
    <cellStyle name="60% - 강조색5 10 2" xfId="52834"/>
    <cellStyle name="60% - 강조색5 11" xfId="52835"/>
    <cellStyle name="60% - 강조색5 11 2" xfId="52836"/>
    <cellStyle name="60% - 강조색5 12" xfId="52837"/>
    <cellStyle name="60% - 강조색5 13" xfId="52838"/>
    <cellStyle name="60% - 강조색5 14" xfId="52839"/>
    <cellStyle name="60% - 강조색5 15" xfId="52840"/>
    <cellStyle name="60% - 강조색5 16" xfId="52841"/>
    <cellStyle name="60% - 강조색5 17" xfId="52842"/>
    <cellStyle name="60% - 강조색5 18" xfId="52843"/>
    <cellStyle name="60% - 강조색5 19" xfId="52844"/>
    <cellStyle name="60% - 강조색5 2" xfId="101"/>
    <cellStyle name="60% - 강조색5 2 10" xfId="2094"/>
    <cellStyle name="60% - 강조색5 2 11" xfId="2095"/>
    <cellStyle name="60% - 강조색5 2 12" xfId="2096"/>
    <cellStyle name="60% - 강조색5 2 13" xfId="2097"/>
    <cellStyle name="60% - 강조색5 2 14" xfId="2098"/>
    <cellStyle name="60% - 강조색5 2 15" xfId="2099"/>
    <cellStyle name="60% - 강조색5 2 16" xfId="2100"/>
    <cellStyle name="60% - 강조색5 2 17" xfId="2101"/>
    <cellStyle name="60% - 강조색5 2 18" xfId="2102"/>
    <cellStyle name="60% - 강조색5 2 19" xfId="2103"/>
    <cellStyle name="60% - 강조색5 2 2" xfId="2104"/>
    <cellStyle name="60% - 강조색5 2 2 2" xfId="2105"/>
    <cellStyle name="60% - 강조색5 2 2_CRM팀 1단계 정보확인 DB 검색코드_110425" xfId="2106"/>
    <cellStyle name="60% - 강조색5 2 20" xfId="2107"/>
    <cellStyle name="60% - 강조색5 2 21" xfId="2108"/>
    <cellStyle name="60% - 강조색5 2 22" xfId="2109"/>
    <cellStyle name="60% - 강조색5 2 23" xfId="2110"/>
    <cellStyle name="60% - 강조색5 2 24" xfId="2111"/>
    <cellStyle name="60% - 강조색5 2 25" xfId="2112"/>
    <cellStyle name="60% - 강조색5 2 26" xfId="2113"/>
    <cellStyle name="60% - 강조색5 2 27" xfId="4845"/>
    <cellStyle name="60% - 강조색5 2 28" xfId="2093"/>
    <cellStyle name="60% - 강조색5 2 29" xfId="51255"/>
    <cellStyle name="60% - 강조색5 2 3" xfId="2114"/>
    <cellStyle name="60% - 강조색5 2 4" xfId="2115"/>
    <cellStyle name="60% - 강조색5 2 5" xfId="2116"/>
    <cellStyle name="60% - 강조색5 2 6" xfId="2117"/>
    <cellStyle name="60% - 강조색5 2 7" xfId="2118"/>
    <cellStyle name="60% - 강조색5 2 8" xfId="2119"/>
    <cellStyle name="60% - 강조색5 2 9" xfId="2120"/>
    <cellStyle name="60% - 강조색5 2_CRM팀 1단계 정보확인 DB 검색코드_110425" xfId="2121"/>
    <cellStyle name="60% - 강조색5 20" xfId="52845"/>
    <cellStyle name="60% - 강조색5 21" xfId="52846"/>
    <cellStyle name="60% - 강조색5 22" xfId="52847"/>
    <cellStyle name="60% - 강조색5 23" xfId="52848"/>
    <cellStyle name="60% - 강조색5 24" xfId="52849"/>
    <cellStyle name="60% - 강조색5 25" xfId="52850"/>
    <cellStyle name="60% - 강조색5 26" xfId="52851"/>
    <cellStyle name="60% - 강조색5 3" xfId="102"/>
    <cellStyle name="60% - 강조색5 3 2" xfId="2123"/>
    <cellStyle name="60% - 강조색5 3 2 2" xfId="50875"/>
    <cellStyle name="60% - 강조색5 3 3" xfId="2122"/>
    <cellStyle name="60% - 강조색5 3 4" xfId="52852"/>
    <cellStyle name="60% - 강조색5 3 5" xfId="52853"/>
    <cellStyle name="60% - 강조색5 3_사업부문" xfId="52854"/>
    <cellStyle name="60% - 강조색5 4" xfId="103"/>
    <cellStyle name="60% - 강조색5 4 2" xfId="2125"/>
    <cellStyle name="60% - 강조색5 4 2 2" xfId="50876"/>
    <cellStyle name="60% - 강조색5 4 3" xfId="2124"/>
    <cellStyle name="60% - 강조색5 4 4" xfId="52855"/>
    <cellStyle name="60% - 강조색5 4 5" xfId="52856"/>
    <cellStyle name="60% - 강조색5 4_사업부문" xfId="52857"/>
    <cellStyle name="60% - 강조색5 5" xfId="104"/>
    <cellStyle name="60% - 강조색5 5 2" xfId="2127"/>
    <cellStyle name="60% - 강조색5 5 2 2" xfId="50877"/>
    <cellStyle name="60% - 강조색5 5 3" xfId="2126"/>
    <cellStyle name="60% - 강조색5 5_사업부문" xfId="52858"/>
    <cellStyle name="60% - 강조색5 6" xfId="105"/>
    <cellStyle name="60% - 강조색5 6 2" xfId="2129"/>
    <cellStyle name="60% - 강조색5 6 2 2" xfId="50878"/>
    <cellStyle name="60% - 강조색5 6 3" xfId="2128"/>
    <cellStyle name="60% - 강조색5 6_사업부문" xfId="52859"/>
    <cellStyle name="60% - 강조색5 7" xfId="106"/>
    <cellStyle name="60% - 강조색5 7 2" xfId="5249"/>
    <cellStyle name="60% - 강조색5 7 3" xfId="50879"/>
    <cellStyle name="60% - 강조색5 7_사업부문" xfId="52860"/>
    <cellStyle name="60% - 강조색5 8" xfId="2130"/>
    <cellStyle name="60% - 강조색5 8 2" xfId="52861"/>
    <cellStyle name="60% - 강조색5 8 3" xfId="52862"/>
    <cellStyle name="60% - 강조색5 9" xfId="2092"/>
    <cellStyle name="60% - 강조색5 9 2" xfId="52863"/>
    <cellStyle name="60% - 강조색6 10" xfId="52864"/>
    <cellStyle name="60% - 강조색6 10 2" xfId="52865"/>
    <cellStyle name="60% - 강조색6 11" xfId="52866"/>
    <cellStyle name="60% - 강조색6 11 2" xfId="52867"/>
    <cellStyle name="60% - 강조색6 12" xfId="52868"/>
    <cellStyle name="60% - 강조색6 13" xfId="52869"/>
    <cellStyle name="60% - 강조색6 14" xfId="52870"/>
    <cellStyle name="60% - 강조색6 15" xfId="52871"/>
    <cellStyle name="60% - 강조색6 16" xfId="52872"/>
    <cellStyle name="60% - 강조색6 17" xfId="52873"/>
    <cellStyle name="60% - 강조색6 18" xfId="52874"/>
    <cellStyle name="60% - 강조색6 19" xfId="52875"/>
    <cellStyle name="60% - 강조색6 2" xfId="107"/>
    <cellStyle name="60% - 강조색6 2 10" xfId="2133"/>
    <cellStyle name="60% - 강조색6 2 11" xfId="2134"/>
    <cellStyle name="60% - 강조색6 2 12" xfId="2135"/>
    <cellStyle name="60% - 강조색6 2 13" xfId="2136"/>
    <cellStyle name="60% - 강조색6 2 14" xfId="2137"/>
    <cellStyle name="60% - 강조색6 2 15" xfId="2138"/>
    <cellStyle name="60% - 강조색6 2 16" xfId="2139"/>
    <cellStyle name="60% - 강조색6 2 17" xfId="2140"/>
    <cellStyle name="60% - 강조색6 2 18" xfId="2141"/>
    <cellStyle name="60% - 강조색6 2 19" xfId="2142"/>
    <cellStyle name="60% - 강조색6 2 2" xfId="2143"/>
    <cellStyle name="60% - 강조색6 2 2 2" xfId="2144"/>
    <cellStyle name="60% - 강조색6 2 2_CRM팀 1단계 정보확인 DB 검색코드_110425" xfId="2145"/>
    <cellStyle name="60% - 강조색6 2 20" xfId="2146"/>
    <cellStyle name="60% - 강조색6 2 21" xfId="2147"/>
    <cellStyle name="60% - 강조색6 2 22" xfId="2148"/>
    <cellStyle name="60% - 강조색6 2 23" xfId="2149"/>
    <cellStyle name="60% - 강조색6 2 24" xfId="2150"/>
    <cellStyle name="60% - 강조색6 2 25" xfId="2151"/>
    <cellStyle name="60% - 강조색6 2 26" xfId="2152"/>
    <cellStyle name="60% - 강조색6 2 27" xfId="4846"/>
    <cellStyle name="60% - 강조색6 2 28" xfId="2132"/>
    <cellStyle name="60% - 강조색6 2 29" xfId="51256"/>
    <cellStyle name="60% - 강조색6 2 3" xfId="2153"/>
    <cellStyle name="60% - 강조색6 2 4" xfId="2154"/>
    <cellStyle name="60% - 강조색6 2 5" xfId="2155"/>
    <cellStyle name="60% - 강조색6 2 6" xfId="2156"/>
    <cellStyle name="60% - 강조색6 2 7" xfId="2157"/>
    <cellStyle name="60% - 강조색6 2 8" xfId="2158"/>
    <cellStyle name="60% - 강조색6 2 9" xfId="2159"/>
    <cellStyle name="60% - 강조색6 2_CRM팀 1단계 정보확인 DB 검색코드_110425" xfId="2160"/>
    <cellStyle name="60% - 강조색6 20" xfId="52876"/>
    <cellStyle name="60% - 강조색6 21" xfId="52877"/>
    <cellStyle name="60% - 강조색6 22" xfId="52878"/>
    <cellStyle name="60% - 강조색6 23" xfId="52879"/>
    <cellStyle name="60% - 강조색6 24" xfId="52880"/>
    <cellStyle name="60% - 강조색6 25" xfId="52881"/>
    <cellStyle name="60% - 강조색6 26" xfId="52882"/>
    <cellStyle name="60% - 강조색6 3" xfId="108"/>
    <cellStyle name="60% - 강조색6 3 2" xfId="2162"/>
    <cellStyle name="60% - 강조색6 3 2 2" xfId="50880"/>
    <cellStyle name="60% - 강조색6 3 3" xfId="2161"/>
    <cellStyle name="60% - 강조색6 3 4" xfId="52883"/>
    <cellStyle name="60% - 강조색6 3 5" xfId="52884"/>
    <cellStyle name="60% - 강조색6 3_사업부문" xfId="52885"/>
    <cellStyle name="60% - 강조색6 4" xfId="109"/>
    <cellStyle name="60% - 강조색6 4 2" xfId="2164"/>
    <cellStyle name="60% - 강조색6 4 2 2" xfId="50881"/>
    <cellStyle name="60% - 강조색6 4 3" xfId="2163"/>
    <cellStyle name="60% - 강조색6 4 4" xfId="52886"/>
    <cellStyle name="60% - 강조색6 4 5" xfId="52887"/>
    <cellStyle name="60% - 강조색6 4_사업부문" xfId="52888"/>
    <cellStyle name="60% - 강조색6 5" xfId="110"/>
    <cellStyle name="60% - 강조색6 5 2" xfId="2166"/>
    <cellStyle name="60% - 강조색6 5 2 2" xfId="50882"/>
    <cellStyle name="60% - 강조색6 5 3" xfId="2165"/>
    <cellStyle name="60% - 강조색6 5_사업부문" xfId="52889"/>
    <cellStyle name="60% - 강조색6 6" xfId="111"/>
    <cellStyle name="60% - 강조색6 6 2" xfId="2168"/>
    <cellStyle name="60% - 강조색6 6 2 2" xfId="50883"/>
    <cellStyle name="60% - 강조색6 6 3" xfId="2167"/>
    <cellStyle name="60% - 강조색6 6_사업부문" xfId="52890"/>
    <cellStyle name="60% - 강조색6 7" xfId="112"/>
    <cellStyle name="60% - 강조색6 7 2" xfId="5250"/>
    <cellStyle name="60% - 강조색6 7 3" xfId="50884"/>
    <cellStyle name="60% - 강조색6 7_사업부문" xfId="52891"/>
    <cellStyle name="60% - 강조색6 8" xfId="2169"/>
    <cellStyle name="60% - 강조색6 8 2" xfId="52892"/>
    <cellStyle name="60% - 강조색6 8 3" xfId="52893"/>
    <cellStyle name="60% - 강조색6 9" xfId="2131"/>
    <cellStyle name="60% - 강조색6 9 2" xfId="52894"/>
    <cellStyle name="A" xfId="52895"/>
    <cellStyle name="A¡§¡ⓒ¡E¡þ¡EO [0]_￠R¨¡¨I¡þAu¡§u￠R¨I2" xfId="52896"/>
    <cellStyle name="A¡§¡ⓒ¡E¡þ¡EO_￠R¨¡¨I¡þAu¡§u￠R¨I2" xfId="52897"/>
    <cellStyle name="A¨­￠￢￠O [0]_INQUIRY ￠?￥i¨u¡AAⓒ￢Aⓒª " xfId="52898"/>
    <cellStyle name="A¨­￠￢￠O_INQUIRY ￠?￥i¨u¡AAⓒ￢Aⓒª " xfId="52899"/>
    <cellStyle name="Accent1" xfId="2170"/>
    <cellStyle name="Accent1 2" xfId="2171"/>
    <cellStyle name="Accent1 3" xfId="52900"/>
    <cellStyle name="Accent2" xfId="2172"/>
    <cellStyle name="Accent2 2" xfId="2173"/>
    <cellStyle name="Accent2 3" xfId="52901"/>
    <cellStyle name="Accent3" xfId="2174"/>
    <cellStyle name="Accent3 2" xfId="2175"/>
    <cellStyle name="Accent3 3" xfId="52902"/>
    <cellStyle name="Accent4" xfId="2176"/>
    <cellStyle name="Accent4 2" xfId="2177"/>
    <cellStyle name="Accent4 3" xfId="52903"/>
    <cellStyle name="Accent5" xfId="2178"/>
    <cellStyle name="Accent5 2" xfId="2179"/>
    <cellStyle name="Accent5 3" xfId="52904"/>
    <cellStyle name="Accent6" xfId="2180"/>
    <cellStyle name="Accent6 2" xfId="2181"/>
    <cellStyle name="Accent6 3" xfId="52905"/>
    <cellStyle name="active" xfId="52906"/>
    <cellStyle name="AeE­ [0]_¸¶°¨(°³)" xfId="52907"/>
    <cellStyle name="ÅëÈ­ [0]_¸ÅÃâ" xfId="52908"/>
    <cellStyle name="AeE­ [0]_¿­¸° INT" xfId="52909"/>
    <cellStyle name="ÅëÈ­ [0]_¿ùº¸¼ö·á " xfId="52910"/>
    <cellStyle name="AeE­ [0]_¿uº¸¼o·a _사장본점" xfId="52911"/>
    <cellStyle name="ÅëÈ­ [0]_¿ùº¸¼ö·á _사장본점" xfId="52912"/>
    <cellStyle name="AeE­ [0]_≫o·I¿i AO°￡¾÷¹≪ ¾c½A " xfId="52913"/>
    <cellStyle name="ÅëÈ­ [0]_¾ç½Ä10(±â±â±¸ÀÔºñ)" xfId="52914"/>
    <cellStyle name="AeE­ [0]_AMT _사장본점" xfId="52915"/>
    <cellStyle name="ÅëÈ­ [0]_AMT _사장본점" xfId="52916"/>
    <cellStyle name="AeE­ [0]_INQUIRY ¿μ¾÷AßAø " xfId="52917"/>
    <cellStyle name="ÅëÈ­ [0]_laroux" xfId="52918"/>
    <cellStyle name="AeE­ [0]_PERSONAL" xfId="52919"/>
    <cellStyle name="AeE­_¸¶°¨(°³)" xfId="52920"/>
    <cellStyle name="ÅëÈ­_¸ÅÃâ" xfId="52921"/>
    <cellStyle name="AeE­_¿­¸° INT" xfId="52922"/>
    <cellStyle name="ÅëÈ­_¿ùº¸¼ö·á " xfId="52923"/>
    <cellStyle name="AeE­_¿uº¸¼o·a _사장본점" xfId="52924"/>
    <cellStyle name="ÅëÈ­_¿ùº¸¼ö·á _사장본점" xfId="52925"/>
    <cellStyle name="AeE­_≫o·I¿i AO°￡¾÷¹≪ ¾c½A " xfId="52926"/>
    <cellStyle name="ÅëÈ­_¾ç½Ä10(±â±â±¸ÀÔºñ)" xfId="52927"/>
    <cellStyle name="AeE­_AMT _사장본점" xfId="52928"/>
    <cellStyle name="ÅëÈ­_AMT _사장본점" xfId="52929"/>
    <cellStyle name="AeE­_INQUIRY ¿μ¾÷AßAø " xfId="52930"/>
    <cellStyle name="ÅëÈ­_laroux" xfId="52931"/>
    <cellStyle name="AeE­_PERSONAL" xfId="52932"/>
    <cellStyle name="AeE¡ⓒ [0]_INQUIRY ￠?￥i¨u¡AAⓒ￢Aⓒª " xfId="52933"/>
    <cellStyle name="AeE¡ⓒ_¡Æⓒ￢Au6" xfId="52934"/>
    <cellStyle name="AeE￠R¨I [0]_￠R¨¡¨I¡þAu¡§u￠R¨I2" xfId="52935"/>
    <cellStyle name="AeE￠R¨I_¡§u￠R¨I¡E?i" xfId="52936"/>
    <cellStyle name="ALIGNMENT" xfId="52937"/>
    <cellStyle name="AÞ¸¶ [0]_(¿uAEP)" xfId="52938"/>
    <cellStyle name="ÄÞ¸¶ [0]_¸ÅÃâ" xfId="52939"/>
    <cellStyle name="AÞ¸¶ [0]_¿­¸° INT" xfId="52940"/>
    <cellStyle name="ÄÞ¸¶ [0]_¿ùº¸¼ö·á " xfId="52941"/>
    <cellStyle name="AÞ¸¶ [0]_¿uº¸¼o·a _사장본점" xfId="52942"/>
    <cellStyle name="ÄÞ¸¶ [0]_¿ùº¸¼ö·á _사장본점" xfId="52943"/>
    <cellStyle name="AÞ¸¶ [0]_≫o·I¿i AO°￡¾÷¹≪ ¾c½A " xfId="52944"/>
    <cellStyle name="ÄÞ¸¶ [0]_¾ç½Ä10(±â±â±¸ÀÔºñ)" xfId="52945"/>
    <cellStyle name="AÞ¸¶ [0]_INQUIRY ¿μ¾÷AßAø " xfId="52946"/>
    <cellStyle name="ÄÞ¸¶ [0]_laroux" xfId="52947"/>
    <cellStyle name="AÞ¸¶_¸¶°¨(°³)" xfId="52948"/>
    <cellStyle name="ÄÞ¸¶_¸ÅÃâ" xfId="52949"/>
    <cellStyle name="AÞ¸¶_¿­¸° INT" xfId="52950"/>
    <cellStyle name="ÄÞ¸¶_¿ùº¸¼ö·á " xfId="52951"/>
    <cellStyle name="AÞ¸¶_¿uº¸¼o·a _사장본점" xfId="52952"/>
    <cellStyle name="ÄÞ¸¶_¿ùº¸¼ö·á _사장본점" xfId="52953"/>
    <cellStyle name="AÞ¸¶_≫o·I¿i AO°￡¾÷¹≪ ¾c½A " xfId="52954"/>
    <cellStyle name="ÄÞ¸¶_¾ç½Ä10(±â±â±¸ÀÔºñ)" xfId="52955"/>
    <cellStyle name="AÞ¸¶_INQUIRY ¿μ¾÷AßAø " xfId="52956"/>
    <cellStyle name="ÄÞ¸¶_laroux" xfId="52957"/>
    <cellStyle name="Bad" xfId="2182"/>
    <cellStyle name="Bad 2" xfId="2183"/>
    <cellStyle name="Bad 3" xfId="52958"/>
    <cellStyle name="Body" xfId="52959"/>
    <cellStyle name="Border" xfId="52960"/>
    <cellStyle name="C_TITLE" xfId="52961"/>
    <cellStyle name="C¡IA¨ª_¡ic¨u¡A¨￢I¨￢¡Æ AN¡Æe " xfId="52962"/>
    <cellStyle name="C￥AØ_  FAB AIA¤  " xfId="52963"/>
    <cellStyle name="Ç¥ÁØ_(Á¤º¸ºÎ¹®)¿ùº°ÀÎ¿ø°èÈ¹" xfId="52964"/>
    <cellStyle name="C￥AØ_¸AAa.¼OAI " xfId="52965"/>
    <cellStyle name="Ç¥ÁØ_¿µ¾÷ÀÌÀÍÁß°ø¾÷ " xfId="52966"/>
    <cellStyle name="C￥AØ_¿u°￡¿a¾aº¸°i" xfId="52967"/>
    <cellStyle name="Ç¥ÁØ_¿ùº¸¼ö·á " xfId="52968"/>
    <cellStyle name="C￥AØ_¿μ¾÷CoE² " xfId="52969"/>
    <cellStyle name="Ç¥ÁØ_»ç¾÷ºÎº° ÃÑ°è " xfId="52970"/>
    <cellStyle name="C￥AØ_≫c¾÷ºIº° AN°e " xfId="52971"/>
    <cellStyle name="Ç¥ÁØ_°ßÀû" xfId="52972"/>
    <cellStyle name="C￥AØ_¼oAI¼º " xfId="52973"/>
    <cellStyle name="Ç¥ÁØ_5-1±¤°í " xfId="52974"/>
    <cellStyle name="C￥AØ_AI¿øCoE² " xfId="52975"/>
    <cellStyle name="Ç¥ÁØ_Áý°èÇ¥(2¿ù) " xfId="52976"/>
    <cellStyle name="C￥AØ_CoAo¹yAI °A¾×¿ⓒ½A " xfId="52977"/>
    <cellStyle name="Ç¥ÁØ_formula(¸é)" xfId="52978"/>
    <cellStyle name="C￥AØ_º¸¼oAN°y " xfId="52979"/>
    <cellStyle name="Ç¥ÁØ_º¸¼öÃÑ°ý " xfId="52980"/>
    <cellStyle name="C￥AØ_PAGE2" xfId="52981"/>
    <cellStyle name="Ç¥ÁØ_Sheet1_¿µ¾÷ÇöÈ² " xfId="52982"/>
    <cellStyle name="C￥AØ_Sheet1_¿μ¾÷CoE² " xfId="52983"/>
    <cellStyle name="Ç¥ÁØ_Sheet1_0N-HANDLING " xfId="52984"/>
    <cellStyle name="C￥AØ_Sheet1_Ay°eC￥(2¿u) " xfId="52985"/>
    <cellStyle name="Ç¥ÁØ_Sheet1_Áý°èÇ¥(2¿ù) " xfId="52986"/>
    <cellStyle name="C￥AØ_SOON1 " xfId="52987"/>
    <cellStyle name="Ç¥ÁØ_SOON1 " xfId="52988"/>
    <cellStyle name="Calc Currency (0)" xfId="113"/>
    <cellStyle name="Calc Currency (0) 1" xfId="52989"/>
    <cellStyle name="Calc Currency (0) 1 1" xfId="52990"/>
    <cellStyle name="Calc Currency (0) 1 2" xfId="52991"/>
    <cellStyle name="Calc Currency (0) 2" xfId="52992"/>
    <cellStyle name="Calc Currency (0) 2 1" xfId="52993"/>
    <cellStyle name="Calc Currency (0) 2 2" xfId="52994"/>
    <cellStyle name="Calc Currency (0) 3" xfId="52995"/>
    <cellStyle name="Calc Currency (0) 4" xfId="52996"/>
    <cellStyle name="Calc Currency (2)" xfId="52997"/>
    <cellStyle name="Calc Currency (2) 2" xfId="52998"/>
    <cellStyle name="Calc Currency시(肼š" xfId="52999"/>
    <cellStyle name="Calc Percent (0)" xfId="53000"/>
    <cellStyle name="Calc Percent (0) 2" xfId="53001"/>
    <cellStyle name="Calc Percent (1)" xfId="53002"/>
    <cellStyle name="Calc Percent (1) 2" xfId="53003"/>
    <cellStyle name="Calc Percent (2)" xfId="53004"/>
    <cellStyle name="Calc Percent (2) 2" xfId="53005"/>
    <cellStyle name="Calc Units (0)" xfId="53006"/>
    <cellStyle name="Calc Units (0) 2" xfId="53007"/>
    <cellStyle name="Calc Units (1)" xfId="53008"/>
    <cellStyle name="Calc Units (1) 2" xfId="53009"/>
    <cellStyle name="Calc Units (2)" xfId="53010"/>
    <cellStyle name="Calc Units (2) 2" xfId="53011"/>
    <cellStyle name="Calculation" xfId="2184"/>
    <cellStyle name="Calculation 2" xfId="2185"/>
    <cellStyle name="Calculation 2 2" xfId="6152"/>
    <cellStyle name="Calculation 2 2 2" xfId="10886"/>
    <cellStyle name="Calculation 2 2 2 2" xfId="24114"/>
    <cellStyle name="Calculation 2 2 2 3" xfId="33516"/>
    <cellStyle name="Calculation 2 2 2 4" xfId="44654"/>
    <cellStyle name="Calculation 2 2 2 5" xfId="18085"/>
    <cellStyle name="Calculation 2 2 3" xfId="8753"/>
    <cellStyle name="Calculation 2 2 3 2" xfId="21981"/>
    <cellStyle name="Calculation 2 2 3 3" xfId="35942"/>
    <cellStyle name="Calculation 2 2 3 4" xfId="41835"/>
    <cellStyle name="Calculation 2 2 3 5" xfId="48669"/>
    <cellStyle name="Calculation 2 2 4" xfId="19380"/>
    <cellStyle name="Calculation 2 2 4 2" xfId="37509"/>
    <cellStyle name="Calculation 2 2 4 3" xfId="43429"/>
    <cellStyle name="Calculation 2 2 4 4" xfId="50263"/>
    <cellStyle name="Calculation 2 2 5" xfId="31822"/>
    <cellStyle name="Calculation 2 2 5 2" xfId="38043"/>
    <cellStyle name="Calculation 2 2 5 3" xfId="44175"/>
    <cellStyle name="Calculation 2 2 6" xfId="29204"/>
    <cellStyle name="Calculation 2 2 7" xfId="36567"/>
    <cellStyle name="Calculation 2 2 8" xfId="29093"/>
    <cellStyle name="Calculation 2 3" xfId="9447"/>
    <cellStyle name="Calculation 2 3 10" xfId="45161"/>
    <cellStyle name="Calculation 2 3 2" xfId="13084"/>
    <cellStyle name="Calculation 2 3 2 2" xfId="26312"/>
    <cellStyle name="Calculation 2 3 2 3" xfId="32564"/>
    <cellStyle name="Calculation 2 3 2 4" xfId="38784"/>
    <cellStyle name="Calculation 2 3 2 5" xfId="45670"/>
    <cellStyle name="Calculation 2 3 3" xfId="7455"/>
    <cellStyle name="Calculation 2 3 3 2" xfId="20683"/>
    <cellStyle name="Calculation 2 3 3 3" xfId="35060"/>
    <cellStyle name="Calculation 2 3 3 4" xfId="45854"/>
    <cellStyle name="Calculation 2 3 3 5" xfId="47763"/>
    <cellStyle name="Calculation 2 3 4" xfId="14118"/>
    <cellStyle name="Calculation 2 3 4 2" xfId="27346"/>
    <cellStyle name="Calculation 2 3 4 3" xfId="30898"/>
    <cellStyle name="Calculation 2 3 4 4" xfId="16977"/>
    <cellStyle name="Calculation 2 3 4 5" xfId="40315"/>
    <cellStyle name="Calculation 2 3 5" xfId="12768"/>
    <cellStyle name="Calculation 2 3 5 2" xfId="25996"/>
    <cellStyle name="Calculation 2 3 5 3" xfId="42462"/>
    <cellStyle name="Calculation 2 3 5 4" xfId="49296"/>
    <cellStyle name="Calculation 2 3 6" xfId="22675"/>
    <cellStyle name="Calculation 2 3 6 2" xfId="32368"/>
    <cellStyle name="Calculation 2 3 6 3" xfId="38586"/>
    <cellStyle name="Calculation 2 3 6 4" xfId="32506"/>
    <cellStyle name="Calculation 2 3 7" xfId="37744"/>
    <cellStyle name="Calculation 2 3 7 2" xfId="43668"/>
    <cellStyle name="Calculation 2 3 7 3" xfId="50502"/>
    <cellStyle name="Calculation 2 3 8" xfId="28253"/>
    <cellStyle name="Calculation 2 3 9" xfId="14623"/>
    <cellStyle name="Calculation 2 4" xfId="7603"/>
    <cellStyle name="Calculation 2 4 2" xfId="20831"/>
    <cellStyle name="Calculation 2 5" xfId="32522"/>
    <cellStyle name="Calculation 3" xfId="6151"/>
    <cellStyle name="Calculation 3 2" xfId="10885"/>
    <cellStyle name="Calculation 3 2 2" xfId="24113"/>
    <cellStyle name="Calculation 3 2 3" xfId="33515"/>
    <cellStyle name="Calculation 3 2 4" xfId="44653"/>
    <cellStyle name="Calculation 3 2 5" xfId="44081"/>
    <cellStyle name="Calculation 3 3" xfId="8045"/>
    <cellStyle name="Calculation 3 3 2" xfId="21273"/>
    <cellStyle name="Calculation 3 3 3" xfId="35941"/>
    <cellStyle name="Calculation 3 3 4" xfId="41834"/>
    <cellStyle name="Calculation 3 3 5" xfId="48668"/>
    <cellStyle name="Calculation 3 4" xfId="19379"/>
    <cellStyle name="Calculation 3 4 2" xfId="35494"/>
    <cellStyle name="Calculation 3 4 3" xfId="41365"/>
    <cellStyle name="Calculation 3 4 4" xfId="48199"/>
    <cellStyle name="Calculation 3 5" xfId="35859"/>
    <cellStyle name="Calculation 3 5 2" xfId="41749"/>
    <cellStyle name="Calculation 3 5 3" xfId="48583"/>
    <cellStyle name="Calculation 3 6" xfId="29203"/>
    <cellStyle name="Calculation 3 7" xfId="35037"/>
    <cellStyle name="Calculation 3 8" xfId="38503"/>
    <cellStyle name="Calculation 4" xfId="9446"/>
    <cellStyle name="Calculation 4 10" xfId="27900"/>
    <cellStyle name="Calculation 4 2" xfId="13083"/>
    <cellStyle name="Calculation 4 2 2" xfId="26311"/>
    <cellStyle name="Calculation 4 2 3" xfId="32563"/>
    <cellStyle name="Calculation 4 2 4" xfId="38783"/>
    <cellStyle name="Calculation 4 2 5" xfId="45847"/>
    <cellStyle name="Calculation 4 3" xfId="7454"/>
    <cellStyle name="Calculation 4 3 2" xfId="20682"/>
    <cellStyle name="Calculation 4 3 3" xfId="35059"/>
    <cellStyle name="Calculation 4 3 4" xfId="45853"/>
    <cellStyle name="Calculation 4 3 5" xfId="47762"/>
    <cellStyle name="Calculation 4 4" xfId="7200"/>
    <cellStyle name="Calculation 4 4 2" xfId="20428"/>
    <cellStyle name="Calculation 4 4 3" xfId="30897"/>
    <cellStyle name="Calculation 4 4 4" xfId="16976"/>
    <cellStyle name="Calculation 4 4 5" xfId="39231"/>
    <cellStyle name="Calculation 4 5" xfId="8738"/>
    <cellStyle name="Calculation 4 5 2" xfId="21966"/>
    <cellStyle name="Calculation 4 5 3" xfId="41038"/>
    <cellStyle name="Calculation 4 5 4" xfId="47734"/>
    <cellStyle name="Calculation 4 6" xfId="22674"/>
    <cellStyle name="Calculation 4 6 2" xfId="32071"/>
    <cellStyle name="Calculation 4 6 3" xfId="38294"/>
    <cellStyle name="Calculation 4 6 4" xfId="46670"/>
    <cellStyle name="Calculation 4 7" xfId="31322"/>
    <cellStyle name="Calculation 4 7 2" xfId="17197"/>
    <cellStyle name="Calculation 4 7 3" xfId="46903"/>
    <cellStyle name="Calculation 4 8" xfId="28252"/>
    <cellStyle name="Calculation 4 9" xfId="32990"/>
    <cellStyle name="Calculation 5" xfId="7602"/>
    <cellStyle name="Calculation 5 2" xfId="20830"/>
    <cellStyle name="Calculation 6" xfId="28713"/>
    <cellStyle name="category" xfId="53012"/>
    <cellStyle name="Centered" xfId="53013"/>
    <cellStyle name="Check Cell" xfId="2186"/>
    <cellStyle name="Check Cell 2" xfId="2187"/>
    <cellStyle name="Check Cell 2 2" xfId="53014"/>
    <cellStyle name="Check Cell 3" xfId="53015"/>
    <cellStyle name="Check Cell 3 2" xfId="53016"/>
    <cellStyle name="Check Cell 4" xfId="53017"/>
    <cellStyle name="Checksum" xfId="53018"/>
    <cellStyle name="Column_Title" xfId="53019"/>
    <cellStyle name="Comma" xfId="53020"/>
    <cellStyle name="Comma  - Style1" xfId="53021"/>
    <cellStyle name="Comma  - Style2" xfId="53022"/>
    <cellStyle name="Comma  - Style3" xfId="53023"/>
    <cellStyle name="Comma  - Style4" xfId="53024"/>
    <cellStyle name="Comma  - Style5" xfId="53025"/>
    <cellStyle name="Comma  - Style6" xfId="53026"/>
    <cellStyle name="Comma  - Style7" xfId="53027"/>
    <cellStyle name="Comma  - Style8" xfId="53028"/>
    <cellStyle name="Comma [0]" xfId="53029"/>
    <cellStyle name="Comma [00]" xfId="53030"/>
    <cellStyle name="Comma [00] 2" xfId="53031"/>
    <cellStyle name="Comma 2" xfId="53032"/>
    <cellStyle name="comma zerodec" xfId="53033"/>
    <cellStyle name="comma zerodec 2" xfId="53034"/>
    <cellStyle name="comma zerodec 3" xfId="53035"/>
    <cellStyle name="comma zerodec 4" xfId="53036"/>
    <cellStyle name="comma zerodec 4 2" xfId="53037"/>
    <cellStyle name="comma zerodec_09년 02월 손익 보고 홈케어(이정택과장)" xfId="53038"/>
    <cellStyle name="Comma_ SG&amp;A Bridge " xfId="114"/>
    <cellStyle name="Comma0" xfId="53039"/>
    <cellStyle name="Copied" xfId="53040"/>
    <cellStyle name="Currency" xfId="53041"/>
    <cellStyle name="Currency (0.00)" xfId="53042"/>
    <cellStyle name="Currency [0]" xfId="53043"/>
    <cellStyle name="Currency [00]" xfId="53044"/>
    <cellStyle name="Currency [00] 2" xfId="53045"/>
    <cellStyle name="Currency [1]" xfId="53046"/>
    <cellStyle name="Currency [2]" xfId="53047"/>
    <cellStyle name="Currency 2" xfId="53048"/>
    <cellStyle name="Currency USD" xfId="53049"/>
    <cellStyle name="Currency_ SG&amp;A Bridge " xfId="115"/>
    <cellStyle name="Currency0" xfId="53050"/>
    <cellStyle name="Currency1" xfId="53051"/>
    <cellStyle name="Currency1 2" xfId="53052"/>
    <cellStyle name="Currency1 3" xfId="53053"/>
    <cellStyle name="Currency1 4" xfId="53054"/>
    <cellStyle name="Currency1 4 2" xfId="53055"/>
    <cellStyle name="Currency1_09년 02월 손익 보고 홈케어(이정택과장)" xfId="53056"/>
    <cellStyle name="Date" xfId="53057"/>
    <cellStyle name="Date [d-mmm-yy]" xfId="53058"/>
    <cellStyle name="Date [mm-d-yy]" xfId="53059"/>
    <cellStyle name="Date [mm-d-yyyy]" xfId="53060"/>
    <cellStyle name="Date [mmm-yy]" xfId="53061"/>
    <cellStyle name="Date 2" xfId="53062"/>
    <cellStyle name="Date Short" xfId="53063"/>
    <cellStyle name="Date_+손익예측" xfId="53064"/>
    <cellStyle name="DELTA" xfId="53065"/>
    <cellStyle name="Description" xfId="53066"/>
    <cellStyle name="Dezimal [0]_Company sheet (2)" xfId="53067"/>
    <cellStyle name="Dezimal_Company sheet (2)" xfId="53068"/>
    <cellStyle name="discount" xfId="53069"/>
    <cellStyle name="Dollar (zero dec)" xfId="53070"/>
    <cellStyle name="Dollar (zero dec) 2" xfId="53071"/>
    <cellStyle name="Dollar (zero dec) 3" xfId="53072"/>
    <cellStyle name="Dollar (zero dec) 4" xfId="53073"/>
    <cellStyle name="Dollar (zero dec) 4 2" xfId="53074"/>
    <cellStyle name="Dollar (zero dec)_09년 02월 손익 보고 홈케어(이정택과장)" xfId="53075"/>
    <cellStyle name="EDS" xfId="53076"/>
    <cellStyle name="Enter Currency (0)" xfId="53077"/>
    <cellStyle name="Enter Currency (0) 2" xfId="53078"/>
    <cellStyle name="Enter Currency (2)" xfId="53079"/>
    <cellStyle name="Enter Currency (2) 2" xfId="53080"/>
    <cellStyle name="Enter Units (0)" xfId="53081"/>
    <cellStyle name="Enter Units (0) 2" xfId="53082"/>
    <cellStyle name="Enter Units (1)" xfId="53083"/>
    <cellStyle name="Enter Units (1) 2" xfId="53084"/>
    <cellStyle name="Enter Units (2)" xfId="53085"/>
    <cellStyle name="Enter Units (2) 2" xfId="53086"/>
    <cellStyle name="Entered" xfId="53087"/>
    <cellStyle name="Euro" xfId="53088"/>
    <cellStyle name="Excel Built-in Normal" xfId="116"/>
    <cellStyle name="Excel Built-in Normal 2" xfId="117"/>
    <cellStyle name="Excel_BuiltIn_Comma_0 2" xfId="53089"/>
    <cellStyle name="Explanatory Text" xfId="2188"/>
    <cellStyle name="Explanatory Text 2" xfId="2189"/>
    <cellStyle name="Explanatory Text 3" xfId="53090"/>
    <cellStyle name="F2" xfId="53091"/>
    <cellStyle name="F2 2" xfId="53092"/>
    <cellStyle name="F3" xfId="53093"/>
    <cellStyle name="F4" xfId="53094"/>
    <cellStyle name="F4 2" xfId="53095"/>
    <cellStyle name="F5" xfId="53096"/>
    <cellStyle name="F5 2" xfId="53097"/>
    <cellStyle name="F6" xfId="53098"/>
    <cellStyle name="F6 2" xfId="53099"/>
    <cellStyle name="F7" xfId="53100"/>
    <cellStyle name="F7 2" xfId="53101"/>
    <cellStyle name="F8" xfId="53102"/>
    <cellStyle name="F8 2" xfId="53103"/>
    <cellStyle name="Financials" xfId="53104"/>
    <cellStyle name="Financials Bold" xfId="53105"/>
    <cellStyle name="Financials_Valuation_V1" xfId="53106"/>
    <cellStyle name="Fixed" xfId="53107"/>
    <cellStyle name="Fixed [0]" xfId="53108"/>
    <cellStyle name="Fixed 2" xfId="53109"/>
    <cellStyle name="Fixed_+손익예측" xfId="53110"/>
    <cellStyle name="Followed Hyperlink" xfId="53111"/>
    <cellStyle name="g/표준" xfId="53112"/>
    <cellStyle name="Good" xfId="2190"/>
    <cellStyle name="Good 2" xfId="2191"/>
    <cellStyle name="Good 3" xfId="53113"/>
    <cellStyle name="Grey" xfId="118"/>
    <cellStyle name="Grey 2" xfId="53114"/>
    <cellStyle name="Grey 2 2" xfId="53115"/>
    <cellStyle name="group" xfId="53116"/>
    <cellStyle name="HEADER" xfId="53117"/>
    <cellStyle name="Header1" xfId="119"/>
    <cellStyle name="Header1 1" xfId="53118"/>
    <cellStyle name="Header1 1 1" xfId="53119"/>
    <cellStyle name="Header1 1 2" xfId="53120"/>
    <cellStyle name="Header1 2" xfId="53121"/>
    <cellStyle name="Header1 2 1" xfId="53122"/>
    <cellStyle name="Header1 2 2" xfId="53123"/>
    <cellStyle name="Header1 3" xfId="53124"/>
    <cellStyle name="Header1 4" xfId="53125"/>
    <cellStyle name="Header1 5" xfId="53126"/>
    <cellStyle name="Header1 6" xfId="53127"/>
    <cellStyle name="Header1_100_제스프로_0311" xfId="53128"/>
    <cellStyle name="Header2" xfId="120"/>
    <cellStyle name="Header2 1" xfId="53129"/>
    <cellStyle name="Header2 1 1" xfId="53130"/>
    <cellStyle name="Header2 1 2" xfId="53131"/>
    <cellStyle name="Header2 2" xfId="6580"/>
    <cellStyle name="Header2 2 1" xfId="53132"/>
    <cellStyle name="Header2 2 2" xfId="11314"/>
    <cellStyle name="Header2 2 2 2" xfId="24542"/>
    <cellStyle name="Header2 2 2 3" xfId="30245"/>
    <cellStyle name="Header2 2 2 4" xfId="16674"/>
    <cellStyle name="Header2 2 2 5" xfId="43984"/>
    <cellStyle name="Header2 2 3" xfId="19808"/>
    <cellStyle name="Header2 3" xfId="5420"/>
    <cellStyle name="Header2 3 2" xfId="10154"/>
    <cellStyle name="Header2 3 2 2" xfId="23382"/>
    <cellStyle name="Header2 3 2 3" xfId="33098"/>
    <cellStyle name="Header2 3 2 4" xfId="39316"/>
    <cellStyle name="Header2 3 2 5" xfId="15858"/>
    <cellStyle name="Header2 3 3" xfId="6757"/>
    <cellStyle name="Header2 3 3 2" xfId="19985"/>
    <cellStyle name="Header2 3 3 3" xfId="41460"/>
    <cellStyle name="Header2 3 3 4" xfId="48294"/>
    <cellStyle name="Header2 3 4" xfId="18659"/>
    <cellStyle name="Header2 3 4 2" xfId="32105"/>
    <cellStyle name="Header2 3 4 3" xfId="38328"/>
    <cellStyle name="Header2 3 4 4" xfId="33343"/>
    <cellStyle name="Header2 3 5" xfId="36674"/>
    <cellStyle name="Header2 3 5 2" xfId="42577"/>
    <cellStyle name="Header2 3 5 3" xfId="49411"/>
    <cellStyle name="Header2 3 6" xfId="17620"/>
    <cellStyle name="Header2 3 7" xfId="45403"/>
    <cellStyle name="Header2 4" xfId="6741"/>
    <cellStyle name="Header2 4 2" xfId="19969"/>
    <cellStyle name="Header2 4 3" xfId="37589"/>
    <cellStyle name="Header2 4 4" xfId="43512"/>
    <cellStyle name="Header2 4 5" xfId="50346"/>
    <cellStyle name="Header2 5" xfId="50695"/>
    <cellStyle name="Header2 6" xfId="53133"/>
    <cellStyle name="Header2_100_제스프로_0311" xfId="53134"/>
    <cellStyle name="Heading" xfId="121"/>
    <cellStyle name="Heading 1" xfId="2192"/>
    <cellStyle name="Heading 1 2" xfId="2193"/>
    <cellStyle name="Heading 2" xfId="2194"/>
    <cellStyle name="Heading 2 2" xfId="2195"/>
    <cellStyle name="Heading 3" xfId="2196"/>
    <cellStyle name="Heading 3 10" xfId="5251"/>
    <cellStyle name="Heading 3 2" xfId="2197"/>
    <cellStyle name="Heading 3 3" xfId="5252"/>
    <cellStyle name="Heading 3 4" xfId="5253"/>
    <cellStyle name="Heading 3 5" xfId="5254"/>
    <cellStyle name="Heading 3 6" xfId="5255"/>
    <cellStyle name="Heading 3 7" xfId="5256"/>
    <cellStyle name="Heading 3 8" xfId="5257"/>
    <cellStyle name="Heading 3 9" xfId="5258"/>
    <cellStyle name="Heading 4" xfId="2198"/>
    <cellStyle name="Heading 4 2" xfId="2199"/>
    <cellStyle name="Heading 4 3" xfId="53135"/>
    <cellStyle name="Heading1" xfId="122"/>
    <cellStyle name="Heading1 2" xfId="53136"/>
    <cellStyle name="Heading2" xfId="53137"/>
    <cellStyle name="Heading2 2" xfId="53138"/>
    <cellStyle name="Headline2" xfId="53139"/>
    <cellStyle name="Hedaings" xfId="53140"/>
    <cellStyle name="Horizontal" xfId="53141"/>
    <cellStyle name="Hyperlink" xfId="53142"/>
    <cellStyle name="Hyperlink 2" xfId="53143"/>
    <cellStyle name="Hyperlink seguido" xfId="53144"/>
    <cellStyle name="Hyperlink_R6_NPI" xfId="53145"/>
    <cellStyle name="Input" xfId="2200"/>
    <cellStyle name="Input %" xfId="53146"/>
    <cellStyle name="Input [yellow]" xfId="123"/>
    <cellStyle name="Input [yellow] 2" xfId="124"/>
    <cellStyle name="Input [yellow] 2 2" xfId="53147"/>
    <cellStyle name="Input 10" xfId="2201"/>
    <cellStyle name="Input 10 2" xfId="6163"/>
    <cellStyle name="Input 10 2 2" xfId="10897"/>
    <cellStyle name="Input 10 2 2 2" xfId="24125"/>
    <cellStyle name="Input 10 2 2 3" xfId="33527"/>
    <cellStyle name="Input 10 2 2 4" xfId="44665"/>
    <cellStyle name="Input 10 2 2 5" xfId="39435"/>
    <cellStyle name="Input 10 2 3" xfId="12748"/>
    <cellStyle name="Input 10 2 3 2" xfId="25976"/>
    <cellStyle name="Input 10 2 3 3" xfId="35953"/>
    <cellStyle name="Input 10 2 3 4" xfId="41846"/>
    <cellStyle name="Input 10 2 3 5" xfId="48680"/>
    <cellStyle name="Input 10 2 4" xfId="19391"/>
    <cellStyle name="Input 10 2 4 2" xfId="30683"/>
    <cellStyle name="Input 10 2 4 3" xfId="15281"/>
    <cellStyle name="Input 10 2 4 4" xfId="44213"/>
    <cellStyle name="Input 10 2 5" xfId="30324"/>
    <cellStyle name="Input 10 2 5 2" xfId="16750"/>
    <cellStyle name="Input 10 2 5 3" xfId="36518"/>
    <cellStyle name="Input 10 2 6" xfId="29215"/>
    <cellStyle name="Input 10 2 7" xfId="37188"/>
    <cellStyle name="Input 10 2 8" xfId="44540"/>
    <cellStyle name="Input 10 3" xfId="9449"/>
    <cellStyle name="Input 10 3 10" xfId="33226"/>
    <cellStyle name="Input 10 3 2" xfId="13086"/>
    <cellStyle name="Input 10 3 2 2" xfId="26314"/>
    <cellStyle name="Input 10 3 2 3" xfId="32566"/>
    <cellStyle name="Input 10 3 2 4" xfId="38786"/>
    <cellStyle name="Input 10 3 2 5" xfId="34120"/>
    <cellStyle name="Input 10 3 3" xfId="12876"/>
    <cellStyle name="Input 10 3 3 2" xfId="26104"/>
    <cellStyle name="Input 10 3 3 3" xfId="35062"/>
    <cellStyle name="Input 10 3 3 4" xfId="45856"/>
    <cellStyle name="Input 10 3 3 5" xfId="47765"/>
    <cellStyle name="Input 10 3 4" xfId="8533"/>
    <cellStyle name="Input 10 3 4 2" xfId="21761"/>
    <cellStyle name="Input 10 3 4 3" xfId="30902"/>
    <cellStyle name="Input 10 3 4 4" xfId="18000"/>
    <cellStyle name="Input 10 3 4 5" xfId="39423"/>
    <cellStyle name="Input 10 3 5" xfId="8011"/>
    <cellStyle name="Input 10 3 5 2" xfId="21239"/>
    <cellStyle name="Input 10 3 5 3" xfId="41698"/>
    <cellStyle name="Input 10 3 5 4" xfId="48532"/>
    <cellStyle name="Input 10 3 6" xfId="22677"/>
    <cellStyle name="Input 10 3 6 2" xfId="31277"/>
    <cellStyle name="Input 10 3 6 3" xfId="17167"/>
    <cellStyle name="Input 10 3 6 4" xfId="28086"/>
    <cellStyle name="Input 10 3 7" xfId="34781"/>
    <cellStyle name="Input 10 3 7 2" xfId="40777"/>
    <cellStyle name="Input 10 3 7 3" xfId="39191"/>
    <cellStyle name="Input 10 3 8" xfId="28255"/>
    <cellStyle name="Input 10 3 9" xfId="38738"/>
    <cellStyle name="Input 10 4" xfId="7619"/>
    <cellStyle name="Input 10 4 2" xfId="20847"/>
    <cellStyle name="Input 10 5" xfId="28670"/>
    <cellStyle name="Input 11" xfId="2202"/>
    <cellStyle name="Input 11 2" xfId="6164"/>
    <cellStyle name="Input 11 2 2" xfId="10898"/>
    <cellStyle name="Input 11 2 2 2" xfId="24126"/>
    <cellStyle name="Input 11 2 2 3" xfId="33528"/>
    <cellStyle name="Input 11 2 2 4" xfId="44666"/>
    <cellStyle name="Input 11 2 2 5" xfId="34240"/>
    <cellStyle name="Input 11 2 3" xfId="8050"/>
    <cellStyle name="Input 11 2 3 2" xfId="21278"/>
    <cellStyle name="Input 11 2 3 3" xfId="35954"/>
    <cellStyle name="Input 11 2 3 4" xfId="41847"/>
    <cellStyle name="Input 11 2 3 5" xfId="48681"/>
    <cellStyle name="Input 11 2 4" xfId="19392"/>
    <cellStyle name="Input 11 2 4 2" xfId="31465"/>
    <cellStyle name="Input 11 2 4 3" xfId="18048"/>
    <cellStyle name="Input 11 2 4 4" xfId="46431"/>
    <cellStyle name="Input 11 2 5" xfId="31506"/>
    <cellStyle name="Input 11 2 5 2" xfId="17284"/>
    <cellStyle name="Input 11 2 5 3" xfId="41307"/>
    <cellStyle name="Input 11 2 6" xfId="29216"/>
    <cellStyle name="Input 11 2 7" xfId="37836"/>
    <cellStyle name="Input 11 2 8" xfId="45510"/>
    <cellStyle name="Input 11 3" xfId="9450"/>
    <cellStyle name="Input 11 3 10" xfId="44429"/>
    <cellStyle name="Input 11 3 2" xfId="13087"/>
    <cellStyle name="Input 11 3 2 2" xfId="26315"/>
    <cellStyle name="Input 11 3 2 3" xfId="32567"/>
    <cellStyle name="Input 11 3 2 4" xfId="38787"/>
    <cellStyle name="Input 11 3 2 5" xfId="28094"/>
    <cellStyle name="Input 11 3 3" xfId="7456"/>
    <cellStyle name="Input 11 3 3 2" xfId="20684"/>
    <cellStyle name="Input 11 3 3 3" xfId="35063"/>
    <cellStyle name="Input 11 3 3 4" xfId="45857"/>
    <cellStyle name="Input 11 3 3 5" xfId="47766"/>
    <cellStyle name="Input 11 3 4" xfId="13602"/>
    <cellStyle name="Input 11 3 4 2" xfId="26830"/>
    <cellStyle name="Input 11 3 4 3" xfId="30903"/>
    <cellStyle name="Input 11 3 4 4" xfId="17990"/>
    <cellStyle name="Input 11 3 4 5" xfId="30012"/>
    <cellStyle name="Input 11 3 5" xfId="13054"/>
    <cellStyle name="Input 11 3 5 2" xfId="26282"/>
    <cellStyle name="Input 11 3 5 3" xfId="42789"/>
    <cellStyle name="Input 11 3 5 4" xfId="49623"/>
    <cellStyle name="Input 11 3 6" xfId="22678"/>
    <cellStyle name="Input 11 3 6 2" xfId="37233"/>
    <cellStyle name="Input 11 3 6 3" xfId="43152"/>
    <cellStyle name="Input 11 3 6 4" xfId="49986"/>
    <cellStyle name="Input 11 3 7" xfId="31953"/>
    <cellStyle name="Input 11 3 7 2" xfId="38176"/>
    <cellStyle name="Input 11 3 7 3" xfId="46356"/>
    <cellStyle name="Input 11 3 8" xfId="28256"/>
    <cellStyle name="Input 11 3 9" xfId="27928"/>
    <cellStyle name="Input 11 4" xfId="7620"/>
    <cellStyle name="Input 11 4 2" xfId="20848"/>
    <cellStyle name="Input 11 5" xfId="46678"/>
    <cellStyle name="Input 12" xfId="2203"/>
    <cellStyle name="Input 12 2" xfId="6165"/>
    <cellStyle name="Input 12 2 2" xfId="10899"/>
    <cellStyle name="Input 12 2 2 2" xfId="24127"/>
    <cellStyle name="Input 12 2 2 3" xfId="33529"/>
    <cellStyle name="Input 12 2 2 4" xfId="44667"/>
    <cellStyle name="Input 12 2 2 5" xfId="38777"/>
    <cellStyle name="Input 12 2 3" xfId="8049"/>
    <cellStyle name="Input 12 2 3 2" xfId="21277"/>
    <cellStyle name="Input 12 2 3 3" xfId="35955"/>
    <cellStyle name="Input 12 2 3 4" xfId="41848"/>
    <cellStyle name="Input 12 2 3 5" xfId="48682"/>
    <cellStyle name="Input 12 2 4" xfId="19393"/>
    <cellStyle name="Input 12 2 4 2" xfId="30790"/>
    <cellStyle name="Input 12 2 4 3" xfId="27729"/>
    <cellStyle name="Input 12 2 4 4" xfId="14536"/>
    <cellStyle name="Input 12 2 5" xfId="37703"/>
    <cellStyle name="Input 12 2 5 2" xfId="43626"/>
    <cellStyle name="Input 12 2 5 3" xfId="50460"/>
    <cellStyle name="Input 12 2 6" xfId="29217"/>
    <cellStyle name="Input 12 2 7" xfId="36661"/>
    <cellStyle name="Input 12 2 8" xfId="33052"/>
    <cellStyle name="Input 12 3" xfId="9451"/>
    <cellStyle name="Input 12 3 10" xfId="45414"/>
    <cellStyle name="Input 12 3 2" xfId="13088"/>
    <cellStyle name="Input 12 3 2 2" xfId="26316"/>
    <cellStyle name="Input 12 3 2 3" xfId="32568"/>
    <cellStyle name="Input 12 3 2 4" xfId="38788"/>
    <cellStyle name="Input 12 3 2 5" xfId="39722"/>
    <cellStyle name="Input 12 3 3" xfId="7457"/>
    <cellStyle name="Input 12 3 3 2" xfId="20685"/>
    <cellStyle name="Input 12 3 3 3" xfId="35064"/>
    <cellStyle name="Input 12 3 3 4" xfId="45858"/>
    <cellStyle name="Input 12 3 3 5" xfId="47767"/>
    <cellStyle name="Input 12 3 4" xfId="14208"/>
    <cellStyle name="Input 12 3 4 2" xfId="27436"/>
    <cellStyle name="Input 12 3 4 3" xfId="30904"/>
    <cellStyle name="Input 12 3 4 4" xfId="17998"/>
    <cellStyle name="Input 12 3 4 5" xfId="38767"/>
    <cellStyle name="Input 12 3 5" xfId="14350"/>
    <cellStyle name="Input 12 3 5 2" xfId="27578"/>
    <cellStyle name="Input 12 3 5 3" xfId="41341"/>
    <cellStyle name="Input 12 3 5 4" xfId="48175"/>
    <cellStyle name="Input 12 3 6" xfId="22679"/>
    <cellStyle name="Input 12 3 6 2" xfId="31314"/>
    <cellStyle name="Input 12 3 6 3" xfId="15120"/>
    <cellStyle name="Input 12 3 6 4" xfId="46283"/>
    <cellStyle name="Input 12 3 7" xfId="37310"/>
    <cellStyle name="Input 12 3 7 2" xfId="43230"/>
    <cellStyle name="Input 12 3 7 3" xfId="50064"/>
    <cellStyle name="Input 12 3 8" xfId="28257"/>
    <cellStyle name="Input 12 3 9" xfId="39395"/>
    <cellStyle name="Input 12 4" xfId="7621"/>
    <cellStyle name="Input 12 4 2" xfId="20849"/>
    <cellStyle name="Input 12 5" xfId="32303"/>
    <cellStyle name="Input 13" xfId="2204"/>
    <cellStyle name="Input 13 2" xfId="6166"/>
    <cellStyle name="Input 13 2 2" xfId="10900"/>
    <cellStyle name="Input 13 2 2 2" xfId="24128"/>
    <cellStyle name="Input 13 2 2 3" xfId="33530"/>
    <cellStyle name="Input 13 2 2 4" xfId="44668"/>
    <cellStyle name="Input 13 2 2 5" xfId="40197"/>
    <cellStyle name="Input 13 2 3" xfId="12847"/>
    <cellStyle name="Input 13 2 3 2" xfId="26075"/>
    <cellStyle name="Input 13 2 3 3" xfId="35956"/>
    <cellStyle name="Input 13 2 3 4" xfId="41849"/>
    <cellStyle name="Input 13 2 3 5" xfId="48683"/>
    <cellStyle name="Input 13 2 4" xfId="19394"/>
    <cellStyle name="Input 13 2 4 2" xfId="36535"/>
    <cellStyle name="Input 13 2 4 3" xfId="42433"/>
    <cellStyle name="Input 13 2 4 4" xfId="49267"/>
    <cellStyle name="Input 13 2 5" xfId="36554"/>
    <cellStyle name="Input 13 2 5 2" xfId="42452"/>
    <cellStyle name="Input 13 2 5 3" xfId="49286"/>
    <cellStyle name="Input 13 2 6" xfId="29218"/>
    <cellStyle name="Input 13 2 7" xfId="35540"/>
    <cellStyle name="Input 13 2 8" xfId="18134"/>
    <cellStyle name="Input 13 3" xfId="9452"/>
    <cellStyle name="Input 13 3 10" xfId="40080"/>
    <cellStyle name="Input 13 3 2" xfId="13089"/>
    <cellStyle name="Input 13 3 2 2" xfId="26317"/>
    <cellStyle name="Input 13 3 2 3" xfId="32569"/>
    <cellStyle name="Input 13 3 2 4" xfId="38789"/>
    <cellStyle name="Input 13 3 2 5" xfId="47011"/>
    <cellStyle name="Input 13 3 3" xfId="8739"/>
    <cellStyle name="Input 13 3 3 2" xfId="21967"/>
    <cellStyle name="Input 13 3 3 3" xfId="35065"/>
    <cellStyle name="Input 13 3 3 4" xfId="45859"/>
    <cellStyle name="Input 13 3 3 5" xfId="47768"/>
    <cellStyle name="Input 13 3 4" xfId="13065"/>
    <cellStyle name="Input 13 3 4 2" xfId="26293"/>
    <cellStyle name="Input 13 3 4 3" xfId="30905"/>
    <cellStyle name="Input 13 3 4 4" xfId="14706"/>
    <cellStyle name="Input 13 3 4 5" xfId="40186"/>
    <cellStyle name="Input 13 3 5" xfId="14301"/>
    <cellStyle name="Input 13 3 5 2" xfId="27529"/>
    <cellStyle name="Input 13 3 5 3" xfId="42556"/>
    <cellStyle name="Input 13 3 5 4" xfId="49390"/>
    <cellStyle name="Input 13 3 6" xfId="22680"/>
    <cellStyle name="Input 13 3 6 2" xfId="37338"/>
    <cellStyle name="Input 13 3 6 3" xfId="43258"/>
    <cellStyle name="Input 13 3 6 4" xfId="50092"/>
    <cellStyle name="Input 13 3 7" xfId="37140"/>
    <cellStyle name="Input 13 3 7 2" xfId="43059"/>
    <cellStyle name="Input 13 3 7 3" xfId="49893"/>
    <cellStyle name="Input 13 3 8" xfId="28258"/>
    <cellStyle name="Input 13 3 9" xfId="40457"/>
    <cellStyle name="Input 13 4" xfId="7622"/>
    <cellStyle name="Input 13 4 2" xfId="20850"/>
    <cellStyle name="Input 13 5" xfId="38437"/>
    <cellStyle name="Input 14" xfId="2205"/>
    <cellStyle name="Input 14 2" xfId="6167"/>
    <cellStyle name="Input 14 2 2" xfId="10901"/>
    <cellStyle name="Input 14 2 2 2" xfId="24129"/>
    <cellStyle name="Input 14 2 2 3" xfId="33531"/>
    <cellStyle name="Input 14 2 2 4" xfId="44669"/>
    <cellStyle name="Input 14 2 2 5" xfId="17713"/>
    <cellStyle name="Input 14 2 3" xfId="9065"/>
    <cellStyle name="Input 14 2 3 2" xfId="22293"/>
    <cellStyle name="Input 14 2 3 3" xfId="35957"/>
    <cellStyle name="Input 14 2 3 4" xfId="41850"/>
    <cellStyle name="Input 14 2 3 5" xfId="48684"/>
    <cellStyle name="Input 14 2 4" xfId="19395"/>
    <cellStyle name="Input 14 2 4 2" xfId="34970"/>
    <cellStyle name="Input 14 2 4 3" xfId="40968"/>
    <cellStyle name="Input 14 2 4 4" xfId="47664"/>
    <cellStyle name="Input 14 2 5" xfId="30645"/>
    <cellStyle name="Input 14 2 5 2" xfId="27753"/>
    <cellStyle name="Input 14 2 5 3" xfId="45804"/>
    <cellStyle name="Input 14 2 6" xfId="29219"/>
    <cellStyle name="Input 14 2 7" xfId="36904"/>
    <cellStyle name="Input 14 2 8" xfId="38473"/>
    <cellStyle name="Input 14 3" xfId="9453"/>
    <cellStyle name="Input 14 3 10" xfId="43862"/>
    <cellStyle name="Input 14 3 2" xfId="13090"/>
    <cellStyle name="Input 14 3 2 2" xfId="26318"/>
    <cellStyle name="Input 14 3 2 3" xfId="32570"/>
    <cellStyle name="Input 14 3 2 4" xfId="38790"/>
    <cellStyle name="Input 14 3 2 5" xfId="46891"/>
    <cellStyle name="Input 14 3 3" xfId="7453"/>
    <cellStyle name="Input 14 3 3 2" xfId="20681"/>
    <cellStyle name="Input 14 3 3 3" xfId="35066"/>
    <cellStyle name="Input 14 3 3 4" xfId="45860"/>
    <cellStyle name="Input 14 3 3 5" xfId="47769"/>
    <cellStyle name="Input 14 3 4" xfId="14068"/>
    <cellStyle name="Input 14 3 4 2" xfId="27296"/>
    <cellStyle name="Input 14 3 4 3" xfId="30906"/>
    <cellStyle name="Input 14 3 4 4" xfId="16980"/>
    <cellStyle name="Input 14 3 4 5" xfId="16534"/>
    <cellStyle name="Input 14 3 5" xfId="14267"/>
    <cellStyle name="Input 14 3 5 2" xfId="27495"/>
    <cellStyle name="Input 14 3 5 3" xfId="41499"/>
    <cellStyle name="Input 14 3 5 4" xfId="48333"/>
    <cellStyle name="Input 14 3 6" xfId="22681"/>
    <cellStyle name="Input 14 3 6 2" xfId="30867"/>
    <cellStyle name="Input 14 3 6 3" xfId="28012"/>
    <cellStyle name="Input 14 3 6 4" xfId="40483"/>
    <cellStyle name="Input 14 3 7" xfId="35666"/>
    <cellStyle name="Input 14 3 7 2" xfId="41546"/>
    <cellStyle name="Input 14 3 7 3" xfId="48380"/>
    <cellStyle name="Input 14 3 8" xfId="28259"/>
    <cellStyle name="Input 14 3 9" xfId="15832"/>
    <cellStyle name="Input 14 4" xfId="7623"/>
    <cellStyle name="Input 14 4 2" xfId="20851"/>
    <cellStyle name="Input 14 5" xfId="45668"/>
    <cellStyle name="Input 15" xfId="2206"/>
    <cellStyle name="Input 15 2" xfId="6168"/>
    <cellStyle name="Input 15 2 2" xfId="10902"/>
    <cellStyle name="Input 15 2 2 2" xfId="24130"/>
    <cellStyle name="Input 15 2 2 3" xfId="33532"/>
    <cellStyle name="Input 15 2 2 4" xfId="44670"/>
    <cellStyle name="Input 15 2 2 5" xfId="27957"/>
    <cellStyle name="Input 15 2 3" xfId="7030"/>
    <cellStyle name="Input 15 2 3 2" xfId="20258"/>
    <cellStyle name="Input 15 2 3 3" xfId="35958"/>
    <cellStyle name="Input 15 2 3 4" xfId="41851"/>
    <cellStyle name="Input 15 2 3 5" xfId="48685"/>
    <cellStyle name="Input 15 2 4" xfId="19396"/>
    <cellStyle name="Input 15 2 4 2" xfId="30136"/>
    <cellStyle name="Input 15 2 4 3" xfId="16601"/>
    <cellStyle name="Input 15 2 4 4" xfId="44352"/>
    <cellStyle name="Input 15 2 5" xfId="37603"/>
    <cellStyle name="Input 15 2 5 2" xfId="43526"/>
    <cellStyle name="Input 15 2 5 3" xfId="50360"/>
    <cellStyle name="Input 15 2 6" xfId="29220"/>
    <cellStyle name="Input 15 2 7" xfId="35836"/>
    <cellStyle name="Input 15 2 8" xfId="34454"/>
    <cellStyle name="Input 15 3" xfId="9454"/>
    <cellStyle name="Input 15 3 10" xfId="45333"/>
    <cellStyle name="Input 15 3 2" xfId="13091"/>
    <cellStyle name="Input 15 3 2 2" xfId="26319"/>
    <cellStyle name="Input 15 3 2 3" xfId="32571"/>
    <cellStyle name="Input 15 3 2 4" xfId="38791"/>
    <cellStyle name="Input 15 3 2 5" xfId="17901"/>
    <cellStyle name="Input 15 3 3" xfId="7458"/>
    <cellStyle name="Input 15 3 3 2" xfId="20686"/>
    <cellStyle name="Input 15 3 3 3" xfId="35067"/>
    <cellStyle name="Input 15 3 3 4" xfId="45861"/>
    <cellStyle name="Input 15 3 3 5" xfId="47770"/>
    <cellStyle name="Input 15 3 4" xfId="12893"/>
    <cellStyle name="Input 15 3 4 2" xfId="26121"/>
    <cellStyle name="Input 15 3 4 3" xfId="30907"/>
    <cellStyle name="Input 15 3 4 4" xfId="16981"/>
    <cellStyle name="Input 15 3 4 5" xfId="32462"/>
    <cellStyle name="Input 15 3 5" xfId="14195"/>
    <cellStyle name="Input 15 3 5 2" xfId="27423"/>
    <cellStyle name="Input 15 3 5 3" xfId="42690"/>
    <cellStyle name="Input 15 3 5 4" xfId="49524"/>
    <cellStyle name="Input 15 3 6" xfId="22682"/>
    <cellStyle name="Input 15 3 6 2" xfId="37053"/>
    <cellStyle name="Input 15 3 6 3" xfId="42972"/>
    <cellStyle name="Input 15 3 6 4" xfId="49806"/>
    <cellStyle name="Input 15 3 7" xfId="37793"/>
    <cellStyle name="Input 15 3 7 2" xfId="43717"/>
    <cellStyle name="Input 15 3 7 3" xfId="50551"/>
    <cellStyle name="Input 15 3 8" xfId="28260"/>
    <cellStyle name="Input 15 3 9" xfId="38514"/>
    <cellStyle name="Input 15 4" xfId="7624"/>
    <cellStyle name="Input 15 4 2" xfId="20852"/>
    <cellStyle name="Input 15 5" xfId="47065"/>
    <cellStyle name="Input 16" xfId="2207"/>
    <cellStyle name="Input 16 2" xfId="6169"/>
    <cellStyle name="Input 16 2 2" xfId="10903"/>
    <cellStyle name="Input 16 2 2 2" xfId="24131"/>
    <cellStyle name="Input 16 2 2 3" xfId="33533"/>
    <cellStyle name="Input 16 2 2 4" xfId="44671"/>
    <cellStyle name="Input 16 2 2 5" xfId="15915"/>
    <cellStyle name="Input 16 2 3" xfId="8838"/>
    <cellStyle name="Input 16 2 3 2" xfId="22066"/>
    <cellStyle name="Input 16 2 3 3" xfId="35959"/>
    <cellStyle name="Input 16 2 3 4" xfId="41852"/>
    <cellStyle name="Input 16 2 3 5" xfId="48686"/>
    <cellStyle name="Input 16 2 4" xfId="19397"/>
    <cellStyle name="Input 16 2 4 2" xfId="29778"/>
    <cellStyle name="Input 16 2 4 3" xfId="31633"/>
    <cellStyle name="Input 16 2 4 4" xfId="44570"/>
    <cellStyle name="Input 16 2 5" xfId="31690"/>
    <cellStyle name="Input 16 2 5 2" xfId="27996"/>
    <cellStyle name="Input 16 2 5 3" xfId="44187"/>
    <cellStyle name="Input 16 2 6" xfId="29221"/>
    <cellStyle name="Input 16 2 7" xfId="29793"/>
    <cellStyle name="Input 16 2 8" xfId="27865"/>
    <cellStyle name="Input 16 3" xfId="9455"/>
    <cellStyle name="Input 16 3 10" xfId="44327"/>
    <cellStyle name="Input 16 3 2" xfId="13092"/>
    <cellStyle name="Input 16 3 2 2" xfId="26320"/>
    <cellStyle name="Input 16 3 2 3" xfId="32572"/>
    <cellStyle name="Input 16 3 2 4" xfId="38792"/>
    <cellStyle name="Input 16 3 2 5" xfId="33007"/>
    <cellStyle name="Input 16 3 3" xfId="7459"/>
    <cellStyle name="Input 16 3 3 2" xfId="20687"/>
    <cellStyle name="Input 16 3 3 3" xfId="35068"/>
    <cellStyle name="Input 16 3 3 4" xfId="45862"/>
    <cellStyle name="Input 16 3 3 5" xfId="47771"/>
    <cellStyle name="Input 16 3 4" xfId="13664"/>
    <cellStyle name="Input 16 3 4 2" xfId="26892"/>
    <cellStyle name="Input 16 3 4 3" xfId="30916"/>
    <cellStyle name="Input 16 3 4 4" xfId="16988"/>
    <cellStyle name="Input 16 3 4 5" xfId="39261"/>
    <cellStyle name="Input 16 3 5" xfId="14313"/>
    <cellStyle name="Input 16 3 5 2" xfId="27541"/>
    <cellStyle name="Input 16 3 5 3" xfId="40972"/>
    <cellStyle name="Input 16 3 5 4" xfId="47668"/>
    <cellStyle name="Input 16 3 6" xfId="22683"/>
    <cellStyle name="Input 16 3 6 2" xfId="30655"/>
    <cellStyle name="Input 16 3 6 3" xfId="18150"/>
    <cellStyle name="Input 16 3 6 4" xfId="44211"/>
    <cellStyle name="Input 16 3 7" xfId="37466"/>
    <cellStyle name="Input 16 3 7 2" xfId="43386"/>
    <cellStyle name="Input 16 3 7 3" xfId="50220"/>
    <cellStyle name="Input 16 3 8" xfId="28261"/>
    <cellStyle name="Input 16 3 9" xfId="40371"/>
    <cellStyle name="Input 16 4" xfId="7625"/>
    <cellStyle name="Input 16 4 2" xfId="20853"/>
    <cellStyle name="Input 16 5" xfId="47509"/>
    <cellStyle name="Input 17" xfId="2208"/>
    <cellStyle name="Input 17 2" xfId="6170"/>
    <cellStyle name="Input 17 2 2" xfId="10904"/>
    <cellStyle name="Input 17 2 2 2" xfId="24132"/>
    <cellStyle name="Input 17 2 2 3" xfId="33534"/>
    <cellStyle name="Input 17 2 2 4" xfId="44672"/>
    <cellStyle name="Input 17 2 2 5" xfId="40529"/>
    <cellStyle name="Input 17 2 3" xfId="12783"/>
    <cellStyle name="Input 17 2 3 2" xfId="26011"/>
    <cellStyle name="Input 17 2 3 3" xfId="35960"/>
    <cellStyle name="Input 17 2 3 4" xfId="41853"/>
    <cellStyle name="Input 17 2 3 5" xfId="48687"/>
    <cellStyle name="Input 17 2 4" xfId="19398"/>
    <cellStyle name="Input 17 2 4 2" xfId="34864"/>
    <cellStyle name="Input 17 2 4 3" xfId="40863"/>
    <cellStyle name="Input 17 2 4 4" xfId="27933"/>
    <cellStyle name="Input 17 2 5" xfId="36874"/>
    <cellStyle name="Input 17 2 5 2" xfId="42786"/>
    <cellStyle name="Input 17 2 5 3" xfId="49620"/>
    <cellStyle name="Input 17 2 6" xfId="29222"/>
    <cellStyle name="Input 17 2 7" xfId="34764"/>
    <cellStyle name="Input 17 2 8" xfId="45144"/>
    <cellStyle name="Input 17 3" xfId="9456"/>
    <cellStyle name="Input 17 3 10" xfId="34616"/>
    <cellStyle name="Input 17 3 2" xfId="13093"/>
    <cellStyle name="Input 17 3 2 2" xfId="26321"/>
    <cellStyle name="Input 17 3 2 3" xfId="32573"/>
    <cellStyle name="Input 17 3 2 4" xfId="38793"/>
    <cellStyle name="Input 17 3 2 5" xfId="28746"/>
    <cellStyle name="Input 17 3 3" xfId="7460"/>
    <cellStyle name="Input 17 3 3 2" xfId="20688"/>
    <cellStyle name="Input 17 3 3 3" xfId="35069"/>
    <cellStyle name="Input 17 3 3 4" xfId="45863"/>
    <cellStyle name="Input 17 3 3 5" xfId="47772"/>
    <cellStyle name="Input 17 3 4" xfId="14233"/>
    <cellStyle name="Input 17 3 4 2" xfId="27461"/>
    <cellStyle name="Input 17 3 4 3" xfId="32148"/>
    <cellStyle name="Input 17 3 4 4" xfId="38373"/>
    <cellStyle name="Input 17 3 4 5" xfId="39235"/>
    <cellStyle name="Input 17 3 5" xfId="7758"/>
    <cellStyle name="Input 17 3 5 2" xfId="20986"/>
    <cellStyle name="Input 17 3 5 3" xfId="42407"/>
    <cellStyle name="Input 17 3 5 4" xfId="49241"/>
    <cellStyle name="Input 17 3 6" xfId="22684"/>
    <cellStyle name="Input 17 3 6 2" xfId="32315"/>
    <cellStyle name="Input 17 3 6 3" xfId="38533"/>
    <cellStyle name="Input 17 3 6 4" xfId="17932"/>
    <cellStyle name="Input 17 3 7" xfId="34785"/>
    <cellStyle name="Input 17 3 7 2" xfId="40781"/>
    <cellStyle name="Input 17 3 7 3" xfId="28895"/>
    <cellStyle name="Input 17 3 8" xfId="28262"/>
    <cellStyle name="Input 17 3 9" xfId="39290"/>
    <cellStyle name="Input 17 4" xfId="7626"/>
    <cellStyle name="Input 17 4 2" xfId="20854"/>
    <cellStyle name="Input 17 5" xfId="39719"/>
    <cellStyle name="Input 18" xfId="2209"/>
    <cellStyle name="Input 18 2" xfId="6171"/>
    <cellStyle name="Input 18 2 2" xfId="10905"/>
    <cellStyle name="Input 18 2 2 2" xfId="24133"/>
    <cellStyle name="Input 18 2 2 3" xfId="33535"/>
    <cellStyle name="Input 18 2 2 4" xfId="44673"/>
    <cellStyle name="Input 18 2 2 5" xfId="39549"/>
    <cellStyle name="Input 18 2 3" xfId="8036"/>
    <cellStyle name="Input 18 2 3 2" xfId="21264"/>
    <cellStyle name="Input 18 2 3 3" xfId="35961"/>
    <cellStyle name="Input 18 2 3 4" xfId="41854"/>
    <cellStyle name="Input 18 2 3 5" xfId="48688"/>
    <cellStyle name="Input 18 2 4" xfId="19399"/>
    <cellStyle name="Input 18 2 4 2" xfId="30143"/>
    <cellStyle name="Input 18 2 4 3" xfId="16589"/>
    <cellStyle name="Input 18 2 4 4" xfId="28891"/>
    <cellStyle name="Input 18 2 5" xfId="37541"/>
    <cellStyle name="Input 18 2 5 2" xfId="43462"/>
    <cellStyle name="Input 18 2 5 3" xfId="50296"/>
    <cellStyle name="Input 18 2 6" xfId="29223"/>
    <cellStyle name="Input 18 2 7" xfId="37828"/>
    <cellStyle name="Input 18 2 8" xfId="44012"/>
    <cellStyle name="Input 18 3" xfId="9457"/>
    <cellStyle name="Input 18 3 10" xfId="44565"/>
    <cellStyle name="Input 18 3 2" xfId="13094"/>
    <cellStyle name="Input 18 3 2 2" xfId="26322"/>
    <cellStyle name="Input 18 3 2 3" xfId="32574"/>
    <cellStyle name="Input 18 3 2 4" xfId="38794"/>
    <cellStyle name="Input 18 3 2 5" xfId="47438"/>
    <cellStyle name="Input 18 3 3" xfId="7461"/>
    <cellStyle name="Input 18 3 3 2" xfId="20689"/>
    <cellStyle name="Input 18 3 3 3" xfId="35070"/>
    <cellStyle name="Input 18 3 3 4" xfId="45864"/>
    <cellStyle name="Input 18 3 3 5" xfId="47773"/>
    <cellStyle name="Input 18 3 4" xfId="13481"/>
    <cellStyle name="Input 18 3 4 2" xfId="26709"/>
    <cellStyle name="Input 18 3 4 3" xfId="32055"/>
    <cellStyle name="Input 18 3 4 4" xfId="38278"/>
    <cellStyle name="Input 18 3 4 5" xfId="32202"/>
    <cellStyle name="Input 18 3 5" xfId="13587"/>
    <cellStyle name="Input 18 3 5 2" xfId="26815"/>
    <cellStyle name="Input 18 3 5 3" xfId="27997"/>
    <cellStyle name="Input 18 3 5 4" xfId="15538"/>
    <cellStyle name="Input 18 3 6" xfId="22685"/>
    <cellStyle name="Input 18 3 6 2" xfId="37371"/>
    <cellStyle name="Input 18 3 6 3" xfId="43291"/>
    <cellStyle name="Input 18 3 6 4" xfId="50125"/>
    <cellStyle name="Input 18 3 7" xfId="30490"/>
    <cellStyle name="Input 18 3 7 2" xfId="27779"/>
    <cellStyle name="Input 18 3 7 3" xfId="15324"/>
    <cellStyle name="Input 18 3 8" xfId="28263"/>
    <cellStyle name="Input 18 3 9" xfId="27829"/>
    <cellStyle name="Input 18 4" xfId="7627"/>
    <cellStyle name="Input 18 4 2" xfId="20855"/>
    <cellStyle name="Input 18 5" xfId="29950"/>
    <cellStyle name="Input 19" xfId="2210"/>
    <cellStyle name="Input 19 2" xfId="6172"/>
    <cellStyle name="Input 19 2 2" xfId="10906"/>
    <cellStyle name="Input 19 2 2 2" xfId="24134"/>
    <cellStyle name="Input 19 2 2 3" xfId="33536"/>
    <cellStyle name="Input 19 2 2 4" xfId="44674"/>
    <cellStyle name="Input 19 2 2 5" xfId="32282"/>
    <cellStyle name="Input 19 2 3" xfId="8734"/>
    <cellStyle name="Input 19 2 3 2" xfId="21962"/>
    <cellStyle name="Input 19 2 3 3" xfId="35962"/>
    <cellStyle name="Input 19 2 3 4" xfId="41855"/>
    <cellStyle name="Input 19 2 3 5" xfId="48689"/>
    <cellStyle name="Input 19 2 4" xfId="19400"/>
    <cellStyle name="Input 19 2 4 2" xfId="34946"/>
    <cellStyle name="Input 19 2 4 3" xfId="40944"/>
    <cellStyle name="Input 19 2 4 4" xfId="47640"/>
    <cellStyle name="Input 19 2 5" xfId="35880"/>
    <cellStyle name="Input 19 2 5 2" xfId="41772"/>
    <cellStyle name="Input 19 2 5 3" xfId="48606"/>
    <cellStyle name="Input 19 2 6" xfId="29224"/>
    <cellStyle name="Input 19 2 7" xfId="31675"/>
    <cellStyle name="Input 19 2 8" xfId="39397"/>
    <cellStyle name="Input 19 3" xfId="9458"/>
    <cellStyle name="Input 19 3 10" xfId="45535"/>
    <cellStyle name="Input 19 3 2" xfId="13095"/>
    <cellStyle name="Input 19 3 2 2" xfId="26323"/>
    <cellStyle name="Input 19 3 2 3" xfId="32575"/>
    <cellStyle name="Input 19 3 2 4" xfId="38795"/>
    <cellStyle name="Input 19 3 2 5" xfId="45703"/>
    <cellStyle name="Input 19 3 3" xfId="7462"/>
    <cellStyle name="Input 19 3 3 2" xfId="20690"/>
    <cellStyle name="Input 19 3 3 3" xfId="35071"/>
    <cellStyle name="Input 19 3 3 4" xfId="45865"/>
    <cellStyle name="Input 19 3 3 5" xfId="47774"/>
    <cellStyle name="Input 19 3 4" xfId="14142"/>
    <cellStyle name="Input 19 3 4 2" xfId="27370"/>
    <cellStyle name="Input 19 3 4 3" xfId="32059"/>
    <cellStyle name="Input 19 3 4 4" xfId="38282"/>
    <cellStyle name="Input 19 3 4 5" xfId="39551"/>
    <cellStyle name="Input 19 3 5" xfId="8314"/>
    <cellStyle name="Input 19 3 5 2" xfId="21542"/>
    <cellStyle name="Input 19 3 5 3" xfId="17344"/>
    <cellStyle name="Input 19 3 5 4" xfId="15661"/>
    <cellStyle name="Input 19 3 6" xfId="22686"/>
    <cellStyle name="Input 19 3 6 2" xfId="31226"/>
    <cellStyle name="Input 19 3 6 3" xfId="17765"/>
    <cellStyle name="Input 19 3 6 4" xfId="34533"/>
    <cellStyle name="Input 19 3 7" xfId="35868"/>
    <cellStyle name="Input 19 3 7 2" xfId="41758"/>
    <cellStyle name="Input 19 3 7 3" xfId="48592"/>
    <cellStyle name="Input 19 3 8" xfId="28264"/>
    <cellStyle name="Input 19 3 9" xfId="39633"/>
    <cellStyle name="Input 19 4" xfId="7628"/>
    <cellStyle name="Input 19 4 2" xfId="20856"/>
    <cellStyle name="Input 19 5" xfId="44242"/>
    <cellStyle name="Input 2" xfId="2211"/>
    <cellStyle name="Input 2 2" xfId="6173"/>
    <cellStyle name="Input 2 2 2" xfId="10907"/>
    <cellStyle name="Input 2 2 2 2" xfId="24135"/>
    <cellStyle name="Input 2 2 2 3" xfId="33537"/>
    <cellStyle name="Input 2 2 2 4" xfId="44675"/>
    <cellStyle name="Input 2 2 2 5" xfId="34617"/>
    <cellStyle name="Input 2 2 3" xfId="12745"/>
    <cellStyle name="Input 2 2 3 2" xfId="25973"/>
    <cellStyle name="Input 2 2 3 3" xfId="35963"/>
    <cellStyle name="Input 2 2 3 4" xfId="41856"/>
    <cellStyle name="Input 2 2 3 5" xfId="48690"/>
    <cellStyle name="Input 2 2 4" xfId="19401"/>
    <cellStyle name="Input 2 2 4 2" xfId="36928"/>
    <cellStyle name="Input 2 2 4 3" xfId="42843"/>
    <cellStyle name="Input 2 2 4 4" xfId="49677"/>
    <cellStyle name="Input 2 2 5" xfId="36489"/>
    <cellStyle name="Input 2 2 5 2" xfId="42382"/>
    <cellStyle name="Input 2 2 5 3" xfId="49216"/>
    <cellStyle name="Input 2 2 6" xfId="29225"/>
    <cellStyle name="Input 2 2 7" xfId="31686"/>
    <cellStyle name="Input 2 2 8" xfId="44414"/>
    <cellStyle name="Input 2 3" xfId="9459"/>
    <cellStyle name="Input 2 3 10" xfId="17373"/>
    <cellStyle name="Input 2 3 2" xfId="13096"/>
    <cellStyle name="Input 2 3 2 2" xfId="26324"/>
    <cellStyle name="Input 2 3 2 3" xfId="32576"/>
    <cellStyle name="Input 2 3 2 4" xfId="38796"/>
    <cellStyle name="Input 2 3 2 5" xfId="45838"/>
    <cellStyle name="Input 2 3 3" xfId="7463"/>
    <cellStyle name="Input 2 3 3 2" xfId="20691"/>
    <cellStyle name="Input 2 3 3 3" xfId="35072"/>
    <cellStyle name="Input 2 3 3 4" xfId="45866"/>
    <cellStyle name="Input 2 3 3 5" xfId="47775"/>
    <cellStyle name="Input 2 3 4" xfId="7328"/>
    <cellStyle name="Input 2 3 4 2" xfId="20556"/>
    <cellStyle name="Input 2 3 4 3" xfId="29820"/>
    <cellStyle name="Input 2 3 4 4" xfId="16351"/>
    <cellStyle name="Input 2 3 4 5" xfId="44396"/>
    <cellStyle name="Input 2 3 5" xfId="12860"/>
    <cellStyle name="Input 2 3 5 2" xfId="26088"/>
    <cellStyle name="Input 2 3 5 3" xfId="16656"/>
    <cellStyle name="Input 2 3 5 4" xfId="29015"/>
    <cellStyle name="Input 2 3 6" xfId="22687"/>
    <cellStyle name="Input 2 3 6 2" xfId="36937"/>
    <cellStyle name="Input 2 3 6 3" xfId="42853"/>
    <cellStyle name="Input 2 3 6 4" xfId="49687"/>
    <cellStyle name="Input 2 3 7" xfId="36963"/>
    <cellStyle name="Input 2 3 7 2" xfId="42881"/>
    <cellStyle name="Input 2 3 7 3" xfId="49715"/>
    <cellStyle name="Input 2 3 8" xfId="28265"/>
    <cellStyle name="Input 2 3 9" xfId="40614"/>
    <cellStyle name="Input 2 4" xfId="7629"/>
    <cellStyle name="Input 2 4 2" xfId="20857"/>
    <cellStyle name="Input 2 5" xfId="47523"/>
    <cellStyle name="Input 20" xfId="2212"/>
    <cellStyle name="Input 20 2" xfId="6174"/>
    <cellStyle name="Input 20 2 2" xfId="10908"/>
    <cellStyle name="Input 20 2 2 2" xfId="24136"/>
    <cellStyle name="Input 20 2 2 3" xfId="33538"/>
    <cellStyle name="Input 20 2 2 4" xfId="44676"/>
    <cellStyle name="Input 20 2 2 5" xfId="39203"/>
    <cellStyle name="Input 20 2 3" xfId="12846"/>
    <cellStyle name="Input 20 2 3 2" xfId="26074"/>
    <cellStyle name="Input 20 2 3 3" xfId="35964"/>
    <cellStyle name="Input 20 2 3 4" xfId="41857"/>
    <cellStyle name="Input 20 2 3 5" xfId="48691"/>
    <cellStyle name="Input 20 2 4" xfId="19402"/>
    <cellStyle name="Input 20 2 4 2" xfId="35520"/>
    <cellStyle name="Input 20 2 4 3" xfId="41392"/>
    <cellStyle name="Input 20 2 4 4" xfId="48226"/>
    <cellStyle name="Input 20 2 5" xfId="37710"/>
    <cellStyle name="Input 20 2 5 2" xfId="43633"/>
    <cellStyle name="Input 20 2 5 3" xfId="50467"/>
    <cellStyle name="Input 20 2 6" xfId="29226"/>
    <cellStyle name="Input 20 2 7" xfId="30196"/>
    <cellStyle name="Input 20 2 8" xfId="45398"/>
    <cellStyle name="Input 20 3" xfId="9460"/>
    <cellStyle name="Input 20 3 10" xfId="39581"/>
    <cellStyle name="Input 20 3 2" xfId="13097"/>
    <cellStyle name="Input 20 3 2 2" xfId="26325"/>
    <cellStyle name="Input 20 3 2 3" xfId="32577"/>
    <cellStyle name="Input 20 3 2 4" xfId="38797"/>
    <cellStyle name="Input 20 3 2 5" xfId="17915"/>
    <cellStyle name="Input 20 3 3" xfId="7464"/>
    <cellStyle name="Input 20 3 3 2" xfId="20692"/>
    <cellStyle name="Input 20 3 3 3" xfId="35073"/>
    <cellStyle name="Input 20 3 3 4" xfId="45867"/>
    <cellStyle name="Input 20 3 3 5" xfId="47776"/>
    <cellStyle name="Input 20 3 4" xfId="14098"/>
    <cellStyle name="Input 20 3 4 2" xfId="27326"/>
    <cellStyle name="Input 20 3 4 3" xfId="32057"/>
    <cellStyle name="Input 20 3 4 4" xfId="38280"/>
    <cellStyle name="Input 20 3 4 5" xfId="47401"/>
    <cellStyle name="Input 20 3 5" xfId="8653"/>
    <cellStyle name="Input 20 3 5 2" xfId="21881"/>
    <cellStyle name="Input 20 3 5 3" xfId="15270"/>
    <cellStyle name="Input 20 3 5 4" xfId="18488"/>
    <cellStyle name="Input 20 3 6" xfId="22688"/>
    <cellStyle name="Input 20 3 6 2" xfId="37224"/>
    <cellStyle name="Input 20 3 6 3" xfId="43143"/>
    <cellStyle name="Input 20 3 6 4" xfId="49977"/>
    <cellStyle name="Input 20 3 7" xfId="37764"/>
    <cellStyle name="Input 20 3 7 2" xfId="43688"/>
    <cellStyle name="Input 20 3 7 3" xfId="50522"/>
    <cellStyle name="Input 20 3 8" xfId="28266"/>
    <cellStyle name="Input 20 3 9" xfId="35845"/>
    <cellStyle name="Input 20 4" xfId="7630"/>
    <cellStyle name="Input 20 4 2" xfId="20858"/>
    <cellStyle name="Input 20 5" xfId="47265"/>
    <cellStyle name="Input 21" xfId="2213"/>
    <cellStyle name="Input 21 2" xfId="6175"/>
    <cellStyle name="Input 21 2 2" xfId="10909"/>
    <cellStyle name="Input 21 2 2 2" xfId="24137"/>
    <cellStyle name="Input 21 2 2 3" xfId="33539"/>
    <cellStyle name="Input 21 2 2 4" xfId="44677"/>
    <cellStyle name="Input 21 2 2 5" xfId="38432"/>
    <cellStyle name="Input 21 2 3" xfId="12746"/>
    <cellStyle name="Input 21 2 3 2" xfId="25974"/>
    <cellStyle name="Input 21 2 3 3" xfId="35965"/>
    <cellStyle name="Input 21 2 3 4" xfId="41858"/>
    <cellStyle name="Input 21 2 3 5" xfId="48692"/>
    <cellStyle name="Input 21 2 4" xfId="19403"/>
    <cellStyle name="Input 21 2 4 2" xfId="31621"/>
    <cellStyle name="Input 21 2 4 3" xfId="15294"/>
    <cellStyle name="Input 21 2 4 4" xfId="46618"/>
    <cellStyle name="Input 21 2 5" xfId="34805"/>
    <cellStyle name="Input 21 2 5 2" xfId="40801"/>
    <cellStyle name="Input 21 2 5 3" xfId="38695"/>
    <cellStyle name="Input 21 2 6" xfId="29227"/>
    <cellStyle name="Input 21 2 7" xfId="30810"/>
    <cellStyle name="Input 21 2 8" xfId="39286"/>
    <cellStyle name="Input 21 3" xfId="9461"/>
    <cellStyle name="Input 21 3 10" xfId="28671"/>
    <cellStyle name="Input 21 3 2" xfId="13098"/>
    <cellStyle name="Input 21 3 2 2" xfId="26326"/>
    <cellStyle name="Input 21 3 2 3" xfId="32578"/>
    <cellStyle name="Input 21 3 2 4" xfId="38798"/>
    <cellStyle name="Input 21 3 2 5" xfId="44121"/>
    <cellStyle name="Input 21 3 3" xfId="7465"/>
    <cellStyle name="Input 21 3 3 2" xfId="20693"/>
    <cellStyle name="Input 21 3 3 3" xfId="35074"/>
    <cellStyle name="Input 21 3 3 4" xfId="45868"/>
    <cellStyle name="Input 21 3 3 5" xfId="47777"/>
    <cellStyle name="Input 21 3 4" xfId="13570"/>
    <cellStyle name="Input 21 3 4 2" xfId="26798"/>
    <cellStyle name="Input 21 3 4 3" xfId="34857"/>
    <cellStyle name="Input 21 3 4 4" xfId="40856"/>
    <cellStyle name="Input 21 3 4 5" xfId="40472"/>
    <cellStyle name="Input 21 3 5" xfId="7213"/>
    <cellStyle name="Input 21 3 5 2" xfId="20441"/>
    <cellStyle name="Input 21 3 5 3" xfId="42868"/>
    <cellStyle name="Input 21 3 5 4" xfId="49702"/>
    <cellStyle name="Input 21 3 6" xfId="22689"/>
    <cellStyle name="Input 21 3 6 2" xfId="37279"/>
    <cellStyle name="Input 21 3 6 3" xfId="43199"/>
    <cellStyle name="Input 21 3 6 4" xfId="50033"/>
    <cellStyle name="Input 21 3 7" xfId="36833"/>
    <cellStyle name="Input 21 3 7 2" xfId="42744"/>
    <cellStyle name="Input 21 3 7 3" xfId="49578"/>
    <cellStyle name="Input 21 3 8" xfId="28267"/>
    <cellStyle name="Input 21 3 9" xfId="27849"/>
    <cellStyle name="Input 21 4" xfId="7631"/>
    <cellStyle name="Input 21 4 2" xfId="20859"/>
    <cellStyle name="Input 21 5" xfId="46677"/>
    <cellStyle name="Input 22" xfId="2214"/>
    <cellStyle name="Input 22 2" xfId="6176"/>
    <cellStyle name="Input 22 2 2" xfId="10910"/>
    <cellStyle name="Input 22 2 2 2" xfId="24138"/>
    <cellStyle name="Input 22 2 2 3" xfId="33540"/>
    <cellStyle name="Input 22 2 2 4" xfId="44678"/>
    <cellStyle name="Input 22 2 2 5" xfId="28735"/>
    <cellStyle name="Input 22 2 3" xfId="10153"/>
    <cellStyle name="Input 22 2 3 2" xfId="23381"/>
    <cellStyle name="Input 22 2 3 3" xfId="35966"/>
    <cellStyle name="Input 22 2 3 4" xfId="41859"/>
    <cellStyle name="Input 22 2 3 5" xfId="48693"/>
    <cellStyle name="Input 22 2 4" xfId="19404"/>
    <cellStyle name="Input 22 2 4 2" xfId="30797"/>
    <cellStyle name="Input 22 2 4 3" xfId="16939"/>
    <cellStyle name="Input 22 2 4 4" xfId="40593"/>
    <cellStyle name="Input 22 2 5" xfId="37020"/>
    <cellStyle name="Input 22 2 5 2" xfId="42939"/>
    <cellStyle name="Input 22 2 5 3" xfId="49773"/>
    <cellStyle name="Input 22 2 6" xfId="29228"/>
    <cellStyle name="Input 22 2 7" xfId="37810"/>
    <cellStyle name="Input 22 2 8" xfId="34084"/>
    <cellStyle name="Input 22 3" xfId="9462"/>
    <cellStyle name="Input 22 3 10" xfId="45211"/>
    <cellStyle name="Input 22 3 2" xfId="13099"/>
    <cellStyle name="Input 22 3 2 2" xfId="26327"/>
    <cellStyle name="Input 22 3 2 3" xfId="32579"/>
    <cellStyle name="Input 22 3 2 4" xfId="38799"/>
    <cellStyle name="Input 22 3 2 5" xfId="47500"/>
    <cellStyle name="Input 22 3 3" xfId="6713"/>
    <cellStyle name="Input 22 3 3 2" xfId="19941"/>
    <cellStyle name="Input 22 3 3 3" xfId="35075"/>
    <cellStyle name="Input 22 3 3 4" xfId="45869"/>
    <cellStyle name="Input 22 3 3 5" xfId="47778"/>
    <cellStyle name="Input 22 3 4" xfId="14176"/>
    <cellStyle name="Input 22 3 4 2" xfId="27404"/>
    <cellStyle name="Input 22 3 4 3" xfId="31835"/>
    <cellStyle name="Input 22 3 4 4" xfId="38056"/>
    <cellStyle name="Input 22 3 4 5" xfId="34614"/>
    <cellStyle name="Input 22 3 5" xfId="8656"/>
    <cellStyle name="Input 22 3 5 2" xfId="21884"/>
    <cellStyle name="Input 22 3 5 3" xfId="16899"/>
    <cellStyle name="Input 22 3 5 4" xfId="35501"/>
    <cellStyle name="Input 22 3 6" xfId="22690"/>
    <cellStyle name="Input 22 3 6 2" xfId="31590"/>
    <cellStyle name="Input 22 3 6 3" xfId="17321"/>
    <cellStyle name="Input 22 3 6 4" xfId="38445"/>
    <cellStyle name="Input 22 3 7" xfId="35702"/>
    <cellStyle name="Input 22 3 7 2" xfId="41586"/>
    <cellStyle name="Input 22 3 7 3" xfId="48420"/>
    <cellStyle name="Input 22 3 8" xfId="28268"/>
    <cellStyle name="Input 22 3 9" xfId="15453"/>
    <cellStyle name="Input 22 4" xfId="7632"/>
    <cellStyle name="Input 22 4 2" xfId="20860"/>
    <cellStyle name="Input 22 5" xfId="34349"/>
    <cellStyle name="Input 23" xfId="2215"/>
    <cellStyle name="Input 23 2" xfId="6177"/>
    <cellStyle name="Input 23 2 2" xfId="10911"/>
    <cellStyle name="Input 23 2 2 2" xfId="24139"/>
    <cellStyle name="Input 23 2 2 3" xfId="33541"/>
    <cellStyle name="Input 23 2 2 4" xfId="44679"/>
    <cellStyle name="Input 23 2 2 5" xfId="38424"/>
    <cellStyle name="Input 23 2 3" xfId="6775"/>
    <cellStyle name="Input 23 2 3 2" xfId="20003"/>
    <cellStyle name="Input 23 2 3 3" xfId="35967"/>
    <cellStyle name="Input 23 2 3 4" xfId="41860"/>
    <cellStyle name="Input 23 2 3 5" xfId="48694"/>
    <cellStyle name="Input 23 2 4" xfId="19405"/>
    <cellStyle name="Input 23 2 4 2" xfId="37477"/>
    <cellStyle name="Input 23 2 4 3" xfId="43397"/>
    <cellStyle name="Input 23 2 4 4" xfId="50231"/>
    <cellStyle name="Input 23 2 5" xfId="30654"/>
    <cellStyle name="Input 23 2 5 2" xfId="16881"/>
    <cellStyle name="Input 23 2 5 3" xfId="17591"/>
    <cellStyle name="Input 23 2 6" xfId="29229"/>
    <cellStyle name="Input 23 2 7" xfId="36516"/>
    <cellStyle name="Input 23 2 8" xfId="45285"/>
    <cellStyle name="Input 23 3" xfId="9463"/>
    <cellStyle name="Input 23 3 10" xfId="44078"/>
    <cellStyle name="Input 23 3 2" xfId="13100"/>
    <cellStyle name="Input 23 3 2 2" xfId="26328"/>
    <cellStyle name="Input 23 3 2 3" xfId="32580"/>
    <cellStyle name="Input 23 3 2 4" xfId="38800"/>
    <cellStyle name="Input 23 3 2 5" xfId="30767"/>
    <cellStyle name="Input 23 3 3" xfId="7467"/>
    <cellStyle name="Input 23 3 3 2" xfId="20695"/>
    <cellStyle name="Input 23 3 3 3" xfId="35076"/>
    <cellStyle name="Input 23 3 3 4" xfId="45870"/>
    <cellStyle name="Input 23 3 3 5" xfId="47779"/>
    <cellStyle name="Input 23 3 4" xfId="13037"/>
    <cellStyle name="Input 23 3 4 2" xfId="26265"/>
    <cellStyle name="Input 23 3 4 3" xfId="32126"/>
    <cellStyle name="Input 23 3 4 4" xfId="38349"/>
    <cellStyle name="Input 23 3 4 5" xfId="40193"/>
    <cellStyle name="Input 23 3 5" xfId="13520"/>
    <cellStyle name="Input 23 3 5 2" xfId="26748"/>
    <cellStyle name="Input 23 3 5 3" xfId="16657"/>
    <cellStyle name="Input 23 3 5 4" xfId="15460"/>
    <cellStyle name="Input 23 3 6" xfId="22691"/>
    <cellStyle name="Input 23 3 6 2" xfId="31825"/>
    <cellStyle name="Input 23 3 6 3" xfId="38046"/>
    <cellStyle name="Input 23 3 6 4" xfId="46602"/>
    <cellStyle name="Input 23 3 7" xfId="37511"/>
    <cellStyle name="Input 23 3 7 2" xfId="43431"/>
    <cellStyle name="Input 23 3 7 3" xfId="50265"/>
    <cellStyle name="Input 23 3 8" xfId="28269"/>
    <cellStyle name="Input 23 3 9" xfId="15424"/>
    <cellStyle name="Input 23 4" xfId="7633"/>
    <cellStyle name="Input 23 4 2" xfId="20861"/>
    <cellStyle name="Input 23 5" xfId="15844"/>
    <cellStyle name="Input 24" xfId="2216"/>
    <cellStyle name="Input 24 2" xfId="6178"/>
    <cellStyle name="Input 24 2 2" xfId="10912"/>
    <cellStyle name="Input 24 2 2 2" xfId="24140"/>
    <cellStyle name="Input 24 2 2 3" xfId="33542"/>
    <cellStyle name="Input 24 2 2 4" xfId="44680"/>
    <cellStyle name="Input 24 2 2 5" xfId="40289"/>
    <cellStyle name="Input 24 2 3" xfId="12743"/>
    <cellStyle name="Input 24 2 3 2" xfId="25971"/>
    <cellStyle name="Input 24 2 3 3" xfId="35968"/>
    <cellStyle name="Input 24 2 3 4" xfId="41861"/>
    <cellStyle name="Input 24 2 3 5" xfId="48695"/>
    <cellStyle name="Input 24 2 4" xfId="19406"/>
    <cellStyle name="Input 24 2 4 2" xfId="35870"/>
    <cellStyle name="Input 24 2 4 3" xfId="41760"/>
    <cellStyle name="Input 24 2 4 4" xfId="48594"/>
    <cellStyle name="Input 24 2 5" xfId="36666"/>
    <cellStyle name="Input 24 2 5 2" xfId="42569"/>
    <cellStyle name="Input 24 2 5 3" xfId="49403"/>
    <cellStyle name="Input 24 2 6" xfId="29230"/>
    <cellStyle name="Input 24 2 7" xfId="34976"/>
    <cellStyle name="Input 24 2 8" xfId="44279"/>
    <cellStyle name="Input 24 3" xfId="9464"/>
    <cellStyle name="Input 24 3 10" xfId="33365"/>
    <cellStyle name="Input 24 3 2" xfId="13101"/>
    <cellStyle name="Input 24 3 2 2" xfId="26329"/>
    <cellStyle name="Input 24 3 2 3" xfId="32581"/>
    <cellStyle name="Input 24 3 2 4" xfId="38801"/>
    <cellStyle name="Input 24 3 2 5" xfId="46547"/>
    <cellStyle name="Input 24 3 3" xfId="7466"/>
    <cellStyle name="Input 24 3 3 2" xfId="20694"/>
    <cellStyle name="Input 24 3 3 3" xfId="35077"/>
    <cellStyle name="Input 24 3 3 4" xfId="45871"/>
    <cellStyle name="Input 24 3 3 5" xfId="47780"/>
    <cellStyle name="Input 24 3 4" xfId="14034"/>
    <cellStyle name="Input 24 3 4 2" xfId="27262"/>
    <cellStyle name="Input 24 3 4 3" xfId="32058"/>
    <cellStyle name="Input 24 3 4 4" xfId="38281"/>
    <cellStyle name="Input 24 3 4 5" xfId="46246"/>
    <cellStyle name="Input 24 3 5" xfId="7997"/>
    <cellStyle name="Input 24 3 5 2" xfId="21225"/>
    <cellStyle name="Input 24 3 5 3" xfId="42633"/>
    <cellStyle name="Input 24 3 5 4" xfId="49467"/>
    <cellStyle name="Input 24 3 6" xfId="22692"/>
    <cellStyle name="Input 24 3 6 2" xfId="36996"/>
    <cellStyle name="Input 24 3 6 3" xfId="42915"/>
    <cellStyle name="Input 24 3 6 4" xfId="49749"/>
    <cellStyle name="Input 24 3 7" xfId="36575"/>
    <cellStyle name="Input 24 3 7 2" xfId="42477"/>
    <cellStyle name="Input 24 3 7 3" xfId="49311"/>
    <cellStyle name="Input 24 3 8" xfId="28270"/>
    <cellStyle name="Input 24 3 9" xfId="14619"/>
    <cellStyle name="Input 24 4" xfId="7634"/>
    <cellStyle name="Input 24 4 2" xfId="20862"/>
    <cellStyle name="Input 24 5" xfId="15526"/>
    <cellStyle name="Input 25" xfId="2217"/>
    <cellStyle name="Input 25 2" xfId="6179"/>
    <cellStyle name="Input 25 2 2" xfId="10913"/>
    <cellStyle name="Input 25 2 2 2" xfId="24141"/>
    <cellStyle name="Input 25 2 2 3" xfId="33543"/>
    <cellStyle name="Input 25 2 2 4" xfId="44681"/>
    <cellStyle name="Input 25 2 2 5" xfId="33415"/>
    <cellStyle name="Input 25 2 3" xfId="12845"/>
    <cellStyle name="Input 25 2 3 2" xfId="26073"/>
    <cellStyle name="Input 25 2 3 3" xfId="35969"/>
    <cellStyle name="Input 25 2 3 4" xfId="41862"/>
    <cellStyle name="Input 25 2 3 5" xfId="48696"/>
    <cellStyle name="Input 25 2 4" xfId="19407"/>
    <cellStyle name="Input 25 2 4 2" xfId="36702"/>
    <cellStyle name="Input 25 2 4 3" xfId="42606"/>
    <cellStyle name="Input 25 2 4 4" xfId="49440"/>
    <cellStyle name="Input 25 2 5" xfId="31295"/>
    <cellStyle name="Input 25 2 5 2" xfId="17847"/>
    <cellStyle name="Input 25 2 5 3" xfId="46253"/>
    <cellStyle name="Input 25 2 6" xfId="29231"/>
    <cellStyle name="Input 25 2 7" xfId="30341"/>
    <cellStyle name="Input 25 2 8" xfId="40445"/>
    <cellStyle name="Input 25 3" xfId="9465"/>
    <cellStyle name="Input 25 3 10" xfId="44479"/>
    <cellStyle name="Input 25 3 2" xfId="13102"/>
    <cellStyle name="Input 25 3 2 2" xfId="26330"/>
    <cellStyle name="Input 25 3 2 3" xfId="32582"/>
    <cellStyle name="Input 25 3 2 4" xfId="38802"/>
    <cellStyle name="Input 25 3 2 5" xfId="41186"/>
    <cellStyle name="Input 25 3 3" xfId="6714"/>
    <cellStyle name="Input 25 3 3 2" xfId="19942"/>
    <cellStyle name="Input 25 3 3 3" xfId="35078"/>
    <cellStyle name="Input 25 3 3 4" xfId="45872"/>
    <cellStyle name="Input 25 3 3 5" xfId="47781"/>
    <cellStyle name="Input 25 3 4" xfId="8502"/>
    <cellStyle name="Input 25 3 4 2" xfId="21730"/>
    <cellStyle name="Input 25 3 4 3" xfId="31836"/>
    <cellStyle name="Input 25 3 4 4" xfId="38057"/>
    <cellStyle name="Input 25 3 4 5" xfId="47192"/>
    <cellStyle name="Input 25 3 5" xfId="7344"/>
    <cellStyle name="Input 25 3 5 2" xfId="20572"/>
    <cellStyle name="Input 25 3 5 3" xfId="41416"/>
    <cellStyle name="Input 25 3 5 4" xfId="48250"/>
    <cellStyle name="Input 25 3 6" xfId="22693"/>
    <cellStyle name="Input 25 3 6 2" xfId="30831"/>
    <cellStyle name="Input 25 3 6 3" xfId="17873"/>
    <cellStyle name="Input 25 3 6 4" xfId="39197"/>
    <cellStyle name="Input 25 3 7" xfId="30201"/>
    <cellStyle name="Input 25 3 7 2" xfId="14638"/>
    <cellStyle name="Input 25 3 7 3" xfId="45498"/>
    <cellStyle name="Input 25 3 8" xfId="28271"/>
    <cellStyle name="Input 25 3 9" xfId="40096"/>
    <cellStyle name="Input 25 4" xfId="7635"/>
    <cellStyle name="Input 25 4 2" xfId="20863"/>
    <cellStyle name="Input 25 5" xfId="47463"/>
    <cellStyle name="Input 26" xfId="2218"/>
    <cellStyle name="Input 26 2" xfId="6180"/>
    <cellStyle name="Input 26 2 2" xfId="10914"/>
    <cellStyle name="Input 26 2 2 2" xfId="24142"/>
    <cellStyle name="Input 26 2 2 3" xfId="33544"/>
    <cellStyle name="Input 26 2 2 4" xfId="44682"/>
    <cellStyle name="Input 26 2 2 5" xfId="40432"/>
    <cellStyle name="Input 26 2 3" xfId="12744"/>
    <cellStyle name="Input 26 2 3 2" xfId="25972"/>
    <cellStyle name="Input 26 2 3 3" xfId="35970"/>
    <cellStyle name="Input 26 2 3 4" xfId="41863"/>
    <cellStyle name="Input 26 2 3 5" xfId="48697"/>
    <cellStyle name="Input 26 2 4" xfId="19408"/>
    <cellStyle name="Input 26 2 4 2" xfId="30521"/>
    <cellStyle name="Input 26 2 4 3" xfId="16824"/>
    <cellStyle name="Input 26 2 4 4" xfId="44224"/>
    <cellStyle name="Input 26 2 5" xfId="29908"/>
    <cellStyle name="Input 26 2 5 2" xfId="16443"/>
    <cellStyle name="Input 26 2 5 3" xfId="15390"/>
    <cellStyle name="Input 26 2 6" xfId="29232"/>
    <cellStyle name="Input 26 2 7" xfId="37543"/>
    <cellStyle name="Input 26 2 8" xfId="44516"/>
    <cellStyle name="Input 26 3" xfId="9466"/>
    <cellStyle name="Input 26 3 10" xfId="45465"/>
    <cellStyle name="Input 26 3 2" xfId="13103"/>
    <cellStyle name="Input 26 3 2 2" xfId="26331"/>
    <cellStyle name="Input 26 3 2 3" xfId="32583"/>
    <cellStyle name="Input 26 3 2 4" xfId="38803"/>
    <cellStyle name="Input 26 3 2 5" xfId="28090"/>
    <cellStyle name="Input 26 3 3" xfId="7469"/>
    <cellStyle name="Input 26 3 3 2" xfId="20697"/>
    <cellStyle name="Input 26 3 3 3" xfId="35079"/>
    <cellStyle name="Input 26 3 3 4" xfId="45873"/>
    <cellStyle name="Input 26 3 3 5" xfId="47782"/>
    <cellStyle name="Input 26 3 4" xfId="8472"/>
    <cellStyle name="Input 26 3 4 2" xfId="21700"/>
    <cellStyle name="Input 26 3 4 3" xfId="32128"/>
    <cellStyle name="Input 26 3 4 4" xfId="38351"/>
    <cellStyle name="Input 26 3 4 5" xfId="34370"/>
    <cellStyle name="Input 26 3 5" xfId="14134"/>
    <cellStyle name="Input 26 3 5 2" xfId="27362"/>
    <cellStyle name="Input 26 3 5 3" xfId="37969"/>
    <cellStyle name="Input 26 3 5 4" xfId="28078"/>
    <cellStyle name="Input 26 3 6" xfId="22694"/>
    <cellStyle name="Input 26 3 6 2" xfId="35866"/>
    <cellStyle name="Input 26 3 6 3" xfId="41756"/>
    <cellStyle name="Input 26 3 6 4" xfId="48590"/>
    <cellStyle name="Input 26 3 7" xfId="30330"/>
    <cellStyle name="Input 26 3 7 2" xfId="16753"/>
    <cellStyle name="Input 26 3 7 3" xfId="45418"/>
    <cellStyle name="Input 26 3 8" xfId="28272"/>
    <cellStyle name="Input 26 3 9" xfId="38676"/>
    <cellStyle name="Input 26 4" xfId="7636"/>
    <cellStyle name="Input 26 4 2" xfId="20864"/>
    <cellStyle name="Input 26 5" xfId="45846"/>
    <cellStyle name="Input 27" xfId="2219"/>
    <cellStyle name="Input 27 2" xfId="6181"/>
    <cellStyle name="Input 27 2 2" xfId="10915"/>
    <cellStyle name="Input 27 2 2 2" xfId="24143"/>
    <cellStyle name="Input 27 2 2 3" xfId="33545"/>
    <cellStyle name="Input 27 2 2 4" xfId="44683"/>
    <cellStyle name="Input 27 2 2 5" xfId="15811"/>
    <cellStyle name="Input 27 2 3" xfId="6776"/>
    <cellStyle name="Input 27 2 3 2" xfId="20004"/>
    <cellStyle name="Input 27 2 3 3" xfId="35971"/>
    <cellStyle name="Input 27 2 3 4" xfId="41864"/>
    <cellStyle name="Input 27 2 3 5" xfId="48698"/>
    <cellStyle name="Input 27 2 4" xfId="19409"/>
    <cellStyle name="Input 27 2 4 2" xfId="31823"/>
    <cellStyle name="Input 27 2 4 3" xfId="38044"/>
    <cellStyle name="Input 27 2 4 4" xfId="17882"/>
    <cellStyle name="Input 27 2 5" xfId="30564"/>
    <cellStyle name="Input 27 2 5 2" xfId="16822"/>
    <cellStyle name="Input 27 2 5 3" xfId="44221"/>
    <cellStyle name="Input 27 2 6" xfId="29233"/>
    <cellStyle name="Input 27 2 7" xfId="36785"/>
    <cellStyle name="Input 27 2 8" xfId="45485"/>
    <cellStyle name="Input 27 3" xfId="9467"/>
    <cellStyle name="Input 27 3 10" xfId="29078"/>
    <cellStyle name="Input 27 3 2" xfId="13104"/>
    <cellStyle name="Input 27 3 2 2" xfId="26332"/>
    <cellStyle name="Input 27 3 2 3" xfId="32584"/>
    <cellStyle name="Input 27 3 2 4" xfId="38804"/>
    <cellStyle name="Input 27 3 2 5" xfId="47347"/>
    <cellStyle name="Input 27 3 3" xfId="7468"/>
    <cellStyle name="Input 27 3 3 2" xfId="20696"/>
    <cellStyle name="Input 27 3 3 3" xfId="35080"/>
    <cellStyle name="Input 27 3 3 4" xfId="45874"/>
    <cellStyle name="Input 27 3 3 5" xfId="47783"/>
    <cellStyle name="Input 27 3 4" xfId="12911"/>
    <cellStyle name="Input 27 3 4 2" xfId="26139"/>
    <cellStyle name="Input 27 3 4 3" xfId="32127"/>
    <cellStyle name="Input 27 3 4 4" xfId="38350"/>
    <cellStyle name="Input 27 3 4 5" xfId="16541"/>
    <cellStyle name="Input 27 3 5" xfId="14360"/>
    <cellStyle name="Input 27 3 5 2" xfId="27588"/>
    <cellStyle name="Input 27 3 5 3" xfId="42752"/>
    <cellStyle name="Input 27 3 5 4" xfId="49586"/>
    <cellStyle name="Input 27 3 6" xfId="22695"/>
    <cellStyle name="Input 27 3 6 2" xfId="31961"/>
    <cellStyle name="Input 27 3 6 3" xfId="38184"/>
    <cellStyle name="Input 27 3 6 4" xfId="46978"/>
    <cellStyle name="Input 27 3 7" xfId="35660"/>
    <cellStyle name="Input 27 3 7 2" xfId="41540"/>
    <cellStyle name="Input 27 3 7 3" xfId="48374"/>
    <cellStyle name="Input 27 3 8" xfId="28273"/>
    <cellStyle name="Input 27 3 9" xfId="29022"/>
    <cellStyle name="Input 27 4" xfId="7637"/>
    <cellStyle name="Input 27 4 2" xfId="20865"/>
    <cellStyle name="Input 27 5" xfId="45693"/>
    <cellStyle name="Input 28" xfId="2220"/>
    <cellStyle name="Input 28 2" xfId="6182"/>
    <cellStyle name="Input 28 2 2" xfId="10916"/>
    <cellStyle name="Input 28 2 2 2" xfId="24144"/>
    <cellStyle name="Input 28 2 2 3" xfId="33546"/>
    <cellStyle name="Input 28 2 2 4" xfId="44684"/>
    <cellStyle name="Input 28 2 2 5" xfId="34588"/>
    <cellStyle name="Input 28 2 3" xfId="6777"/>
    <cellStyle name="Input 28 2 3 2" xfId="20005"/>
    <cellStyle name="Input 28 2 3 3" xfId="35972"/>
    <cellStyle name="Input 28 2 3 4" xfId="41865"/>
    <cellStyle name="Input 28 2 3 5" xfId="48699"/>
    <cellStyle name="Input 28 2 4" xfId="19410"/>
    <cellStyle name="Input 28 2 4 2" xfId="37585"/>
    <cellStyle name="Input 28 2 4 3" xfId="43507"/>
    <cellStyle name="Input 28 2 4 4" xfId="50341"/>
    <cellStyle name="Input 28 2 5" xfId="30484"/>
    <cellStyle name="Input 28 2 5 2" xfId="16811"/>
    <cellStyle name="Input 28 2 5 3" xfId="46238"/>
    <cellStyle name="Input 28 2 6" xfId="29234"/>
    <cellStyle name="Input 28 2 7" xfId="35624"/>
    <cellStyle name="Input 28 2 8" xfId="32998"/>
    <cellStyle name="Input 28 3" xfId="9468"/>
    <cellStyle name="Input 28 3 10" xfId="43879"/>
    <cellStyle name="Input 28 3 2" xfId="13105"/>
    <cellStyle name="Input 28 3 2 2" xfId="26333"/>
    <cellStyle name="Input 28 3 2 3" xfId="32585"/>
    <cellStyle name="Input 28 3 2 4" xfId="38805"/>
    <cellStyle name="Input 28 3 2 5" xfId="46804"/>
    <cellStyle name="Input 28 3 3" xfId="6715"/>
    <cellStyle name="Input 28 3 3 2" xfId="19943"/>
    <cellStyle name="Input 28 3 3 3" xfId="35081"/>
    <cellStyle name="Input 28 3 3 4" xfId="45875"/>
    <cellStyle name="Input 28 3 3 5" xfId="47784"/>
    <cellStyle name="Input 28 3 4" xfId="13681"/>
    <cellStyle name="Input 28 3 4 2" xfId="26909"/>
    <cellStyle name="Input 28 3 4 3" xfId="31837"/>
    <cellStyle name="Input 28 3 4 4" xfId="38058"/>
    <cellStyle name="Input 28 3 4 5" xfId="46599"/>
    <cellStyle name="Input 28 3 5" xfId="7724"/>
    <cellStyle name="Input 28 3 5 2" xfId="20952"/>
    <cellStyle name="Input 28 3 5 3" xfId="41568"/>
    <cellStyle name="Input 28 3 5 4" xfId="48402"/>
    <cellStyle name="Input 28 3 6" xfId="22696"/>
    <cellStyle name="Input 28 3 6 2" xfId="30263"/>
    <cellStyle name="Input 28 3 6 3" xfId="14777"/>
    <cellStyle name="Input 28 3 6 4" xfId="45420"/>
    <cellStyle name="Input 28 3 7" xfId="32440"/>
    <cellStyle name="Input 28 3 7 2" xfId="38658"/>
    <cellStyle name="Input 28 3 7 3" xfId="41317"/>
    <cellStyle name="Input 28 3 8" xfId="28274"/>
    <cellStyle name="Input 28 3 9" xfId="39334"/>
    <cellStyle name="Input 28 4" xfId="7638"/>
    <cellStyle name="Input 28 4 2" xfId="20866"/>
    <cellStyle name="Input 28 5" xfId="17517"/>
    <cellStyle name="Input 29" xfId="2221"/>
    <cellStyle name="Input 29 2" xfId="6183"/>
    <cellStyle name="Input 29 2 2" xfId="10917"/>
    <cellStyle name="Input 29 2 2 2" xfId="24145"/>
    <cellStyle name="Input 29 2 2 3" xfId="33547"/>
    <cellStyle name="Input 29 2 2 4" xfId="44685"/>
    <cellStyle name="Input 29 2 2 5" xfId="33449"/>
    <cellStyle name="Input 29 2 3" xfId="12844"/>
    <cellStyle name="Input 29 2 3 2" xfId="26072"/>
    <cellStyle name="Input 29 2 3 3" xfId="35973"/>
    <cellStyle name="Input 29 2 3 4" xfId="41866"/>
    <cellStyle name="Input 29 2 3 5" xfId="48700"/>
    <cellStyle name="Input 29 2 4" xfId="19411"/>
    <cellStyle name="Input 29 2 4 2" xfId="30207"/>
    <cellStyle name="Input 29 2 4 3" xfId="14640"/>
    <cellStyle name="Input 29 2 4 4" xfId="45117"/>
    <cellStyle name="Input 29 2 5" xfId="30842"/>
    <cellStyle name="Input 29 2 5 2" xfId="17848"/>
    <cellStyle name="Input 29 2 5 3" xfId="39270"/>
    <cellStyle name="Input 29 2 6" xfId="29235"/>
    <cellStyle name="Input 29 2 7" xfId="30413"/>
    <cellStyle name="Input 29 2 8" xfId="15791"/>
    <cellStyle name="Input 29 3" xfId="9469"/>
    <cellStyle name="Input 29 3 10" xfId="45349"/>
    <cellStyle name="Input 29 3 2" xfId="13106"/>
    <cellStyle name="Input 29 3 2 2" xfId="26334"/>
    <cellStyle name="Input 29 3 2 3" xfId="32586"/>
    <cellStyle name="Input 29 3 2 4" xfId="38806"/>
    <cellStyle name="Input 29 3 2 5" xfId="35693"/>
    <cellStyle name="Input 29 3 3" xfId="7471"/>
    <cellStyle name="Input 29 3 3 2" xfId="20699"/>
    <cellStyle name="Input 29 3 3 3" xfId="35082"/>
    <cellStyle name="Input 29 3 3 4" xfId="45876"/>
    <cellStyle name="Input 29 3 3 5" xfId="47785"/>
    <cellStyle name="Input 29 3 4" xfId="14252"/>
    <cellStyle name="Input 29 3 4 2" xfId="27480"/>
    <cellStyle name="Input 29 3 4 3" xfId="32130"/>
    <cellStyle name="Input 29 3 4 4" xfId="38353"/>
    <cellStyle name="Input 29 3 4 5" xfId="40609"/>
    <cellStyle name="Input 29 3 5" xfId="12671"/>
    <cellStyle name="Input 29 3 5 2" xfId="25899"/>
    <cellStyle name="Input 29 3 5 3" xfId="16653"/>
    <cellStyle name="Input 29 3 5 4" xfId="45297"/>
    <cellStyle name="Input 29 3 6" xfId="22697"/>
    <cellStyle name="Input 29 3 6 2" xfId="30800"/>
    <cellStyle name="Input 29 3 6 3" xfId="16941"/>
    <cellStyle name="Input 29 3 6 4" xfId="36687"/>
    <cellStyle name="Input 29 3 7" xfId="30412"/>
    <cellStyle name="Input 29 3 7 2" xfId="14872"/>
    <cellStyle name="Input 29 3 7 3" xfId="44898"/>
    <cellStyle name="Input 29 3 8" xfId="28275"/>
    <cellStyle name="Input 29 3 9" xfId="40398"/>
    <cellStyle name="Input 29 4" xfId="7639"/>
    <cellStyle name="Input 29 4 2" xfId="20867"/>
    <cellStyle name="Input 29 5" xfId="44241"/>
    <cellStyle name="Input 3" xfId="2222"/>
    <cellStyle name="Input 3 2" xfId="6184"/>
    <cellStyle name="Input 3 2 2" xfId="10918"/>
    <cellStyle name="Input 3 2 2 2" xfId="24146"/>
    <cellStyle name="Input 3 2 2 3" xfId="33548"/>
    <cellStyle name="Input 3 2 2 4" xfId="44686"/>
    <cellStyle name="Input 3 2 2 5" xfId="39372"/>
    <cellStyle name="Input 3 2 3" xfId="7179"/>
    <cellStyle name="Input 3 2 3 2" xfId="20407"/>
    <cellStyle name="Input 3 2 3 3" xfId="35974"/>
    <cellStyle name="Input 3 2 3 4" xfId="41867"/>
    <cellStyle name="Input 3 2 3 5" xfId="48701"/>
    <cellStyle name="Input 3 2 4" xfId="19412"/>
    <cellStyle name="Input 3 2 4 2" xfId="30860"/>
    <cellStyle name="Input 3 2 4 3" xfId="28017"/>
    <cellStyle name="Input 3 2 4 4" xfId="40551"/>
    <cellStyle name="Input 3 2 5" xfId="34748"/>
    <cellStyle name="Input 3 2 5 2" xfId="40740"/>
    <cellStyle name="Input 3 2 5 3" xfId="38755"/>
    <cellStyle name="Input 3 2 6" xfId="29236"/>
    <cellStyle name="Input 3 2 7" xfId="37834"/>
    <cellStyle name="Input 3 2 8" xfId="32198"/>
    <cellStyle name="Input 3 3" xfId="9470"/>
    <cellStyle name="Input 3 3 10" xfId="44343"/>
    <cellStyle name="Input 3 3 2" xfId="13107"/>
    <cellStyle name="Input 3 3 2 2" xfId="26335"/>
    <cellStyle name="Input 3 3 2 3" xfId="32587"/>
    <cellStyle name="Input 3 3 2 4" xfId="38807"/>
    <cellStyle name="Input 3 3 2 5" xfId="44120"/>
    <cellStyle name="Input 3 3 3" xfId="9148"/>
    <cellStyle name="Input 3 3 3 2" xfId="22376"/>
    <cellStyle name="Input 3 3 3 3" xfId="35083"/>
    <cellStyle name="Input 3 3 3 4" xfId="45877"/>
    <cellStyle name="Input 3 3 3 5" xfId="47786"/>
    <cellStyle name="Input 3 3 4" xfId="13499"/>
    <cellStyle name="Input 3 3 4 2" xfId="26727"/>
    <cellStyle name="Input 3 3 4 3" xfId="32129"/>
    <cellStyle name="Input 3 3 4 4" xfId="38352"/>
    <cellStyle name="Input 3 3 4 5" xfId="34737"/>
    <cellStyle name="Input 3 3 5" xfId="7905"/>
    <cellStyle name="Input 3 3 5 2" xfId="21133"/>
    <cellStyle name="Input 3 3 5 3" xfId="42463"/>
    <cellStyle name="Input 3 3 5 4" xfId="49297"/>
    <cellStyle name="Input 3 3 6" xfId="22698"/>
    <cellStyle name="Input 3 3 6 2" xfId="31393"/>
    <cellStyle name="Input 3 3 6 3" xfId="17784"/>
    <cellStyle name="Input 3 3 6 4" xfId="46761"/>
    <cellStyle name="Input 3 3 7" xfId="37822"/>
    <cellStyle name="Input 3 3 7 2" xfId="43746"/>
    <cellStyle name="Input 3 3 7 3" xfId="50580"/>
    <cellStyle name="Input 3 3 8" xfId="28276"/>
    <cellStyle name="Input 3 3 9" xfId="15781"/>
    <cellStyle name="Input 3 4" xfId="7640"/>
    <cellStyle name="Input 3 4 2" xfId="20868"/>
    <cellStyle name="Input 3 5" xfId="17792"/>
    <cellStyle name="Input 30" xfId="2223"/>
    <cellStyle name="Input 30 2" xfId="6185"/>
    <cellStyle name="Input 30 2 2" xfId="10919"/>
    <cellStyle name="Input 30 2 2 2" xfId="24147"/>
    <cellStyle name="Input 30 2 2 3" xfId="33549"/>
    <cellStyle name="Input 30 2 2 4" xfId="44687"/>
    <cellStyle name="Input 30 2 2 5" xfId="29102"/>
    <cellStyle name="Input 30 2 3" xfId="6778"/>
    <cellStyle name="Input 30 2 3 2" xfId="20006"/>
    <cellStyle name="Input 30 2 3 3" xfId="35975"/>
    <cellStyle name="Input 30 2 3 4" xfId="41868"/>
    <cellStyle name="Input 30 2 3 5" xfId="48702"/>
    <cellStyle name="Input 30 2 4" xfId="19413"/>
    <cellStyle name="Input 30 2 4 2" xfId="37544"/>
    <cellStyle name="Input 30 2 4 3" xfId="43465"/>
    <cellStyle name="Input 30 2 4 4" xfId="50299"/>
    <cellStyle name="Input 30 2 5" xfId="32102"/>
    <cellStyle name="Input 30 2 5 2" xfId="38325"/>
    <cellStyle name="Input 30 2 5 3" xfId="32991"/>
    <cellStyle name="Input 30 2 6" xfId="29237"/>
    <cellStyle name="Input 30 2 7" xfId="30520"/>
    <cellStyle name="Input 30 2 8" xfId="45194"/>
    <cellStyle name="Input 30 3" xfId="9471"/>
    <cellStyle name="Input 30 3 10" xfId="16458"/>
    <cellStyle name="Input 30 3 2" xfId="13108"/>
    <cellStyle name="Input 30 3 2 2" xfId="26336"/>
    <cellStyle name="Input 30 3 2 3" xfId="32588"/>
    <cellStyle name="Input 30 3 2 4" xfId="38808"/>
    <cellStyle name="Input 30 3 2 5" xfId="27850"/>
    <cellStyle name="Input 30 3 3" xfId="7506"/>
    <cellStyle name="Input 30 3 3 2" xfId="20734"/>
    <cellStyle name="Input 30 3 3 3" xfId="35084"/>
    <cellStyle name="Input 30 3 3 4" xfId="45878"/>
    <cellStyle name="Input 30 3 3 5" xfId="47787"/>
    <cellStyle name="Input 30 3 4" xfId="14119"/>
    <cellStyle name="Input 30 3 4 2" xfId="27347"/>
    <cellStyle name="Input 30 3 4 3" xfId="31838"/>
    <cellStyle name="Input 30 3 4 4" xfId="38059"/>
    <cellStyle name="Input 30 3 4 5" xfId="34239"/>
    <cellStyle name="Input 30 3 5" xfId="14333"/>
    <cellStyle name="Input 30 3 5 2" xfId="27561"/>
    <cellStyle name="Input 30 3 5 3" xfId="41039"/>
    <cellStyle name="Input 30 3 5 4" xfId="47735"/>
    <cellStyle name="Input 30 3 6" xfId="22699"/>
    <cellStyle name="Input 30 3 6 2" xfId="30696"/>
    <cellStyle name="Input 30 3 6 3" xfId="27745"/>
    <cellStyle name="Input 30 3 6 4" xfId="46952"/>
    <cellStyle name="Input 30 3 7" xfId="31516"/>
    <cellStyle name="Input 30 3 7 2" xfId="15133"/>
    <cellStyle name="Input 30 3 7 3" xfId="41068"/>
    <cellStyle name="Input 30 3 8" xfId="28277"/>
    <cellStyle name="Input 30 3 9" xfId="38406"/>
    <cellStyle name="Input 30 4" xfId="7641"/>
    <cellStyle name="Input 30 4 2" xfId="20869"/>
    <cellStyle name="Input 30 5" xfId="15732"/>
    <cellStyle name="Input 31" xfId="2224"/>
    <cellStyle name="Input 31 2" xfId="6186"/>
    <cellStyle name="Input 31 2 2" xfId="10920"/>
    <cellStyle name="Input 31 2 2 2" xfId="24148"/>
    <cellStyle name="Input 31 2 2 3" xfId="33550"/>
    <cellStyle name="Input 31 2 2 4" xfId="44688"/>
    <cellStyle name="Input 31 2 2 5" xfId="40135"/>
    <cellStyle name="Input 31 2 3" xfId="8051"/>
    <cellStyle name="Input 31 2 3 2" xfId="21279"/>
    <cellStyle name="Input 31 2 3 3" xfId="35976"/>
    <cellStyle name="Input 31 2 3 4" xfId="41869"/>
    <cellStyle name="Input 31 2 3 5" xfId="48703"/>
    <cellStyle name="Input 31 2 4" xfId="19414"/>
    <cellStyle name="Input 31 2 4 2" xfId="35612"/>
    <cellStyle name="Input 31 2 4 3" xfId="41489"/>
    <cellStyle name="Input 31 2 4 4" xfId="48323"/>
    <cellStyle name="Input 31 2 5" xfId="34929"/>
    <cellStyle name="Input 31 2 5 2" xfId="40927"/>
    <cellStyle name="Input 31 2 5 3" xfId="40002"/>
    <cellStyle name="Input 31 2 6" xfId="29238"/>
    <cellStyle name="Input 31 2 7" xfId="36736"/>
    <cellStyle name="Input 31 2 8" xfId="44061"/>
    <cellStyle name="Input 31 3" xfId="9472"/>
    <cellStyle name="Input 31 3 10" xfId="44582"/>
    <cellStyle name="Input 31 3 2" xfId="13109"/>
    <cellStyle name="Input 31 3 2 2" xfId="26337"/>
    <cellStyle name="Input 31 3 2 3" xfId="32589"/>
    <cellStyle name="Input 31 3 2 4" xfId="38809"/>
    <cellStyle name="Input 31 3 2 5" xfId="47305"/>
    <cellStyle name="Input 31 3 3" xfId="7473"/>
    <cellStyle name="Input 31 3 3 2" xfId="20701"/>
    <cellStyle name="Input 31 3 3 3" xfId="35085"/>
    <cellStyle name="Input 31 3 3 4" xfId="45879"/>
    <cellStyle name="Input 31 3 3 5" xfId="47788"/>
    <cellStyle name="Input 31 3 4" xfId="13603"/>
    <cellStyle name="Input 31 3 4 2" xfId="26831"/>
    <cellStyle name="Input 31 3 4 3" xfId="29818"/>
    <cellStyle name="Input 31 3 4 4" xfId="16348"/>
    <cellStyle name="Input 31 3 4 5" xfId="43994"/>
    <cellStyle name="Input 31 3 5" xfId="7438"/>
    <cellStyle name="Input 31 3 5 2" xfId="20666"/>
    <cellStyle name="Input 31 3 5 3" xfId="14637"/>
    <cellStyle name="Input 31 3 5 4" xfId="44291"/>
    <cellStyle name="Input 31 3 6" xfId="22700"/>
    <cellStyle name="Input 31 3 6 2" xfId="34793"/>
    <cellStyle name="Input 31 3 6 3" xfId="40789"/>
    <cellStyle name="Input 31 3 6 4" xfId="32245"/>
    <cellStyle name="Input 31 3 7" xfId="34792"/>
    <cellStyle name="Input 31 3 7 2" xfId="40788"/>
    <cellStyle name="Input 31 3 7 3" xfId="39349"/>
    <cellStyle name="Input 31 3 8" xfId="28278"/>
    <cellStyle name="Input 31 3 9" xfId="40271"/>
    <cellStyle name="Input 31 4" xfId="7642"/>
    <cellStyle name="Input 31 4 2" xfId="20870"/>
    <cellStyle name="Input 31 5" xfId="46676"/>
    <cellStyle name="Input 32" xfId="2225"/>
    <cellStyle name="Input 32 2" xfId="6187"/>
    <cellStyle name="Input 32 2 2" xfId="10921"/>
    <cellStyle name="Input 32 2 2 2" xfId="24149"/>
    <cellStyle name="Input 32 2 2 3" xfId="33551"/>
    <cellStyle name="Input 32 2 2 4" xfId="44689"/>
    <cellStyle name="Input 32 2 2 5" xfId="38717"/>
    <cellStyle name="Input 32 2 3" xfId="8052"/>
    <cellStyle name="Input 32 2 3 2" xfId="21280"/>
    <cellStyle name="Input 32 2 3 3" xfId="35977"/>
    <cellStyle name="Input 32 2 3 4" xfId="41870"/>
    <cellStyle name="Input 32 2 3 5" xfId="48704"/>
    <cellStyle name="Input 32 2 4" xfId="19415"/>
    <cellStyle name="Input 32 2 4 2" xfId="36872"/>
    <cellStyle name="Input 32 2 4 3" xfId="42784"/>
    <cellStyle name="Input 32 2 4 4" xfId="49618"/>
    <cellStyle name="Input 32 2 5" xfId="37564"/>
    <cellStyle name="Input 32 2 5 2" xfId="43485"/>
    <cellStyle name="Input 32 2 5 3" xfId="50319"/>
    <cellStyle name="Input 32 2 6" xfId="29239"/>
    <cellStyle name="Input 32 2 7" xfId="37643"/>
    <cellStyle name="Input 32 2 8" xfId="38677"/>
    <cellStyle name="Input 32 3" xfId="9473"/>
    <cellStyle name="Input 32 3 10" xfId="45552"/>
    <cellStyle name="Input 32 3 2" xfId="13110"/>
    <cellStyle name="Input 32 3 2 2" xfId="26338"/>
    <cellStyle name="Input 32 3 2 3" xfId="32590"/>
    <cellStyle name="Input 32 3 2 4" xfId="38810"/>
    <cellStyle name="Input 32 3 2 5" xfId="46546"/>
    <cellStyle name="Input 32 3 3" xfId="12990"/>
    <cellStyle name="Input 32 3 3 2" xfId="26218"/>
    <cellStyle name="Input 32 3 3 3" xfId="35086"/>
    <cellStyle name="Input 32 3 3 4" xfId="45880"/>
    <cellStyle name="Input 32 3 3 5" xfId="47789"/>
    <cellStyle name="Input 32 3 4" xfId="14209"/>
    <cellStyle name="Input 32 3 4 2" xfId="27437"/>
    <cellStyle name="Input 32 3 4 3" xfId="32131"/>
    <cellStyle name="Input 32 3 4 4" xfId="38354"/>
    <cellStyle name="Input 32 3 4 5" xfId="39627"/>
    <cellStyle name="Input 32 3 5" xfId="8327"/>
    <cellStyle name="Input 32 3 5 2" xfId="21555"/>
    <cellStyle name="Input 32 3 5 3" xfId="41751"/>
    <cellStyle name="Input 32 3 5 4" xfId="48585"/>
    <cellStyle name="Input 32 3 6" xfId="22701"/>
    <cellStyle name="Input 32 3 6 2" xfId="31255"/>
    <cellStyle name="Input 32 3 6 3" xfId="27797"/>
    <cellStyle name="Input 32 3 6 4" xfId="40025"/>
    <cellStyle name="Input 32 3 7" xfId="31749"/>
    <cellStyle name="Input 32 3 7 2" xfId="37970"/>
    <cellStyle name="Input 32 3 7 3" xfId="46607"/>
    <cellStyle name="Input 32 3 8" xfId="28279"/>
    <cellStyle name="Input 32 3 9" xfId="39183"/>
    <cellStyle name="Input 32 4" xfId="7643"/>
    <cellStyle name="Input 32 4 2" xfId="20871"/>
    <cellStyle name="Input 32 5" xfId="33073"/>
    <cellStyle name="Input 33" xfId="2226"/>
    <cellStyle name="Input 33 2" xfId="6188"/>
    <cellStyle name="Input 33 2 2" xfId="10922"/>
    <cellStyle name="Input 33 2 2 2" xfId="24150"/>
    <cellStyle name="Input 33 2 2 3" xfId="33552"/>
    <cellStyle name="Input 33 2 2 4" xfId="44690"/>
    <cellStyle name="Input 33 2 2 5" xfId="27932"/>
    <cellStyle name="Input 33 2 3" xfId="8053"/>
    <cellStyle name="Input 33 2 3 2" xfId="21281"/>
    <cellStyle name="Input 33 2 3 3" xfId="35978"/>
    <cellStyle name="Input 33 2 3 4" xfId="41871"/>
    <cellStyle name="Input 33 2 3 5" xfId="48705"/>
    <cellStyle name="Input 33 2 4" xfId="19416"/>
    <cellStyle name="Input 33 2 4 2" xfId="32399"/>
    <cellStyle name="Input 33 2 4 3" xfId="38617"/>
    <cellStyle name="Input 33 2 4 4" xfId="46707"/>
    <cellStyle name="Input 33 2 5" xfId="30175"/>
    <cellStyle name="Input 33 2 5 2" xfId="16636"/>
    <cellStyle name="Input 33 2 5 3" xfId="34101"/>
    <cellStyle name="Input 33 2 6" xfId="29240"/>
    <cellStyle name="Input 33 2 7" xfId="37199"/>
    <cellStyle name="Input 33 2 8" xfId="44462"/>
    <cellStyle name="Input 33 3" xfId="9474"/>
    <cellStyle name="Input 33 3 10" xfId="33454"/>
    <cellStyle name="Input 33 3 2" xfId="13111"/>
    <cellStyle name="Input 33 3 2 2" xfId="26339"/>
    <cellStyle name="Input 33 3 2 3" xfId="32591"/>
    <cellStyle name="Input 33 3 2 4" xfId="38811"/>
    <cellStyle name="Input 33 3 2 5" xfId="33206"/>
    <cellStyle name="Input 33 3 3" xfId="9149"/>
    <cellStyle name="Input 33 3 3 2" xfId="22377"/>
    <cellStyle name="Input 33 3 3 3" xfId="35087"/>
    <cellStyle name="Input 33 3 3 4" xfId="45881"/>
    <cellStyle name="Input 33 3 3 5" xfId="47790"/>
    <cellStyle name="Input 33 3 4" xfId="13066"/>
    <cellStyle name="Input 33 3 4 2" xfId="26294"/>
    <cellStyle name="Input 33 3 4 3" xfId="31839"/>
    <cellStyle name="Input 33 3 4 4" xfId="38060"/>
    <cellStyle name="Input 33 3 4 5" xfId="45818"/>
    <cellStyle name="Input 33 3 5" xfId="7335"/>
    <cellStyle name="Input 33 3 5 2" xfId="20563"/>
    <cellStyle name="Input 33 3 5 3" xfId="40784"/>
    <cellStyle name="Input 33 3 5 4" xfId="16521"/>
    <cellStyle name="Input 33 3 6" xfId="22702"/>
    <cellStyle name="Input 33 3 6 2" xfId="37434"/>
    <cellStyle name="Input 33 3 6 3" xfId="43354"/>
    <cellStyle name="Input 33 3 6 4" xfId="50188"/>
    <cellStyle name="Input 33 3 7" xfId="31580"/>
    <cellStyle name="Input 33 3 7 2" xfId="17316"/>
    <cellStyle name="Input 33 3 7 3" xfId="15299"/>
    <cellStyle name="Input 33 3 8" xfId="28280"/>
    <cellStyle name="Input 33 3 9" xfId="33162"/>
    <cellStyle name="Input 33 4" xfId="7644"/>
    <cellStyle name="Input 33 4 2" xfId="20872"/>
    <cellStyle name="Input 33 5" xfId="40474"/>
    <cellStyle name="Input 34" xfId="4652"/>
    <cellStyle name="Input 34 2" xfId="6600"/>
    <cellStyle name="Input 34 2 2" xfId="11334"/>
    <cellStyle name="Input 34 2 2 2" xfId="24562"/>
    <cellStyle name="Input 34 2 2 3" xfId="33964"/>
    <cellStyle name="Input 34 2 2 4" xfId="45029"/>
    <cellStyle name="Input 34 2 2 5" xfId="34339"/>
    <cellStyle name="Input 34 2 3" xfId="6828"/>
    <cellStyle name="Input 34 2 3 2" xfId="20056"/>
    <cellStyle name="Input 34 2 3 3" xfId="36389"/>
    <cellStyle name="Input 34 2 3 4" xfId="42282"/>
    <cellStyle name="Input 34 2 3 5" xfId="49116"/>
    <cellStyle name="Input 34 2 4" xfId="19828"/>
    <cellStyle name="Input 34 2 4 2" xfId="29852"/>
    <cellStyle name="Input 34 2 4 3" xfId="16362"/>
    <cellStyle name="Input 34 2 4 4" xfId="44395"/>
    <cellStyle name="Input 34 2 5" xfId="30523"/>
    <cellStyle name="Input 34 2 5 2" xfId="16825"/>
    <cellStyle name="Input 34 2 5 3" xfId="30159"/>
    <cellStyle name="Input 34 2 6" xfId="29652"/>
    <cellStyle name="Input 34 2 7" xfId="16263"/>
    <cellStyle name="Input 34 2 8" xfId="14749"/>
    <cellStyle name="Input 34 3" xfId="9811"/>
    <cellStyle name="Input 34 3 10" xfId="38748"/>
    <cellStyle name="Input 34 3 2" xfId="13448"/>
    <cellStyle name="Input 34 3 2 2" xfId="26676"/>
    <cellStyle name="Input 34 3 2 3" xfId="32928"/>
    <cellStyle name="Input 34 3 2 4" xfId="39148"/>
    <cellStyle name="Input 34 3 2 5" xfId="43925"/>
    <cellStyle name="Input 34 3 3" xfId="7709"/>
    <cellStyle name="Input 34 3 3 2" xfId="20937"/>
    <cellStyle name="Input 34 3 3 3" xfId="35424"/>
    <cellStyle name="Input 34 3 3 4" xfId="46146"/>
    <cellStyle name="Input 34 3 3 5" xfId="48127"/>
    <cellStyle name="Input 34 3 4" xfId="12902"/>
    <cellStyle name="Input 34 3 4 2" xfId="26130"/>
    <cellStyle name="Input 34 3 4 3" xfId="31170"/>
    <cellStyle name="Input 34 3 4 4" xfId="17089"/>
    <cellStyle name="Input 34 3 4 5" xfId="40169"/>
    <cellStyle name="Input 34 3 5" xfId="14377"/>
    <cellStyle name="Input 34 3 5 2" xfId="27605"/>
    <cellStyle name="Input 34 3 5 3" xfId="41374"/>
    <cellStyle name="Input 34 3 5 4" xfId="48208"/>
    <cellStyle name="Input 34 3 6" xfId="23039"/>
    <cellStyle name="Input 34 3 6 2" xfId="37376"/>
    <cellStyle name="Input 34 3 6 3" xfId="43296"/>
    <cellStyle name="Input 34 3 6 4" xfId="50130"/>
    <cellStyle name="Input 34 3 7" xfId="35820"/>
    <cellStyle name="Input 34 3 7 2" xfId="41707"/>
    <cellStyle name="Input 34 3 7 3" xfId="48541"/>
    <cellStyle name="Input 34 3 8" xfId="28617"/>
    <cellStyle name="Input 34 3 9" xfId="40322"/>
    <cellStyle name="Input 34 4" xfId="8675"/>
    <cellStyle name="Input 34 4 2" xfId="21903"/>
    <cellStyle name="Input 34 5" xfId="38744"/>
    <cellStyle name="Input 35" xfId="4657"/>
    <cellStyle name="Input 35 2" xfId="6605"/>
    <cellStyle name="Input 35 2 2" xfId="11339"/>
    <cellStyle name="Input 35 2 2 2" xfId="24567"/>
    <cellStyle name="Input 35 2 2 3" xfId="33969"/>
    <cellStyle name="Input 35 2 2 4" xfId="45034"/>
    <cellStyle name="Input 35 2 2 5" xfId="32298"/>
    <cellStyle name="Input 35 2 3" xfId="8694"/>
    <cellStyle name="Input 35 2 3 2" xfId="21922"/>
    <cellStyle name="Input 35 2 3 3" xfId="36394"/>
    <cellStyle name="Input 35 2 3 4" xfId="42287"/>
    <cellStyle name="Input 35 2 3 5" xfId="49121"/>
    <cellStyle name="Input 35 2 4" xfId="19833"/>
    <cellStyle name="Input 35 2 4 2" xfId="32328"/>
    <cellStyle name="Input 35 2 4 3" xfId="38546"/>
    <cellStyle name="Input 35 2 4 4" xfId="40620"/>
    <cellStyle name="Input 35 2 5" xfId="37369"/>
    <cellStyle name="Input 35 2 5 2" xfId="43289"/>
    <cellStyle name="Input 35 2 5 3" xfId="50123"/>
    <cellStyle name="Input 35 2 6" xfId="29657"/>
    <cellStyle name="Input 35 2 7" xfId="14598"/>
    <cellStyle name="Input 35 2 8" xfId="45131"/>
    <cellStyle name="Input 35 3" xfId="9816"/>
    <cellStyle name="Input 35 3 10" xfId="44018"/>
    <cellStyle name="Input 35 3 2" xfId="13453"/>
    <cellStyle name="Input 35 3 2 2" xfId="26681"/>
    <cellStyle name="Input 35 3 2 3" xfId="32933"/>
    <cellStyle name="Input 35 3 2 4" xfId="39153"/>
    <cellStyle name="Input 35 3 2 5" xfId="28095"/>
    <cellStyle name="Input 35 3 3" xfId="7713"/>
    <cellStyle name="Input 35 3 3 2" xfId="20941"/>
    <cellStyle name="Input 35 3 3 3" xfId="35429"/>
    <cellStyle name="Input 35 3 3 4" xfId="46151"/>
    <cellStyle name="Input 35 3 3 5" xfId="48132"/>
    <cellStyle name="Input 35 3 4" xfId="13584"/>
    <cellStyle name="Input 35 3 4 2" xfId="26812"/>
    <cellStyle name="Input 35 3 4 3" xfId="31175"/>
    <cellStyle name="Input 35 3 4 4" xfId="14722"/>
    <cellStyle name="Input 35 3 4 5" xfId="18064"/>
    <cellStyle name="Input 35 3 5" xfId="7280"/>
    <cellStyle name="Input 35 3 5 2" xfId="20508"/>
    <cellStyle name="Input 35 3 5 3" xfId="16874"/>
    <cellStyle name="Input 35 3 5 4" xfId="45773"/>
    <cellStyle name="Input 35 3 6" xfId="23044"/>
    <cellStyle name="Input 35 3 6 2" xfId="32068"/>
    <cellStyle name="Input 35 3 6 3" xfId="38291"/>
    <cellStyle name="Input 35 3 6 4" xfId="45573"/>
    <cellStyle name="Input 35 3 7" xfId="37295"/>
    <cellStyle name="Input 35 3 7 2" xfId="43215"/>
    <cellStyle name="Input 35 3 7 3" xfId="50049"/>
    <cellStyle name="Input 35 3 8" xfId="28622"/>
    <cellStyle name="Input 35 3 9" xfId="15929"/>
    <cellStyle name="Input 35 4" xfId="8680"/>
    <cellStyle name="Input 35 4 2" xfId="21908"/>
    <cellStyle name="Input 35 5" xfId="44482"/>
    <cellStyle name="Input 36" xfId="4653"/>
    <cellStyle name="Input 36 2" xfId="6601"/>
    <cellStyle name="Input 36 2 2" xfId="11335"/>
    <cellStyle name="Input 36 2 2 2" xfId="24563"/>
    <cellStyle name="Input 36 2 2 3" xfId="33965"/>
    <cellStyle name="Input 36 2 2 4" xfId="45030"/>
    <cellStyle name="Input 36 2 2 5" xfId="28889"/>
    <cellStyle name="Input 36 2 3" xfId="9113"/>
    <cellStyle name="Input 36 2 3 2" xfId="22341"/>
    <cellStyle name="Input 36 2 3 3" xfId="36390"/>
    <cellStyle name="Input 36 2 3 4" xfId="42283"/>
    <cellStyle name="Input 36 2 3 5" xfId="49117"/>
    <cellStyle name="Input 36 2 4" xfId="19829"/>
    <cellStyle name="Input 36 2 4 2" xfId="32044"/>
    <cellStyle name="Input 36 2 4 3" xfId="38267"/>
    <cellStyle name="Input 36 2 4 4" xfId="28772"/>
    <cellStyle name="Input 36 2 5" xfId="31646"/>
    <cellStyle name="Input 36 2 5 2" xfId="17867"/>
    <cellStyle name="Input 36 2 5 3" xfId="44190"/>
    <cellStyle name="Input 36 2 6" xfId="29653"/>
    <cellStyle name="Input 36 2 7" xfId="14597"/>
    <cellStyle name="Input 36 2 8" xfId="39187"/>
    <cellStyle name="Input 36 3" xfId="9812"/>
    <cellStyle name="Input 36 3 10" xfId="17508"/>
    <cellStyle name="Input 36 3 2" xfId="13449"/>
    <cellStyle name="Input 36 3 2 2" xfId="26677"/>
    <cellStyle name="Input 36 3 2 3" xfId="32929"/>
    <cellStyle name="Input 36 3 2 4" xfId="39149"/>
    <cellStyle name="Input 36 3 2 5" xfId="43899"/>
    <cellStyle name="Input 36 3 3" xfId="7710"/>
    <cellStyle name="Input 36 3 3 2" xfId="20938"/>
    <cellStyle name="Input 36 3 3 3" xfId="35425"/>
    <cellStyle name="Input 36 3 3 4" xfId="46147"/>
    <cellStyle name="Input 36 3 3 5" xfId="48128"/>
    <cellStyle name="Input 36 3 4" xfId="13673"/>
    <cellStyle name="Input 36 3 4 2" xfId="26901"/>
    <cellStyle name="Input 36 3 4 3" xfId="31171"/>
    <cellStyle name="Input 36 3 4 4" xfId="17088"/>
    <cellStyle name="Input 36 3 4 5" xfId="38708"/>
    <cellStyle name="Input 36 3 5" xfId="7278"/>
    <cellStyle name="Input 36 3 5 2" xfId="20506"/>
    <cellStyle name="Input 36 3 5 3" xfId="42592"/>
    <cellStyle name="Input 36 3 5 4" xfId="49426"/>
    <cellStyle name="Input 36 3 6" xfId="23040"/>
    <cellStyle name="Input 36 3 6 2" xfId="30533"/>
    <cellStyle name="Input 36 3 6 3" xfId="16829"/>
    <cellStyle name="Input 36 3 6 4" xfId="46652"/>
    <cellStyle name="Input 36 3 7" xfId="37788"/>
    <cellStyle name="Input 36 3 7 2" xfId="43712"/>
    <cellStyle name="Input 36 3 7 3" xfId="50546"/>
    <cellStyle name="Input 36 3 8" xfId="28618"/>
    <cellStyle name="Input 36 3 9" xfId="39237"/>
    <cellStyle name="Input 36 4" xfId="8676"/>
    <cellStyle name="Input 36 4 2" xfId="21904"/>
    <cellStyle name="Input 36 5" xfId="34257"/>
    <cellStyle name="Input 37" xfId="4370"/>
    <cellStyle name="Input 37 2" xfId="6592"/>
    <cellStyle name="Input 37 2 2" xfId="11326"/>
    <cellStyle name="Input 37 2 2 2" xfId="24554"/>
    <cellStyle name="Input 37 2 2 3" xfId="33956"/>
    <cellStyle name="Input 37 2 2 4" xfId="45021"/>
    <cellStyle name="Input 37 2 2 5" xfId="28863"/>
    <cellStyle name="Input 37 2 3" xfId="8272"/>
    <cellStyle name="Input 37 2 3 2" xfId="21500"/>
    <cellStyle name="Input 37 2 3 3" xfId="36381"/>
    <cellStyle name="Input 37 2 3 4" xfId="42274"/>
    <cellStyle name="Input 37 2 3 5" xfId="49108"/>
    <cellStyle name="Input 37 2 4" xfId="19820"/>
    <cellStyle name="Input 37 2 4 2" xfId="29970"/>
    <cellStyle name="Input 37 2 4 3" xfId="16484"/>
    <cellStyle name="Input 37 2 4 4" xfId="33336"/>
    <cellStyle name="Input 37 2 5" xfId="30557"/>
    <cellStyle name="Input 37 2 5 2" xfId="27768"/>
    <cellStyle name="Input 37 2 5 3" xfId="44899"/>
    <cellStyle name="Input 37 2 6" xfId="29644"/>
    <cellStyle name="Input 37 2 7" xfId="14594"/>
    <cellStyle name="Input 37 2 8" xfId="45436"/>
    <cellStyle name="Input 37 3" xfId="9807"/>
    <cellStyle name="Input 37 3 10" xfId="38460"/>
    <cellStyle name="Input 37 3 2" xfId="13444"/>
    <cellStyle name="Input 37 3 2 2" xfId="26672"/>
    <cellStyle name="Input 37 3 2 3" xfId="32924"/>
    <cellStyle name="Input 37 3 2 4" xfId="39144"/>
    <cellStyle name="Input 37 3 2 5" xfId="17900"/>
    <cellStyle name="Input 37 3 3" xfId="7708"/>
    <cellStyle name="Input 37 3 3 2" xfId="20936"/>
    <cellStyle name="Input 37 3 3 3" xfId="35420"/>
    <cellStyle name="Input 37 3 3 4" xfId="46142"/>
    <cellStyle name="Input 37 3 3 5" xfId="48123"/>
    <cellStyle name="Input 37 3 4" xfId="13080"/>
    <cellStyle name="Input 37 3 4 2" xfId="26308"/>
    <cellStyle name="Input 37 3 4 3" xfId="31166"/>
    <cellStyle name="Input 37 3 4 4" xfId="17762"/>
    <cellStyle name="Input 37 3 4 5" xfId="34538"/>
    <cellStyle name="Input 37 3 5" xfId="7358"/>
    <cellStyle name="Input 37 3 5 2" xfId="20586"/>
    <cellStyle name="Input 37 3 5 3" xfId="17865"/>
    <cellStyle name="Input 37 3 5 4" xfId="45812"/>
    <cellStyle name="Input 37 3 6" xfId="23035"/>
    <cellStyle name="Input 37 3 6 2" xfId="30658"/>
    <cellStyle name="Input 37 3 6 3" xfId="16882"/>
    <cellStyle name="Input 37 3 6 4" xfId="46639"/>
    <cellStyle name="Input 37 3 7" xfId="31487"/>
    <cellStyle name="Input 37 3 7 2" xfId="17801"/>
    <cellStyle name="Input 37 3 7 3" xfId="44604"/>
    <cellStyle name="Input 37 3 8" xfId="28613"/>
    <cellStyle name="Input 37 3 9" xfId="39324"/>
    <cellStyle name="Input 37 4" xfId="8638"/>
    <cellStyle name="Input 37 4 2" xfId="21866"/>
    <cellStyle name="Input 37 5" xfId="40299"/>
    <cellStyle name="Input 38" xfId="6162"/>
    <cellStyle name="Input 38 2" xfId="10896"/>
    <cellStyle name="Input 38 2 2" xfId="24124"/>
    <cellStyle name="Input 38 2 3" xfId="33526"/>
    <cellStyle name="Input 38 2 4" xfId="44664"/>
    <cellStyle name="Input 38 2 5" xfId="40494"/>
    <cellStyle name="Input 38 3" xfId="12848"/>
    <cellStyle name="Input 38 3 2" xfId="26076"/>
    <cellStyle name="Input 38 3 3" xfId="35952"/>
    <cellStyle name="Input 38 3 4" xfId="41845"/>
    <cellStyle name="Input 38 3 5" xfId="48679"/>
    <cellStyle name="Input 38 4" xfId="19390"/>
    <cellStyle name="Input 38 4 2" xfId="37646"/>
    <cellStyle name="Input 38 4 3" xfId="43569"/>
    <cellStyle name="Input 38 4 4" xfId="50403"/>
    <cellStyle name="Input 38 5" xfId="31677"/>
    <cellStyle name="Input 38 5 2" xfId="17358"/>
    <cellStyle name="Input 38 5 3" xfId="36905"/>
    <cellStyle name="Input 38 6" xfId="29214"/>
    <cellStyle name="Input 38 7" xfId="30195"/>
    <cellStyle name="Input 38 8" xfId="40599"/>
    <cellStyle name="Input 39" xfId="6125"/>
    <cellStyle name="Input 39 2" xfId="10859"/>
    <cellStyle name="Input 39 2 2" xfId="24087"/>
    <cellStyle name="Input 39 2 3" xfId="33489"/>
    <cellStyle name="Input 39 2 4" xfId="44627"/>
    <cellStyle name="Input 39 2 5" xfId="28218"/>
    <cellStyle name="Input 39 3" xfId="12757"/>
    <cellStyle name="Input 39 3 2" xfId="25985"/>
    <cellStyle name="Input 39 3 3" xfId="35915"/>
    <cellStyle name="Input 39 3 4" xfId="41808"/>
    <cellStyle name="Input 39 3 5" xfId="48642"/>
    <cellStyle name="Input 39 4" xfId="19353"/>
    <cellStyle name="Input 39 4 2" xfId="37545"/>
    <cellStyle name="Input 39 4 3" xfId="43466"/>
    <cellStyle name="Input 39 4 4" xfId="50300"/>
    <cellStyle name="Input 39 5" xfId="37271"/>
    <cellStyle name="Input 39 5 2" xfId="43191"/>
    <cellStyle name="Input 39 5 3" xfId="50025"/>
    <cellStyle name="Input 39 6" xfId="29177"/>
    <cellStyle name="Input 39 7" xfId="18501"/>
    <cellStyle name="Input 39 8" xfId="39629"/>
    <cellStyle name="Input 4" xfId="2227"/>
    <cellStyle name="Input 4 2" xfId="6189"/>
    <cellStyle name="Input 4 2 2" xfId="10923"/>
    <cellStyle name="Input 4 2 2 2" xfId="24151"/>
    <cellStyle name="Input 4 2 2 3" xfId="33553"/>
    <cellStyle name="Input 4 2 2 4" xfId="44691"/>
    <cellStyle name="Input 4 2 2 5" xfId="16505"/>
    <cellStyle name="Input 4 2 3" xfId="6779"/>
    <cellStyle name="Input 4 2 3 2" xfId="20007"/>
    <cellStyle name="Input 4 2 3 3" xfId="35979"/>
    <cellStyle name="Input 4 2 3 4" xfId="41872"/>
    <cellStyle name="Input 4 2 3 5" xfId="48706"/>
    <cellStyle name="Input 4 2 4" xfId="19417"/>
    <cellStyle name="Input 4 2 4 2" xfId="32067"/>
    <cellStyle name="Input 4 2 4 3" xfId="38290"/>
    <cellStyle name="Input 4 2 4 4" xfId="47071"/>
    <cellStyle name="Input 4 2 5" xfId="36479"/>
    <cellStyle name="Input 4 2 5 2" xfId="42372"/>
    <cellStyle name="Input 4 2 5 3" xfId="49206"/>
    <cellStyle name="Input 4 2 6" xfId="29241"/>
    <cellStyle name="Input 4 2 7" xfId="35548"/>
    <cellStyle name="Input 4 2 8" xfId="45448"/>
    <cellStyle name="Input 4 3" xfId="9475"/>
    <cellStyle name="Input 4 3 10" xfId="27966"/>
    <cellStyle name="Input 4 3 2" xfId="13112"/>
    <cellStyle name="Input 4 3 2 2" xfId="26340"/>
    <cellStyle name="Input 4 3 2 3" xfId="32592"/>
    <cellStyle name="Input 4 3 2 4" xfId="38812"/>
    <cellStyle name="Input 4 3 2 5" xfId="47342"/>
    <cellStyle name="Input 4 3 3" xfId="6716"/>
    <cellStyle name="Input 4 3 3 2" xfId="19944"/>
    <cellStyle name="Input 4 3 3 3" xfId="35088"/>
    <cellStyle name="Input 4 3 3 4" xfId="45882"/>
    <cellStyle name="Input 4 3 3 5" xfId="47791"/>
    <cellStyle name="Input 4 3 4" xfId="14069"/>
    <cellStyle name="Input 4 3 4 2" xfId="27297"/>
    <cellStyle name="Input 4 3 4 3" xfId="30932"/>
    <cellStyle name="Input 4 3 4 4" xfId="17002"/>
    <cellStyle name="Input 4 3 4 5" xfId="15432"/>
    <cellStyle name="Input 4 3 5" xfId="7990"/>
    <cellStyle name="Input 4 3 5 2" xfId="21218"/>
    <cellStyle name="Input 4 3 5 3" xfId="40929"/>
    <cellStyle name="Input 4 3 5 4" xfId="47625"/>
    <cellStyle name="Input 4 3 6" xfId="22703"/>
    <cellStyle name="Input 4 3 6 2" xfId="29799"/>
    <cellStyle name="Input 4 3 6 3" xfId="16343"/>
    <cellStyle name="Input 4 3 6 4" xfId="17455"/>
    <cellStyle name="Input 4 3 7" xfId="36940"/>
    <cellStyle name="Input 4 3 7 2" xfId="42856"/>
    <cellStyle name="Input 4 3 7 3" xfId="49690"/>
    <cellStyle name="Input 4 3 8" xfId="28281"/>
    <cellStyle name="Input 4 3 9" xfId="39529"/>
    <cellStyle name="Input 4 4" xfId="7645"/>
    <cellStyle name="Input 4 4 2" xfId="20873"/>
    <cellStyle name="Input 4 5" xfId="47025"/>
    <cellStyle name="Input 40" xfId="6136"/>
    <cellStyle name="Input 40 2" xfId="10870"/>
    <cellStyle name="Input 40 2 2" xfId="24098"/>
    <cellStyle name="Input 40 2 3" xfId="33500"/>
    <cellStyle name="Input 40 2 4" xfId="44638"/>
    <cellStyle name="Input 40 2 5" xfId="40560"/>
    <cellStyle name="Input 40 3" xfId="8750"/>
    <cellStyle name="Input 40 3 2" xfId="21978"/>
    <cellStyle name="Input 40 3 3" xfId="35926"/>
    <cellStyle name="Input 40 3 4" xfId="41819"/>
    <cellStyle name="Input 40 3 5" xfId="48653"/>
    <cellStyle name="Input 40 4" xfId="19364"/>
    <cellStyle name="Input 40 4 2" xfId="32143"/>
    <cellStyle name="Input 40 4 3" xfId="38368"/>
    <cellStyle name="Input 40 4 4" xfId="33363"/>
    <cellStyle name="Input 40 5" xfId="31549"/>
    <cellStyle name="Input 40 5 2" xfId="17299"/>
    <cellStyle name="Input 40 5 3" xfId="27872"/>
    <cellStyle name="Input 40 6" xfId="29188"/>
    <cellStyle name="Input 40 7" xfId="30122"/>
    <cellStyle name="Input 40 8" xfId="15427"/>
    <cellStyle name="Input 41" xfId="9448"/>
    <cellStyle name="Input 41 10" xfId="44028"/>
    <cellStyle name="Input 41 2" xfId="13085"/>
    <cellStyle name="Input 41 2 2" xfId="26313"/>
    <cellStyle name="Input 41 2 3" xfId="32565"/>
    <cellStyle name="Input 41 2 4" xfId="38785"/>
    <cellStyle name="Input 41 2 5" xfId="45771"/>
    <cellStyle name="Input 41 3" xfId="7470"/>
    <cellStyle name="Input 41 3 2" xfId="20698"/>
    <cellStyle name="Input 41 3 3" xfId="35061"/>
    <cellStyle name="Input 41 3 4" xfId="45855"/>
    <cellStyle name="Input 41 3 5" xfId="47764"/>
    <cellStyle name="Input 41 4" xfId="13498"/>
    <cellStyle name="Input 41 4 2" xfId="26726"/>
    <cellStyle name="Input 41 4 3" xfId="30901"/>
    <cellStyle name="Input 41 4 4" xfId="17987"/>
    <cellStyle name="Input 41 4 5" xfId="40484"/>
    <cellStyle name="Input 41 5" xfId="13547"/>
    <cellStyle name="Input 41 5 2" xfId="26775"/>
    <cellStyle name="Input 41 5 3" xfId="40726"/>
    <cellStyle name="Input 41 5 4" xfId="40175"/>
    <cellStyle name="Input 41 6" xfId="22676"/>
    <cellStyle name="Input 41 6 2" xfId="37464"/>
    <cellStyle name="Input 41 6 3" xfId="43384"/>
    <cellStyle name="Input 41 6 4" xfId="50218"/>
    <cellStyle name="Input 41 7" xfId="34891"/>
    <cellStyle name="Input 41 7 2" xfId="40889"/>
    <cellStyle name="Input 41 7 3" xfId="28658"/>
    <cellStyle name="Input 41 8" xfId="28254"/>
    <cellStyle name="Input 41 9" xfId="40159"/>
    <cellStyle name="Input 42" xfId="11714"/>
    <cellStyle name="Input 42 2" xfId="8331"/>
    <cellStyle name="Input 42 2 2" xfId="21559"/>
    <cellStyle name="Input 42 2 3" xfId="36583"/>
    <cellStyle name="Input 42 2 4" xfId="42485"/>
    <cellStyle name="Input 42 2 5" xfId="49319"/>
    <cellStyle name="Input 42 3" xfId="24942"/>
    <cellStyle name="Input 42 3 2" xfId="37251"/>
    <cellStyle name="Input 42 3 3" xfId="43171"/>
    <cellStyle name="Input 42 3 4" xfId="50005"/>
    <cellStyle name="Input 42 4" xfId="37857"/>
    <cellStyle name="Input 42 4 2" xfId="43782"/>
    <cellStyle name="Input 42 4 3" xfId="50616"/>
    <cellStyle name="Input 42 5" xfId="34178"/>
    <cellStyle name="Input 42 6" xfId="28875"/>
    <cellStyle name="Input 43" xfId="7618"/>
    <cellStyle name="Input 43 2" xfId="20846"/>
    <cellStyle name="Input 43 3" xfId="27746"/>
    <cellStyle name="Input 43 4" xfId="15722"/>
    <cellStyle name="Input 44" xfId="6753"/>
    <cellStyle name="Input 44 2" xfId="19981"/>
    <cellStyle name="Input 44 3" xfId="35894"/>
    <cellStyle name="Input 44 4" xfId="41787"/>
    <cellStyle name="Input 44 5" xfId="48621"/>
    <cellStyle name="Input 45" xfId="13601"/>
    <cellStyle name="Input 45 2" xfId="26829"/>
    <cellStyle name="Input 45 3" xfId="37408"/>
    <cellStyle name="Input 45 4" xfId="43328"/>
    <cellStyle name="Input 45 5" xfId="50162"/>
    <cellStyle name="Input 46" xfId="7360"/>
    <cellStyle name="Input 46 2" xfId="20588"/>
    <cellStyle name="Input 46 3" xfId="30319"/>
    <cellStyle name="Input 46 4" xfId="28024"/>
    <cellStyle name="Input 46 5" xfId="44344"/>
    <cellStyle name="Input 47" xfId="14487"/>
    <cellStyle name="Input 47 2" xfId="27715"/>
    <cellStyle name="Input 47 3" xfId="35671"/>
    <cellStyle name="Input 47 4" xfId="41551"/>
    <cellStyle name="Input 47 5" xfId="48385"/>
    <cellStyle name="Input 48" xfId="15960"/>
    <cellStyle name="Input 48 2" xfId="42640"/>
    <cellStyle name="Input 48 3" xfId="49474"/>
    <cellStyle name="Input 49" xfId="16345"/>
    <cellStyle name="Input 5" xfId="2228"/>
    <cellStyle name="Input 5 2" xfId="6190"/>
    <cellStyle name="Input 5 2 2" xfId="10924"/>
    <cellStyle name="Input 5 2 2 2" xfId="24152"/>
    <cellStyle name="Input 5 2 2 3" xfId="33554"/>
    <cellStyle name="Input 5 2 2 4" xfId="44692"/>
    <cellStyle name="Input 5 2 2 5" xfId="15439"/>
    <cellStyle name="Input 5 2 3" xfId="12778"/>
    <cellStyle name="Input 5 2 3 2" xfId="26006"/>
    <cellStyle name="Input 5 2 3 3" xfId="35980"/>
    <cellStyle name="Input 5 2 3 4" xfId="41873"/>
    <cellStyle name="Input 5 2 3 5" xfId="48707"/>
    <cellStyle name="Input 5 2 4" xfId="19418"/>
    <cellStyle name="Input 5 2 4 2" xfId="31912"/>
    <cellStyle name="Input 5 2 4 3" xfId="38134"/>
    <cellStyle name="Input 5 2 4 4" xfId="46594"/>
    <cellStyle name="Input 5 2 5" xfId="36908"/>
    <cellStyle name="Input 5 2 5 2" xfId="42823"/>
    <cellStyle name="Input 5 2 5 3" xfId="49657"/>
    <cellStyle name="Input 5 2 6" xfId="29242"/>
    <cellStyle name="Input 5 2 7" xfId="36958"/>
    <cellStyle name="Input 5 2 8" xfId="18657"/>
    <cellStyle name="Input 5 3" xfId="9476"/>
    <cellStyle name="Input 5 3 10" xfId="32264"/>
    <cellStyle name="Input 5 3 2" xfId="13113"/>
    <cellStyle name="Input 5 3 2 2" xfId="26341"/>
    <cellStyle name="Input 5 3 2 3" xfId="32593"/>
    <cellStyle name="Input 5 3 2 4" xfId="38813"/>
    <cellStyle name="Input 5 3 2 5" xfId="47534"/>
    <cellStyle name="Input 5 3 3" xfId="7472"/>
    <cellStyle name="Input 5 3 3 2" xfId="20700"/>
    <cellStyle name="Input 5 3 3 3" xfId="35089"/>
    <cellStyle name="Input 5 3 3 4" xfId="45883"/>
    <cellStyle name="Input 5 3 3 5" xfId="47792"/>
    <cellStyle name="Input 5 3 4" xfId="12939"/>
    <cellStyle name="Input 5 3 4 2" xfId="26167"/>
    <cellStyle name="Input 5 3 4 3" xfId="30933"/>
    <cellStyle name="Input 5 3 4 4" xfId="17003"/>
    <cellStyle name="Input 5 3 4 5" xfId="17511"/>
    <cellStyle name="Input 5 3 5" xfId="13717"/>
    <cellStyle name="Input 5 3 5 2" xfId="26945"/>
    <cellStyle name="Input 5 3 5 3" xfId="42847"/>
    <cellStyle name="Input 5 3 5 4" xfId="49681"/>
    <cellStyle name="Input 5 3 6" xfId="22704"/>
    <cellStyle name="Input 5 3 6 2" xfId="37208"/>
    <cellStyle name="Input 5 3 6 3" xfId="43127"/>
    <cellStyle name="Input 5 3 6 4" xfId="49961"/>
    <cellStyle name="Input 5 3 7" xfId="37680"/>
    <cellStyle name="Input 5 3 7 2" xfId="43603"/>
    <cellStyle name="Input 5 3 7 3" xfId="50437"/>
    <cellStyle name="Input 5 3 8" xfId="28282"/>
    <cellStyle name="Input 5 3 9" xfId="40508"/>
    <cellStyle name="Input 5 4" xfId="7646"/>
    <cellStyle name="Input 5 4 2" xfId="20874"/>
    <cellStyle name="Input 5 5" xfId="27931"/>
    <cellStyle name="Input 50" xfId="32304"/>
    <cellStyle name="Input 51" xfId="40334"/>
    <cellStyle name="Input 52" xfId="46223"/>
    <cellStyle name="Input 53" xfId="50885"/>
    <cellStyle name="Input 54" xfId="50901"/>
    <cellStyle name="Input 6" xfId="2229"/>
    <cellStyle name="Input 6 2" xfId="6191"/>
    <cellStyle name="Input 6 2 2" xfId="10925"/>
    <cellStyle name="Input 6 2 2 2" xfId="24153"/>
    <cellStyle name="Input 6 2 2 3" xfId="33555"/>
    <cellStyle name="Input 6 2 2 4" xfId="44693"/>
    <cellStyle name="Input 6 2 2 5" xfId="15475"/>
    <cellStyle name="Input 6 2 3" xfId="6780"/>
    <cellStyle name="Input 6 2 3 2" xfId="20008"/>
    <cellStyle name="Input 6 2 3 3" xfId="35981"/>
    <cellStyle name="Input 6 2 3 4" xfId="41874"/>
    <cellStyle name="Input 6 2 3 5" xfId="48708"/>
    <cellStyle name="Input 6 2 4" xfId="19419"/>
    <cellStyle name="Input 6 2 4 2" xfId="30238"/>
    <cellStyle name="Input 6 2 4 3" xfId="16688"/>
    <cellStyle name="Input 6 2 4 4" xfId="17715"/>
    <cellStyle name="Input 6 2 5" xfId="37633"/>
    <cellStyle name="Input 6 2 5 2" xfId="43556"/>
    <cellStyle name="Input 6 2 5 3" xfId="50390"/>
    <cellStyle name="Input 6 2 6" xfId="29243"/>
    <cellStyle name="Input 6 2 7" xfId="31613"/>
    <cellStyle name="Input 6 2 8" xfId="28215"/>
    <cellStyle name="Input 6 3" xfId="9477"/>
    <cellStyle name="Input 6 3 10" xfId="34276"/>
    <cellStyle name="Input 6 3 2" xfId="13114"/>
    <cellStyle name="Input 6 3 2 2" xfId="26342"/>
    <cellStyle name="Input 6 3 2 3" xfId="32594"/>
    <cellStyle name="Input 6 3 2 4" xfId="38814"/>
    <cellStyle name="Input 6 3 2 5" xfId="47605"/>
    <cellStyle name="Input 6 3 3" xfId="8558"/>
    <cellStyle name="Input 6 3 3 2" xfId="21786"/>
    <cellStyle name="Input 6 3 3 3" xfId="35090"/>
    <cellStyle name="Input 6 3 3 4" xfId="45884"/>
    <cellStyle name="Input 6 3 3 5" xfId="47793"/>
    <cellStyle name="Input 6 3 4" xfId="13709"/>
    <cellStyle name="Input 6 3 4 2" xfId="26937"/>
    <cellStyle name="Input 6 3 4 3" xfId="30934"/>
    <cellStyle name="Input 6 3 4 4" xfId="17004"/>
    <cellStyle name="Input 6 3 4 5" xfId="18638"/>
    <cellStyle name="Input 6 3 5" xfId="7991"/>
    <cellStyle name="Input 6 3 5 2" xfId="21219"/>
    <cellStyle name="Input 6 3 5 3" xfId="41396"/>
    <cellStyle name="Input 6 3 5 4" xfId="48230"/>
    <cellStyle name="Input 6 3 6" xfId="22705"/>
    <cellStyle name="Input 6 3 6 2" xfId="31315"/>
    <cellStyle name="Input 6 3 6 3" xfId="15233"/>
    <cellStyle name="Input 6 3 6 4" xfId="46874"/>
    <cellStyle name="Input 6 3 7" xfId="34879"/>
    <cellStyle name="Input 6 3 7 2" xfId="40877"/>
    <cellStyle name="Input 6 3 7 3" xfId="33131"/>
    <cellStyle name="Input 6 3 8" xfId="28283"/>
    <cellStyle name="Input 6 3 9" xfId="15907"/>
    <cellStyle name="Input 6 4" xfId="7647"/>
    <cellStyle name="Input 6 4 2" xfId="20875"/>
    <cellStyle name="Input 6 5" xfId="32273"/>
    <cellStyle name="Input 7" xfId="2230"/>
    <cellStyle name="Input 7 2" xfId="6192"/>
    <cellStyle name="Input 7 2 2" xfId="10926"/>
    <cellStyle name="Input 7 2 2 2" xfId="24154"/>
    <cellStyle name="Input 7 2 2 3" xfId="33556"/>
    <cellStyle name="Input 7 2 2 4" xfId="44694"/>
    <cellStyle name="Input 7 2 2 5" xfId="34530"/>
    <cellStyle name="Input 7 2 3" xfId="6781"/>
    <cellStyle name="Input 7 2 3 2" xfId="20009"/>
    <cellStyle name="Input 7 2 3 3" xfId="35982"/>
    <cellStyle name="Input 7 2 3 4" xfId="41875"/>
    <cellStyle name="Input 7 2 3 5" xfId="48709"/>
    <cellStyle name="Input 7 2 4" xfId="19420"/>
    <cellStyle name="Input 7 2 4 2" xfId="37163"/>
    <cellStyle name="Input 7 2 4 3" xfId="43082"/>
    <cellStyle name="Input 7 2 4 4" xfId="49916"/>
    <cellStyle name="Input 7 2 5" xfId="30493"/>
    <cellStyle name="Input 7 2 5 2" xfId="16814"/>
    <cellStyle name="Input 7 2 5 3" xfId="46653"/>
    <cellStyle name="Input 7 2 6" xfId="29244"/>
    <cellStyle name="Input 7 2 7" xfId="30861"/>
    <cellStyle name="Input 7 2 8" xfId="45307"/>
    <cellStyle name="Input 7 3" xfId="9478"/>
    <cellStyle name="Input 7 3 10" xfId="17387"/>
    <cellStyle name="Input 7 3 2" xfId="13115"/>
    <cellStyle name="Input 7 3 2 2" xfId="26343"/>
    <cellStyle name="Input 7 3 2 3" xfId="32595"/>
    <cellStyle name="Input 7 3 2 4" xfId="38815"/>
    <cellStyle name="Input 7 3 2 5" xfId="47209"/>
    <cellStyle name="Input 7 3 3" xfId="7474"/>
    <cellStyle name="Input 7 3 3 2" xfId="20702"/>
    <cellStyle name="Input 7 3 3 3" xfId="35091"/>
    <cellStyle name="Input 7 3 3 4" xfId="45885"/>
    <cellStyle name="Input 7 3 3 5" xfId="47794"/>
    <cellStyle name="Input 7 3 4" xfId="14281"/>
    <cellStyle name="Input 7 3 4 2" xfId="27509"/>
    <cellStyle name="Input 7 3 4 3" xfId="30935"/>
    <cellStyle name="Input 7 3 4 4" xfId="17005"/>
    <cellStyle name="Input 7 3 4 5" xfId="38483"/>
    <cellStyle name="Input 7 3 5" xfId="14349"/>
    <cellStyle name="Input 7 3 5 2" xfId="27577"/>
    <cellStyle name="Input 7 3 5 3" xfId="42609"/>
    <cellStyle name="Input 7 3 5 4" xfId="49443"/>
    <cellStyle name="Input 7 3 6" xfId="22706"/>
    <cellStyle name="Input 7 3 6 2" xfId="37339"/>
    <cellStyle name="Input 7 3 6 3" xfId="43259"/>
    <cellStyle name="Input 7 3 6 4" xfId="50093"/>
    <cellStyle name="Input 7 3 7" xfId="31225"/>
    <cellStyle name="Input 7 3 7 2" xfId="27999"/>
    <cellStyle name="Input 7 3 7 3" xfId="46750"/>
    <cellStyle name="Input 7 3 8" xfId="28284"/>
    <cellStyle name="Input 7 3 9" xfId="34272"/>
    <cellStyle name="Input 7 4" xfId="7648"/>
    <cellStyle name="Input 7 4 2" xfId="20876"/>
    <cellStyle name="Input 7 5" xfId="32465"/>
    <cellStyle name="Input 8" xfId="2231"/>
    <cellStyle name="Input 8 2" xfId="6193"/>
    <cellStyle name="Input 8 2 2" xfId="10927"/>
    <cellStyle name="Input 8 2 2 2" xfId="24155"/>
    <cellStyle name="Input 8 2 2 3" xfId="33557"/>
    <cellStyle name="Input 8 2 2 4" xfId="44695"/>
    <cellStyle name="Input 8 2 2 5" xfId="15933"/>
    <cellStyle name="Input 8 2 3" xfId="12741"/>
    <cellStyle name="Input 8 2 3 2" xfId="25969"/>
    <cellStyle name="Input 8 2 3 3" xfId="35983"/>
    <cellStyle name="Input 8 2 3 4" xfId="41876"/>
    <cellStyle name="Input 8 2 3 5" xfId="48710"/>
    <cellStyle name="Input 8 2 4" xfId="19421"/>
    <cellStyle name="Input 8 2 4 2" xfId="37702"/>
    <cellStyle name="Input 8 2 4 3" xfId="43625"/>
    <cellStyle name="Input 8 2 4 4" xfId="50459"/>
    <cellStyle name="Input 8 2 5" xfId="35019"/>
    <cellStyle name="Input 8 2 5 2" xfId="41023"/>
    <cellStyle name="Input 8 2 5 3" xfId="47719"/>
    <cellStyle name="Input 8 2 6" xfId="29245"/>
    <cellStyle name="Input 8 2 7" xfId="35886"/>
    <cellStyle name="Input 8 2 8" xfId="44301"/>
    <cellStyle name="Input 8 3" xfId="9479"/>
    <cellStyle name="Input 8 3 10" xfId="45160"/>
    <cellStyle name="Input 8 3 2" xfId="13116"/>
    <cellStyle name="Input 8 3 2 2" xfId="26344"/>
    <cellStyle name="Input 8 3 2 3" xfId="32596"/>
    <cellStyle name="Input 8 3 2 4" xfId="38816"/>
    <cellStyle name="Input 8 3 2 5" xfId="47353"/>
    <cellStyle name="Input 8 3 3" xfId="9075"/>
    <cellStyle name="Input 8 3 3 2" xfId="22303"/>
    <cellStyle name="Input 8 3 3 3" xfId="35092"/>
    <cellStyle name="Input 8 3 3 4" xfId="45886"/>
    <cellStyle name="Input 8 3 3 5" xfId="47795"/>
    <cellStyle name="Input 8 3 4" xfId="13528"/>
    <cellStyle name="Input 8 3 4 2" xfId="26756"/>
    <cellStyle name="Input 8 3 4 3" xfId="30936"/>
    <cellStyle name="Input 8 3 4 4" xfId="17006"/>
    <cellStyle name="Input 8 3 4 5" xfId="29074"/>
    <cellStyle name="Input 8 3 5" xfId="13783"/>
    <cellStyle name="Input 8 3 5 2" xfId="27011"/>
    <cellStyle name="Input 8 3 5 3" xfId="41500"/>
    <cellStyle name="Input 8 3 5 4" xfId="48334"/>
    <cellStyle name="Input 8 3 6" xfId="22707"/>
    <cellStyle name="Input 8 3 6 2" xfId="31831"/>
    <cellStyle name="Input 8 3 6 3" xfId="38052"/>
    <cellStyle name="Input 8 3 6 4" xfId="47130"/>
    <cellStyle name="Input 8 3 7" xfId="37806"/>
    <cellStyle name="Input 8 3 7 2" xfId="43730"/>
    <cellStyle name="Input 8 3 7 3" xfId="50564"/>
    <cellStyle name="Input 8 3 8" xfId="28285"/>
    <cellStyle name="Input 8 3 9" xfId="16512"/>
    <cellStyle name="Input 8 4" xfId="7649"/>
    <cellStyle name="Input 8 4 2" xfId="20877"/>
    <cellStyle name="Input 8 5" xfId="28883"/>
    <cellStyle name="Input 9" xfId="2232"/>
    <cellStyle name="Input 9 2" xfId="6194"/>
    <cellStyle name="Input 9 2 2" xfId="10928"/>
    <cellStyle name="Input 9 2 2 2" xfId="24156"/>
    <cellStyle name="Input 9 2 2 3" xfId="33558"/>
    <cellStyle name="Input 9 2 2 4" xfId="44696"/>
    <cellStyle name="Input 9 2 2 5" xfId="40568"/>
    <cellStyle name="Input 9 2 3" xfId="12843"/>
    <cellStyle name="Input 9 2 3 2" xfId="26071"/>
    <cellStyle name="Input 9 2 3 3" xfId="35984"/>
    <cellStyle name="Input 9 2 3 4" xfId="41877"/>
    <cellStyle name="Input 9 2 3 5" xfId="48711"/>
    <cellStyle name="Input 9 2 4" xfId="19422"/>
    <cellStyle name="Input 9 2 4 2" xfId="36714"/>
    <cellStyle name="Input 9 2 4 3" xfId="42619"/>
    <cellStyle name="Input 9 2 4 4" xfId="49453"/>
    <cellStyle name="Input 9 2 5" xfId="31980"/>
    <cellStyle name="Input 9 2 5 2" xfId="38203"/>
    <cellStyle name="Input 9 2 5 3" xfId="28864"/>
    <cellStyle name="Input 9 2 6" xfId="29246"/>
    <cellStyle name="Input 9 2 7" xfId="34819"/>
    <cellStyle name="Input 9 2 8" xfId="39617"/>
    <cellStyle name="Input 9 3" xfId="9480"/>
    <cellStyle name="Input 9 3 10" xfId="44027"/>
    <cellStyle name="Input 9 3 2" xfId="13117"/>
    <cellStyle name="Input 9 3 2 2" xfId="26345"/>
    <cellStyle name="Input 9 3 2 3" xfId="32597"/>
    <cellStyle name="Input 9 3 2 4" xfId="38817"/>
    <cellStyle name="Input 9 3 2 5" xfId="46942"/>
    <cellStyle name="Input 9 3 3" xfId="9150"/>
    <cellStyle name="Input 9 3 3 2" xfId="22378"/>
    <cellStyle name="Input 9 3 3 3" xfId="35093"/>
    <cellStyle name="Input 9 3 3 4" xfId="45887"/>
    <cellStyle name="Input 9 3 3 5" xfId="47796"/>
    <cellStyle name="Input 9 3 4" xfId="8708"/>
    <cellStyle name="Input 9 3 4 2" xfId="21936"/>
    <cellStyle name="Input 9 3 4 3" xfId="32149"/>
    <cellStyle name="Input 9 3 4 4" xfId="38374"/>
    <cellStyle name="Input 9 3 4 5" xfId="40319"/>
    <cellStyle name="Input 9 3 5" xfId="12673"/>
    <cellStyle name="Input 9 3 5 2" xfId="25901"/>
    <cellStyle name="Input 9 3 5 3" xfId="42691"/>
    <cellStyle name="Input 9 3 5 4" xfId="49525"/>
    <cellStyle name="Input 9 3 6" xfId="22708"/>
    <cellStyle name="Input 9 3 6 2" xfId="37054"/>
    <cellStyle name="Input 9 3 6 3" xfId="42973"/>
    <cellStyle name="Input 9 3 6 4" xfId="49807"/>
    <cellStyle name="Input 9 3 7" xfId="29860"/>
    <cellStyle name="Input 9 3 7 2" xfId="17687"/>
    <cellStyle name="Input 9 3 7 3" xfId="29985"/>
    <cellStyle name="Input 9 3 8" xfId="28286"/>
    <cellStyle name="Input 9 3 9" xfId="40158"/>
    <cellStyle name="Input 9 4" xfId="7650"/>
    <cellStyle name="Input 9 4 2" xfId="20878"/>
    <cellStyle name="Input 9 5" xfId="44240"/>
    <cellStyle name="Input Currency" xfId="53148"/>
    <cellStyle name="Input Date" xfId="53149"/>
    <cellStyle name="Input Fixed [0]" xfId="53150"/>
    <cellStyle name="Input Normal" xfId="53151"/>
    <cellStyle name="Input Other Sheet" xfId="53152"/>
    <cellStyle name="Input Percent" xfId="53153"/>
    <cellStyle name="Input Percent [2]" xfId="53154"/>
    <cellStyle name="Input Titles" xfId="53155"/>
    <cellStyle name="Input Transfer Same Sheet" xfId="53156"/>
    <cellStyle name="Input_+손익예측" xfId="53157"/>
    <cellStyle name="InputBlueFont" xfId="53158"/>
    <cellStyle name="Inputs" xfId="53159"/>
    <cellStyle name="IPIC" xfId="53160"/>
    <cellStyle name="Jun" xfId="53161"/>
    <cellStyle name="J㣤ǞCŀꁄ䬀À" xfId="53162"/>
    <cellStyle name="k" xfId="53163"/>
    <cellStyle name="Komma [0]_BINV" xfId="53164"/>
    <cellStyle name="Komma_BINV" xfId="53165"/>
    <cellStyle name="l_x0018_" xfId="53166"/>
    <cellStyle name="left" xfId="53167"/>
    <cellStyle name="Less than 5" xfId="53168"/>
    <cellStyle name="Link Currency (0)" xfId="53169"/>
    <cellStyle name="Link Currency (0) 2" xfId="53170"/>
    <cellStyle name="Link Currency (2)" xfId="53171"/>
    <cellStyle name="Link Currency (2) 2" xfId="53172"/>
    <cellStyle name="Link Units (0)" xfId="53173"/>
    <cellStyle name="Link Units (0) 2" xfId="53174"/>
    <cellStyle name="Link Units (1)" xfId="53175"/>
    <cellStyle name="Link Units (1) 2" xfId="53176"/>
    <cellStyle name="Link Units (2)" xfId="53177"/>
    <cellStyle name="Link Units (2) 2" xfId="53178"/>
    <cellStyle name="Linked Cell" xfId="2233"/>
    <cellStyle name="Linked Cell 2" xfId="2234"/>
    <cellStyle name="Linked Cell 3" xfId="53179"/>
    <cellStyle name="Matrix" xfId="53180"/>
    <cellStyle name="Millares [0]_2AV_M_M " xfId="53181"/>
    <cellStyle name="Millares_2AV_M_M " xfId="53182"/>
    <cellStyle name="Milliers [0]_Arabian Spec" xfId="53183"/>
    <cellStyle name="Milliers_Arabian Spec" xfId="53184"/>
    <cellStyle name="Model" xfId="53185"/>
    <cellStyle name="Moeda [0]_aola" xfId="53186"/>
    <cellStyle name="Moeda_aola" xfId="53187"/>
    <cellStyle name="Mon?aire [0]_Arabian Spec" xfId="53188"/>
    <cellStyle name="Mon?aire_Arabian Spec" xfId="53189"/>
    <cellStyle name="Moneda [0]_2AV_M_M " xfId="53190"/>
    <cellStyle name="Moneda_2AV_M_M " xfId="53191"/>
    <cellStyle name="NA is zero" xfId="53192"/>
    <cellStyle name="Neutral" xfId="2235"/>
    <cellStyle name="Neutral 2" xfId="2236"/>
    <cellStyle name="Neutral 3" xfId="53193"/>
    <cellStyle name="New" xfId="53194"/>
    <cellStyle name="no dec" xfId="125"/>
    <cellStyle name="Normal - Style1" xfId="126"/>
    <cellStyle name="Normal - Style1 2" xfId="53195"/>
    <cellStyle name="Normal - Style1 3" xfId="53196"/>
    <cellStyle name="Normal - Style1 4" xfId="53197"/>
    <cellStyle name="Normal - Style1 4 2" xfId="53198"/>
    <cellStyle name="Normal - Style1 5" xfId="53199"/>
    <cellStyle name="Normal - Style1_09년 02월 손익 보고 홈케어(이정택과장)" xfId="53200"/>
    <cellStyle name="Normal - Style2" xfId="53201"/>
    <cellStyle name="Normal - Style3" xfId="53202"/>
    <cellStyle name="Normal - Style4" xfId="53203"/>
    <cellStyle name="Normal - Style5" xfId="53204"/>
    <cellStyle name="Normal - Style6" xfId="53205"/>
    <cellStyle name="Normal - Style7" xfId="53206"/>
    <cellStyle name="Normal - Style8" xfId="53207"/>
    <cellStyle name="Normal [0]" xfId="53208"/>
    <cellStyle name="Normal [1]" xfId="53209"/>
    <cellStyle name="Normal [2]" xfId="53210"/>
    <cellStyle name="Normal [3]" xfId="53211"/>
    <cellStyle name="Normal 2" xfId="53212"/>
    <cellStyle name="Normal Bold" xfId="53213"/>
    <cellStyle name="Normal Pct" xfId="53214"/>
    <cellStyle name="Normal Title Blue" xfId="53215"/>
    <cellStyle name="Normal_ SG&amp;A Bridge " xfId="127"/>
    <cellStyle name="Normal1" xfId="53216"/>
    <cellStyle name="Normal1 2" xfId="53217"/>
    <cellStyle name="Normal1 2 2" xfId="53218"/>
    <cellStyle name="Normal2" xfId="53219"/>
    <cellStyle name="Normal3" xfId="53220"/>
    <cellStyle name="Normal4" xfId="53221"/>
    <cellStyle name="Normal4 2" xfId="53222"/>
    <cellStyle name="Normal4 2 2" xfId="53223"/>
    <cellStyle name="Note" xfId="2237"/>
    <cellStyle name="Note 2" xfId="5259"/>
    <cellStyle name="Note 2 10" xfId="7988"/>
    <cellStyle name="Note 2 10 2" xfId="21216"/>
    <cellStyle name="Note 2 10 3" xfId="41710"/>
    <cellStyle name="Note 2 10 4" xfId="48544"/>
    <cellStyle name="Note 2 11" xfId="18503"/>
    <cellStyle name="Note 2 12" xfId="28040"/>
    <cellStyle name="Note 2 13" xfId="33387"/>
    <cellStyle name="Note 2 14" xfId="44481"/>
    <cellStyle name="Note 2 2" xfId="6640"/>
    <cellStyle name="Note 2 2 2" xfId="11374"/>
    <cellStyle name="Note 2 2 2 2" xfId="24602"/>
    <cellStyle name="Note 2 2 2 3" xfId="34004"/>
    <cellStyle name="Note 2 2 2 4" xfId="45069"/>
    <cellStyle name="Note 2 2 2 5" xfId="28660"/>
    <cellStyle name="Note 2 2 3" xfId="8625"/>
    <cellStyle name="Note 2 2 3 2" xfId="21853"/>
    <cellStyle name="Note 2 2 3 3" xfId="36429"/>
    <cellStyle name="Note 2 2 3 4" xfId="42322"/>
    <cellStyle name="Note 2 2 3 5" xfId="49156"/>
    <cellStyle name="Note 2 2 4" xfId="19868"/>
    <cellStyle name="Note 2 2 4 2" xfId="31933"/>
    <cellStyle name="Note 2 2 4 3" xfId="38155"/>
    <cellStyle name="Note 2 2 4 4" xfId="46336"/>
    <cellStyle name="Note 2 2 5" xfId="36537"/>
    <cellStyle name="Note 2 2 5 2" xfId="42435"/>
    <cellStyle name="Note 2 2 5 3" xfId="49269"/>
    <cellStyle name="Note 2 2 6" xfId="29692"/>
    <cellStyle name="Note 2 2 7" xfId="16299"/>
    <cellStyle name="Note 2 2 8" xfId="44400"/>
    <cellStyle name="Note 2 3" xfId="6666"/>
    <cellStyle name="Note 2 3 2" xfId="11400"/>
    <cellStyle name="Note 2 3 2 2" xfId="24628"/>
    <cellStyle name="Note 2 3 2 3" xfId="34030"/>
    <cellStyle name="Note 2 3 2 4" xfId="45092"/>
    <cellStyle name="Note 2 3 2 5" xfId="33196"/>
    <cellStyle name="Note 2 3 3" xfId="8307"/>
    <cellStyle name="Note 2 3 3 2" xfId="21535"/>
    <cellStyle name="Note 2 3 3 3" xfId="36455"/>
    <cellStyle name="Note 2 3 3 4" xfId="42348"/>
    <cellStyle name="Note 2 3 3 5" xfId="49182"/>
    <cellStyle name="Note 2 3 4" xfId="19894"/>
    <cellStyle name="Note 2 3 4 2" xfId="37131"/>
    <cellStyle name="Note 2 3 4 3" xfId="43050"/>
    <cellStyle name="Note 2 3 4 4" xfId="49884"/>
    <cellStyle name="Note 2 3 5" xfId="36647"/>
    <cellStyle name="Note 2 3 5 2" xfId="42549"/>
    <cellStyle name="Note 2 3 5 3" xfId="49383"/>
    <cellStyle name="Note 2 3 6" xfId="29718"/>
    <cellStyle name="Note 2 3 7" xfId="16308"/>
    <cellStyle name="Note 2 3 8" xfId="29128"/>
    <cellStyle name="Note 2 4" xfId="6595"/>
    <cellStyle name="Note 2 4 2" xfId="11329"/>
    <cellStyle name="Note 2 4 2 2" xfId="24557"/>
    <cellStyle name="Note 2 4 2 3" xfId="33959"/>
    <cellStyle name="Note 2 4 2 4" xfId="45024"/>
    <cellStyle name="Note 2 4 2 5" xfId="39944"/>
    <cellStyle name="Note 2 4 3" xfId="8274"/>
    <cellStyle name="Note 2 4 3 2" xfId="21502"/>
    <cellStyle name="Note 2 4 3 3" xfId="36384"/>
    <cellStyle name="Note 2 4 3 4" xfId="42277"/>
    <cellStyle name="Note 2 4 3 5" xfId="49111"/>
    <cellStyle name="Note 2 4 4" xfId="19823"/>
    <cellStyle name="Note 2 4 4 2" xfId="37177"/>
    <cellStyle name="Note 2 4 4 3" xfId="43096"/>
    <cellStyle name="Note 2 4 4 4" xfId="49930"/>
    <cellStyle name="Note 2 4 5" xfId="34874"/>
    <cellStyle name="Note 2 4 5 2" xfId="40872"/>
    <cellStyle name="Note 2 4 5 3" xfId="28164"/>
    <cellStyle name="Note 2 4 6" xfId="29647"/>
    <cellStyle name="Note 2 4 7" xfId="14595"/>
    <cellStyle name="Note 2 4 8" xfId="45302"/>
    <cellStyle name="Note 2 5" xfId="6095"/>
    <cellStyle name="Note 2 5 10" xfId="45355"/>
    <cellStyle name="Note 2 5 2" xfId="12648"/>
    <cellStyle name="Note 2 5 2 2" xfId="14387"/>
    <cellStyle name="Note 2 5 2 2 2" xfId="27615"/>
    <cellStyle name="Note 2 5 2 2 3" xfId="36969"/>
    <cellStyle name="Note 2 5 2 2 4" xfId="42888"/>
    <cellStyle name="Note 2 5 2 2 5" xfId="49722"/>
    <cellStyle name="Note 2 5 2 3" xfId="25876"/>
    <cellStyle name="Note 2 5 2 3 2" xfId="37837"/>
    <cellStyle name="Note 2 5 2 3 3" xfId="43762"/>
    <cellStyle name="Note 2 5 2 3 4" xfId="50596"/>
    <cellStyle name="Note 2 5 2 4" xfId="37915"/>
    <cellStyle name="Note 2 5 2 4 2" xfId="43840"/>
    <cellStyle name="Note 2 5 2 4 3" xfId="50674"/>
    <cellStyle name="Note 2 5 2 5" xfId="34628"/>
    <cellStyle name="Note 2 5 2 6" xfId="32536"/>
    <cellStyle name="Note 2 5 3" xfId="10829"/>
    <cellStyle name="Note 2 5 3 2" xfId="24057"/>
    <cellStyle name="Note 2 5 3 3" xfId="33459"/>
    <cellStyle name="Note 2 5 3 4" xfId="39644"/>
    <cellStyle name="Note 2 5 3 5" xfId="34599"/>
    <cellStyle name="Note 2 5 4" xfId="13721"/>
    <cellStyle name="Note 2 5 4 2" xfId="26949"/>
    <cellStyle name="Note 2 5 4 3" xfId="29873"/>
    <cellStyle name="Note 2 5 4 4" xfId="18005"/>
    <cellStyle name="Note 2 5 4 5" xfId="40441"/>
    <cellStyle name="Note 2 5 5" xfId="13907"/>
    <cellStyle name="Note 2 5 5 2" xfId="27135"/>
    <cellStyle name="Note 2 5 5 3" xfId="30622"/>
    <cellStyle name="Note 2 5 5 4" xfId="16865"/>
    <cellStyle name="Note 2 5 5 5" xfId="38699"/>
    <cellStyle name="Note 2 5 6" xfId="14154"/>
    <cellStyle name="Note 2 5 6 2" xfId="27382"/>
    <cellStyle name="Note 2 5 6 3" xfId="42809"/>
    <cellStyle name="Note 2 5 6 4" xfId="49643"/>
    <cellStyle name="Note 2 5 7" xfId="37302"/>
    <cellStyle name="Note 2 5 7 2" xfId="43222"/>
    <cellStyle name="Note 2 5 7 3" xfId="50056"/>
    <cellStyle name="Note 2 5 8" xfId="29147"/>
    <cellStyle name="Note 2 5 9" xfId="34404"/>
    <cellStyle name="Note 2 6" xfId="10130"/>
    <cellStyle name="Note 2 6 2" xfId="7744"/>
    <cellStyle name="Note 2 6 2 2" xfId="20972"/>
    <cellStyle name="Note 2 6 2 3" xfId="33076"/>
    <cellStyle name="Note 2 6 2 4" xfId="44361"/>
    <cellStyle name="Note 2 6 2 5" xfId="29045"/>
    <cellStyle name="Note 2 6 3" xfId="23358"/>
    <cellStyle name="Note 2 6 3 2" xfId="35562"/>
    <cellStyle name="Note 2 6 3 3" xfId="41438"/>
    <cellStyle name="Note 2 6 3 4" xfId="48272"/>
    <cellStyle name="Note 2 6 4" xfId="36757"/>
    <cellStyle name="Note 2 6 4 2" xfId="42664"/>
    <cellStyle name="Note 2 6 4 3" xfId="49498"/>
    <cellStyle name="Note 2 6 5" xfId="31524"/>
    <cellStyle name="Note 2 6 5 2" xfId="17287"/>
    <cellStyle name="Note 2 6 5 3" xfId="46629"/>
    <cellStyle name="Note 2 6 6" xfId="28773"/>
    <cellStyle name="Note 2 6 7" xfId="30090"/>
    <cellStyle name="Note 2 6 8" xfId="45488"/>
    <cellStyle name="Note 2 7" xfId="9087"/>
    <cellStyle name="Note 2 7 2" xfId="22315"/>
    <cellStyle name="Note 2 7 3" xfId="30741"/>
    <cellStyle name="Note 2 7 4" xfId="17842"/>
    <cellStyle name="Note 2 7 5" xfId="28147"/>
    <cellStyle name="Note 2 8" xfId="12983"/>
    <cellStyle name="Note 2 8 2" xfId="26211"/>
    <cellStyle name="Note 2 8 3" xfId="31596"/>
    <cellStyle name="Note 2 8 4" xfId="17324"/>
    <cellStyle name="Note 2 8 5" xfId="44193"/>
    <cellStyle name="Note 2 9" xfId="13599"/>
    <cellStyle name="Note 2 9 2" xfId="26827"/>
    <cellStyle name="Note 2 9 3" xfId="34924"/>
    <cellStyle name="Note 2 9 4" xfId="40922"/>
    <cellStyle name="Note 2 9 5" xfId="17426"/>
    <cellStyle name="Note 3" xfId="5260"/>
    <cellStyle name="Note 3 10" xfId="14347"/>
    <cellStyle name="Note 3 10 2" xfId="27575"/>
    <cellStyle name="Note 3 10 3" xfId="43593"/>
    <cellStyle name="Note 3 10 4" xfId="50427"/>
    <cellStyle name="Note 3 11" xfId="18504"/>
    <cellStyle name="Note 3 12" xfId="28041"/>
    <cellStyle name="Note 3 13" xfId="17699"/>
    <cellStyle name="Note 3 14" xfId="45466"/>
    <cellStyle name="Note 3 2" xfId="6641"/>
    <cellStyle name="Note 3 2 2" xfId="11375"/>
    <cellStyle name="Note 3 2 2 2" xfId="24603"/>
    <cellStyle name="Note 3 2 2 3" xfId="34005"/>
    <cellStyle name="Note 3 2 2 4" xfId="45070"/>
    <cellStyle name="Note 3 2 2 5" xfId="39952"/>
    <cellStyle name="Note 3 2 3" xfId="8763"/>
    <cellStyle name="Note 3 2 3 2" xfId="21991"/>
    <cellStyle name="Note 3 2 3 3" xfId="36430"/>
    <cellStyle name="Note 3 2 3 4" xfId="42323"/>
    <cellStyle name="Note 3 2 3 5" xfId="49157"/>
    <cellStyle name="Note 3 2 4" xfId="19869"/>
    <cellStyle name="Note 3 2 4 2" xfId="31968"/>
    <cellStyle name="Note 3 2 4 3" xfId="38191"/>
    <cellStyle name="Note 3 2 4 4" xfId="39865"/>
    <cellStyle name="Note 3 2 5" xfId="30299"/>
    <cellStyle name="Note 3 2 5 2" xfId="16713"/>
    <cellStyle name="Note 3 2 5 3" xfId="18484"/>
    <cellStyle name="Note 3 2 6" xfId="29693"/>
    <cellStyle name="Note 3 2 7" xfId="16298"/>
    <cellStyle name="Note 3 2 8" xfId="45384"/>
    <cellStyle name="Note 3 3" xfId="6667"/>
    <cellStyle name="Note 3 3 2" xfId="11401"/>
    <cellStyle name="Note 3 3 2 2" xfId="24629"/>
    <cellStyle name="Note 3 3 2 3" xfId="34031"/>
    <cellStyle name="Note 3 3 2 4" xfId="45093"/>
    <cellStyle name="Note 3 3 2 5" xfId="28224"/>
    <cellStyle name="Note 3 3 3" xfId="9125"/>
    <cellStyle name="Note 3 3 3 2" xfId="22353"/>
    <cellStyle name="Note 3 3 3 3" xfId="36456"/>
    <cellStyle name="Note 3 3 3 4" xfId="42349"/>
    <cellStyle name="Note 3 3 3 5" xfId="49183"/>
    <cellStyle name="Note 3 3 4" xfId="19895"/>
    <cellStyle name="Note 3 3 4 2" xfId="36503"/>
    <cellStyle name="Note 3 3 4 3" xfId="42396"/>
    <cellStyle name="Note 3 3 4 4" xfId="49230"/>
    <cellStyle name="Note 3 3 5" xfId="37805"/>
    <cellStyle name="Note 3 3 5 2" xfId="43729"/>
    <cellStyle name="Note 3 3 5 3" xfId="50563"/>
    <cellStyle name="Note 3 3 6" xfId="29719"/>
    <cellStyle name="Note 3 3 7" xfId="17673"/>
    <cellStyle name="Note 3 3 8" xfId="32471"/>
    <cellStyle name="Note 3 4" xfId="6478"/>
    <cellStyle name="Note 3 4 2" xfId="11212"/>
    <cellStyle name="Note 3 4 2 2" xfId="24440"/>
    <cellStyle name="Note 3 4 2 3" xfId="33842"/>
    <cellStyle name="Note 3 4 2 4" xfId="44950"/>
    <cellStyle name="Note 3 4 2 5" xfId="39923"/>
    <cellStyle name="Note 3 4 3" xfId="6812"/>
    <cellStyle name="Note 3 4 3 2" xfId="20040"/>
    <cellStyle name="Note 3 4 3 3" xfId="36268"/>
    <cellStyle name="Note 3 4 3 4" xfId="42161"/>
    <cellStyle name="Note 3 4 3 5" xfId="48995"/>
    <cellStyle name="Note 3 4 4" xfId="19706"/>
    <cellStyle name="Note 3 4 4 2" xfId="32014"/>
    <cellStyle name="Note 3 4 4 3" xfId="38237"/>
    <cellStyle name="Note 3 4 4 4" xfId="47487"/>
    <cellStyle name="Note 3 4 5" xfId="37227"/>
    <cellStyle name="Note 3 4 5 2" xfId="43146"/>
    <cellStyle name="Note 3 4 5 3" xfId="49980"/>
    <cellStyle name="Note 3 4 6" xfId="29530"/>
    <cellStyle name="Note 3 4 7" xfId="16177"/>
    <cellStyle name="Note 3 4 8" xfId="45439"/>
    <cellStyle name="Note 3 5" xfId="6096"/>
    <cellStyle name="Note 3 5 10" xfId="44349"/>
    <cellStyle name="Note 3 5 2" xfId="12649"/>
    <cellStyle name="Note 3 5 2 2" xfId="14388"/>
    <cellStyle name="Note 3 5 2 2 2" xfId="27616"/>
    <cellStyle name="Note 3 5 2 2 3" xfId="36970"/>
    <cellStyle name="Note 3 5 2 2 4" xfId="42889"/>
    <cellStyle name="Note 3 5 2 2 5" xfId="49723"/>
    <cellStyle name="Note 3 5 2 3" xfId="25877"/>
    <cellStyle name="Note 3 5 2 3 2" xfId="37838"/>
    <cellStyle name="Note 3 5 2 3 3" xfId="43763"/>
    <cellStyle name="Note 3 5 2 3 4" xfId="50597"/>
    <cellStyle name="Note 3 5 2 4" xfId="37916"/>
    <cellStyle name="Note 3 5 2 4 2" xfId="43841"/>
    <cellStyle name="Note 3 5 2 4 3" xfId="50675"/>
    <cellStyle name="Note 3 5 2 5" xfId="34629"/>
    <cellStyle name="Note 3 5 2 6" xfId="15385"/>
    <cellStyle name="Note 3 5 3" xfId="10830"/>
    <cellStyle name="Note 3 5 3 2" xfId="24058"/>
    <cellStyle name="Note 3 5 3 3" xfId="33460"/>
    <cellStyle name="Note 3 5 3 4" xfId="39645"/>
    <cellStyle name="Note 3 5 3 5" xfId="29117"/>
    <cellStyle name="Note 3 5 4" xfId="13722"/>
    <cellStyle name="Note 3 5 4 2" xfId="26950"/>
    <cellStyle name="Note 3 5 4 3" xfId="32370"/>
    <cellStyle name="Note 3 5 4 4" xfId="38588"/>
    <cellStyle name="Note 3 5 4 5" xfId="38520"/>
    <cellStyle name="Note 3 5 5" xfId="7308"/>
    <cellStyle name="Note 3 5 5 2" xfId="20536"/>
    <cellStyle name="Note 3 5 5 3" xfId="35644"/>
    <cellStyle name="Note 3 5 5 4" xfId="41524"/>
    <cellStyle name="Note 3 5 5 5" xfId="48358"/>
    <cellStyle name="Note 3 5 6" xfId="12872"/>
    <cellStyle name="Note 3 5 6 2" xfId="26100"/>
    <cellStyle name="Note 3 5 6 3" xfId="43299"/>
    <cellStyle name="Note 3 5 6 4" xfId="50133"/>
    <cellStyle name="Note 3 5 7" xfId="37548"/>
    <cellStyle name="Note 3 5 7 2" xfId="43469"/>
    <cellStyle name="Note 3 5 7 3" xfId="50303"/>
    <cellStyle name="Note 3 5 8" xfId="29148"/>
    <cellStyle name="Note 3 5 9" xfId="33141"/>
    <cellStyle name="Note 3 6" xfId="10131"/>
    <cellStyle name="Note 3 6 2" xfId="7745"/>
    <cellStyle name="Note 3 6 2 2" xfId="20973"/>
    <cellStyle name="Note 3 6 2 3" xfId="33077"/>
    <cellStyle name="Note 3 6 2 4" xfId="44362"/>
    <cellStyle name="Note 3 6 2 5" xfId="39283"/>
    <cellStyle name="Note 3 6 3" xfId="23359"/>
    <cellStyle name="Note 3 6 3 2" xfId="35563"/>
    <cellStyle name="Note 3 6 3 3" xfId="41439"/>
    <cellStyle name="Note 3 6 3 4" xfId="48273"/>
    <cellStyle name="Note 3 6 4" xfId="35021"/>
    <cellStyle name="Note 3 6 4 2" xfId="41025"/>
    <cellStyle name="Note 3 6 4 3" xfId="47721"/>
    <cellStyle name="Note 3 6 5" xfId="34652"/>
    <cellStyle name="Note 3 6 5 2" xfId="40641"/>
    <cellStyle name="Note 3 6 5 3" xfId="39280"/>
    <cellStyle name="Note 3 6 6" xfId="28774"/>
    <cellStyle name="Note 3 6 7" xfId="30193"/>
    <cellStyle name="Note 3 6 8" xfId="34512"/>
    <cellStyle name="Note 3 7" xfId="9088"/>
    <cellStyle name="Note 3 7 2" xfId="22316"/>
    <cellStyle name="Note 3 7 3" xfId="34868"/>
    <cellStyle name="Note 3 7 4" xfId="40867"/>
    <cellStyle name="Note 3 7 5" xfId="29961"/>
    <cellStyle name="Note 3 8" xfId="12984"/>
    <cellStyle name="Note 3 8 2" xfId="26212"/>
    <cellStyle name="Note 3 8 3" xfId="31589"/>
    <cellStyle name="Note 3 8 4" xfId="17320"/>
    <cellStyle name="Note 3 8 5" xfId="32449"/>
    <cellStyle name="Note 3 9" xfId="14205"/>
    <cellStyle name="Note 3 9 2" xfId="27433"/>
    <cellStyle name="Note 3 9 3" xfId="29757"/>
    <cellStyle name="Note 3 9 4" xfId="16324"/>
    <cellStyle name="Note 3 9 5" xfId="45382"/>
    <cellStyle name="Note 4" xfId="5261"/>
    <cellStyle name="Note 4 10" xfId="13513"/>
    <cellStyle name="Note 4 10 2" xfId="26741"/>
    <cellStyle name="Note 4 10 3" xfId="43303"/>
    <cellStyle name="Note 4 10 4" xfId="50137"/>
    <cellStyle name="Note 4 11" xfId="18505"/>
    <cellStyle name="Note 4 12" xfId="28042"/>
    <cellStyle name="Note 4 13" xfId="40103"/>
    <cellStyle name="Note 4 14" xfId="15815"/>
    <cellStyle name="Note 4 2" xfId="6642"/>
    <cellStyle name="Note 4 2 2" xfId="11376"/>
    <cellStyle name="Note 4 2 2 2" xfId="24604"/>
    <cellStyle name="Note 4 2 2 3" xfId="34006"/>
    <cellStyle name="Note 4 2 2 4" xfId="45071"/>
    <cellStyle name="Note 4 2 2 5" xfId="17436"/>
    <cellStyle name="Note 4 2 3" xfId="8278"/>
    <cellStyle name="Note 4 2 3 2" xfId="21506"/>
    <cellStyle name="Note 4 2 3 3" xfId="36431"/>
    <cellStyle name="Note 4 2 3 4" xfId="42324"/>
    <cellStyle name="Note 4 2 3 5" xfId="49158"/>
    <cellStyle name="Note 4 2 4" xfId="19870"/>
    <cellStyle name="Note 4 2 4 2" xfId="36865"/>
    <cellStyle name="Note 4 2 4 3" xfId="42777"/>
    <cellStyle name="Note 4 2 4 4" xfId="49611"/>
    <cellStyle name="Note 4 2 5" xfId="31628"/>
    <cellStyle name="Note 4 2 5 2" xfId="17341"/>
    <cellStyle name="Note 4 2 5 3" xfId="44192"/>
    <cellStyle name="Note 4 2 6" xfId="29694"/>
    <cellStyle name="Note 4 2 7" xfId="14601"/>
    <cellStyle name="Note 4 2 8" xfId="34236"/>
    <cellStyle name="Note 4 3" xfId="6668"/>
    <cellStyle name="Note 4 3 2" xfId="11402"/>
    <cellStyle name="Note 4 3 2 2" xfId="24630"/>
    <cellStyle name="Note 4 3 2 3" xfId="34032"/>
    <cellStyle name="Note 4 3 2 4" xfId="45094"/>
    <cellStyle name="Note 4 3 2 5" xfId="39957"/>
    <cellStyle name="Note 4 3 3" xfId="9126"/>
    <cellStyle name="Note 4 3 3 2" xfId="22354"/>
    <cellStyle name="Note 4 3 3 3" xfId="36457"/>
    <cellStyle name="Note 4 3 3 4" xfId="42350"/>
    <cellStyle name="Note 4 3 3 5" xfId="49184"/>
    <cellStyle name="Note 4 3 4" xfId="19896"/>
    <cellStyle name="Note 4 3 4 2" xfId="29969"/>
    <cellStyle name="Note 4 3 4 3" xfId="16485"/>
    <cellStyle name="Note 4 3 4 4" xfId="34455"/>
    <cellStyle name="Note 4 3 5" xfId="35824"/>
    <cellStyle name="Note 4 3 5 2" xfId="41711"/>
    <cellStyle name="Note 4 3 5 3" xfId="48545"/>
    <cellStyle name="Note 4 3 6" xfId="29720"/>
    <cellStyle name="Note 4 3 7" xfId="18652"/>
    <cellStyle name="Note 4 3 8" xfId="28700"/>
    <cellStyle name="Note 4 4" xfId="6479"/>
    <cellStyle name="Note 4 4 2" xfId="11213"/>
    <cellStyle name="Note 4 4 2 2" xfId="24441"/>
    <cellStyle name="Note 4 4 2 3" xfId="33843"/>
    <cellStyle name="Note 4 4 2 4" xfId="44951"/>
    <cellStyle name="Note 4 4 2 5" xfId="39482"/>
    <cellStyle name="Note 4 4 3" xfId="8196"/>
    <cellStyle name="Note 4 4 3 2" xfId="21424"/>
    <cellStyle name="Note 4 4 3 3" xfId="36269"/>
    <cellStyle name="Note 4 4 3 4" xfId="42162"/>
    <cellStyle name="Note 4 4 3 5" xfId="48996"/>
    <cellStyle name="Note 4 4 4" xfId="19707"/>
    <cellStyle name="Note 4 4 4 2" xfId="37362"/>
    <cellStyle name="Note 4 4 4 3" xfId="43282"/>
    <cellStyle name="Note 4 4 4 4" xfId="50116"/>
    <cellStyle name="Note 4 4 5" xfId="36748"/>
    <cellStyle name="Note 4 4 5 2" xfId="42655"/>
    <cellStyle name="Note 4 4 5 3" xfId="49489"/>
    <cellStyle name="Note 4 4 6" xfId="29531"/>
    <cellStyle name="Note 4 4 7" xfId="16178"/>
    <cellStyle name="Note 4 4 8" xfId="40437"/>
    <cellStyle name="Note 4 5" xfId="6097"/>
    <cellStyle name="Note 4 5 10" xfId="33012"/>
    <cellStyle name="Note 4 5 2" xfId="12650"/>
    <cellStyle name="Note 4 5 2 2" xfId="14389"/>
    <cellStyle name="Note 4 5 2 2 2" xfId="27617"/>
    <cellStyle name="Note 4 5 2 2 3" xfId="36971"/>
    <cellStyle name="Note 4 5 2 2 4" xfId="42890"/>
    <cellStyle name="Note 4 5 2 2 5" xfId="49724"/>
    <cellStyle name="Note 4 5 2 3" xfId="25878"/>
    <cellStyle name="Note 4 5 2 3 2" xfId="37839"/>
    <cellStyle name="Note 4 5 2 3 3" xfId="43764"/>
    <cellStyle name="Note 4 5 2 3 4" xfId="50598"/>
    <cellStyle name="Note 4 5 2 4" xfId="37917"/>
    <cellStyle name="Note 4 5 2 4 2" xfId="43842"/>
    <cellStyle name="Note 4 5 2 4 3" xfId="50676"/>
    <cellStyle name="Note 4 5 2 5" xfId="34630"/>
    <cellStyle name="Note 4 5 2 6" xfId="40607"/>
    <cellStyle name="Note 4 5 3" xfId="10831"/>
    <cellStyle name="Note 4 5 3 2" xfId="24059"/>
    <cellStyle name="Note 4 5 3 3" xfId="33461"/>
    <cellStyle name="Note 4 5 3 4" xfId="39646"/>
    <cellStyle name="Note 4 5 3 5" xfId="27946"/>
    <cellStyle name="Note 4 5 4" xfId="13723"/>
    <cellStyle name="Note 4 5 4 2" xfId="26951"/>
    <cellStyle name="Note 4 5 4 3" xfId="32371"/>
    <cellStyle name="Note 4 5 4 4" xfId="38589"/>
    <cellStyle name="Note 4 5 4 5" xfId="34387"/>
    <cellStyle name="Note 4 5 5" xfId="13908"/>
    <cellStyle name="Note 4 5 5 2" xfId="27136"/>
    <cellStyle name="Note 4 5 5 3" xfId="30465"/>
    <cellStyle name="Note 4 5 5 4" xfId="17826"/>
    <cellStyle name="Note 4 5 5 5" xfId="17586"/>
    <cellStyle name="Note 4 5 6" xfId="14164"/>
    <cellStyle name="Note 4 5 6 2" xfId="27392"/>
    <cellStyle name="Note 4 5 6 3" xfId="38364"/>
    <cellStyle name="Note 4 5 6 4" xfId="38711"/>
    <cellStyle name="Note 4 5 7" xfId="30256"/>
    <cellStyle name="Note 4 5 7 2" xfId="16702"/>
    <cellStyle name="Note 4 5 7 3" xfId="32287"/>
    <cellStyle name="Note 4 5 8" xfId="29149"/>
    <cellStyle name="Note 4 5 9" xfId="28174"/>
    <cellStyle name="Note 4 6" xfId="10132"/>
    <cellStyle name="Note 4 6 2" xfId="7746"/>
    <cellStyle name="Note 4 6 2 2" xfId="20974"/>
    <cellStyle name="Note 4 6 2 3" xfId="33078"/>
    <cellStyle name="Note 4 6 2 4" xfId="44363"/>
    <cellStyle name="Note 4 6 2 5" xfId="40364"/>
    <cellStyle name="Note 4 6 3" xfId="23360"/>
    <cellStyle name="Note 4 6 3 2" xfId="35564"/>
    <cellStyle name="Note 4 6 3 3" xfId="41440"/>
    <cellStyle name="Note 4 6 3 4" xfId="48274"/>
    <cellStyle name="Note 4 6 4" xfId="30628"/>
    <cellStyle name="Note 4 6 4 2" xfId="15203"/>
    <cellStyle name="Note 4 6 4 3" xfId="45759"/>
    <cellStyle name="Note 4 6 5" xfId="37184"/>
    <cellStyle name="Note 4 6 5 2" xfId="43103"/>
    <cellStyle name="Note 4 6 5 3" xfId="49937"/>
    <cellStyle name="Note 4 6 6" xfId="28775"/>
    <cellStyle name="Note 4 6 7" xfId="34936"/>
    <cellStyle name="Note 4 6 8" xfId="32208"/>
    <cellStyle name="Note 4 7" xfId="9089"/>
    <cellStyle name="Note 4 7 2" xfId="22317"/>
    <cellStyle name="Note 4 7 3" xfId="31812"/>
    <cellStyle name="Note 4 7 4" xfId="38033"/>
    <cellStyle name="Note 4 7 5" xfId="44174"/>
    <cellStyle name="Note 4 8" xfId="12985"/>
    <cellStyle name="Note 4 8 2" xfId="26213"/>
    <cellStyle name="Note 4 8 3" xfId="31280"/>
    <cellStyle name="Note 4 8 4" xfId="17170"/>
    <cellStyle name="Note 4 8 5" xfId="39837"/>
    <cellStyle name="Note 4 9" xfId="13063"/>
    <cellStyle name="Note 4 9 2" xfId="26291"/>
    <cellStyle name="Note 4 9 3" xfId="37047"/>
    <cellStyle name="Note 4 9 4" xfId="42966"/>
    <cellStyle name="Note 4 9 5" xfId="49800"/>
    <cellStyle name="Note 5" xfId="6195"/>
    <cellStyle name="Note 5 2" xfId="10929"/>
    <cellStyle name="Note 5 2 2" xfId="24157"/>
    <cellStyle name="Note 5 2 3" xfId="33559"/>
    <cellStyle name="Note 5 2 4" xfId="44697"/>
    <cellStyle name="Note 5 2 5" xfId="39585"/>
    <cellStyle name="Note 5 3" xfId="12742"/>
    <cellStyle name="Note 5 3 2" xfId="25970"/>
    <cellStyle name="Note 5 3 3" xfId="35985"/>
    <cellStyle name="Note 5 3 4" xfId="41878"/>
    <cellStyle name="Note 5 3 5" xfId="48712"/>
    <cellStyle name="Note 5 4" xfId="19423"/>
    <cellStyle name="Note 5 4 2" xfId="30575"/>
    <cellStyle name="Note 5 4 3" xfId="18030"/>
    <cellStyle name="Note 5 4 4" xfId="15607"/>
    <cellStyle name="Note 5 5" xfId="36513"/>
    <cellStyle name="Note 5 5 2" xfId="42406"/>
    <cellStyle name="Note 5 5 3" xfId="49240"/>
    <cellStyle name="Note 5 6" xfId="29247"/>
    <cellStyle name="Note 5 7" xfId="37829"/>
    <cellStyle name="Note 5 8" xfId="44539"/>
    <cellStyle name="Note 6" xfId="7655"/>
    <cellStyle name="Note 6 2" xfId="20883"/>
    <cellStyle name="Note 7" xfId="47367"/>
    <cellStyle name="NPPESalesPct" xfId="53224"/>
    <cellStyle name="NUM_" xfId="53225"/>
    <cellStyle name="Number" xfId="53226"/>
    <cellStyle name="NWI%S" xfId="53227"/>
    <cellStyle name="Œ…‹æØ‚è [0.00]_laroux" xfId="53228"/>
    <cellStyle name="Œ…‹æØ‚è_laroux" xfId="53229"/>
    <cellStyle name="Option" xfId="53230"/>
    <cellStyle name="OptionHeading" xfId="53231"/>
    <cellStyle name="Ordering Number" xfId="53232"/>
    <cellStyle name="Output" xfId="2238"/>
    <cellStyle name="Output 2" xfId="2239"/>
    <cellStyle name="Output 2 2" xfId="6197"/>
    <cellStyle name="Output 2 2 10" xfId="28750"/>
    <cellStyle name="Output 2 2 2" xfId="10931"/>
    <cellStyle name="Output 2 2 2 2" xfId="24159"/>
    <cellStyle name="Output 2 2 2 3" xfId="33561"/>
    <cellStyle name="Output 2 2 2 4" xfId="39724"/>
    <cellStyle name="Output 2 2 2 5" xfId="39373"/>
    <cellStyle name="Output 2 2 3" xfId="8055"/>
    <cellStyle name="Output 2 2 3 2" xfId="21283"/>
    <cellStyle name="Output 2 2 3 3" xfId="35987"/>
    <cellStyle name="Output 2 2 3 4" xfId="41880"/>
    <cellStyle name="Output 2 2 3 5" xfId="48714"/>
    <cellStyle name="Output 2 2 4" xfId="19425"/>
    <cellStyle name="Output 2 2 4 2" xfId="31410"/>
    <cellStyle name="Output 2 2 4 3" xfId="17854"/>
    <cellStyle name="Output 2 2 4 4" xfId="34436"/>
    <cellStyle name="Output 2 2 5" xfId="36548"/>
    <cellStyle name="Output 2 2 5 2" xfId="42446"/>
    <cellStyle name="Output 2 2 5 3" xfId="49280"/>
    <cellStyle name="Output 2 2 6" xfId="37394"/>
    <cellStyle name="Output 2 2 6 2" xfId="43314"/>
    <cellStyle name="Output 2 2 6 3" xfId="50148"/>
    <cellStyle name="Output 2 2 6 4" xfId="51257"/>
    <cellStyle name="Output 2 2 7" xfId="36951"/>
    <cellStyle name="Output 2 2 7 2" xfId="42869"/>
    <cellStyle name="Output 2 2 7 3" xfId="49703"/>
    <cellStyle name="Output 2 2 7 4" xfId="51258"/>
    <cellStyle name="Output 2 2 8" xfId="29249"/>
    <cellStyle name="Output 2 2 9" xfId="31688"/>
    <cellStyle name="Output 2 3" xfId="5714"/>
    <cellStyle name="Output 2 3 10" xfId="44589"/>
    <cellStyle name="Output 2 3 2" xfId="10448"/>
    <cellStyle name="Output 2 3 2 2" xfId="23676"/>
    <cellStyle name="Output 2 3 2 3" xfId="33228"/>
    <cellStyle name="Output 2 3 2 4" xfId="39442"/>
    <cellStyle name="Output 2 3 2 5" xfId="46919"/>
    <cellStyle name="Output 2 3 3" xfId="7914"/>
    <cellStyle name="Output 2 3 3 2" xfId="21142"/>
    <cellStyle name="Output 2 3 3 3" xfId="35709"/>
    <cellStyle name="Output 2 3 3 4" xfId="41593"/>
    <cellStyle name="Output 2 3 3 5" xfId="48427"/>
    <cellStyle name="Output 2 3 4" xfId="18953"/>
    <cellStyle name="Output 2 3 4 2" xfId="31325"/>
    <cellStyle name="Output 2 3 4 3" xfId="17199"/>
    <cellStyle name="Output 2 3 4 4" xfId="45788"/>
    <cellStyle name="Output 2 3 5" xfId="30091"/>
    <cellStyle name="Output 2 3 5 2" xfId="16571"/>
    <cellStyle name="Output 2 3 5 3" xfId="39323"/>
    <cellStyle name="Output 2 3 6" xfId="35055"/>
    <cellStyle name="Output 2 3 6 2" xfId="41062"/>
    <cellStyle name="Output 2 3 6 3" xfId="47758"/>
    <cellStyle name="Output 2 3 6 4" xfId="51259"/>
    <cellStyle name="Output 2 3 7" xfId="30807"/>
    <cellStyle name="Output 2 3 7 2" xfId="18039"/>
    <cellStyle name="Output 2 3 7 3" xfId="29984"/>
    <cellStyle name="Output 2 3 7 4" xfId="51260"/>
    <cellStyle name="Output 2 3 8" xfId="28925"/>
    <cellStyle name="Output 2 3 9" xfId="15865"/>
    <cellStyle name="Output 2 4" xfId="9482"/>
    <cellStyle name="Output 2 4 10" xfId="44428"/>
    <cellStyle name="Output 2 4 2" xfId="13119"/>
    <cellStyle name="Output 2 4 2 2" xfId="26347"/>
    <cellStyle name="Output 2 4 2 3" xfId="32599"/>
    <cellStyle name="Output 2 4 2 4" xfId="38819"/>
    <cellStyle name="Output 2 4 2 5" xfId="17459"/>
    <cellStyle name="Output 2 4 3" xfId="14177"/>
    <cellStyle name="Output 2 4 3 2" xfId="27405"/>
    <cellStyle name="Output 2 4 3 3" xfId="35095"/>
    <cellStyle name="Output 2 4 3 4" xfId="41081"/>
    <cellStyle name="Output 2 4 3 5" xfId="47798"/>
    <cellStyle name="Output 2 4 4" xfId="14314"/>
    <cellStyle name="Output 2 4 4 2" xfId="27542"/>
    <cellStyle name="Output 2 4 4 3" xfId="30939"/>
    <cellStyle name="Output 2 4 4 4" xfId="17009"/>
    <cellStyle name="Output 2 4 4 5" xfId="40307"/>
    <cellStyle name="Output 2 4 5" xfId="22710"/>
    <cellStyle name="Output 2 4 5 2" xfId="36515"/>
    <cellStyle name="Output 2 4 5 3" xfId="42408"/>
    <cellStyle name="Output 2 4 5 4" xfId="49242"/>
    <cellStyle name="Output 2 4 6" xfId="29871"/>
    <cellStyle name="Output 2 4 6 2" xfId="18126"/>
    <cellStyle name="Output 2 4 6 3" xfId="45336"/>
    <cellStyle name="Output 2 4 7" xfId="31702"/>
    <cellStyle name="Output 2 4 7 2" xfId="27987"/>
    <cellStyle name="Output 2 4 7 3" xfId="44184"/>
    <cellStyle name="Output 2 4 7 4" xfId="51261"/>
    <cellStyle name="Output 2 4 8" xfId="28288"/>
    <cellStyle name="Output 2 4 9" xfId="29098"/>
    <cellStyle name="Output 2 5" xfId="7657"/>
    <cellStyle name="Output 2 5 2" xfId="20885"/>
    <cellStyle name="Output 2 6" xfId="39301"/>
    <cellStyle name="Output 3" xfId="6196"/>
    <cellStyle name="Output 3 10" xfId="45509"/>
    <cellStyle name="Output 3 2" xfId="10930"/>
    <cellStyle name="Output 3 2 2" xfId="24158"/>
    <cellStyle name="Output 3 2 3" xfId="33560"/>
    <cellStyle name="Output 3 2 4" xfId="39723"/>
    <cellStyle name="Output 3 2 5" xfId="33446"/>
    <cellStyle name="Output 3 3" xfId="8054"/>
    <cellStyle name="Output 3 3 2" xfId="21282"/>
    <cellStyle name="Output 3 3 3" xfId="35986"/>
    <cellStyle name="Output 3 3 4" xfId="41879"/>
    <cellStyle name="Output 3 3 5" xfId="48713"/>
    <cellStyle name="Output 3 4" xfId="19424"/>
    <cellStyle name="Output 3 4 2" xfId="32167"/>
    <cellStyle name="Output 3 4 3" xfId="38392"/>
    <cellStyle name="Output 3 4 4" xfId="47356"/>
    <cellStyle name="Output 3 5" xfId="34726"/>
    <cellStyle name="Output 3 5 2" xfId="40716"/>
    <cellStyle name="Output 3 5 3" xfId="39609"/>
    <cellStyle name="Output 3 6" xfId="31221"/>
    <cellStyle name="Output 3 6 2" xfId="17126"/>
    <cellStyle name="Output 3 6 3" xfId="46674"/>
    <cellStyle name="Output 3 6 4" xfId="51262"/>
    <cellStyle name="Output 3 7" xfId="37602"/>
    <cellStyle name="Output 3 7 2" xfId="43525"/>
    <cellStyle name="Output 3 7 3" xfId="50359"/>
    <cellStyle name="Output 3 7 4" xfId="51263"/>
    <cellStyle name="Output 3 8" xfId="29248"/>
    <cellStyle name="Output 3 9" xfId="37612"/>
    <cellStyle name="Output 4" xfId="5713"/>
    <cellStyle name="Output 4 10" xfId="40603"/>
    <cellStyle name="Output 4 2" xfId="10447"/>
    <cellStyle name="Output 4 2 2" xfId="23675"/>
    <cellStyle name="Output 4 2 3" xfId="33227"/>
    <cellStyle name="Output 4 2 4" xfId="39441"/>
    <cellStyle name="Output 4 2 5" xfId="17906"/>
    <cellStyle name="Output 4 3" xfId="6840"/>
    <cellStyle name="Output 4 3 2" xfId="20068"/>
    <cellStyle name="Output 4 3 3" xfId="35708"/>
    <cellStyle name="Output 4 3 4" xfId="41592"/>
    <cellStyle name="Output 4 3 5" xfId="48426"/>
    <cellStyle name="Output 4 4" xfId="18952"/>
    <cellStyle name="Output 4 4 2" xfId="29863"/>
    <cellStyle name="Output 4 4 3" xfId="14769"/>
    <cellStyle name="Output 4 4 4" xfId="15738"/>
    <cellStyle name="Output 4 5" xfId="31538"/>
    <cellStyle name="Output 4 5 2" xfId="15134"/>
    <cellStyle name="Output 4 5 3" xfId="47424"/>
    <cellStyle name="Output 4 6" xfId="30720"/>
    <cellStyle name="Output 4 6 2" xfId="16907"/>
    <cellStyle name="Output 4 6 3" xfId="27930"/>
    <cellStyle name="Output 4 6 4" xfId="51264"/>
    <cellStyle name="Output 4 7" xfId="35705"/>
    <cellStyle name="Output 4 7 2" xfId="41589"/>
    <cellStyle name="Output 4 7 3" xfId="48423"/>
    <cellStyle name="Output 4 7 4" xfId="51265"/>
    <cellStyle name="Output 4 8" xfId="28924"/>
    <cellStyle name="Output 4 9" xfId="15864"/>
    <cellStyle name="Output 5" xfId="9481"/>
    <cellStyle name="Output 5 10" xfId="14512"/>
    <cellStyle name="Output 5 2" xfId="13118"/>
    <cellStyle name="Output 5 2 2" xfId="26346"/>
    <cellStyle name="Output 5 2 3" xfId="32598"/>
    <cellStyle name="Output 5 2 4" xfId="38818"/>
    <cellStyle name="Output 5 2 5" xfId="34258"/>
    <cellStyle name="Output 5 3" xfId="14100"/>
    <cellStyle name="Output 5 3 2" xfId="27328"/>
    <cellStyle name="Output 5 3 3" xfId="35094"/>
    <cellStyle name="Output 5 3 4" xfId="41080"/>
    <cellStyle name="Output 5 3 5" xfId="47797"/>
    <cellStyle name="Output 5 4" xfId="6758"/>
    <cellStyle name="Output 5 4 2" xfId="19986"/>
    <cellStyle name="Output 5 4 3" xfId="30937"/>
    <cellStyle name="Output 5 4 4" xfId="17007"/>
    <cellStyle name="Output 5 4 5" xfId="32989"/>
    <cellStyle name="Output 5 5" xfId="22709"/>
    <cellStyle name="Output 5 5 2" xfId="34975"/>
    <cellStyle name="Output 5 5 3" xfId="40973"/>
    <cellStyle name="Output 5 5 4" xfId="47669"/>
    <cellStyle name="Output 5 6" xfId="30715"/>
    <cellStyle name="Output 5 6 2" xfId="16904"/>
    <cellStyle name="Output 5 6 3" xfId="15505"/>
    <cellStyle name="Output 5 7" xfId="37721"/>
    <cellStyle name="Output 5 7 2" xfId="43644"/>
    <cellStyle name="Output 5 7 3" xfId="50478"/>
    <cellStyle name="Output 5 7 4" xfId="51266"/>
    <cellStyle name="Output 5 8" xfId="28287"/>
    <cellStyle name="Output 5 9" xfId="38737"/>
    <cellStyle name="Output 6" xfId="7656"/>
    <cellStyle name="Output 6 2" xfId="20884"/>
    <cellStyle name="Output 7" xfId="46977"/>
    <cellStyle name="p/n" xfId="53233"/>
    <cellStyle name="pc1" xfId="53234"/>
    <cellStyle name="Percent" xfId="53235"/>
    <cellStyle name="Percent (0)" xfId="53236"/>
    <cellStyle name="Percent [0]" xfId="53237"/>
    <cellStyle name="Percent [0] 2" xfId="53238"/>
    <cellStyle name="Percent [00]" xfId="53239"/>
    <cellStyle name="Percent [00] 2" xfId="53240"/>
    <cellStyle name="Percent [1]" xfId="53241"/>
    <cellStyle name="Percent [2]" xfId="128"/>
    <cellStyle name="Percent 2" xfId="53242"/>
    <cellStyle name="Percent_#6 Temps &amp; Contractors" xfId="53243"/>
    <cellStyle name="PercentSales" xfId="53244"/>
    <cellStyle name="PrePop Currency (0)" xfId="53245"/>
    <cellStyle name="PrePop Currency (0) 2" xfId="53246"/>
    <cellStyle name="PrePop Currency (2)" xfId="53247"/>
    <cellStyle name="PrePop Currency (2) 2" xfId="53248"/>
    <cellStyle name="PrePop Units (0)" xfId="53249"/>
    <cellStyle name="PrePop Units (0) 2" xfId="53250"/>
    <cellStyle name="PrePop Units (1)" xfId="53251"/>
    <cellStyle name="PrePop Units (1) 2" xfId="53252"/>
    <cellStyle name="PrePop Units (2)" xfId="53253"/>
    <cellStyle name="PrePop Units (2) 2" xfId="53254"/>
    <cellStyle name="Price" xfId="53255"/>
    <cellStyle name="Prices" xfId="53256"/>
    <cellStyle name="Procent_BINV" xfId="53257"/>
    <cellStyle name="PSChar" xfId="53258"/>
    <cellStyle name="PSDate" xfId="53259"/>
    <cellStyle name="PSDec" xfId="53260"/>
    <cellStyle name="PSHeading" xfId="53261"/>
    <cellStyle name="PSInt" xfId="53262"/>
    <cellStyle name="PSSpacer" xfId="53263"/>
    <cellStyle name="R_TITLE" xfId="53264"/>
    <cellStyle name="Red font" xfId="53265"/>
    <cellStyle name="Result" xfId="129"/>
    <cellStyle name="Result2" xfId="130"/>
    <cellStyle name="RevList" xfId="53266"/>
    <cellStyle name="s]_x000d__x000a_run=c:\Hedgehog\app31.exe_x000d__x000a_spooler=yes_x000d__x000a_load=_x000d__x000a_run=_x000d__x000a_Beep=yes_x000d__x000a_NullPort=None_x000d__x000a_BorderWidth=3_x000d__x000a_CursorBlinkRate=530_x000d__x000a_D" xfId="53267"/>
    <cellStyle name="s]_x000d__x000a_spooler=yes_x000d__x000a_load=_x000d__x000a_run=_x000d__x000a_Beep=yes_x000d__x000a_NullPort=None_x000d__x000a_BorderWidth=3_x000d__x000a_CursorBlinkRate=530_x000d__x000a_DoubleClickSpeed=452_x000d__x000a_Progra" xfId="53268"/>
    <cellStyle name="SAPBEXaggData" xfId="53269"/>
    <cellStyle name="SAPBEXaggData 2" xfId="53270"/>
    <cellStyle name="SAPBEXaggData 3" xfId="53271"/>
    <cellStyle name="SAPBEXaggData 3 2" xfId="53272"/>
    <cellStyle name="SAPBEXaggData 4" xfId="53273"/>
    <cellStyle name="SAPBEXaggDataEmph" xfId="53274"/>
    <cellStyle name="SAPBEXaggItem" xfId="53275"/>
    <cellStyle name="SAPBEXaggItemX" xfId="53276"/>
    <cellStyle name="SAPBEXchaText" xfId="53277"/>
    <cellStyle name="SAPBEXchaText 2" xfId="53278"/>
    <cellStyle name="SAPBEXchaText 3" xfId="53279"/>
    <cellStyle name="SAPBEXchaText 4" xfId="53280"/>
    <cellStyle name="SAPBEXchaText 5" xfId="53281"/>
    <cellStyle name="SAPBEXchaText 5 2" xfId="53282"/>
    <cellStyle name="SAPBEXchaText 6" xfId="53283"/>
    <cellStyle name="SAPBEXchaText 7" xfId="53284"/>
    <cellStyle name="SAPBEXexcBad7" xfId="53285"/>
    <cellStyle name="SAPBEXexcBad8" xfId="53286"/>
    <cellStyle name="SAPBEXexcBad9" xfId="53287"/>
    <cellStyle name="SAPBEXexcCritical4" xfId="53288"/>
    <cellStyle name="SAPBEXexcCritical5" xfId="53289"/>
    <cellStyle name="SAPBEXexcCritical6" xfId="53290"/>
    <cellStyle name="SAPBEXexcGood1" xfId="53291"/>
    <cellStyle name="SAPBEXexcGood2" xfId="53292"/>
    <cellStyle name="SAPBEXexcGood3" xfId="53293"/>
    <cellStyle name="SAPBEXfilterDrill" xfId="53294"/>
    <cellStyle name="SAPBEXfilterItem" xfId="53295"/>
    <cellStyle name="SAPBEXfilterText" xfId="53296"/>
    <cellStyle name="SAPBEXfilterText 2" xfId="53297"/>
    <cellStyle name="SAPBEXfilterText 3" xfId="53298"/>
    <cellStyle name="SAPBEXfilterText 4" xfId="53299"/>
    <cellStyle name="SAPBEXformats" xfId="53300"/>
    <cellStyle name="SAPBEXformats 2" xfId="53301"/>
    <cellStyle name="SAPBEXformats 3" xfId="53302"/>
    <cellStyle name="SAPBEXformats 4" xfId="53303"/>
    <cellStyle name="SAPBEXheaderItem" xfId="53304"/>
    <cellStyle name="SAPBEXheaderItem 2" xfId="53305"/>
    <cellStyle name="SAPBEXheaderItem 3" xfId="53306"/>
    <cellStyle name="SAPBEXheaderItem 4" xfId="53307"/>
    <cellStyle name="SAPBEXheaderText" xfId="53308"/>
    <cellStyle name="SAPBEXheaderText 2" xfId="53309"/>
    <cellStyle name="SAPBEXheaderText 3" xfId="53310"/>
    <cellStyle name="SAPBEXheaderText 4" xfId="53311"/>
    <cellStyle name="SAPBEXHLevel0" xfId="53312"/>
    <cellStyle name="SAPBEXHLevel0 2" xfId="53313"/>
    <cellStyle name="SAPBEXHLevel0 3" xfId="53314"/>
    <cellStyle name="SAPBEXHLevel0 4" xfId="53315"/>
    <cellStyle name="SAPBEXHLevel0X" xfId="53316"/>
    <cellStyle name="SAPBEXHLevel0X 2" xfId="53317"/>
    <cellStyle name="SAPBEXHLevel0X 3" xfId="53318"/>
    <cellStyle name="SAPBEXHLevel0X 4" xfId="53319"/>
    <cellStyle name="SAPBEXHLevel1" xfId="53320"/>
    <cellStyle name="SAPBEXHLevel1 2" xfId="53321"/>
    <cellStyle name="SAPBEXHLevel1 3" xfId="53322"/>
    <cellStyle name="SAPBEXHLevel1 4" xfId="53323"/>
    <cellStyle name="SAPBEXHLevel1X" xfId="53324"/>
    <cellStyle name="SAPBEXHLevel1X 2" xfId="53325"/>
    <cellStyle name="SAPBEXHLevel1X 3" xfId="53326"/>
    <cellStyle name="SAPBEXHLevel1X 4" xfId="53327"/>
    <cellStyle name="SAPBEXHLevel2" xfId="53328"/>
    <cellStyle name="SAPBEXHLevel2 2" xfId="53329"/>
    <cellStyle name="SAPBEXHLevel2 3" xfId="53330"/>
    <cellStyle name="SAPBEXHLevel2 4" xfId="53331"/>
    <cellStyle name="SAPBEXHLevel2X" xfId="53332"/>
    <cellStyle name="SAPBEXHLevel2X 2" xfId="53333"/>
    <cellStyle name="SAPBEXHLevel2X 3" xfId="53334"/>
    <cellStyle name="SAPBEXHLevel2X 4" xfId="53335"/>
    <cellStyle name="SAPBEXHLevel3" xfId="53336"/>
    <cellStyle name="SAPBEXHLevel3 2" xfId="53337"/>
    <cellStyle name="SAPBEXHLevel3 3" xfId="53338"/>
    <cellStyle name="SAPBEXHLevel3 4" xfId="53339"/>
    <cellStyle name="SAPBEXHLevel3X" xfId="53340"/>
    <cellStyle name="SAPBEXHLevel3X 2" xfId="53341"/>
    <cellStyle name="SAPBEXHLevel3X 3" xfId="53342"/>
    <cellStyle name="SAPBEXHLevel3X 4" xfId="53343"/>
    <cellStyle name="SAPBEXItemHeader" xfId="53344"/>
    <cellStyle name="SAPBEXresData" xfId="53345"/>
    <cellStyle name="SAPBEXresDataEmph" xfId="53346"/>
    <cellStyle name="SAPBEXresItem" xfId="53347"/>
    <cellStyle name="SAPBEXresItemX" xfId="53348"/>
    <cellStyle name="SAPBEXstdData" xfId="53349"/>
    <cellStyle name="SAPBEXstdData 2" xfId="53350"/>
    <cellStyle name="SAPBEXstdData 2 2" xfId="53351"/>
    <cellStyle name="SAPBEXstdData 3" xfId="53352"/>
    <cellStyle name="SAPBEXstdData 3 2" xfId="53353"/>
    <cellStyle name="SAPBEXstdData 4" xfId="53354"/>
    <cellStyle name="SAPBEXstdData 5" xfId="53355"/>
    <cellStyle name="SAPBEXstdDataEmph" xfId="53356"/>
    <cellStyle name="SAPBEXstdItem" xfId="53357"/>
    <cellStyle name="SAPBEXstdItem 2" xfId="53358"/>
    <cellStyle name="SAPBEXstdItem 3" xfId="53359"/>
    <cellStyle name="SAPBEXstdItem 4" xfId="53360"/>
    <cellStyle name="SAPBEXstdItemX" xfId="53361"/>
    <cellStyle name="SAPBEXstdItemX 2" xfId="53362"/>
    <cellStyle name="SAPBEXstdItemX 3" xfId="53363"/>
    <cellStyle name="SAPBEXstdItemX 4" xfId="53364"/>
    <cellStyle name="SAPBEXstdItemX 5" xfId="53365"/>
    <cellStyle name="SAPBEXstdItemX 5 2" xfId="53366"/>
    <cellStyle name="SAPBEXstdItemX 6" xfId="53367"/>
    <cellStyle name="SAPBEXstdItemX 7" xfId="53368"/>
    <cellStyle name="SAPBEXtitle" xfId="53369"/>
    <cellStyle name="SAPBEXtitle 2" xfId="53370"/>
    <cellStyle name="SAPBEXtitle 3" xfId="53371"/>
    <cellStyle name="SAPBEXtitle 4" xfId="53372"/>
    <cellStyle name="SAPBEXundefined" xfId="53373"/>
    <cellStyle name="sbt2" xfId="53374"/>
    <cellStyle name="Separador de milhares [0]_Person" xfId="53375"/>
    <cellStyle name="Separador de milhares_Person" xfId="53376"/>
    <cellStyle name="Shade" xfId="53377"/>
    <cellStyle name="small descr." xfId="53378"/>
    <cellStyle name="Standaard_BINV" xfId="53379"/>
    <cellStyle name="Standard_laroux" xfId="53380"/>
    <cellStyle name="Strange" xfId="53381"/>
    <cellStyle name="Style 1" xfId="53382"/>
    <cellStyle name="subhead" xfId="53383"/>
    <cellStyle name="subt1" xfId="53384"/>
    <cellStyle name="Subtotal" xfId="53385"/>
    <cellStyle name="Summary" xfId="53386"/>
    <cellStyle name="Test [green]" xfId="53387"/>
    <cellStyle name="text" xfId="53388"/>
    <cellStyle name="Text Indent A" xfId="53389"/>
    <cellStyle name="Text Indent B" xfId="53390"/>
    <cellStyle name="Text Indent B 2" xfId="53391"/>
    <cellStyle name="Text Indent C" xfId="53392"/>
    <cellStyle name="Text Indent C 2" xfId="53393"/>
    <cellStyle name="TFCF" xfId="53394"/>
    <cellStyle name="Tickmark" xfId="53395"/>
    <cellStyle name="Title" xfId="2240"/>
    <cellStyle name="Title 2" xfId="2241"/>
    <cellStyle name="Title 3" xfId="53396"/>
    <cellStyle name="Total" xfId="2242"/>
    <cellStyle name="Total 2" xfId="2243"/>
    <cellStyle name="Total 2 2" xfId="6200"/>
    <cellStyle name="Total 2 2 2" xfId="10934"/>
    <cellStyle name="Total 2 2 2 2" xfId="24162"/>
    <cellStyle name="Total 2 2 2 3" xfId="33564"/>
    <cellStyle name="Total 2 2 2 4" xfId="40320"/>
    <cellStyle name="Total 2 2 3" xfId="12740"/>
    <cellStyle name="Total 2 2 3 2" xfId="25968"/>
    <cellStyle name="Total 2 2 3 3" xfId="35990"/>
    <cellStyle name="Total 2 2 3 4" xfId="41883"/>
    <cellStyle name="Total 2 2 3 5" xfId="48717"/>
    <cellStyle name="Total 2 2 4" xfId="19428"/>
    <cellStyle name="Total 2 2 4 2" xfId="31369"/>
    <cellStyle name="Total 2 2 4 3" xfId="17851"/>
    <cellStyle name="Total 2 2 4 4" xfId="46878"/>
    <cellStyle name="Total 2 2 5" xfId="35023"/>
    <cellStyle name="Total 2 2 5 2" xfId="41027"/>
    <cellStyle name="Total 2 2 5 3" xfId="47723"/>
    <cellStyle name="Total 2 2 6" xfId="29252"/>
    <cellStyle name="Total 2 2 7" xfId="35000"/>
    <cellStyle name="Total 2 2 8" xfId="33190"/>
    <cellStyle name="Total 2 3" xfId="5716"/>
    <cellStyle name="Total 2 3 2" xfId="10450"/>
    <cellStyle name="Total 2 3 2 2" xfId="23678"/>
    <cellStyle name="Total 2 3 2 3" xfId="33230"/>
    <cellStyle name="Total 2 3 2 4" xfId="39675"/>
    <cellStyle name="Total 2 3 3" xfId="8595"/>
    <cellStyle name="Total 2 3 3 2" xfId="21823"/>
    <cellStyle name="Total 2 3 3 3" xfId="35711"/>
    <cellStyle name="Total 2 3 3 4" xfId="41595"/>
    <cellStyle name="Total 2 3 3 5" xfId="48429"/>
    <cellStyle name="Total 2 3 4" xfId="18955"/>
    <cellStyle name="Total 2 3 4 2" xfId="34835"/>
    <cellStyle name="Total 2 3 4 3" xfId="40834"/>
    <cellStyle name="Total 2 3 4 4" xfId="34148"/>
    <cellStyle name="Total 2 3 5" xfId="30179"/>
    <cellStyle name="Total 2 3 5 2" xfId="16640"/>
    <cellStyle name="Total 2 3 5 3" xfId="34304"/>
    <cellStyle name="Total 2 3 6" xfId="28927"/>
    <cellStyle name="Total 2 3 7" xfId="15867"/>
    <cellStyle name="Total 2 3 8" xfId="27861"/>
    <cellStyle name="Total 2 4" xfId="9484"/>
    <cellStyle name="Total 2 4 10" xfId="14614"/>
    <cellStyle name="Total 2 4 2" xfId="13121"/>
    <cellStyle name="Total 2 4 2 2" xfId="26349"/>
    <cellStyle name="Total 2 4 2 3" xfId="32601"/>
    <cellStyle name="Total 2 4 2 4" xfId="38821"/>
    <cellStyle name="Total 2 4 2 5" xfId="18093"/>
    <cellStyle name="Total 2 4 3" xfId="7478"/>
    <cellStyle name="Total 2 4 3 2" xfId="20706"/>
    <cellStyle name="Total 2 4 3 3" xfId="35097"/>
    <cellStyle name="Total 2 4 3 4" xfId="47800"/>
    <cellStyle name="Total 2 4 4" xfId="8648"/>
    <cellStyle name="Total 2 4 4 2" xfId="21876"/>
    <cellStyle name="Total 2 4 4 3" xfId="34690"/>
    <cellStyle name="Total 2 4 4 4" xfId="40680"/>
    <cellStyle name="Total 2 4 4 5" xfId="17485"/>
    <cellStyle name="Total 2 4 5" xfId="8315"/>
    <cellStyle name="Total 2 4 5 2" xfId="21543"/>
    <cellStyle name="Total 2 4 5 3" xfId="17366"/>
    <cellStyle name="Total 2 4 5 4" xfId="47388"/>
    <cellStyle name="Total 2 4 6" xfId="22712"/>
    <cellStyle name="Total 2 4 6 2" xfId="31873"/>
    <cellStyle name="Total 2 4 6 3" xfId="38094"/>
    <cellStyle name="Total 2 4 6 4" xfId="47208"/>
    <cellStyle name="Total 2 4 7" xfId="37614"/>
    <cellStyle name="Total 2 4 7 2" xfId="43537"/>
    <cellStyle name="Total 2 4 7 3" xfId="50371"/>
    <cellStyle name="Total 2 4 8" xfId="28290"/>
    <cellStyle name="Total 2 4 9" xfId="40456"/>
    <cellStyle name="Total 2 5" xfId="7661"/>
    <cellStyle name="Total 2 5 2" xfId="20889"/>
    <cellStyle name="Total 2 6" xfId="34613"/>
    <cellStyle name="Total 3" xfId="6199"/>
    <cellStyle name="Total 3 2" xfId="10933"/>
    <cellStyle name="Total 3 2 2" xfId="24161"/>
    <cellStyle name="Total 3 2 3" xfId="33563"/>
    <cellStyle name="Total 3 2 4" xfId="39236"/>
    <cellStyle name="Total 3 3" xfId="12842"/>
    <cellStyle name="Total 3 3 2" xfId="26070"/>
    <cellStyle name="Total 3 3 3" xfId="35989"/>
    <cellStyle name="Total 3 3 4" xfId="41882"/>
    <cellStyle name="Total 3 3 5" xfId="48716"/>
    <cellStyle name="Total 3 4" xfId="19427"/>
    <cellStyle name="Total 3 4 2" xfId="34718"/>
    <cellStyle name="Total 3 4 3" xfId="40708"/>
    <cellStyle name="Total 3 4 4" xfId="40591"/>
    <cellStyle name="Total 3 5" xfId="36922"/>
    <cellStyle name="Total 3 5 2" xfId="42837"/>
    <cellStyle name="Total 3 5 3" xfId="49671"/>
    <cellStyle name="Total 3 6" xfId="29251"/>
    <cellStyle name="Total 3 7" xfId="35679"/>
    <cellStyle name="Total 3 8" xfId="34390"/>
    <cellStyle name="Total 4" xfId="5715"/>
    <cellStyle name="Total 4 2" xfId="10449"/>
    <cellStyle name="Total 4 2 2" xfId="23677"/>
    <cellStyle name="Total 4 2 3" xfId="33229"/>
    <cellStyle name="Total 4 2 4" xfId="46464"/>
    <cellStyle name="Total 4 3" xfId="7913"/>
    <cellStyle name="Total 4 3 2" xfId="21141"/>
    <cellStyle name="Total 4 3 3" xfId="35710"/>
    <cellStyle name="Total 4 3 4" xfId="41594"/>
    <cellStyle name="Total 4 3 5" xfId="48428"/>
    <cellStyle name="Total 4 4" xfId="18954"/>
    <cellStyle name="Total 4 4 2" xfId="30157"/>
    <cellStyle name="Total 4 4 3" xfId="16617"/>
    <cellStyle name="Total 4 4 4" xfId="40084"/>
    <cellStyle name="Total 4 5" xfId="37659"/>
    <cellStyle name="Total 4 5 2" xfId="43582"/>
    <cellStyle name="Total 4 5 3" xfId="50416"/>
    <cellStyle name="Total 4 6" xfId="28926"/>
    <cellStyle name="Total 4 7" xfId="15866"/>
    <cellStyle name="Total 4 8" xfId="45559"/>
    <cellStyle name="Total 5" xfId="9483"/>
    <cellStyle name="Total 5 10" xfId="45413"/>
    <cellStyle name="Total 5 2" xfId="13120"/>
    <cellStyle name="Total 5 2 2" xfId="26348"/>
    <cellStyle name="Total 5 2 3" xfId="32600"/>
    <cellStyle name="Total 5 2 4" xfId="38820"/>
    <cellStyle name="Total 5 2 5" xfId="44119"/>
    <cellStyle name="Total 5 3" xfId="9151"/>
    <cellStyle name="Total 5 3 2" xfId="22379"/>
    <cellStyle name="Total 5 3 3" xfId="35096"/>
    <cellStyle name="Total 5 3 4" xfId="47799"/>
    <cellStyle name="Total 5 4" xfId="13900"/>
    <cellStyle name="Total 5 4 2" xfId="27128"/>
    <cellStyle name="Total 5 4 3" xfId="30955"/>
    <cellStyle name="Total 5 4 4" xfId="18537"/>
    <cellStyle name="Total 5 4 5" xfId="40331"/>
    <cellStyle name="Total 5 5" xfId="13988"/>
    <cellStyle name="Total 5 5 2" xfId="27216"/>
    <cellStyle name="Total 5 5 3" xfId="18055"/>
    <cellStyle name="Total 5 5 4" xfId="46616"/>
    <cellStyle name="Total 5 6" xfId="22711"/>
    <cellStyle name="Total 5 6 2" xfId="37422"/>
    <cellStyle name="Total 5 6 3" xfId="43342"/>
    <cellStyle name="Total 5 6 4" xfId="50176"/>
    <cellStyle name="Total 5 7" xfId="37352"/>
    <cellStyle name="Total 5 7 2" xfId="43272"/>
    <cellStyle name="Total 5 7 3" xfId="50106"/>
    <cellStyle name="Total 5 8" xfId="28289"/>
    <cellStyle name="Total 5 9" xfId="39394"/>
    <cellStyle name="Total 6" xfId="7660"/>
    <cellStyle name="Total 6 2" xfId="20888"/>
    <cellStyle name="Total 7" xfId="44239"/>
    <cellStyle name="Tusental (0)_pldt" xfId="53397"/>
    <cellStyle name="Tusental_pldt" xfId="53398"/>
    <cellStyle name="Valuta (0)_pldt" xfId="53399"/>
    <cellStyle name="Valuta [0]_BINV" xfId="53400"/>
    <cellStyle name="Valuta_BINV" xfId="53401"/>
    <cellStyle name="Vertical" xfId="53402"/>
    <cellStyle name="W?hrung [0]_laroux" xfId="53403"/>
    <cellStyle name="W?hrung_laroux" xfId="53404"/>
    <cellStyle name="W?rung [0]_laroux" xfId="53405"/>
    <cellStyle name="W?rung_laroux" xfId="53406"/>
    <cellStyle name="Währung [0]_laroux" xfId="53407"/>
    <cellStyle name="Währung_laroux" xfId="53408"/>
    <cellStyle name="Warning Text" xfId="2244"/>
    <cellStyle name="Warning Text 2" xfId="2245"/>
    <cellStyle name="Warning Text 3" xfId="53409"/>
    <cellStyle name="White" xfId="53410"/>
    <cellStyle name="wrap" xfId="53411"/>
    <cellStyle name="XBkWMyPCb5O" xfId="53412"/>
    <cellStyle name="xls]W 공장-품경" xfId="53413"/>
    <cellStyle name="Ц" xfId="53414"/>
    <cellStyle name=" 坪 l_Sheet1_Q4 (2)" xfId="53415"/>
    <cellStyle name="강조 1" xfId="53416"/>
    <cellStyle name="강조 2" xfId="53417"/>
    <cellStyle name="강조 3" xfId="53418"/>
    <cellStyle name="强调文字颜色 1" xfId="2246"/>
    <cellStyle name="强调文字颜色 1 2" xfId="2247"/>
    <cellStyle name="强调文字颜色 1 2 2" xfId="2248"/>
    <cellStyle name="强调文字颜色 1 2 2 2" xfId="2249"/>
    <cellStyle name="强调文字颜色 1 2 3" xfId="2250"/>
    <cellStyle name="强调文字颜色 1 3" xfId="2251"/>
    <cellStyle name="强调文字颜色 1 3 2" xfId="2252"/>
    <cellStyle name="强调文字颜色 1 3 2 2" xfId="2253"/>
    <cellStyle name="强调文字颜色 1 3 3" xfId="2254"/>
    <cellStyle name="强调文字颜色 1 4" xfId="2255"/>
    <cellStyle name="强调文字颜色 1 4 2" xfId="2256"/>
    <cellStyle name="强调文字颜色 2" xfId="2257"/>
    <cellStyle name="强调文字颜色 2 2" xfId="2258"/>
    <cellStyle name="强调文字颜色 2 2 2" xfId="2259"/>
    <cellStyle name="强调文字颜色 2 2 2 2" xfId="2260"/>
    <cellStyle name="强调文字颜色 2 2 3" xfId="2261"/>
    <cellStyle name="强调文字颜色 2 3" xfId="2262"/>
    <cellStyle name="强调文字颜色 2 3 2" xfId="2263"/>
    <cellStyle name="强调文字颜色 2 3 2 2" xfId="2264"/>
    <cellStyle name="强调文字颜色 2 3 3" xfId="2265"/>
    <cellStyle name="强调文字颜色 2 4" xfId="2266"/>
    <cellStyle name="强调文字颜色 2 4 2" xfId="2267"/>
    <cellStyle name="强调文字颜色 3" xfId="2268"/>
    <cellStyle name="强调文字颜色 3 2" xfId="2269"/>
    <cellStyle name="强调文字颜色 3 2 2" xfId="2270"/>
    <cellStyle name="强调文字颜色 3 2 2 2" xfId="2271"/>
    <cellStyle name="强调文字颜色 3 2 3" xfId="2272"/>
    <cellStyle name="强调文字颜色 3 3" xfId="2273"/>
    <cellStyle name="强调文字颜色 3 3 2" xfId="2274"/>
    <cellStyle name="强调文字颜色 3 3 2 2" xfId="2275"/>
    <cellStyle name="强调文字颜色 3 3 3" xfId="2276"/>
    <cellStyle name="强调文字颜色 3 4" xfId="2277"/>
    <cellStyle name="强调文字颜色 3 4 2" xfId="2278"/>
    <cellStyle name="强调文字颜色 4" xfId="2279"/>
    <cellStyle name="强调文字颜色 4 2" xfId="2280"/>
    <cellStyle name="强调文字颜色 4 2 2" xfId="2281"/>
    <cellStyle name="强调文字颜色 4 2 2 2" xfId="2282"/>
    <cellStyle name="强调文字颜色 4 2 3" xfId="2283"/>
    <cellStyle name="强调文字颜色 4 3" xfId="2284"/>
    <cellStyle name="强调文字颜色 4 3 2" xfId="2285"/>
    <cellStyle name="强调文字颜色 4 3 2 2" xfId="2286"/>
    <cellStyle name="强调文字颜色 4 3 3" xfId="2287"/>
    <cellStyle name="强调文字颜色 4 4" xfId="2288"/>
    <cellStyle name="强调文字颜色 4 4 2" xfId="2289"/>
    <cellStyle name="强调文字颜色 5" xfId="2290"/>
    <cellStyle name="强调文字颜色 5 2" xfId="2291"/>
    <cellStyle name="强调文字颜色 5 2 2" xfId="2292"/>
    <cellStyle name="强调文字颜色 5 2 2 2" xfId="2293"/>
    <cellStyle name="强调文字颜色 5 2 3" xfId="2294"/>
    <cellStyle name="强调文字颜色 5 3" xfId="2295"/>
    <cellStyle name="强调文字颜色 5 3 2" xfId="2296"/>
    <cellStyle name="强调文字颜色 5 3 2 2" xfId="2297"/>
    <cellStyle name="强调文字颜色 5 3 3" xfId="2298"/>
    <cellStyle name="强调文字颜色 5 4" xfId="2299"/>
    <cellStyle name="强调文字颜色 5 4 2" xfId="2300"/>
    <cellStyle name="强调文字颜色 6" xfId="2301"/>
    <cellStyle name="强调文字颜色 6 2" xfId="2302"/>
    <cellStyle name="强调文字颜色 6 2 2" xfId="2303"/>
    <cellStyle name="强调文字颜色 6 2 2 2" xfId="2304"/>
    <cellStyle name="强调文字颜色 6 2 3" xfId="2305"/>
    <cellStyle name="强调文字颜色 6 3" xfId="2306"/>
    <cellStyle name="强调文字颜色 6 3 2" xfId="2307"/>
    <cellStyle name="强调文字颜色 6 3 2 2" xfId="2308"/>
    <cellStyle name="强调文字颜色 6 3 3" xfId="2309"/>
    <cellStyle name="强调文字颜色 6 4" xfId="2310"/>
    <cellStyle name="强调文字颜色 6 4 2" xfId="2311"/>
    <cellStyle name="강조색1 - 20%" xfId="53419"/>
    <cellStyle name="강조색1 - 40%" xfId="53420"/>
    <cellStyle name="강조색1 - 60%" xfId="53421"/>
    <cellStyle name="강조색1 10" xfId="53422"/>
    <cellStyle name="강조색1 10 2" xfId="53423"/>
    <cellStyle name="강조색1 11" xfId="53424"/>
    <cellStyle name="강조색1 11 2" xfId="53425"/>
    <cellStyle name="강조색1 12" xfId="53426"/>
    <cellStyle name="강조색1 13" xfId="53427"/>
    <cellStyle name="강조색1 14" xfId="53428"/>
    <cellStyle name="강조색1 15" xfId="53429"/>
    <cellStyle name="강조색1 16" xfId="53430"/>
    <cellStyle name="강조색1 17" xfId="53431"/>
    <cellStyle name="강조색1 18" xfId="53432"/>
    <cellStyle name="강조색1 19" xfId="53433"/>
    <cellStyle name="강조색1 2" xfId="131"/>
    <cellStyle name="강조색1 2 10" xfId="2314"/>
    <cellStyle name="강조색1 2 11" xfId="2315"/>
    <cellStyle name="강조색1 2 12" xfId="2316"/>
    <cellStyle name="강조색1 2 13" xfId="2317"/>
    <cellStyle name="강조색1 2 14" xfId="2318"/>
    <cellStyle name="강조색1 2 15" xfId="2319"/>
    <cellStyle name="강조색1 2 16" xfId="2320"/>
    <cellStyle name="강조색1 2 17" xfId="2321"/>
    <cellStyle name="강조색1 2 18" xfId="2322"/>
    <cellStyle name="강조색1 2 19" xfId="2323"/>
    <cellStyle name="강조색1 2 2" xfId="2324"/>
    <cellStyle name="강조색1 2 2 2" xfId="2325"/>
    <cellStyle name="강조색1 2 2_CRM팀 1단계 정보확인 DB 검색코드_110425" xfId="2326"/>
    <cellStyle name="강조색1 2 20" xfId="2327"/>
    <cellStyle name="강조색1 2 21" xfId="2328"/>
    <cellStyle name="강조색1 2 22" xfId="2329"/>
    <cellStyle name="강조색1 2 23" xfId="2330"/>
    <cellStyle name="강조색1 2 24" xfId="2331"/>
    <cellStyle name="강조색1 2 25" xfId="2332"/>
    <cellStyle name="강조색1 2 26" xfId="2333"/>
    <cellStyle name="강조색1 2 27" xfId="4847"/>
    <cellStyle name="강조색1 2 28" xfId="2313"/>
    <cellStyle name="강조색1 2 29" xfId="51267"/>
    <cellStyle name="강조색1 2 3" xfId="2334"/>
    <cellStyle name="강조색1 2 4" xfId="2335"/>
    <cellStyle name="강조색1 2 5" xfId="2336"/>
    <cellStyle name="강조색1 2 6" xfId="2337"/>
    <cellStyle name="강조색1 2 7" xfId="2338"/>
    <cellStyle name="강조색1 2 8" xfId="2339"/>
    <cellStyle name="강조색1 2 9" xfId="2340"/>
    <cellStyle name="강조색1 2_CRM팀 1단계 정보확인 DB 검색코드_110425" xfId="2341"/>
    <cellStyle name="강조색1 20" xfId="53434"/>
    <cellStyle name="강조색1 21" xfId="53435"/>
    <cellStyle name="강조색1 22" xfId="53436"/>
    <cellStyle name="강조색1 23" xfId="53437"/>
    <cellStyle name="강조색1 24" xfId="53438"/>
    <cellStyle name="강조색1 25" xfId="53439"/>
    <cellStyle name="강조색1 26" xfId="53440"/>
    <cellStyle name="강조색1 3" xfId="132"/>
    <cellStyle name="강조색1 3 2" xfId="2343"/>
    <cellStyle name="강조색1 3 2 2" xfId="50886"/>
    <cellStyle name="강조색1 3 3" xfId="2342"/>
    <cellStyle name="강조색1 3 4" xfId="53441"/>
    <cellStyle name="강조색1 3 5" xfId="53442"/>
    <cellStyle name="강조색1 3_사업부문" xfId="53443"/>
    <cellStyle name="강조색1 4" xfId="133"/>
    <cellStyle name="강조색1 4 2" xfId="2345"/>
    <cellStyle name="강조색1 4 2 2" xfId="50887"/>
    <cellStyle name="강조색1 4 3" xfId="2344"/>
    <cellStyle name="강조색1 4 4" xfId="53444"/>
    <cellStyle name="강조색1 4 5" xfId="53445"/>
    <cellStyle name="강조색1 4_사업부문" xfId="53446"/>
    <cellStyle name="강조색1 5" xfId="134"/>
    <cellStyle name="강조색1 5 2" xfId="2347"/>
    <cellStyle name="강조색1 5 2 2" xfId="50888"/>
    <cellStyle name="강조색1 5 3" xfId="2346"/>
    <cellStyle name="강조색1 5_사업부문" xfId="53447"/>
    <cellStyle name="강조색1 6" xfId="135"/>
    <cellStyle name="강조색1 6 2" xfId="2349"/>
    <cellStyle name="강조색1 6 2 2" xfId="50889"/>
    <cellStyle name="강조색1 6 3" xfId="2348"/>
    <cellStyle name="강조색1 6_사업부문" xfId="53448"/>
    <cellStyle name="강조색1 7" xfId="136"/>
    <cellStyle name="강조색1 7 2" xfId="5262"/>
    <cellStyle name="강조색1 7 3" xfId="50890"/>
    <cellStyle name="강조색1 7_사업부문" xfId="53449"/>
    <cellStyle name="강조색1 8" xfId="2350"/>
    <cellStyle name="강조색1 8 2" xfId="53450"/>
    <cellStyle name="강조색1 8 3" xfId="53451"/>
    <cellStyle name="강조색1 9" xfId="2312"/>
    <cellStyle name="강조색1 9 2" xfId="53452"/>
    <cellStyle name="강조색2 - 20%" xfId="53453"/>
    <cellStyle name="강조색2 - 40%" xfId="53454"/>
    <cellStyle name="강조색2 - 60%" xfId="53455"/>
    <cellStyle name="강조색2 10" xfId="53456"/>
    <cellStyle name="강조색2 10 2" xfId="53457"/>
    <cellStyle name="강조색2 11" xfId="53458"/>
    <cellStyle name="강조색2 11 2" xfId="53459"/>
    <cellStyle name="강조색2 12" xfId="53460"/>
    <cellStyle name="강조색2 13" xfId="53461"/>
    <cellStyle name="강조색2 14" xfId="53462"/>
    <cellStyle name="강조색2 15" xfId="53463"/>
    <cellStyle name="강조색2 16" xfId="53464"/>
    <cellStyle name="강조색2 17" xfId="53465"/>
    <cellStyle name="강조색2 18" xfId="53466"/>
    <cellStyle name="강조색2 19" xfId="53467"/>
    <cellStyle name="강조색2 2" xfId="137"/>
    <cellStyle name="강조색2 2 10" xfId="2353"/>
    <cellStyle name="강조색2 2 11" xfId="2354"/>
    <cellStyle name="강조색2 2 12" xfId="2355"/>
    <cellStyle name="강조색2 2 13" xfId="2356"/>
    <cellStyle name="강조색2 2 14" xfId="2357"/>
    <cellStyle name="강조색2 2 15" xfId="2358"/>
    <cellStyle name="강조색2 2 16" xfId="2359"/>
    <cellStyle name="강조색2 2 17" xfId="2360"/>
    <cellStyle name="강조색2 2 18" xfId="2361"/>
    <cellStyle name="강조색2 2 19" xfId="2362"/>
    <cellStyle name="강조색2 2 2" xfId="2363"/>
    <cellStyle name="강조색2 2 2 2" xfId="2364"/>
    <cellStyle name="강조색2 2 2_CRM팀 1단계 정보확인 DB 검색코드_110425" xfId="2365"/>
    <cellStyle name="강조색2 2 20" xfId="2366"/>
    <cellStyle name="강조색2 2 21" xfId="2367"/>
    <cellStyle name="강조색2 2 22" xfId="2368"/>
    <cellStyle name="강조색2 2 23" xfId="2369"/>
    <cellStyle name="강조색2 2 24" xfId="2370"/>
    <cellStyle name="강조색2 2 25" xfId="2371"/>
    <cellStyle name="강조색2 2 26" xfId="2372"/>
    <cellStyle name="강조색2 2 27" xfId="4848"/>
    <cellStyle name="강조색2 2 28" xfId="2352"/>
    <cellStyle name="강조색2 2 29" xfId="51268"/>
    <cellStyle name="강조색2 2 3" xfId="2373"/>
    <cellStyle name="강조색2 2 4" xfId="2374"/>
    <cellStyle name="강조색2 2 5" xfId="2375"/>
    <cellStyle name="강조색2 2 6" xfId="2376"/>
    <cellStyle name="강조색2 2 7" xfId="2377"/>
    <cellStyle name="강조색2 2 8" xfId="2378"/>
    <cellStyle name="강조색2 2 9" xfId="2379"/>
    <cellStyle name="강조색2 2_CRM팀 1단계 정보확인 DB 검색코드_110425" xfId="2380"/>
    <cellStyle name="강조색2 20" xfId="53468"/>
    <cellStyle name="강조색2 21" xfId="53469"/>
    <cellStyle name="강조색2 22" xfId="53470"/>
    <cellStyle name="강조색2 23" xfId="53471"/>
    <cellStyle name="강조색2 24" xfId="53472"/>
    <cellStyle name="강조색2 25" xfId="53473"/>
    <cellStyle name="강조색2 26" xfId="53474"/>
    <cellStyle name="강조색2 3" xfId="138"/>
    <cellStyle name="강조색2 3 2" xfId="2382"/>
    <cellStyle name="강조색2 3 2 2" xfId="50891"/>
    <cellStyle name="강조색2 3 3" xfId="2381"/>
    <cellStyle name="강조색2 3 4" xfId="53475"/>
    <cellStyle name="강조색2 3 5" xfId="53476"/>
    <cellStyle name="강조색2 3_사업부문" xfId="53477"/>
    <cellStyle name="강조색2 4" xfId="139"/>
    <cellStyle name="강조색2 4 2" xfId="2384"/>
    <cellStyle name="강조색2 4 2 2" xfId="50892"/>
    <cellStyle name="강조색2 4 3" xfId="2383"/>
    <cellStyle name="강조색2 4 4" xfId="53478"/>
    <cellStyle name="강조색2 4 5" xfId="53479"/>
    <cellStyle name="강조색2 4_사업부문" xfId="53480"/>
    <cellStyle name="강조색2 5" xfId="140"/>
    <cellStyle name="강조색2 5 2" xfId="2386"/>
    <cellStyle name="강조색2 5 2 2" xfId="50893"/>
    <cellStyle name="강조색2 5 3" xfId="2385"/>
    <cellStyle name="강조색2 5_사업부문" xfId="53481"/>
    <cellStyle name="강조색2 6" xfId="141"/>
    <cellStyle name="강조색2 6 2" xfId="2388"/>
    <cellStyle name="강조색2 6 2 2" xfId="50894"/>
    <cellStyle name="강조색2 6 3" xfId="2387"/>
    <cellStyle name="강조색2 6_사업부문" xfId="53482"/>
    <cellStyle name="강조색2 7" xfId="142"/>
    <cellStyle name="강조색2 7 2" xfId="5263"/>
    <cellStyle name="강조색2 7 3" xfId="50895"/>
    <cellStyle name="강조색2 7_사업부문" xfId="53483"/>
    <cellStyle name="강조색2 8" xfId="2389"/>
    <cellStyle name="강조색2 8 2" xfId="53484"/>
    <cellStyle name="강조색2 8 3" xfId="53485"/>
    <cellStyle name="강조색2 9" xfId="2351"/>
    <cellStyle name="강조색2 9 2" xfId="53486"/>
    <cellStyle name="강조색3 - 20%" xfId="53487"/>
    <cellStyle name="강조색3 - 40%" xfId="53488"/>
    <cellStyle name="강조색3 - 60%" xfId="53489"/>
    <cellStyle name="강조색3 10" xfId="53490"/>
    <cellStyle name="강조색3 10 2" xfId="53491"/>
    <cellStyle name="강조색3 11" xfId="53492"/>
    <cellStyle name="강조색3 11 2" xfId="53493"/>
    <cellStyle name="강조색3 12" xfId="53494"/>
    <cellStyle name="강조색3 13" xfId="53495"/>
    <cellStyle name="강조색3 14" xfId="53496"/>
    <cellStyle name="강조색3 15" xfId="53497"/>
    <cellStyle name="강조색3 16" xfId="53498"/>
    <cellStyle name="강조색3 17" xfId="53499"/>
    <cellStyle name="강조색3 18" xfId="53500"/>
    <cellStyle name="강조색3 19" xfId="53501"/>
    <cellStyle name="강조색3 2" xfId="143"/>
    <cellStyle name="강조색3 2 10" xfId="2392"/>
    <cellStyle name="강조색3 2 11" xfId="2393"/>
    <cellStyle name="강조색3 2 12" xfId="2394"/>
    <cellStyle name="강조색3 2 13" xfId="2395"/>
    <cellStyle name="강조색3 2 14" xfId="2396"/>
    <cellStyle name="강조색3 2 15" xfId="2397"/>
    <cellStyle name="강조색3 2 16" xfId="2398"/>
    <cellStyle name="강조색3 2 17" xfId="2399"/>
    <cellStyle name="강조색3 2 18" xfId="2400"/>
    <cellStyle name="강조색3 2 19" xfId="2401"/>
    <cellStyle name="강조색3 2 2" xfId="2402"/>
    <cellStyle name="강조색3 2 2 2" xfId="2403"/>
    <cellStyle name="강조색3 2 2_CRM팀 1단계 정보확인 DB 검색코드_110425" xfId="2404"/>
    <cellStyle name="강조색3 2 20" xfId="2405"/>
    <cellStyle name="강조색3 2 21" xfId="2406"/>
    <cellStyle name="강조색3 2 22" xfId="2407"/>
    <cellStyle name="강조색3 2 23" xfId="2408"/>
    <cellStyle name="강조색3 2 24" xfId="2409"/>
    <cellStyle name="강조색3 2 25" xfId="2410"/>
    <cellStyle name="강조색3 2 26" xfId="2411"/>
    <cellStyle name="강조색3 2 27" xfId="4849"/>
    <cellStyle name="강조색3 2 28" xfId="2391"/>
    <cellStyle name="강조색3 2 29" xfId="51269"/>
    <cellStyle name="강조색3 2 3" xfId="2412"/>
    <cellStyle name="강조색3 2 4" xfId="2413"/>
    <cellStyle name="강조색3 2 5" xfId="2414"/>
    <cellStyle name="강조색3 2 6" xfId="2415"/>
    <cellStyle name="강조색3 2 7" xfId="2416"/>
    <cellStyle name="강조색3 2 8" xfId="2417"/>
    <cellStyle name="강조색3 2 9" xfId="2418"/>
    <cellStyle name="강조색3 2_CRM팀 1단계 정보확인 DB 검색코드_110425" xfId="2419"/>
    <cellStyle name="강조색3 20" xfId="53502"/>
    <cellStyle name="강조색3 21" xfId="53503"/>
    <cellStyle name="강조색3 22" xfId="53504"/>
    <cellStyle name="강조색3 23" xfId="53505"/>
    <cellStyle name="강조색3 24" xfId="53506"/>
    <cellStyle name="강조색3 25" xfId="53507"/>
    <cellStyle name="강조색3 26" xfId="53508"/>
    <cellStyle name="강조색3 3" xfId="144"/>
    <cellStyle name="강조색3 3 2" xfId="2421"/>
    <cellStyle name="강조색3 3 2 2" xfId="50896"/>
    <cellStyle name="강조색3 3 3" xfId="2420"/>
    <cellStyle name="강조색3 3 4" xfId="53509"/>
    <cellStyle name="강조색3 3 5" xfId="53510"/>
    <cellStyle name="강조색3 3_사업부문" xfId="53511"/>
    <cellStyle name="강조색3 4" xfId="145"/>
    <cellStyle name="강조색3 4 2" xfId="2423"/>
    <cellStyle name="강조색3 4 2 2" xfId="50897"/>
    <cellStyle name="강조색3 4 3" xfId="2422"/>
    <cellStyle name="강조색3 4 4" xfId="53512"/>
    <cellStyle name="강조색3 4 5" xfId="53513"/>
    <cellStyle name="강조색3 4_사업부문" xfId="53514"/>
    <cellStyle name="강조색3 5" xfId="146"/>
    <cellStyle name="강조색3 5 2" xfId="2425"/>
    <cellStyle name="강조색3 5 2 2" xfId="50898"/>
    <cellStyle name="강조색3 5 3" xfId="2424"/>
    <cellStyle name="강조색3 5_사업부문" xfId="53515"/>
    <cellStyle name="강조색3 6" xfId="147"/>
    <cellStyle name="강조색3 6 2" xfId="2427"/>
    <cellStyle name="강조색3 6 2 2" xfId="50899"/>
    <cellStyle name="강조색3 6 3" xfId="2426"/>
    <cellStyle name="강조색3 6_사업부문" xfId="53516"/>
    <cellStyle name="강조색3 7" xfId="148"/>
    <cellStyle name="강조색3 7 2" xfId="5264"/>
    <cellStyle name="강조색3 7 3" xfId="50900"/>
    <cellStyle name="강조색3 7_사업부문" xfId="53517"/>
    <cellStyle name="강조색3 8" xfId="2428"/>
    <cellStyle name="강조색3 8 2" xfId="53518"/>
    <cellStyle name="강조색3 8 3" xfId="53519"/>
    <cellStyle name="강조색3 9" xfId="2390"/>
    <cellStyle name="강조색3 9 2" xfId="53520"/>
    <cellStyle name="강조색4 - 20%" xfId="53521"/>
    <cellStyle name="강조색4 - 40%" xfId="53522"/>
    <cellStyle name="강조색4 - 60%" xfId="53523"/>
    <cellStyle name="강조색4 10" xfId="53524"/>
    <cellStyle name="강조색4 10 2" xfId="53525"/>
    <cellStyle name="강조색4 11" xfId="53526"/>
    <cellStyle name="강조색4 11 2" xfId="53527"/>
    <cellStyle name="강조색4 12" xfId="53528"/>
    <cellStyle name="강조색4 13" xfId="53529"/>
    <cellStyle name="강조색4 14" xfId="53530"/>
    <cellStyle name="강조색4 15" xfId="53531"/>
    <cellStyle name="강조색4 16" xfId="53532"/>
    <cellStyle name="강조색4 17" xfId="53533"/>
    <cellStyle name="강조색4 18" xfId="53534"/>
    <cellStyle name="강조색4 19" xfId="53535"/>
    <cellStyle name="강조색4 2" xfId="149"/>
    <cellStyle name="강조색4 2 10" xfId="2431"/>
    <cellStyle name="강조색4 2 11" xfId="2432"/>
    <cellStyle name="강조색4 2 12" xfId="2433"/>
    <cellStyle name="강조색4 2 13" xfId="2434"/>
    <cellStyle name="강조색4 2 14" xfId="2435"/>
    <cellStyle name="강조색4 2 15" xfId="2436"/>
    <cellStyle name="강조색4 2 16" xfId="2437"/>
    <cellStyle name="강조색4 2 17" xfId="2438"/>
    <cellStyle name="강조색4 2 18" xfId="2439"/>
    <cellStyle name="강조색4 2 19" xfId="2440"/>
    <cellStyle name="강조색4 2 2" xfId="2441"/>
    <cellStyle name="강조색4 2 2 2" xfId="2442"/>
    <cellStyle name="강조색4 2 2_CRM팀 1단계 정보확인 DB 검색코드_110425" xfId="2443"/>
    <cellStyle name="강조색4 2 20" xfId="2444"/>
    <cellStyle name="강조색4 2 21" xfId="2445"/>
    <cellStyle name="강조색4 2 22" xfId="2446"/>
    <cellStyle name="강조색4 2 23" xfId="2447"/>
    <cellStyle name="강조색4 2 24" xfId="2448"/>
    <cellStyle name="강조색4 2 25" xfId="2449"/>
    <cellStyle name="강조색4 2 26" xfId="2450"/>
    <cellStyle name="강조색4 2 27" xfId="4850"/>
    <cellStyle name="강조색4 2 28" xfId="2430"/>
    <cellStyle name="강조색4 2 29" xfId="51270"/>
    <cellStyle name="강조색4 2 3" xfId="2451"/>
    <cellStyle name="강조색4 2 4" xfId="2452"/>
    <cellStyle name="강조색4 2 5" xfId="2453"/>
    <cellStyle name="강조색4 2 6" xfId="2454"/>
    <cellStyle name="강조색4 2 7" xfId="2455"/>
    <cellStyle name="강조색4 2 8" xfId="2456"/>
    <cellStyle name="강조색4 2 9" xfId="2457"/>
    <cellStyle name="강조색4 2_CRM팀 1단계 정보확인 DB 검색코드_110425" xfId="2458"/>
    <cellStyle name="강조색4 20" xfId="53536"/>
    <cellStyle name="강조색4 21" xfId="53537"/>
    <cellStyle name="강조색4 22" xfId="53538"/>
    <cellStyle name="강조색4 23" xfId="53539"/>
    <cellStyle name="강조색4 24" xfId="53540"/>
    <cellStyle name="강조색4 25" xfId="53541"/>
    <cellStyle name="강조색4 26" xfId="53542"/>
    <cellStyle name="강조색4 3" xfId="150"/>
    <cellStyle name="강조색4 3 2" xfId="2460"/>
    <cellStyle name="강조색4 3 2 2" xfId="50902"/>
    <cellStyle name="강조색4 3 3" xfId="2459"/>
    <cellStyle name="강조색4 3 4" xfId="53543"/>
    <cellStyle name="강조색4 3 5" xfId="53544"/>
    <cellStyle name="강조색4 3_사업부문" xfId="53545"/>
    <cellStyle name="강조색4 4" xfId="151"/>
    <cellStyle name="강조색4 4 2" xfId="2462"/>
    <cellStyle name="강조색4 4 2 2" xfId="50903"/>
    <cellStyle name="강조색4 4 3" xfId="2461"/>
    <cellStyle name="강조색4 4 4" xfId="53546"/>
    <cellStyle name="강조색4 4 5" xfId="53547"/>
    <cellStyle name="강조색4 4_사업부문" xfId="53548"/>
    <cellStyle name="강조색4 5" xfId="152"/>
    <cellStyle name="강조색4 5 2" xfId="2464"/>
    <cellStyle name="강조색4 5 2 2" xfId="50904"/>
    <cellStyle name="강조색4 5 3" xfId="2463"/>
    <cellStyle name="강조색4 5_사업부문" xfId="53549"/>
    <cellStyle name="강조색4 6" xfId="153"/>
    <cellStyle name="강조색4 6 2" xfId="2466"/>
    <cellStyle name="강조색4 6 2 2" xfId="50905"/>
    <cellStyle name="강조색4 6 3" xfId="2465"/>
    <cellStyle name="강조색4 6_사업부문" xfId="53550"/>
    <cellStyle name="강조색4 7" xfId="154"/>
    <cellStyle name="강조색4 7 2" xfId="5265"/>
    <cellStyle name="강조색4 7 3" xfId="50906"/>
    <cellStyle name="강조색4 7_사업부문" xfId="53551"/>
    <cellStyle name="강조색4 8" xfId="2467"/>
    <cellStyle name="강조색4 8 2" xfId="53552"/>
    <cellStyle name="강조색4 8 3" xfId="53553"/>
    <cellStyle name="강조색4 9" xfId="2429"/>
    <cellStyle name="강조색4 9 2" xfId="53554"/>
    <cellStyle name="강조색5 - 20%" xfId="53555"/>
    <cellStyle name="강조색5 - 40%" xfId="53556"/>
    <cellStyle name="강조색5 - 60%" xfId="53557"/>
    <cellStyle name="강조색5 10" xfId="53558"/>
    <cellStyle name="강조색5 10 2" xfId="53559"/>
    <cellStyle name="강조색5 11" xfId="53560"/>
    <cellStyle name="강조색5 11 2" xfId="53561"/>
    <cellStyle name="강조색5 12" xfId="53562"/>
    <cellStyle name="강조색5 13" xfId="53563"/>
    <cellStyle name="강조색5 14" xfId="53564"/>
    <cellStyle name="강조색5 15" xfId="53565"/>
    <cellStyle name="강조색5 16" xfId="53566"/>
    <cellStyle name="강조색5 17" xfId="53567"/>
    <cellStyle name="강조색5 18" xfId="53568"/>
    <cellStyle name="강조색5 19" xfId="53569"/>
    <cellStyle name="강조색5 2" xfId="155"/>
    <cellStyle name="강조색5 2 10" xfId="2470"/>
    <cellStyle name="강조색5 2 11" xfId="2471"/>
    <cellStyle name="강조색5 2 12" xfId="2472"/>
    <cellStyle name="강조색5 2 13" xfId="2473"/>
    <cellStyle name="강조색5 2 14" xfId="2474"/>
    <cellStyle name="강조색5 2 15" xfId="2475"/>
    <cellStyle name="강조색5 2 16" xfId="2476"/>
    <cellStyle name="강조색5 2 17" xfId="2477"/>
    <cellStyle name="강조색5 2 18" xfId="2478"/>
    <cellStyle name="강조색5 2 19" xfId="2479"/>
    <cellStyle name="강조색5 2 2" xfId="2480"/>
    <cellStyle name="강조색5 2 2 2" xfId="2481"/>
    <cellStyle name="강조색5 2 2_CRM팀 1단계 정보확인 DB 검색코드_110425" xfId="2482"/>
    <cellStyle name="강조색5 2 20" xfId="2483"/>
    <cellStyle name="강조색5 2 21" xfId="2484"/>
    <cellStyle name="강조색5 2 22" xfId="2485"/>
    <cellStyle name="강조색5 2 23" xfId="2486"/>
    <cellStyle name="강조색5 2 24" xfId="2487"/>
    <cellStyle name="강조색5 2 25" xfId="2488"/>
    <cellStyle name="강조색5 2 26" xfId="2489"/>
    <cellStyle name="강조색5 2 27" xfId="4851"/>
    <cellStyle name="강조색5 2 28" xfId="2469"/>
    <cellStyle name="강조색5 2 29" xfId="51271"/>
    <cellStyle name="강조색5 2 3" xfId="2490"/>
    <cellStyle name="강조색5 2 4" xfId="2491"/>
    <cellStyle name="강조색5 2 5" xfId="2492"/>
    <cellStyle name="강조색5 2 6" xfId="2493"/>
    <cellStyle name="강조색5 2 7" xfId="2494"/>
    <cellStyle name="강조색5 2 8" xfId="2495"/>
    <cellStyle name="강조색5 2 9" xfId="2496"/>
    <cellStyle name="강조색5 2_CRM팀 1단계 정보확인 DB 검색코드_110425" xfId="2497"/>
    <cellStyle name="강조색5 20" xfId="53570"/>
    <cellStyle name="강조색5 21" xfId="53571"/>
    <cellStyle name="강조색5 22" xfId="53572"/>
    <cellStyle name="강조색5 23" xfId="53573"/>
    <cellStyle name="강조색5 24" xfId="53574"/>
    <cellStyle name="강조색5 25" xfId="53575"/>
    <cellStyle name="강조색5 26" xfId="53576"/>
    <cellStyle name="강조색5 3" xfId="156"/>
    <cellStyle name="강조색5 3 2" xfId="2499"/>
    <cellStyle name="강조색5 3 2 2" xfId="50907"/>
    <cellStyle name="강조색5 3 3" xfId="2498"/>
    <cellStyle name="강조색5 3 4" xfId="53577"/>
    <cellStyle name="강조색5 3 5" xfId="53578"/>
    <cellStyle name="강조색5 3_사업부문" xfId="53579"/>
    <cellStyle name="강조색5 4" xfId="157"/>
    <cellStyle name="강조색5 4 2" xfId="2501"/>
    <cellStyle name="강조색5 4 2 2" xfId="50908"/>
    <cellStyle name="강조색5 4 3" xfId="2500"/>
    <cellStyle name="강조색5 4 4" xfId="53580"/>
    <cellStyle name="강조색5 4 5" xfId="53581"/>
    <cellStyle name="강조색5 4_사업부문" xfId="53582"/>
    <cellStyle name="강조색5 5" xfId="158"/>
    <cellStyle name="강조색5 5 2" xfId="2503"/>
    <cellStyle name="강조색5 5 2 2" xfId="50909"/>
    <cellStyle name="강조색5 5 3" xfId="2502"/>
    <cellStyle name="강조색5 5_사업부문" xfId="53583"/>
    <cellStyle name="강조색5 6" xfId="159"/>
    <cellStyle name="강조색5 6 2" xfId="2505"/>
    <cellStyle name="강조색5 6 2 2" xfId="50910"/>
    <cellStyle name="강조색5 6 3" xfId="2504"/>
    <cellStyle name="강조색5 6_사업부문" xfId="53584"/>
    <cellStyle name="강조색5 7" xfId="160"/>
    <cellStyle name="강조색5 7 2" xfId="5266"/>
    <cellStyle name="강조색5 7 3" xfId="50911"/>
    <cellStyle name="강조색5 7_사업부문" xfId="53585"/>
    <cellStyle name="강조색5 8" xfId="2506"/>
    <cellStyle name="강조색5 8 2" xfId="53586"/>
    <cellStyle name="강조색5 8 3" xfId="53587"/>
    <cellStyle name="강조색5 9" xfId="2468"/>
    <cellStyle name="강조색5 9 2" xfId="53588"/>
    <cellStyle name="강조색6 - 20%" xfId="53589"/>
    <cellStyle name="강조색6 - 40%" xfId="53590"/>
    <cellStyle name="강조색6 - 60%" xfId="53591"/>
    <cellStyle name="강조색6 10" xfId="53592"/>
    <cellStyle name="강조색6 10 2" xfId="53593"/>
    <cellStyle name="강조색6 11" xfId="53594"/>
    <cellStyle name="강조색6 11 2" xfId="53595"/>
    <cellStyle name="강조색6 12" xfId="53596"/>
    <cellStyle name="강조색6 13" xfId="53597"/>
    <cellStyle name="강조색6 14" xfId="53598"/>
    <cellStyle name="강조색6 15" xfId="53599"/>
    <cellStyle name="강조색6 16" xfId="53600"/>
    <cellStyle name="강조색6 17" xfId="53601"/>
    <cellStyle name="강조색6 18" xfId="53602"/>
    <cellStyle name="강조색6 19" xfId="53603"/>
    <cellStyle name="강조색6 2" xfId="161"/>
    <cellStyle name="강조색6 2 10" xfId="2509"/>
    <cellStyle name="강조색6 2 11" xfId="2510"/>
    <cellStyle name="강조색6 2 12" xfId="2511"/>
    <cellStyle name="강조색6 2 13" xfId="2512"/>
    <cellStyle name="강조색6 2 14" xfId="2513"/>
    <cellStyle name="강조색6 2 15" xfId="2514"/>
    <cellStyle name="강조색6 2 16" xfId="2515"/>
    <cellStyle name="강조색6 2 17" xfId="2516"/>
    <cellStyle name="강조색6 2 18" xfId="2517"/>
    <cellStyle name="강조색6 2 19" xfId="2518"/>
    <cellStyle name="강조색6 2 2" xfId="2519"/>
    <cellStyle name="강조색6 2 2 2" xfId="2520"/>
    <cellStyle name="강조색6 2 2_CRM팀 1단계 정보확인 DB 검색코드_110425" xfId="2521"/>
    <cellStyle name="강조색6 2 20" xfId="2522"/>
    <cellStyle name="강조색6 2 21" xfId="2523"/>
    <cellStyle name="강조색6 2 22" xfId="2524"/>
    <cellStyle name="강조색6 2 23" xfId="2525"/>
    <cellStyle name="강조색6 2 24" xfId="2526"/>
    <cellStyle name="강조색6 2 25" xfId="2527"/>
    <cellStyle name="강조색6 2 26" xfId="2528"/>
    <cellStyle name="강조색6 2 27" xfId="4852"/>
    <cellStyle name="강조색6 2 28" xfId="2508"/>
    <cellStyle name="강조색6 2 29" xfId="51272"/>
    <cellStyle name="강조색6 2 3" xfId="2529"/>
    <cellStyle name="강조색6 2 4" xfId="2530"/>
    <cellStyle name="강조색6 2 5" xfId="2531"/>
    <cellStyle name="강조색6 2 6" xfId="2532"/>
    <cellStyle name="강조색6 2 7" xfId="2533"/>
    <cellStyle name="강조색6 2 8" xfId="2534"/>
    <cellStyle name="강조색6 2 9" xfId="2535"/>
    <cellStyle name="강조색6 2_CRM팀 1단계 정보확인 DB 검색코드_110425" xfId="2536"/>
    <cellStyle name="강조색6 20" xfId="53604"/>
    <cellStyle name="강조색6 21" xfId="53605"/>
    <cellStyle name="강조색6 22" xfId="53606"/>
    <cellStyle name="강조색6 23" xfId="53607"/>
    <cellStyle name="강조색6 24" xfId="53608"/>
    <cellStyle name="강조색6 25" xfId="53609"/>
    <cellStyle name="강조색6 26" xfId="53610"/>
    <cellStyle name="강조색6 3" xfId="162"/>
    <cellStyle name="강조색6 3 2" xfId="2538"/>
    <cellStyle name="강조색6 3 2 2" xfId="50912"/>
    <cellStyle name="강조색6 3 3" xfId="2537"/>
    <cellStyle name="강조색6 3 4" xfId="53611"/>
    <cellStyle name="강조색6 3 5" xfId="53612"/>
    <cellStyle name="강조색6 3_사업부문" xfId="53613"/>
    <cellStyle name="강조색6 4" xfId="163"/>
    <cellStyle name="강조색6 4 2" xfId="2540"/>
    <cellStyle name="강조색6 4 2 2" xfId="50913"/>
    <cellStyle name="강조색6 4 3" xfId="2539"/>
    <cellStyle name="강조색6 4 4" xfId="53614"/>
    <cellStyle name="강조색6 4 5" xfId="53615"/>
    <cellStyle name="강조색6 4_사업부문" xfId="53616"/>
    <cellStyle name="강조색6 5" xfId="164"/>
    <cellStyle name="강조색6 5 2" xfId="2542"/>
    <cellStyle name="강조색6 5 2 2" xfId="50914"/>
    <cellStyle name="강조색6 5 3" xfId="2541"/>
    <cellStyle name="강조색6 5_사업부문" xfId="53617"/>
    <cellStyle name="강조색6 6" xfId="165"/>
    <cellStyle name="강조색6 6 2" xfId="2544"/>
    <cellStyle name="강조색6 6 2 2" xfId="50915"/>
    <cellStyle name="강조색6 6 3" xfId="2543"/>
    <cellStyle name="강조색6 6_사업부문" xfId="53618"/>
    <cellStyle name="강조색6 7" xfId="166"/>
    <cellStyle name="강조색6 7 2" xfId="5267"/>
    <cellStyle name="강조색6 7 3" xfId="50916"/>
    <cellStyle name="강조색6 7_사업부문" xfId="53619"/>
    <cellStyle name="강조색6 8" xfId="2545"/>
    <cellStyle name="강조색6 8 2" xfId="53620"/>
    <cellStyle name="강조색6 8 3" xfId="53621"/>
    <cellStyle name="강조색6 9" xfId="2507"/>
    <cellStyle name="강조색6 9 2" xfId="53622"/>
    <cellStyle name="检查单元格" xfId="2546"/>
    <cellStyle name="检查单元格 2" xfId="2547"/>
    <cellStyle name="检查单元格 2 2" xfId="2548"/>
    <cellStyle name="检查单元格 2 2 2" xfId="2549"/>
    <cellStyle name="检查单元格 2 3" xfId="2550"/>
    <cellStyle name="检查单元格 3" xfId="2551"/>
    <cellStyle name="检查单元格 3 2" xfId="2552"/>
    <cellStyle name="检查单元格 3 2 2" xfId="2553"/>
    <cellStyle name="检查单元格 3 3" xfId="2554"/>
    <cellStyle name="检查单元格 4" xfId="2555"/>
    <cellStyle name="检查单元格 4 2" xfId="2556"/>
    <cellStyle name="결산일" xfId="53623"/>
    <cellStyle name="경고문 10" xfId="53624"/>
    <cellStyle name="경고문 10 2" xfId="53625"/>
    <cellStyle name="경고문 11" xfId="53626"/>
    <cellStyle name="경고문 11 2" xfId="53627"/>
    <cellStyle name="경고문 12" xfId="53628"/>
    <cellStyle name="경고문 13" xfId="53629"/>
    <cellStyle name="경고문 14" xfId="53630"/>
    <cellStyle name="경고문 15" xfId="53631"/>
    <cellStyle name="경고문 16" xfId="53632"/>
    <cellStyle name="경고문 17" xfId="53633"/>
    <cellStyle name="경고문 18" xfId="53634"/>
    <cellStyle name="경고문 19" xfId="53635"/>
    <cellStyle name="경고문 2" xfId="167"/>
    <cellStyle name="경고문 2 10" xfId="2559"/>
    <cellStyle name="경고문 2 11" xfId="2560"/>
    <cellStyle name="경고문 2 12" xfId="2561"/>
    <cellStyle name="경고문 2 13" xfId="2562"/>
    <cellStyle name="경고문 2 14" xfId="2563"/>
    <cellStyle name="경고문 2 15" xfId="2564"/>
    <cellStyle name="경고문 2 16" xfId="2565"/>
    <cellStyle name="경고문 2 17" xfId="2566"/>
    <cellStyle name="경고문 2 18" xfId="2567"/>
    <cellStyle name="경고문 2 19" xfId="2568"/>
    <cellStyle name="경고문 2 2" xfId="2569"/>
    <cellStyle name="경고문 2 2 2" xfId="2570"/>
    <cellStyle name="경고문 2 2_CRM팀 1단계 정보확인 DB 검색코드_110425" xfId="2571"/>
    <cellStyle name="경고문 2 20" xfId="2572"/>
    <cellStyle name="경고문 2 21" xfId="2573"/>
    <cellStyle name="경고문 2 22" xfId="2574"/>
    <cellStyle name="경고문 2 23" xfId="2575"/>
    <cellStyle name="경고문 2 24" xfId="2576"/>
    <cellStyle name="경고문 2 25" xfId="2577"/>
    <cellStyle name="경고문 2 26" xfId="2578"/>
    <cellStyle name="경고문 2 27" xfId="4853"/>
    <cellStyle name="경고문 2 28" xfId="2558"/>
    <cellStyle name="경고문 2 29" xfId="51273"/>
    <cellStyle name="경고문 2 3" xfId="2579"/>
    <cellStyle name="경고문 2 4" xfId="2580"/>
    <cellStyle name="경고문 2 5" xfId="2581"/>
    <cellStyle name="경고문 2 6" xfId="2582"/>
    <cellStyle name="경고문 2 7" xfId="2583"/>
    <cellStyle name="경고문 2 8" xfId="2584"/>
    <cellStyle name="경고문 2 9" xfId="2585"/>
    <cellStyle name="경고문 2_CRM팀 1단계 정보확인 DB 검색코드_110425" xfId="2586"/>
    <cellStyle name="경고문 20" xfId="53636"/>
    <cellStyle name="경고문 21" xfId="53637"/>
    <cellStyle name="경고문 22" xfId="53638"/>
    <cellStyle name="경고문 23" xfId="53639"/>
    <cellStyle name="경고문 24" xfId="53640"/>
    <cellStyle name="경고문 25" xfId="53641"/>
    <cellStyle name="경고문 26" xfId="53642"/>
    <cellStyle name="경고문 3" xfId="168"/>
    <cellStyle name="경고문 3 2" xfId="2588"/>
    <cellStyle name="경고문 3 2 2" xfId="50917"/>
    <cellStyle name="경고문 3 3" xfId="2587"/>
    <cellStyle name="경고문 3 4" xfId="53643"/>
    <cellStyle name="경고문 3 5" xfId="53644"/>
    <cellStyle name="경고문 3_사업부문" xfId="53645"/>
    <cellStyle name="경고문 4" xfId="169"/>
    <cellStyle name="경고문 4 2" xfId="2590"/>
    <cellStyle name="경고문 4 2 2" xfId="50918"/>
    <cellStyle name="경고문 4 3" xfId="2589"/>
    <cellStyle name="경고문 4 4" xfId="53646"/>
    <cellStyle name="경고문 4 5" xfId="53647"/>
    <cellStyle name="경고문 4_사업부문" xfId="53648"/>
    <cellStyle name="경고문 5" xfId="170"/>
    <cellStyle name="경고문 5 2" xfId="2592"/>
    <cellStyle name="경고문 5 2 2" xfId="50919"/>
    <cellStyle name="경고문 5 3" xfId="2591"/>
    <cellStyle name="경고문 5_사업부문" xfId="53649"/>
    <cellStyle name="경고문 6" xfId="171"/>
    <cellStyle name="경고문 6 2" xfId="2594"/>
    <cellStyle name="경고문 6 2 2" xfId="50920"/>
    <cellStyle name="경고문 6 3" xfId="2593"/>
    <cellStyle name="경고문 6_사업부문" xfId="53650"/>
    <cellStyle name="경고문 7" xfId="172"/>
    <cellStyle name="경고문 7 2" xfId="5268"/>
    <cellStyle name="경고문 7 3" xfId="50921"/>
    <cellStyle name="경고문 7_사업부문" xfId="53651"/>
    <cellStyle name="경고문 8" xfId="2595"/>
    <cellStyle name="경고문 8 2" xfId="53652"/>
    <cellStyle name="경고문 8 3" xfId="53653"/>
    <cellStyle name="경고문 9" xfId="2557"/>
    <cellStyle name="경고문 9 2" xfId="53654"/>
    <cellStyle name="警告文本" xfId="2596"/>
    <cellStyle name="警告文本 2" xfId="2597"/>
    <cellStyle name="警告文本 2 2" xfId="2598"/>
    <cellStyle name="警告文本 2 2 2" xfId="2599"/>
    <cellStyle name="警告文本 2 3" xfId="2600"/>
    <cellStyle name="警告文本 3" xfId="2601"/>
    <cellStyle name="警告文本 3 2" xfId="2602"/>
    <cellStyle name="警告文本 3 2 2" xfId="2603"/>
    <cellStyle name="警告文本 3 3" xfId="2604"/>
    <cellStyle name="警告文本 4" xfId="2605"/>
    <cellStyle name="警告文本 4 2" xfId="2606"/>
    <cellStyle name="计算" xfId="2608"/>
    <cellStyle name="계산 10" xfId="2609"/>
    <cellStyle name="计算 10" xfId="7768"/>
    <cellStyle name="계산 10 10" xfId="15994"/>
    <cellStyle name="계산 10 11" xfId="29992"/>
    <cellStyle name="계산 10 12" xfId="32444"/>
    <cellStyle name="계산 10 13" xfId="38696"/>
    <cellStyle name="계산 10 14" xfId="50923"/>
    <cellStyle name="계산 10 15" xfId="50858"/>
    <cellStyle name="계산 10 2" xfId="6252"/>
    <cellStyle name="计算 10 2" xfId="20996"/>
    <cellStyle name="계산 10 2 2" xfId="10986"/>
    <cellStyle name="계산 10 2 2 2" xfId="24214"/>
    <cellStyle name="계산 10 2 2 3" xfId="33616"/>
    <cellStyle name="계산 10 2 2 4" xfId="44750"/>
    <cellStyle name="계산 10 2 2 5" xfId="39597"/>
    <cellStyle name="계산 10 2 3" xfId="9068"/>
    <cellStyle name="계산 10 2 3 2" xfId="22296"/>
    <cellStyle name="계산 10 2 3 3" xfId="36042"/>
    <cellStyle name="계산 10 2 3 4" xfId="41935"/>
    <cellStyle name="계산 10 2 3 5" xfId="48769"/>
    <cellStyle name="계산 10 2 4" xfId="19480"/>
    <cellStyle name="계산 10 2 4 2" xfId="30347"/>
    <cellStyle name="계산 10 2 4 3" xfId="16768"/>
    <cellStyle name="계산 10 2 4 4" xfId="29092"/>
    <cellStyle name="계산 10 2 5" xfId="37487"/>
    <cellStyle name="계산 10 2 5 2" xfId="43407"/>
    <cellStyle name="계산 10 2 5 3" xfId="50241"/>
    <cellStyle name="계산 10 2 6" xfId="29304"/>
    <cellStyle name="계산 10 2 7" xfId="16003"/>
    <cellStyle name="계산 10 2 8" xfId="40046"/>
    <cellStyle name="계산 10 2 9" xfId="16471"/>
    <cellStyle name="계산 10 3" xfId="9487"/>
    <cellStyle name="计算 10 3" xfId="30873"/>
    <cellStyle name="계산 10 3 10" xfId="40341"/>
    <cellStyle name="계산 10 3 11" xfId="44287"/>
    <cellStyle name="계산 10 3 2" xfId="13124"/>
    <cellStyle name="계산 10 3 2 2" xfId="26352"/>
    <cellStyle name="계산 10 3 2 3" xfId="32604"/>
    <cellStyle name="계산 10 3 2 4" xfId="38824"/>
    <cellStyle name="계산 10 3 2 5" xfId="47563"/>
    <cellStyle name="계산 10 3 3" xfId="7479"/>
    <cellStyle name="계산 10 3 3 2" xfId="20707"/>
    <cellStyle name="계산 10 3 3 3" xfId="35100"/>
    <cellStyle name="계산 10 3 3 4" xfId="45890"/>
    <cellStyle name="계산 10 3 3 5" xfId="47803"/>
    <cellStyle name="계산 10 3 4" xfId="8649"/>
    <cellStyle name="계산 10 3 4 2" xfId="21877"/>
    <cellStyle name="계산 10 3 4 3" xfId="30942"/>
    <cellStyle name="계산 10 3 4 4" xfId="17011"/>
    <cellStyle name="계산 10 3 4 5" xfId="28795"/>
    <cellStyle name="계산 10 3 5" xfId="7345"/>
    <cellStyle name="계산 10 3 5 2" xfId="20573"/>
    <cellStyle name="계산 10 3 5 3" xfId="41721"/>
    <cellStyle name="계산 10 3 5 4" xfId="48555"/>
    <cellStyle name="계산 10 3 6" xfId="22715"/>
    <cellStyle name="계산 10 3 6 2" xfId="37193"/>
    <cellStyle name="계산 10 3 6 3" xfId="43112"/>
    <cellStyle name="계산 10 3 6 4" xfId="49946"/>
    <cellStyle name="계산 10 3 7" xfId="34890"/>
    <cellStyle name="계산 10 3 7 2" xfId="40888"/>
    <cellStyle name="계산 10 3 7 3" xfId="32969"/>
    <cellStyle name="계산 10 3 8" xfId="28293"/>
    <cellStyle name="계산 10 3 9" xfId="34527"/>
    <cellStyle name="계산 10 4" xfId="7769"/>
    <cellStyle name="计算 10 4" xfId="16968"/>
    <cellStyle name="계산 10 4 2" xfId="20997"/>
    <cellStyle name="계산 10 4 3" xfId="41496"/>
    <cellStyle name="계산 10 4 4" xfId="46289"/>
    <cellStyle name="계산 10 4 5" xfId="48330"/>
    <cellStyle name="계산 10 5" xfId="7437"/>
    <cellStyle name="计算 10 5" xfId="15707"/>
    <cellStyle name="계산 10 5 2" xfId="20665"/>
    <cellStyle name="계산 10 5 3" xfId="32072"/>
    <cellStyle name="계산 10 5 4" xfId="38295"/>
    <cellStyle name="계산 10 5 5" xfId="29065"/>
    <cellStyle name="계산 10 6" xfId="13595"/>
    <cellStyle name="计算 10 6" xfId="34075"/>
    <cellStyle name="계산 10 6 2" xfId="26823"/>
    <cellStyle name="계산 10 6 3" xfId="30321"/>
    <cellStyle name="계산 10 6 4" xfId="14652"/>
    <cellStyle name="계산 10 6 5" xfId="44583"/>
    <cellStyle name="계산 10 7" xfId="7734"/>
    <cellStyle name="계산 10 7 2" xfId="20962"/>
    <cellStyle name="계산 10 7 3" xfId="30850"/>
    <cellStyle name="계산 10 7 4" xfId="16963"/>
    <cellStyle name="계산 10 7 5" xfId="29934"/>
    <cellStyle name="계산 10 8" xfId="14484"/>
    <cellStyle name="계산 10 8 2" xfId="27712"/>
    <cellStyle name="계산 10 8 3" xfId="34846"/>
    <cellStyle name="계산 10 8 4" xfId="40845"/>
    <cellStyle name="계산 10 8 5" xfId="17619"/>
    <cellStyle name="계산 10 9" xfId="16368"/>
    <cellStyle name="계산 11" xfId="4602"/>
    <cellStyle name="计算 11" xfId="7436"/>
    <cellStyle name="계산 11 10" xfId="34382"/>
    <cellStyle name="계산 11 11" xfId="33021"/>
    <cellStyle name="계산 11 12" xfId="27968"/>
    <cellStyle name="계산 11 13" xfId="50924"/>
    <cellStyle name="계산 11 14" xfId="50857"/>
    <cellStyle name="계산 11 2" xfId="6598"/>
    <cellStyle name="计算 11 2" xfId="20664"/>
    <cellStyle name="계산 11 2 2" xfId="11332"/>
    <cellStyle name="계산 11 2 2 2" xfId="24560"/>
    <cellStyle name="계산 11 2 2 3" xfId="33962"/>
    <cellStyle name="계산 11 2 2 4" xfId="45027"/>
    <cellStyle name="계산 11 2 2 5" xfId="32476"/>
    <cellStyle name="계산 11 2 3" xfId="8276"/>
    <cellStyle name="계산 11 2 3 2" xfId="21504"/>
    <cellStyle name="계산 11 2 3 3" xfId="36387"/>
    <cellStyle name="계산 11 2 3 4" xfId="42280"/>
    <cellStyle name="계산 11 2 3 5" xfId="49114"/>
    <cellStyle name="계산 11 2 4" xfId="19826"/>
    <cellStyle name="계산 11 2 4 2" xfId="31234"/>
    <cellStyle name="계산 11 2 4 3" xfId="17136"/>
    <cellStyle name="계산 11 2 4 4" xfId="32500"/>
    <cellStyle name="계산 11 2 5" xfId="30665"/>
    <cellStyle name="계산 11 2 5 2" xfId="27750"/>
    <cellStyle name="계산 11 2 5 3" xfId="47427"/>
    <cellStyle name="계산 11 2 6" xfId="29650"/>
    <cellStyle name="계산 11 2 7" xfId="14596"/>
    <cellStyle name="계산 11 2 8" xfId="32450"/>
    <cellStyle name="계산 11 2 9" xfId="44534"/>
    <cellStyle name="계산 11 3" xfId="9810"/>
    <cellStyle name="计算 11 3" xfId="36780"/>
    <cellStyle name="계산 11 3 10" xfId="38461"/>
    <cellStyle name="계산 11 3 11" xfId="33204"/>
    <cellStyle name="계산 11 3 2" xfId="13447"/>
    <cellStyle name="계산 11 3 2 2" xfId="26675"/>
    <cellStyle name="계산 11 3 2 3" xfId="32927"/>
    <cellStyle name="계산 11 3 2 4" xfId="39147"/>
    <cellStyle name="계산 11 3 2 5" xfId="47519"/>
    <cellStyle name="계산 11 3 3" xfId="9154"/>
    <cellStyle name="계산 11 3 3 2" xfId="22382"/>
    <cellStyle name="계산 11 3 3 3" xfId="35423"/>
    <cellStyle name="계산 11 3 3 4" xfId="46145"/>
    <cellStyle name="계산 11 3 3 5" xfId="48126"/>
    <cellStyle name="계산 11 3 4" xfId="14083"/>
    <cellStyle name="계산 11 3 4 2" xfId="27311"/>
    <cellStyle name="계산 11 3 4 3" xfId="31169"/>
    <cellStyle name="계산 11 3 4 4" xfId="17763"/>
    <cellStyle name="계산 11 3 4 5" xfId="16499"/>
    <cellStyle name="계산 11 3 5" xfId="7277"/>
    <cellStyle name="계산 11 3 5 2" xfId="20505"/>
    <cellStyle name="계산 11 3 5 3" xfId="42822"/>
    <cellStyle name="계산 11 3 5 4" xfId="49656"/>
    <cellStyle name="계산 11 3 6" xfId="23038"/>
    <cellStyle name="계산 11 3 6 2" xfId="30614"/>
    <cellStyle name="계산 11 3 6 3" xfId="14683"/>
    <cellStyle name="계산 11 3 6 4" xfId="34174"/>
    <cellStyle name="계산 11 3 7" xfId="31988"/>
    <cellStyle name="계산 11 3 7 2" xfId="38211"/>
    <cellStyle name="계산 11 3 7 3" xfId="17793"/>
    <cellStyle name="계산 11 3 8" xfId="28616"/>
    <cellStyle name="계산 11 3 9" xfId="34488"/>
    <cellStyle name="계산 11 4" xfId="8669"/>
    <cellStyle name="计算 11 4" xfId="42687"/>
    <cellStyle name="계산 11 4 2" xfId="21897"/>
    <cellStyle name="계산 11 4 3" xfId="14645"/>
    <cellStyle name="계산 11 4 4" xfId="29936"/>
    <cellStyle name="계산 11 4 5" xfId="44351"/>
    <cellStyle name="계산 11 5" xfId="13697"/>
    <cellStyle name="计算 11 5" xfId="46964"/>
    <cellStyle name="계산 11 5 2" xfId="26925"/>
    <cellStyle name="계산 11 5 3" xfId="37519"/>
    <cellStyle name="계산 11 5 4" xfId="43440"/>
    <cellStyle name="계산 11 5 5" xfId="50274"/>
    <cellStyle name="계산 11 6" xfId="12890"/>
    <cellStyle name="计算 11 6" xfId="49521"/>
    <cellStyle name="계산 11 6 2" xfId="26118"/>
    <cellStyle name="계산 11 6 3" xfId="30841"/>
    <cellStyle name="계산 11 6 4" xfId="16959"/>
    <cellStyle name="계산 11 6 5" xfId="40353"/>
    <cellStyle name="계산 11 7" xfId="13588"/>
    <cellStyle name="계산 11 7 2" xfId="26816"/>
    <cellStyle name="계산 11 7 3" xfId="37521"/>
    <cellStyle name="계산 11 7 4" xfId="43442"/>
    <cellStyle name="계산 11 7 5" xfId="50276"/>
    <cellStyle name="계산 11 8" xfId="17943"/>
    <cellStyle name="계산 11 9" xfId="15179"/>
    <cellStyle name="계산 12" xfId="4601"/>
    <cellStyle name="计算 12" xfId="14201"/>
    <cellStyle name="계산 12 10" xfId="36737"/>
    <cellStyle name="계산 12 11" xfId="38434"/>
    <cellStyle name="계산 12 12" xfId="50925"/>
    <cellStyle name="계산 12 13" xfId="50856"/>
    <cellStyle name="계산 12 2" xfId="6597"/>
    <cellStyle name="计算 12 2" xfId="27429"/>
    <cellStyle name="계산 12 2 2" xfId="11331"/>
    <cellStyle name="계산 12 2 2 2" xfId="24559"/>
    <cellStyle name="계산 12 2 2 3" xfId="33961"/>
    <cellStyle name="계산 12 2 2 4" xfId="45026"/>
    <cellStyle name="계산 12 2 2 5" xfId="41254"/>
    <cellStyle name="계산 12 2 3" xfId="6827"/>
    <cellStyle name="계산 12 2 3 2" xfId="20055"/>
    <cellStyle name="계산 12 2 3 3" xfId="36386"/>
    <cellStyle name="계산 12 2 3 4" xfId="42279"/>
    <cellStyle name="계산 12 2 3 5" xfId="49113"/>
    <cellStyle name="계산 12 2 4" xfId="19825"/>
    <cellStyle name="계산 12 2 4 2" xfId="29769"/>
    <cellStyle name="계산 12 2 4 3" xfId="16330"/>
    <cellStyle name="계산 12 2 4 4" xfId="44045"/>
    <cellStyle name="계산 12 2 5" xfId="31399"/>
    <cellStyle name="계산 12 2 5 2" xfId="18475"/>
    <cellStyle name="계산 12 2 5 3" xfId="17450"/>
    <cellStyle name="계산 12 2 6" xfId="29649"/>
    <cellStyle name="계산 12 2 7" xfId="16261"/>
    <cellStyle name="계산 12 2 8" xfId="41150"/>
    <cellStyle name="계산 12 2 9" xfId="15821"/>
    <cellStyle name="계산 12 3" xfId="9809"/>
    <cellStyle name="计算 12 3" xfId="37278"/>
    <cellStyle name="계산 12 3 10" xfId="15785"/>
    <cellStyle name="계산 12 3 11" xfId="45569"/>
    <cellStyle name="계산 12 3 2" xfId="13446"/>
    <cellStyle name="계산 12 3 2 2" xfId="26674"/>
    <cellStyle name="계산 12 3 2 3" xfId="32926"/>
    <cellStyle name="계산 12 3 2 4" xfId="39146"/>
    <cellStyle name="계산 12 3 2 5" xfId="46263"/>
    <cellStyle name="계산 12 3 3" xfId="8581"/>
    <cellStyle name="계산 12 3 3 2" xfId="21809"/>
    <cellStyle name="계산 12 3 3 3" xfId="35422"/>
    <cellStyle name="계산 12 3 3 4" xfId="46144"/>
    <cellStyle name="계산 12 3 3 5" xfId="48125"/>
    <cellStyle name="계산 12 3 4" xfId="8524"/>
    <cellStyle name="계산 12 3 4 2" xfId="21752"/>
    <cellStyle name="계산 12 3 4 3" xfId="31168"/>
    <cellStyle name="계산 12 3 4 4" xfId="17086"/>
    <cellStyle name="계산 12 3 4 5" xfId="29928"/>
    <cellStyle name="계산 12 3 5" xfId="12762"/>
    <cellStyle name="계산 12 3 5 2" xfId="25990"/>
    <cellStyle name="계산 12 3 5 3" xfId="41727"/>
    <cellStyle name="계산 12 3 5 4" xfId="48561"/>
    <cellStyle name="계산 12 3 6" xfId="23037"/>
    <cellStyle name="계산 12 3 6 2" xfId="32316"/>
    <cellStyle name="계산 12 3 6 3" xfId="38534"/>
    <cellStyle name="계산 12 3 6 4" xfId="41311"/>
    <cellStyle name="계산 12 3 7" xfId="32366"/>
    <cellStyle name="계산 12 3 7 2" xfId="38584"/>
    <cellStyle name="계산 12 3 7 3" xfId="47299"/>
    <cellStyle name="계산 12 3 8" xfId="28615"/>
    <cellStyle name="계산 12 3 9" xfId="33319"/>
    <cellStyle name="계산 12 4" xfId="8668"/>
    <cellStyle name="计算 12 4" xfId="43198"/>
    <cellStyle name="계산 12 4 2" xfId="21896"/>
    <cellStyle name="계산 12 4 3" xfId="42708"/>
    <cellStyle name="계산 12 4 4" xfId="46975"/>
    <cellStyle name="계산 12 4 5" xfId="49542"/>
    <cellStyle name="계산 12 5" xfId="7332"/>
    <cellStyle name="计算 12 5" xfId="47280"/>
    <cellStyle name="계산 12 5 2" xfId="20560"/>
    <cellStyle name="계산 12 5 3" xfId="37732"/>
    <cellStyle name="계산 12 5 4" xfId="43655"/>
    <cellStyle name="계산 12 5 5" xfId="50489"/>
    <cellStyle name="계산 12 6" xfId="14265"/>
    <cellStyle name="计算 12 6" xfId="50032"/>
    <cellStyle name="계산 12 6 2" xfId="27493"/>
    <cellStyle name="계산 12 6 3" xfId="35586"/>
    <cellStyle name="계산 12 6 4" xfId="41462"/>
    <cellStyle name="계산 12 6 5" xfId="48296"/>
    <cellStyle name="계산 12 7" xfId="17942"/>
    <cellStyle name="계산 12 8" xfId="15180"/>
    <cellStyle name="계산 12 9" xfId="33125"/>
    <cellStyle name="계산 13" xfId="4658"/>
    <cellStyle name="计算 13" xfId="12956"/>
    <cellStyle name="계산 13 10" xfId="45468"/>
    <cellStyle name="계산 13 11" xfId="50926"/>
    <cellStyle name="계산 13 12" xfId="50855"/>
    <cellStyle name="계산 13 2" xfId="6606"/>
    <cellStyle name="计算 13 2" xfId="26184"/>
    <cellStyle name="계산 13 2 2" xfId="11340"/>
    <cellStyle name="계산 13 2 2 2" xfId="24568"/>
    <cellStyle name="계산 13 2 2 3" xfId="33970"/>
    <cellStyle name="계산 13 2 2 4" xfId="45035"/>
    <cellStyle name="계산 13 2 2 5" xfId="41256"/>
    <cellStyle name="계산 13 2 3" xfId="8683"/>
    <cellStyle name="계산 13 2 3 2" xfId="21911"/>
    <cellStyle name="계산 13 2 3 3" xfId="36395"/>
    <cellStyle name="계산 13 2 3 4" xfId="42288"/>
    <cellStyle name="계산 13 2 3 5" xfId="49122"/>
    <cellStyle name="계산 13 2 4" xfId="19834"/>
    <cellStyle name="계산 13 2 4 2" xfId="32052"/>
    <cellStyle name="계산 13 2 4 3" xfId="38275"/>
    <cellStyle name="계산 13 2 4 4" xfId="28679"/>
    <cellStyle name="계산 13 2 5" xfId="34745"/>
    <cellStyle name="계산 13 2 5 2" xfId="40737"/>
    <cellStyle name="계산 13 2 5 3" xfId="29963"/>
    <cellStyle name="계산 13 2 6" xfId="29658"/>
    <cellStyle name="계산 13 2 7" xfId="16268"/>
    <cellStyle name="계산 13 2 8" xfId="28651"/>
    <cellStyle name="계산 13 2 9" xfId="43999"/>
    <cellStyle name="계산 13 3" xfId="9817"/>
    <cellStyle name="计算 13 3" xfId="30793"/>
    <cellStyle name="계산 13 3 10" xfId="29941"/>
    <cellStyle name="계산 13 3 11" xfId="15834"/>
    <cellStyle name="계산 13 3 2" xfId="13454"/>
    <cellStyle name="계산 13 3 2 2" xfId="26682"/>
    <cellStyle name="계산 13 3 2 3" xfId="32934"/>
    <cellStyle name="계산 13 3 2 4" xfId="39154"/>
    <cellStyle name="계산 13 3 2 5" xfId="39804"/>
    <cellStyle name="계산 13 3 3" xfId="13788"/>
    <cellStyle name="계산 13 3 3 2" xfId="27016"/>
    <cellStyle name="계산 13 3 3 3" xfId="35430"/>
    <cellStyle name="계산 13 3 3 4" xfId="46152"/>
    <cellStyle name="계산 13 3 3 5" xfId="48133"/>
    <cellStyle name="계산 13 3 4" xfId="14191"/>
    <cellStyle name="계산 13 3 4 2" xfId="27419"/>
    <cellStyle name="계산 13 3 4 3" xfId="31176"/>
    <cellStyle name="계산 13 3 4 4" xfId="17093"/>
    <cellStyle name="계산 13 3 4 5" xfId="45612"/>
    <cellStyle name="계산 13 3 5" xfId="7909"/>
    <cellStyle name="계산 13 3 5 2" xfId="21137"/>
    <cellStyle name="계산 13 3 5 3" xfId="41050"/>
    <cellStyle name="계산 13 3 5 4" xfId="47746"/>
    <cellStyle name="계산 13 3 6" xfId="23045"/>
    <cellStyle name="계산 13 3 6 2" xfId="36676"/>
    <cellStyle name="계산 13 3 6 3" xfId="42579"/>
    <cellStyle name="계산 13 3 6 4" xfId="49413"/>
    <cellStyle name="계산 13 3 7" xfId="37756"/>
    <cellStyle name="계산 13 3 7 2" xfId="43680"/>
    <cellStyle name="계산 13 3 7 3" xfId="50514"/>
    <cellStyle name="계산 13 3 8" xfId="28623"/>
    <cellStyle name="계산 13 3 9" xfId="33163"/>
    <cellStyle name="계산 13 4" xfId="8681"/>
    <cellStyle name="计算 13 4" xfId="16938"/>
    <cellStyle name="계산 13 4 2" xfId="21909"/>
    <cellStyle name="계산 13 4 3" xfId="17235"/>
    <cellStyle name="계산 13 4 4" xfId="33036"/>
    <cellStyle name="계산 13 4 5" xfId="40063"/>
    <cellStyle name="계산 13 5" xfId="13594"/>
    <cellStyle name="计算 13 5" xfId="27833"/>
    <cellStyle name="계산 13 5 2" xfId="26822"/>
    <cellStyle name="계산 13 5 3" xfId="37399"/>
    <cellStyle name="계산 13 5 4" xfId="43319"/>
    <cellStyle name="계산 13 5 5" xfId="50153"/>
    <cellStyle name="계산 13 6" xfId="17986"/>
    <cellStyle name="计算 13 6" xfId="29021"/>
    <cellStyle name="계산 13 7" xfId="17812"/>
    <cellStyle name="계산 13 8" xfId="27911"/>
    <cellStyle name="계산 13 9" xfId="15793"/>
    <cellStyle name="계산 14" xfId="4668"/>
    <cellStyle name="计算 14" xfId="7314"/>
    <cellStyle name="계산 14 10" xfId="50927"/>
    <cellStyle name="계산 14 11" xfId="50854"/>
    <cellStyle name="계산 14 2" xfId="6612"/>
    <cellStyle name="计算 14 2" xfId="20542"/>
    <cellStyle name="계산 14 2 2" xfId="11346"/>
    <cellStyle name="계산 14 2 2 2" xfId="24574"/>
    <cellStyle name="계산 14 2 2 3" xfId="33976"/>
    <cellStyle name="계산 14 2 2 4" xfId="45041"/>
    <cellStyle name="계산 14 2 2 5" xfId="41257"/>
    <cellStyle name="계산 14 2 3" xfId="8724"/>
    <cellStyle name="계산 14 2 3 2" xfId="21952"/>
    <cellStyle name="계산 14 2 3 3" xfId="36401"/>
    <cellStyle name="계산 14 2 3 4" xfId="42294"/>
    <cellStyle name="계산 14 2 3 5" xfId="49128"/>
    <cellStyle name="계산 14 2 4" xfId="19840"/>
    <cellStyle name="계산 14 2 4 2" xfId="30500"/>
    <cellStyle name="계산 14 2 4 3" xfId="17870"/>
    <cellStyle name="계산 14 2 4 4" xfId="27945"/>
    <cellStyle name="계산 14 2 5" xfId="37141"/>
    <cellStyle name="계산 14 2 5 2" xfId="43060"/>
    <cellStyle name="계산 14 2 5 3" xfId="49894"/>
    <cellStyle name="계산 14 2 6" xfId="29664"/>
    <cellStyle name="계산 14 2 7" xfId="16274"/>
    <cellStyle name="계산 14 2 8" xfId="28681"/>
    <cellStyle name="계산 14 2 9" xfId="45347"/>
    <cellStyle name="계산 14 3" xfId="9823"/>
    <cellStyle name="计算 14 3" xfId="30118"/>
    <cellStyle name="계산 14 3 10" xfId="40446"/>
    <cellStyle name="계산 14 3 11" xfId="44325"/>
    <cellStyle name="계산 14 3 2" xfId="13460"/>
    <cellStyle name="계산 14 3 2 2" xfId="26688"/>
    <cellStyle name="계산 14 3 2 3" xfId="32940"/>
    <cellStyle name="계산 14 3 2 4" xfId="39160"/>
    <cellStyle name="계산 14 3 2 5" xfId="32253"/>
    <cellStyle name="계산 14 3 3" xfId="13785"/>
    <cellStyle name="계산 14 3 3 2" xfId="27013"/>
    <cellStyle name="계산 14 3 3 3" xfId="35436"/>
    <cellStyle name="계산 14 3 3 4" xfId="46158"/>
    <cellStyle name="계산 14 3 3 5" xfId="48139"/>
    <cellStyle name="계산 14 3 4" xfId="13720"/>
    <cellStyle name="계산 14 3 4 2" xfId="26948"/>
    <cellStyle name="계산 14 3 4 3" xfId="31179"/>
    <cellStyle name="계산 14 3 4 4" xfId="18625"/>
    <cellStyle name="계산 14 3 4 5" xfId="46257"/>
    <cellStyle name="계산 14 3 5" xfId="12809"/>
    <cellStyle name="계산 14 3 5 2" xfId="26037"/>
    <cellStyle name="계산 14 3 5 3" xfId="42561"/>
    <cellStyle name="계산 14 3 5 4" xfId="49395"/>
    <cellStyle name="계산 14 3 6" xfId="23051"/>
    <cellStyle name="계산 14 3 6 2" xfId="30839"/>
    <cellStyle name="계산 14 3 6 3" xfId="17845"/>
    <cellStyle name="계산 14 3 6 4" xfId="39616"/>
    <cellStyle name="계산 14 3 7" xfId="36917"/>
    <cellStyle name="계산 14 3 7 2" xfId="42832"/>
    <cellStyle name="계산 14 3 7 3" xfId="49666"/>
    <cellStyle name="계산 14 3 8" xfId="28629"/>
    <cellStyle name="계산 14 3 9" xfId="28727"/>
    <cellStyle name="계산 14 4" xfId="8691"/>
    <cellStyle name="计算 14 4" xfId="14634"/>
    <cellStyle name="계산 14 4 2" xfId="21919"/>
    <cellStyle name="계산 14 4 3" xfId="37944"/>
    <cellStyle name="계산 14 4 4" xfId="15561"/>
    <cellStyle name="계산 14 4 5" xfId="15658"/>
    <cellStyle name="계산 14 5" xfId="17996"/>
    <cellStyle name="计算 14 5" xfId="41079"/>
    <cellStyle name="계산 14 6" xfId="17948"/>
    <cellStyle name="计算 14 6" xfId="40336"/>
    <cellStyle name="계산 14 7" xfId="32182"/>
    <cellStyle name="계산 14 8" xfId="40171"/>
    <cellStyle name="계산 14 9" xfId="40138"/>
    <cellStyle name="계산 15" xfId="4665"/>
    <cellStyle name="计算 15" xfId="16367"/>
    <cellStyle name="계산 15 10" xfId="50853"/>
    <cellStyle name="계산 15 2" xfId="6609"/>
    <cellStyle name="计算 15 2" xfId="43756"/>
    <cellStyle name="계산 15 2 2" xfId="11343"/>
    <cellStyle name="계산 15 2 2 2" xfId="24571"/>
    <cellStyle name="계산 15 2 2 3" xfId="33973"/>
    <cellStyle name="계산 15 2 2 4" xfId="45038"/>
    <cellStyle name="계산 15 2 2 5" xfId="39947"/>
    <cellStyle name="계산 15 2 3" xfId="8697"/>
    <cellStyle name="계산 15 2 3 2" xfId="21925"/>
    <cellStyle name="계산 15 2 3 3" xfId="36398"/>
    <cellStyle name="계산 15 2 3 4" xfId="42291"/>
    <cellStyle name="계산 15 2 3 5" xfId="49125"/>
    <cellStyle name="계산 15 2 4" xfId="19837"/>
    <cellStyle name="계산 15 2 4 2" xfId="37156"/>
    <cellStyle name="계산 15 2 4 3" xfId="43075"/>
    <cellStyle name="계산 15 2 4 4" xfId="49909"/>
    <cellStyle name="계산 15 2 5" xfId="35647"/>
    <cellStyle name="계산 15 2 5 2" xfId="41527"/>
    <cellStyle name="계산 15 2 5 3" xfId="48361"/>
    <cellStyle name="계산 15 2 6" xfId="29661"/>
    <cellStyle name="계산 15 2 7" xfId="16271"/>
    <cellStyle name="계산 15 2 8" xfId="40031"/>
    <cellStyle name="계산 15 2 9" xfId="45385"/>
    <cellStyle name="계산 15 3" xfId="9820"/>
    <cellStyle name="计算 15 3" xfId="50590"/>
    <cellStyle name="계산 15 3 10" xfId="40337"/>
    <cellStyle name="계산 15 3 2" xfId="13457"/>
    <cellStyle name="계산 15 3 2 2" xfId="26685"/>
    <cellStyle name="계산 15 3 2 3" xfId="32937"/>
    <cellStyle name="계산 15 3 2 4" xfId="39157"/>
    <cellStyle name="계산 15 3 2 5" xfId="32520"/>
    <cellStyle name="계산 15 3 3" xfId="7714"/>
    <cellStyle name="계산 15 3 3 2" xfId="20942"/>
    <cellStyle name="계산 15 3 3 3" xfId="35433"/>
    <cellStyle name="계산 15 3 3 4" xfId="46155"/>
    <cellStyle name="계산 15 3 3 5" xfId="48136"/>
    <cellStyle name="계산 15 3 4" xfId="8487"/>
    <cellStyle name="계산 15 3 4 2" xfId="21715"/>
    <cellStyle name="계산 15 3 4 3" xfId="31178"/>
    <cellStyle name="계산 15 3 4 4" xfId="14723"/>
    <cellStyle name="계산 15 3 4 5" xfId="47444"/>
    <cellStyle name="계산 15 3 5" xfId="7282"/>
    <cellStyle name="계산 15 3 5 2" xfId="20510"/>
    <cellStyle name="계산 15 3 5 3" xfId="41703"/>
    <cellStyle name="계산 15 3 5 4" xfId="48537"/>
    <cellStyle name="계산 15 3 6" xfId="23048"/>
    <cellStyle name="계산 15 3 6 2" xfId="30468"/>
    <cellStyle name="계산 15 3 6 3" xfId="15156"/>
    <cellStyle name="계산 15 3 6 4" xfId="28837"/>
    <cellStyle name="계산 15 3 7" xfId="37023"/>
    <cellStyle name="계산 15 3 7 2" xfId="42942"/>
    <cellStyle name="계산 15 3 7 3" xfId="49776"/>
    <cellStyle name="계산 15 3 8" xfId="28626"/>
    <cellStyle name="계산 15 3 9" xfId="38727"/>
    <cellStyle name="계산 15 4" xfId="8688"/>
    <cellStyle name="계산 15 4 2" xfId="21916"/>
    <cellStyle name="계산 15 5" xfId="17811"/>
    <cellStyle name="계산 15 6" xfId="33123"/>
    <cellStyle name="계산 15 7" xfId="35549"/>
    <cellStyle name="계산 15 8" xfId="45517"/>
    <cellStyle name="계산 15 9" xfId="50928"/>
    <cellStyle name="계산 16" xfId="4666"/>
    <cellStyle name="计算 16" xfId="15995"/>
    <cellStyle name="계산 16 2" xfId="6610"/>
    <cellStyle name="계산 16 2 2" xfId="11344"/>
    <cellStyle name="계산 16 2 2 2" xfId="24572"/>
    <cellStyle name="계산 16 2 2 3" xfId="33974"/>
    <cellStyle name="계산 16 2 2 4" xfId="45039"/>
    <cellStyle name="계산 16 2 2 5" xfId="33134"/>
    <cellStyle name="계산 16 2 3" xfId="8701"/>
    <cellStyle name="계산 16 2 3 2" xfId="21929"/>
    <cellStyle name="계산 16 2 3 3" xfId="36399"/>
    <cellStyle name="계산 16 2 3 4" xfId="42292"/>
    <cellStyle name="계산 16 2 3 5" xfId="49126"/>
    <cellStyle name="계산 16 2 4" xfId="19838"/>
    <cellStyle name="계산 16 2 4 2" xfId="30374"/>
    <cellStyle name="계산 16 2 4 3" xfId="16783"/>
    <cellStyle name="계산 16 2 4 4" xfId="44525"/>
    <cellStyle name="계산 16 2 5" xfId="31940"/>
    <cellStyle name="계산 16 2 5 2" xfId="38162"/>
    <cellStyle name="계산 16 2 5 3" xfId="28120"/>
    <cellStyle name="계산 16 2 6" xfId="29662"/>
    <cellStyle name="계산 16 2 7" xfId="16272"/>
    <cellStyle name="계산 16 2 8" xfId="39521"/>
    <cellStyle name="계산 16 3" xfId="9821"/>
    <cellStyle name="계산 16 3 10" xfId="43860"/>
    <cellStyle name="계산 16 3 2" xfId="13458"/>
    <cellStyle name="계산 16 3 2 2" xfId="26686"/>
    <cellStyle name="계산 16 3 2 3" xfId="32938"/>
    <cellStyle name="계산 16 3 2 4" xfId="39158"/>
    <cellStyle name="계산 16 3 2 5" xfId="47410"/>
    <cellStyle name="계산 16 3 3" xfId="13786"/>
    <cellStyle name="계산 16 3 3 2" xfId="27014"/>
    <cellStyle name="계산 16 3 3 3" xfId="35434"/>
    <cellStyle name="계산 16 3 3 4" xfId="46156"/>
    <cellStyle name="계산 16 3 3 5" xfId="48137"/>
    <cellStyle name="계산 16 3 4" xfId="8457"/>
    <cellStyle name="계산 16 3 4 2" xfId="21685"/>
    <cellStyle name="계산 16 3 4 3" xfId="34851"/>
    <cellStyle name="계산 16 3 4 4" xfId="40850"/>
    <cellStyle name="계산 16 3 4 5" xfId="33038"/>
    <cellStyle name="계산 16 3 5" xfId="6712"/>
    <cellStyle name="계산 16 3 5 2" xfId="19940"/>
    <cellStyle name="계산 16 3 5 3" xfId="42794"/>
    <cellStyle name="계산 16 3 5 4" xfId="49628"/>
    <cellStyle name="계산 16 3 6" xfId="23049"/>
    <cellStyle name="계산 16 3 6 2" xfId="37291"/>
    <cellStyle name="계산 16 3 6 3" xfId="43211"/>
    <cellStyle name="계산 16 3 6 4" xfId="50045"/>
    <cellStyle name="계산 16 3 7" xfId="35057"/>
    <cellStyle name="계산 16 3 7 2" xfId="41064"/>
    <cellStyle name="계산 16 3 7 3" xfId="47760"/>
    <cellStyle name="계산 16 3 8" xfId="28627"/>
    <cellStyle name="계산 16 3 9" xfId="28202"/>
    <cellStyle name="계산 16 4" xfId="8689"/>
    <cellStyle name="계산 16 4 2" xfId="21917"/>
    <cellStyle name="계산 16 5" xfId="34380"/>
    <cellStyle name="계산 16 6" xfId="34301"/>
    <cellStyle name="계산 16 7" xfId="34543"/>
    <cellStyle name="계산 16 8" xfId="50929"/>
    <cellStyle name="계산 16 9" xfId="50852"/>
    <cellStyle name="계산 17" xfId="4664"/>
    <cellStyle name="计算 17" xfId="14759"/>
    <cellStyle name="계산 17 2" xfId="6608"/>
    <cellStyle name="계산 17 2 2" xfId="11342"/>
    <cellStyle name="계산 17 2 2 2" xfId="24570"/>
    <cellStyle name="계산 17 2 2 3" xfId="33972"/>
    <cellStyle name="계산 17 2 2 4" xfId="45037"/>
    <cellStyle name="계산 17 2 2 5" xfId="34343"/>
    <cellStyle name="계산 17 2 3" xfId="8702"/>
    <cellStyle name="계산 17 2 3 2" xfId="21930"/>
    <cellStyle name="계산 17 2 3 3" xfId="36397"/>
    <cellStyle name="계산 17 2 3 4" xfId="42290"/>
    <cellStyle name="계산 17 2 3 5" xfId="49124"/>
    <cellStyle name="계산 17 2 4" xfId="19836"/>
    <cellStyle name="계산 17 2 4 2" xfId="32001"/>
    <cellStyle name="계산 17 2 4 3" xfId="38224"/>
    <cellStyle name="계산 17 2 4 4" xfId="38773"/>
    <cellStyle name="계산 17 2 5" xfId="35006"/>
    <cellStyle name="계산 17 2 5 2" xfId="41010"/>
    <cellStyle name="계산 17 2 5 3" xfId="47706"/>
    <cellStyle name="계산 17 2 6" xfId="29660"/>
    <cellStyle name="계산 17 2 7" xfId="16270"/>
    <cellStyle name="계산 17 2 8" xfId="44401"/>
    <cellStyle name="계산 17 3" xfId="9819"/>
    <cellStyle name="계산 17 3 10" xfId="45404"/>
    <cellStyle name="계산 17 3 2" xfId="13456"/>
    <cellStyle name="계산 17 3 2 2" xfId="26684"/>
    <cellStyle name="계산 17 3 2 3" xfId="32936"/>
    <cellStyle name="계산 17 3 2 4" xfId="39156"/>
    <cellStyle name="계산 17 3 2 5" xfId="47411"/>
    <cellStyle name="계산 17 3 3" xfId="13787"/>
    <cellStyle name="계산 17 3 3 2" xfId="27015"/>
    <cellStyle name="계산 17 3 3 3" xfId="35432"/>
    <cellStyle name="계산 17 3 3 4" xfId="46154"/>
    <cellStyle name="계산 17 3 3 5" xfId="48135"/>
    <cellStyle name="계산 17 3 4" xfId="14049"/>
    <cellStyle name="계산 17 3 4 2" xfId="27277"/>
    <cellStyle name="계산 17 3 4 3" xfId="31200"/>
    <cellStyle name="계산 17 3 4 4" xfId="17111"/>
    <cellStyle name="계산 17 3 4 5" xfId="46732"/>
    <cellStyle name="계산 17 3 5" xfId="14345"/>
    <cellStyle name="계산 17 3 5 2" xfId="27573"/>
    <cellStyle name="계산 17 3 5 3" xfId="40731"/>
    <cellStyle name="계산 17 3 5 4" xfId="17505"/>
    <cellStyle name="계산 17 3 6" xfId="23047"/>
    <cellStyle name="계산 17 3 6 2" xfId="31292"/>
    <cellStyle name="계산 17 3 6 3" xfId="15169"/>
    <cellStyle name="계산 17 3 6 4" xfId="33157"/>
    <cellStyle name="계산 17 3 7" xfId="36711"/>
    <cellStyle name="계산 17 3 7 2" xfId="42616"/>
    <cellStyle name="계산 17 3 7 3" xfId="49450"/>
    <cellStyle name="계산 17 3 8" xfId="28625"/>
    <cellStyle name="계산 17 3 9" xfId="40148"/>
    <cellStyle name="계산 17 4" xfId="8687"/>
    <cellStyle name="계산 17 4 2" xfId="21915"/>
    <cellStyle name="계산 17 5" xfId="40516"/>
    <cellStyle name="계산 17 6" xfId="44547"/>
    <cellStyle name="계산 17 7" xfId="50930"/>
    <cellStyle name="계산 17 8" xfId="50851"/>
    <cellStyle name="계산 18" xfId="4667"/>
    <cellStyle name="计算 18" xfId="39227"/>
    <cellStyle name="계산 18 2" xfId="6611"/>
    <cellStyle name="계산 18 2 2" xfId="11345"/>
    <cellStyle name="계산 18 2 2 2" xfId="24573"/>
    <cellStyle name="계산 18 2 2 3" xfId="33975"/>
    <cellStyle name="계산 18 2 2 4" xfId="45040"/>
    <cellStyle name="계산 18 2 2 5" xfId="33070"/>
    <cellStyle name="계산 18 2 3" xfId="8723"/>
    <cellStyle name="계산 18 2 3 2" xfId="21951"/>
    <cellStyle name="계산 18 2 3 3" xfId="36400"/>
    <cellStyle name="계산 18 2 3 4" xfId="42293"/>
    <cellStyle name="계산 18 2 3 5" xfId="49127"/>
    <cellStyle name="계산 18 2 4" xfId="19839"/>
    <cellStyle name="계산 18 2 4 2" xfId="34678"/>
    <cellStyle name="계산 18 2 4 3" xfId="40667"/>
    <cellStyle name="계산 18 2 4 4" xfId="28873"/>
    <cellStyle name="계산 18 2 5" xfId="29849"/>
    <cellStyle name="계산 18 2 5 2" xfId="16359"/>
    <cellStyle name="계산 18 2 5 3" xfId="45125"/>
    <cellStyle name="계산 18 2 6" xfId="29663"/>
    <cellStyle name="계산 18 2 7" xfId="16273"/>
    <cellStyle name="계산 18 2 8" xfId="43876"/>
    <cellStyle name="계산 18 3" xfId="9822"/>
    <cellStyle name="계산 18 3 10" xfId="45331"/>
    <cellStyle name="계산 18 3 2" xfId="13459"/>
    <cellStyle name="계산 18 3 2 2" xfId="26687"/>
    <cellStyle name="계산 18 3 2 3" xfId="32939"/>
    <cellStyle name="계산 18 3 2 4" xfId="39159"/>
    <cellStyle name="계산 18 3 2 5" xfId="34138"/>
    <cellStyle name="계산 18 3 3" xfId="7715"/>
    <cellStyle name="계산 18 3 3 2" xfId="20943"/>
    <cellStyle name="계산 18 3 3 3" xfId="35435"/>
    <cellStyle name="계산 18 3 3 4" xfId="46157"/>
    <cellStyle name="계산 18 3 3 5" xfId="48138"/>
    <cellStyle name="계산 18 3 4" xfId="12951"/>
    <cellStyle name="계산 18 3 4 2" xfId="26179"/>
    <cellStyle name="계산 18 3 4 3" xfId="31848"/>
    <cellStyle name="계산 18 3 4 4" xfId="38069"/>
    <cellStyle name="계산 18 3 4 5" xfId="39860"/>
    <cellStyle name="계산 18 3 5" xfId="7283"/>
    <cellStyle name="계산 18 3 5 2" xfId="20511"/>
    <cellStyle name="계산 18 3 5 3" xfId="41346"/>
    <cellStyle name="계산 18 3 5 4" xfId="48180"/>
    <cellStyle name="계산 18 3 6" xfId="23050"/>
    <cellStyle name="계산 18 3 6 2" xfId="30448"/>
    <cellStyle name="계산 18 3 6 3" xfId="16795"/>
    <cellStyle name="계산 18 3 6 4" xfId="47338"/>
    <cellStyle name="계산 18 3 7" xfId="37237"/>
    <cellStyle name="계산 18 3 7 2" xfId="43156"/>
    <cellStyle name="계산 18 3 7 3" xfId="49990"/>
    <cellStyle name="계산 18 3 8" xfId="28628"/>
    <cellStyle name="계산 18 3 9" xfId="39384"/>
    <cellStyle name="계산 18 4" xfId="8690"/>
    <cellStyle name="계산 18 4 2" xfId="21918"/>
    <cellStyle name="계산 18 5" xfId="40465"/>
    <cellStyle name="계산 18 6" xfId="50931"/>
    <cellStyle name="계산 18 7" xfId="50850"/>
    <cellStyle name="계산 19" xfId="4663"/>
    <cellStyle name="计算 19" xfId="33171"/>
    <cellStyle name="계산 19 2" xfId="6607"/>
    <cellStyle name="계산 19 2 2" xfId="11341"/>
    <cellStyle name="계산 19 2 2 2" xfId="24569"/>
    <cellStyle name="계산 19 2 2 3" xfId="33971"/>
    <cellStyle name="계산 19 2 2 4" xfId="45036"/>
    <cellStyle name="계산 19 2 2 5" xfId="33064"/>
    <cellStyle name="계산 19 2 3" xfId="8696"/>
    <cellStyle name="계산 19 2 3 2" xfId="21924"/>
    <cellStyle name="계산 19 2 3 3" xfId="36396"/>
    <cellStyle name="계산 19 2 3 4" xfId="42289"/>
    <cellStyle name="계산 19 2 3 5" xfId="49123"/>
    <cellStyle name="계산 19 2 4" xfId="19835"/>
    <cellStyle name="계산 19 2 4 2" xfId="30375"/>
    <cellStyle name="계산 19 2 4 3" xfId="16785"/>
    <cellStyle name="계산 19 2 4 4" xfId="45495"/>
    <cellStyle name="계산 19 2 5" xfId="35452"/>
    <cellStyle name="계산 19 2 5 2" xfId="41321"/>
    <cellStyle name="계산 19 2 5 3" xfId="48155"/>
    <cellStyle name="계산 19 2 6" xfId="29659"/>
    <cellStyle name="계산 19 2 7" xfId="16269"/>
    <cellStyle name="계산 19 2 8" xfId="15783"/>
    <cellStyle name="계산 19 3" xfId="9818"/>
    <cellStyle name="계산 19 3 10" xfId="44419"/>
    <cellStyle name="계산 19 3 2" xfId="13455"/>
    <cellStyle name="계산 19 3 2 2" xfId="26683"/>
    <cellStyle name="계산 19 3 2 3" xfId="32935"/>
    <cellStyle name="계산 19 3 2 4" xfId="39155"/>
    <cellStyle name="계산 19 3 2 5" xfId="46689"/>
    <cellStyle name="계산 19 3 3" xfId="6752"/>
    <cellStyle name="계산 19 3 3 2" xfId="19980"/>
    <cellStyle name="계산 19 3 3 3" xfId="35431"/>
    <cellStyle name="계산 19 3 3 4" xfId="46153"/>
    <cellStyle name="계산 19 3 3 5" xfId="48134"/>
    <cellStyle name="계산 19 3 4" xfId="13052"/>
    <cellStyle name="계산 19 3 4 2" xfId="26280"/>
    <cellStyle name="계산 19 3 4 3" xfId="31177"/>
    <cellStyle name="계산 19 3 4 4" xfId="17092"/>
    <cellStyle name="계산 19 3 4 5" xfId="15726"/>
    <cellStyle name="계산 19 3 5" xfId="7281"/>
    <cellStyle name="계산 19 3 5 2" xfId="20509"/>
    <cellStyle name="계산 19 3 5 3" xfId="42474"/>
    <cellStyle name="계산 19 3 5 4" xfId="49308"/>
    <cellStyle name="계산 19 3 6" xfId="23046"/>
    <cellStyle name="계산 19 3 6 2" xfId="30567"/>
    <cellStyle name="계산 19 3 6 3" xfId="15279"/>
    <cellStyle name="계산 19 3 6 4" xfId="46935"/>
    <cellStyle name="계산 19 3 7" xfId="32109"/>
    <cellStyle name="계산 19 3 7 2" xfId="38332"/>
    <cellStyle name="계산 19 3 7 3" xfId="34620"/>
    <cellStyle name="계산 19 3 8" xfId="28624"/>
    <cellStyle name="계산 19 3 9" xfId="14771"/>
    <cellStyle name="계산 19 4" xfId="8686"/>
    <cellStyle name="계산 19 4 2" xfId="21914"/>
    <cellStyle name="계산 19 5" xfId="16459"/>
    <cellStyle name="계산 19 6" xfId="50932"/>
    <cellStyle name="계산 19 7" xfId="50849"/>
    <cellStyle name="계산 2" xfId="173"/>
    <cellStyle name="计算 2" xfId="2611"/>
    <cellStyle name="계산 2 10" xfId="2612"/>
    <cellStyle name="计算 2 10" xfId="2613"/>
    <cellStyle name="계산 2 10 10" xfId="7355"/>
    <cellStyle name="计算 2 10 10" xfId="6690"/>
    <cellStyle name="계산 2 10 10 2" xfId="20583"/>
    <cellStyle name="计算 2 10 10 2" xfId="19918"/>
    <cellStyle name="계산 2 10 10 3" xfId="36577"/>
    <cellStyle name="计算 2 10 10 3" xfId="37491"/>
    <cellStyle name="계산 2 10 10 4" xfId="42479"/>
    <cellStyle name="计算 2 10 10 4" xfId="43411"/>
    <cellStyle name="계산 2 10 10 5" xfId="46813"/>
    <cellStyle name="计算 2 10 10 5" xfId="47392"/>
    <cellStyle name="계산 2 10 10 6" xfId="49313"/>
    <cellStyle name="计算 2 10 10 6" xfId="50245"/>
    <cellStyle name="계산 2 10 11" xfId="13022"/>
    <cellStyle name="计算 2 10 11" xfId="14408"/>
    <cellStyle name="계산 2 10 11 2" xfId="26250"/>
    <cellStyle name="计算 2 10 11 2" xfId="27636"/>
    <cellStyle name="계산 2 10 11 3" xfId="37743"/>
    <cellStyle name="计算 2 10 11 3" xfId="30802"/>
    <cellStyle name="계산 2 10 11 4" xfId="43667"/>
    <cellStyle name="计算 2 10 11 4" xfId="15225"/>
    <cellStyle name="계산 2 10 11 5" xfId="47527"/>
    <cellStyle name="计算 2 10 11 5" xfId="15727"/>
    <cellStyle name="계산 2 10 11 6" xfId="50501"/>
    <cellStyle name="计算 2 10 11 6" xfId="39542"/>
    <cellStyle name="계산 2 10 12" xfId="16371"/>
    <cellStyle name="计算 2 10 12" xfId="16372"/>
    <cellStyle name="계산 2 10 12 2" xfId="43759"/>
    <cellStyle name="计算 2 10 12 2" xfId="42787"/>
    <cellStyle name="계산 2 10 12 3" xfId="50593"/>
    <cellStyle name="计算 2 10 12 3" xfId="49621"/>
    <cellStyle name="계산 2 10 13" xfId="15991"/>
    <cellStyle name="计算 2 10 13" xfId="15990"/>
    <cellStyle name="계산 2 10 14" xfId="28179"/>
    <cellStyle name="计算 2 10 14" xfId="33145"/>
    <cellStyle name="계산 2 10 15" xfId="18640"/>
    <cellStyle name="计算 2 10 15" xfId="17521"/>
    <cellStyle name="계산 2 10 16" xfId="15753"/>
    <cellStyle name="计算 2 10 16" xfId="16492"/>
    <cellStyle name="계산 2 10 17" xfId="50935"/>
    <cellStyle name="计算 2 10 17" xfId="50936"/>
    <cellStyle name="계산 2 10 18" xfId="50846"/>
    <cellStyle name="计算 2 10 18" xfId="50845"/>
    <cellStyle name="계산 2 10 2" xfId="6255"/>
    <cellStyle name="计算 2 10 2" xfId="6256"/>
    <cellStyle name="계산 2 10 2 10" xfId="16005"/>
    <cellStyle name="计算 2 10 2 10" xfId="17646"/>
    <cellStyle name="계산 2 10 2 11" xfId="40628"/>
    <cellStyle name="计算 2 10 2 11" xfId="36478"/>
    <cellStyle name="계산 2 10 2 12" xfId="39628"/>
    <cellStyle name="计算 2 10 2 12" xfId="43891"/>
    <cellStyle name="계산 2 10 2 2" xfId="10989"/>
    <cellStyle name="计算 2 10 2 2" xfId="10990"/>
    <cellStyle name="계산 2 10 2 2 2" xfId="24217"/>
    <cellStyle name="计算 2 10 2 2 2" xfId="24218"/>
    <cellStyle name="계산 2 10 2 2 3" xfId="33619"/>
    <cellStyle name="计算 2 10 2 2 3" xfId="33620"/>
    <cellStyle name="계산 2 10 2 2 4" xfId="39777"/>
    <cellStyle name="计算 2 10 2 2 4" xfId="39778"/>
    <cellStyle name="계산 2 10 2 2 5" xfId="44753"/>
    <cellStyle name="计算 2 10 2 2 5" xfId="44754"/>
    <cellStyle name="계산 2 10 2 2 6" xfId="40335"/>
    <cellStyle name="计算 2 10 2 2 6" xfId="38474"/>
    <cellStyle name="계산 2 10 2 3" xfId="13841"/>
    <cellStyle name="计算 2 10 2 3" xfId="13842"/>
    <cellStyle name="계산 2 10 2 3 2" xfId="27069"/>
    <cellStyle name="计算 2 10 2 3 2" xfId="27070"/>
    <cellStyle name="계산 2 10 2 3 3" xfId="36045"/>
    <cellStyle name="计算 2 10 2 3 3" xfId="36046"/>
    <cellStyle name="계산 2 10 2 3 4" xfId="41938"/>
    <cellStyle name="计算 2 10 2 3 4" xfId="41939"/>
    <cellStyle name="계산 2 10 2 3 5" xfId="46516"/>
    <cellStyle name="计算 2 10 2 3 5" xfId="46517"/>
    <cellStyle name="계산 2 10 2 3 6" xfId="48772"/>
    <cellStyle name="计算 2 10 2 3 6" xfId="48773"/>
    <cellStyle name="계산 2 10 2 4" xfId="6949"/>
    <cellStyle name="计算 2 10 2 4" xfId="6950"/>
    <cellStyle name="계산 2 10 2 4 2" xfId="20177"/>
    <cellStyle name="计算 2 10 2 4 2" xfId="20178"/>
    <cellStyle name="계산 2 10 2 4 3" xfId="31468"/>
    <cellStyle name="计算 2 10 2 4 3" xfId="29882"/>
    <cellStyle name="계산 2 10 2 4 4" xfId="17269"/>
    <cellStyle name="计算 2 10 2 4 4" xfId="27811"/>
    <cellStyle name="계산 2 10 2 4 5" xfId="28216"/>
    <cellStyle name="计算 2 10 2 4 5" xfId="33443"/>
    <cellStyle name="계산 2 10 2 4 6" xfId="45723"/>
    <cellStyle name="计算 2 10 2 4 6" xfId="15367"/>
    <cellStyle name="계산 2 10 2 5" xfId="13950"/>
    <cellStyle name="计算 2 10 2 5" xfId="13968"/>
    <cellStyle name="계산 2 10 2 5 2" xfId="27178"/>
    <cellStyle name="计算 2 10 2 5 2" xfId="27196"/>
    <cellStyle name="계산 2 10 2 5 3" xfId="34696"/>
    <cellStyle name="计算 2 10 2 5 3" xfId="30736"/>
    <cellStyle name="계산 2 10 2 5 4" xfId="40686"/>
    <cellStyle name="计算 2 10 2 5 4" xfId="17950"/>
    <cellStyle name="계산 2 10 2 5 5" xfId="45613"/>
    <cellStyle name="计算 2 10 2 5 5" xfId="28920"/>
    <cellStyle name="계산 2 10 2 5 6" xfId="17488"/>
    <cellStyle name="计算 2 10 2 5 6" xfId="15848"/>
    <cellStyle name="계산 2 10 2 6" xfId="12946"/>
    <cellStyle name="计算 2 10 2 6" xfId="8482"/>
    <cellStyle name="계산 2 10 2 6 2" xfId="26174"/>
    <cellStyle name="计算 2 10 2 6 2" xfId="21710"/>
    <cellStyle name="계산 2 10 2 6 3" xfId="31818"/>
    <cellStyle name="计算 2 10 2 6 3" xfId="29797"/>
    <cellStyle name="계산 2 10 2 6 4" xfId="38039"/>
    <cellStyle name="计算 2 10 2 6 4" xfId="16342"/>
    <cellStyle name="계산 2 10 2 6 5" xfId="17918"/>
    <cellStyle name="计算 2 10 2 6 5" xfId="33029"/>
    <cellStyle name="계산 2 10 2 6 6" xfId="18088"/>
    <cellStyle name="计算 2 10 2 6 6" xfId="33203"/>
    <cellStyle name="계산 2 10 2 7" xfId="19483"/>
    <cellStyle name="计算 2 10 2 7" xfId="19484"/>
    <cellStyle name="계산 2 10 2 7 2" xfId="35559"/>
    <cellStyle name="计算 2 10 2 7 2" xfId="37717"/>
    <cellStyle name="계산 2 10 2 7 3" xfId="41435"/>
    <cellStyle name="计算 2 10 2 7 3" xfId="43640"/>
    <cellStyle name="계산 2 10 2 7 4" xfId="46243"/>
    <cellStyle name="计算 2 10 2 7 4" xfId="47511"/>
    <cellStyle name="계산 2 10 2 7 5" xfId="48269"/>
    <cellStyle name="计算 2 10 2 7 5" xfId="50474"/>
    <cellStyle name="계산 2 10 2 8" xfId="30569"/>
    <cellStyle name="计算 2 10 2 8" xfId="31707"/>
    <cellStyle name="계산 2 10 2 8 2" xfId="16845"/>
    <cellStyle name="计算 2 10 2 8 2" xfId="17371"/>
    <cellStyle name="계산 2 10 2 8 3" xfId="46341"/>
    <cellStyle name="计算 2 10 2 8 3" xfId="47537"/>
    <cellStyle name="계산 2 10 2 9" xfId="29307"/>
    <cellStyle name="计算 2 10 2 9" xfId="29308"/>
    <cellStyle name="계산 2 10 3" xfId="6247"/>
    <cellStyle name="计算 2 10 3" xfId="6246"/>
    <cellStyle name="계산 2 10 3 10" xfId="14764"/>
    <cellStyle name="计算 2 10 3 10" xfId="15999"/>
    <cellStyle name="계산 2 10 3 11" xfId="39303"/>
    <cellStyle name="计算 2 10 3 11" xfId="33172"/>
    <cellStyle name="계산 2 10 3 12" xfId="32542"/>
    <cellStyle name="计算 2 10 3 12" xfId="45557"/>
    <cellStyle name="계산 2 10 3 2" xfId="10981"/>
    <cellStyle name="计算 2 10 3 2" xfId="10980"/>
    <cellStyle name="계산 2 10 3 2 2" xfId="24209"/>
    <cellStyle name="计算 2 10 3 2 2" xfId="24208"/>
    <cellStyle name="계산 2 10 3 2 3" xfId="33611"/>
    <cellStyle name="计算 2 10 3 2 3" xfId="33610"/>
    <cellStyle name="계산 2 10 3 2 4" xfId="39773"/>
    <cellStyle name="计算 2 10 3 2 4" xfId="39772"/>
    <cellStyle name="계산 2 10 3 2 5" xfId="44745"/>
    <cellStyle name="计算 2 10 3 2 5" xfId="44744"/>
    <cellStyle name="계산 2 10 3 2 6" xfId="40199"/>
    <cellStyle name="计算 2 10 3 2 6" xfId="38779"/>
    <cellStyle name="계산 2 10 3 3" xfId="13837"/>
    <cellStyle name="计算 2 10 3 3" xfId="13836"/>
    <cellStyle name="계산 2 10 3 3 2" xfId="27065"/>
    <cellStyle name="计算 2 10 3 3 2" xfId="27064"/>
    <cellStyle name="계산 2 10 3 3 3" xfId="36037"/>
    <cellStyle name="计算 2 10 3 3 3" xfId="36036"/>
    <cellStyle name="계산 2 10 3 3 4" xfId="41930"/>
    <cellStyle name="计算 2 10 3 3 4" xfId="41929"/>
    <cellStyle name="계산 2 10 3 3 5" xfId="46512"/>
    <cellStyle name="计算 2 10 3 3 5" xfId="46511"/>
    <cellStyle name="계산 2 10 3 3 6" xfId="48764"/>
    <cellStyle name="计算 2 10 3 3 6" xfId="48763"/>
    <cellStyle name="계산 2 10 3 4" xfId="12834"/>
    <cellStyle name="计算 2 10 3 4" xfId="12727"/>
    <cellStyle name="계산 2 10 3 4 2" xfId="26062"/>
    <cellStyle name="计算 2 10 3 4 2" xfId="25955"/>
    <cellStyle name="계산 2 10 3 4 3" xfId="31463"/>
    <cellStyle name="计算 2 10 3 4 3" xfId="31462"/>
    <cellStyle name="계산 2 10 3 4 4" xfId="18157"/>
    <cellStyle name="计算 2 10 3 4 4" xfId="15249"/>
    <cellStyle name="계산 2 10 3 4 5" xfId="33035"/>
    <cellStyle name="计算 2 10 3 4 5" xfId="32184"/>
    <cellStyle name="계산 2 10 3 4 6" xfId="30002"/>
    <cellStyle name="计算 2 10 3 4 6" xfId="45575"/>
    <cellStyle name="계산 2 10 3 5" xfId="13642"/>
    <cellStyle name="计算 2 10 3 5" xfId="13948"/>
    <cellStyle name="계산 2 10 3 5 2" xfId="26870"/>
    <cellStyle name="计算 2 10 3 5 2" xfId="27176"/>
    <cellStyle name="계산 2 10 3 5 3" xfId="30726"/>
    <cellStyle name="计算 2 10 3 5 3" xfId="30727"/>
    <cellStyle name="계산 2 10 3 5 4" xfId="15213"/>
    <cellStyle name="计算 2 10 3 5 4" xfId="27740"/>
    <cellStyle name="계산 2 10 3 5 5" xfId="17446"/>
    <cellStyle name="计算 2 10 3 5 5" xfId="17377"/>
    <cellStyle name="계산 2 10 3 5 6" xfId="33044"/>
    <cellStyle name="计算 2 10 3 5 6" xfId="39611"/>
    <cellStyle name="계산 2 10 3 6" xfId="14326"/>
    <cellStyle name="计算 2 10 3 6" xfId="14150"/>
    <cellStyle name="계산 2 10 3 6 2" xfId="27554"/>
    <cellStyle name="计算 2 10 3 6 2" xfId="27378"/>
    <cellStyle name="계산 2 10 3 6 3" xfId="30224"/>
    <cellStyle name="计算 2 10 3 6 3" xfId="29803"/>
    <cellStyle name="계산 2 10 3 6 4" xfId="14641"/>
    <cellStyle name="计算 2 10 3 6 4" xfId="17675"/>
    <cellStyle name="계산 2 10 3 6 5" xfId="17430"/>
    <cellStyle name="计算 2 10 3 6 5" xfId="28155"/>
    <cellStyle name="계산 2 10 3 6 6" xfId="27871"/>
    <cellStyle name="计算 2 10 3 6 6" xfId="44445"/>
    <cellStyle name="계산 2 10 3 7" xfId="19475"/>
    <cellStyle name="计算 2 10 3 7" xfId="19474"/>
    <cellStyle name="계산 2 10 3 7 2" xfId="32434"/>
    <cellStyle name="计算 2 10 3 7 2" xfId="31907"/>
    <cellStyle name="계산 2 10 3 7 3" xfId="38652"/>
    <cellStyle name="计算 2 10 3 7 3" xfId="38129"/>
    <cellStyle name="계산 2 10 3 7 4" xfId="43978"/>
    <cellStyle name="计算 2 10 3 7 4" xfId="15523"/>
    <cellStyle name="계산 2 10 3 7 5" xfId="45802"/>
    <cellStyle name="计算 2 10 3 7 5" xfId="46806"/>
    <cellStyle name="계산 2 10 3 8" xfId="34712"/>
    <cellStyle name="计算 2 10 3 8" xfId="37600"/>
    <cellStyle name="계산 2 10 3 8 2" xfId="40702"/>
    <cellStyle name="计算 2 10 3 8 2" xfId="43523"/>
    <cellStyle name="계산 2 10 3 8 3" xfId="39583"/>
    <cellStyle name="计算 2 10 3 8 3" xfId="50357"/>
    <cellStyle name="계산 2 10 3 9" xfId="29299"/>
    <cellStyle name="计算 2 10 3 9" xfId="29298"/>
    <cellStyle name="계산 2 10 4" xfId="6575"/>
    <cellStyle name="计算 2 10 4" xfId="6139"/>
    <cellStyle name="계산 2 10 4 10" xfId="16244"/>
    <cellStyle name="计算 2 10 4 10" xfId="35523"/>
    <cellStyle name="계산 2 10 4 11" xfId="32545"/>
    <cellStyle name="计算 2 10 4 11" xfId="39962"/>
    <cellStyle name="계산 2 10 4 12" xfId="38501"/>
    <cellStyle name="计算 2 10 4 12" xfId="44013"/>
    <cellStyle name="계산 2 10 4 2" xfId="11309"/>
    <cellStyle name="计算 2 10 4 2" xfId="10873"/>
    <cellStyle name="계산 2 10 4 2 2" xfId="24537"/>
    <cellStyle name="计算 2 10 4 2 2" xfId="24101"/>
    <cellStyle name="계산 2 10 4 2 3" xfId="33939"/>
    <cellStyle name="计算 2 10 4 2 3" xfId="33503"/>
    <cellStyle name="계산 2 10 4 2 4" xfId="39996"/>
    <cellStyle name="计算 2 10 4 2 4" xfId="39685"/>
    <cellStyle name="계산 2 10 4 2 5" xfId="45015"/>
    <cellStyle name="计算 2 10 4 2 5" xfId="44641"/>
    <cellStyle name="계산 2 10 4 2 6" xfId="32504"/>
    <cellStyle name="计算 2 10 4 2 6" xfId="17411"/>
    <cellStyle name="계산 2 10 4 3" xfId="13960"/>
    <cellStyle name="计算 2 10 4 3" xfId="13759"/>
    <cellStyle name="계산 2 10 4 3 2" xfId="27188"/>
    <cellStyle name="计算 2 10 4 3 2" xfId="26987"/>
    <cellStyle name="계산 2 10 4 3 3" xfId="36365"/>
    <cellStyle name="计算 2 10 4 3 3" xfId="35929"/>
    <cellStyle name="계산 2 10 4 3 4" xfId="42258"/>
    <cellStyle name="计算 2 10 4 3 4" xfId="41822"/>
    <cellStyle name="계산 2 10 4 3 5" xfId="46680"/>
    <cellStyle name="计算 2 10 4 3 5" xfId="46435"/>
    <cellStyle name="계산 2 10 4 3 6" xfId="49092"/>
    <cellStyle name="计算 2 10 4 3 6" xfId="48656"/>
    <cellStyle name="계산 2 10 4 4" xfId="8261"/>
    <cellStyle name="计算 2 10 4 4" xfId="12852"/>
    <cellStyle name="계산 2 10 4 4 2" xfId="21489"/>
    <cellStyle name="计算 2 10 4 4 2" xfId="26080"/>
    <cellStyle name="계산 2 10 4 4 3" xfId="30149"/>
    <cellStyle name="计算 2 10 4 4 3" xfId="34838"/>
    <cellStyle name="계산 2 10 4 4 4" xfId="27807"/>
    <cellStyle name="计算 2 10 4 4 4" xfId="40837"/>
    <cellStyle name="계산 2 10 4 4 5" xfId="32953"/>
    <cellStyle name="计算 2 10 4 4 5" xfId="45700"/>
    <cellStyle name="계산 2 10 4 4 6" xfId="43987"/>
    <cellStyle name="计算 2 10 4 4 6" xfId="28220"/>
    <cellStyle name="계산 2 10 4 5" xfId="12941"/>
    <cellStyle name="计算 2 10 4 5" xfId="13923"/>
    <cellStyle name="계산 2 10 4 5 2" xfId="26169"/>
    <cellStyle name="计算 2 10 4 5 2" xfId="27151"/>
    <cellStyle name="계산 2 10 4 5 3" xfId="30369"/>
    <cellStyle name="计算 2 10 4 5 3" xfId="30454"/>
    <cellStyle name="계산 2 10 4 5 4" xfId="14657"/>
    <cellStyle name="计算 2 10 4 5 4" xfId="17734"/>
    <cellStyle name="계산 2 10 4 5 5" xfId="28748"/>
    <cellStyle name="计算 2 10 4 5 5" xfId="29079"/>
    <cellStyle name="계산 2 10 4 5 6" xfId="15916"/>
    <cellStyle name="计算 2 10 4 5 6" xfId="40576"/>
    <cellStyle name="계산 2 10 4 6" xfId="8480"/>
    <cellStyle name="计算 2 10 4 6" xfId="8511"/>
    <cellStyle name="계산 2 10 4 6 2" xfId="21708"/>
    <cellStyle name="计算 2 10 4 6 2" xfId="21739"/>
    <cellStyle name="계산 2 10 4 6 3" xfId="31554"/>
    <cellStyle name="计算 2 10 4 6 3" xfId="30634"/>
    <cellStyle name="계산 2 10 4 6 4" xfId="17301"/>
    <cellStyle name="计算 2 10 4 6 4" xfId="18058"/>
    <cellStyle name="계산 2 10 4 6 5" xfId="17581"/>
    <cellStyle name="计算 2 10 4 6 5" xfId="34482"/>
    <cellStyle name="계산 2 10 4 6 6" xfId="29754"/>
    <cellStyle name="计算 2 10 4 6 6" xfId="28805"/>
    <cellStyle name="계산 2 10 4 7" xfId="19803"/>
    <cellStyle name="计算 2 10 4 7" xfId="19367"/>
    <cellStyle name="계산 2 10 4 7 2" xfId="30670"/>
    <cellStyle name="计算 2 10 4 7 2" xfId="31960"/>
    <cellStyle name="계산 2 10 4 7 3" xfId="16887"/>
    <cellStyle name="计算 2 10 4 7 3" xfId="38183"/>
    <cellStyle name="계산 2 10 4 7 4" xfId="30059"/>
    <cellStyle name="计算 2 10 4 7 4" xfId="28119"/>
    <cellStyle name="계산 2 10 4 7 5" xfId="47320"/>
    <cellStyle name="计算 2 10 4 7 5" xfId="47022"/>
    <cellStyle name="계산 2 10 4 8" xfId="37174"/>
    <cellStyle name="计算 2 10 4 8" xfId="37604"/>
    <cellStyle name="계산 2 10 4 8 2" xfId="43093"/>
    <cellStyle name="计算 2 10 4 8 2" xfId="43527"/>
    <cellStyle name="계산 2 10 4 8 3" xfId="49927"/>
    <cellStyle name="计算 2 10 4 8 3" xfId="50361"/>
    <cellStyle name="계산 2 10 4 9" xfId="29627"/>
    <cellStyle name="计算 2 10 4 9" xfId="29191"/>
    <cellStyle name="계산 2 10 5" xfId="9490"/>
    <cellStyle name="计算 2 10 5" xfId="9491"/>
    <cellStyle name="계산 2 10 5 10" xfId="17431"/>
    <cellStyle name="计算 2 10 5 10" xfId="17529"/>
    <cellStyle name="계산 2 10 5 11" xfId="39603"/>
    <cellStyle name="计算 2 10 5 11" xfId="40585"/>
    <cellStyle name="계산 2 10 5 12" xfId="45494"/>
    <cellStyle name="计算 2 10 5 12" xfId="28173"/>
    <cellStyle name="계산 2 10 5 2" xfId="13127"/>
    <cellStyle name="计算 2 10 5 2" xfId="13128"/>
    <cellStyle name="계산 2 10 5 2 2" xfId="26355"/>
    <cellStyle name="计算 2 10 5 2 2" xfId="26356"/>
    <cellStyle name="계산 2 10 5 2 3" xfId="32607"/>
    <cellStyle name="计算 2 10 5 2 3" xfId="32608"/>
    <cellStyle name="계산 2 10 5 2 4" xfId="38827"/>
    <cellStyle name="计算 2 10 5 2 4" xfId="38828"/>
    <cellStyle name="계산 2 10 5 2 5" xfId="44090"/>
    <cellStyle name="计算 2 10 5 2 5" xfId="44091"/>
    <cellStyle name="계산 2 10 5 2 6" xfId="45769"/>
    <cellStyle name="计算 2 10 5 2 6" xfId="15544"/>
    <cellStyle name="계산 2 10 5 3" xfId="7482"/>
    <cellStyle name="计算 2 10 5 3" xfId="7483"/>
    <cellStyle name="계산 2 10 5 3 2" xfId="20710"/>
    <cellStyle name="计算 2 10 5 3 2" xfId="20711"/>
    <cellStyle name="계산 2 10 5 3 3" xfId="35103"/>
    <cellStyle name="计算 2 10 5 3 3" xfId="35104"/>
    <cellStyle name="계산 2 10 5 3 4" xfId="41087"/>
    <cellStyle name="计算 2 10 5 3 4" xfId="41088"/>
    <cellStyle name="계산 2 10 5 3 5" xfId="45893"/>
    <cellStyle name="计算 2 10 5 3 5" xfId="45894"/>
    <cellStyle name="계산 2 10 5 3 6" xfId="47806"/>
    <cellStyle name="计算 2 10 5 3 6" xfId="47807"/>
    <cellStyle name="계산 2 10 5 4" xfId="7199"/>
    <cellStyle name="计算 2 10 5 4" xfId="13704"/>
    <cellStyle name="계산 2 10 5 4 2" xfId="20427"/>
    <cellStyle name="计算 2 10 5 4 2" xfId="26932"/>
    <cellStyle name="계산 2 10 5 4 3" xfId="32136"/>
    <cellStyle name="计算 2 10 5 4 3" xfId="30872"/>
    <cellStyle name="계산 2 10 5 4 4" xfId="38360"/>
    <cellStyle name="计算 2 10 5 4 4" xfId="28008"/>
    <cellStyle name="계산 2 10 5 4 5" xfId="29089"/>
    <cellStyle name="计算 2 10 5 4 5" xfId="30191"/>
    <cellStyle name="계산 2 10 5 4 6" xfId="15805"/>
    <cellStyle name="计算 2 10 5 4 6" xfId="16533"/>
    <cellStyle name="계산 2 10 5 5" xfId="8584"/>
    <cellStyle name="计算 2 10 5 5" xfId="8450"/>
    <cellStyle name="계산 2 10 5 5 2" xfId="21812"/>
    <cellStyle name="计算 2 10 5 5 2" xfId="21678"/>
    <cellStyle name="계산 2 10 5 5 3" xfId="42586"/>
    <cellStyle name="计算 2 10 5 5 3" xfId="41564"/>
    <cellStyle name="계산 2 10 5 5 4" xfId="49420"/>
    <cellStyle name="计算 2 10 5 5 4" xfId="48398"/>
    <cellStyle name="계산 2 10 5 6" xfId="22718"/>
    <cellStyle name="计算 2 10 5 6" xfId="22719"/>
    <cellStyle name="계산 2 10 5 6 2" xfId="30832"/>
    <cellStyle name="计算 2 10 5 6 2" xfId="36997"/>
    <cellStyle name="계산 2 10 5 6 3" xfId="16956"/>
    <cellStyle name="计算 2 10 5 6 3" xfId="42916"/>
    <cellStyle name="계산 2 10 5 6 4" xfId="15717"/>
    <cellStyle name="计算 2 10 5 6 4" xfId="47092"/>
    <cellStyle name="계산 2 10 5 6 5" xfId="32244"/>
    <cellStyle name="计算 2 10 5 6 5" xfId="49750"/>
    <cellStyle name="계산 2 10 5 7" xfId="36857"/>
    <cellStyle name="计算 2 10 5 7" xfId="37576"/>
    <cellStyle name="계산 2 10 5 7 2" xfId="42769"/>
    <cellStyle name="计算 2 10 5 7 2" xfId="43497"/>
    <cellStyle name="계산 2 10 5 7 3" xfId="49603"/>
    <cellStyle name="计算 2 10 5 7 3" xfId="50331"/>
    <cellStyle name="계산 2 10 5 8" xfId="32437"/>
    <cellStyle name="计算 2 10 5 8" xfId="34998"/>
    <cellStyle name="계산 2 10 5 8 2" xfId="38655"/>
    <cellStyle name="计算 2 10 5 8 2" xfId="41002"/>
    <cellStyle name="계산 2 10 5 8 3" xfId="47260"/>
    <cellStyle name="计算 2 10 5 8 3" xfId="47698"/>
    <cellStyle name="계산 2 10 5 9" xfId="28296"/>
    <cellStyle name="计算 2 10 5 9" xfId="28297"/>
    <cellStyle name="계산 2 10 6" xfId="11718"/>
    <cellStyle name="计算 2 10 6" xfId="11719"/>
    <cellStyle name="계산 2 10 6 10" xfId="45216"/>
    <cellStyle name="计算 2 10 6 10" xfId="45217"/>
    <cellStyle name="계산 2 10 6 11" xfId="32295"/>
    <cellStyle name="计算 2 10 6 11" xfId="34341"/>
    <cellStyle name="계산 2 10 6 2" xfId="12686"/>
    <cellStyle name="计算 2 10 6 2" xfId="12808"/>
    <cellStyle name="계산 2 10 6 2 2" xfId="25914"/>
    <cellStyle name="计算 2 10 6 2 2" xfId="26036"/>
    <cellStyle name="계산 2 10 6 2 3" xfId="36587"/>
    <cellStyle name="计算 2 10 6 2 3" xfId="36588"/>
    <cellStyle name="계산 2 10 6 2 4" xfId="42489"/>
    <cellStyle name="计算 2 10 6 2 4" xfId="42490"/>
    <cellStyle name="계산 2 10 6 2 5" xfId="46819"/>
    <cellStyle name="计算 2 10 6 2 5" xfId="46820"/>
    <cellStyle name="계산 2 10 6 2 6" xfId="49323"/>
    <cellStyle name="计算 2 10 6 2 6" xfId="49324"/>
    <cellStyle name="계산 2 10 6 3" xfId="14415"/>
    <cellStyle name="计算 2 10 6 3" xfId="14416"/>
    <cellStyle name="계산 2 10 6 3 2" xfId="27643"/>
    <cellStyle name="计算 2 10 6 3 2" xfId="27644"/>
    <cellStyle name="계산 2 10 6 3 3" xfId="37075"/>
    <cellStyle name="计算 2 10 6 3 3" xfId="37076"/>
    <cellStyle name="계산 2 10 6 3 4" xfId="42994"/>
    <cellStyle name="计算 2 10 6 3 4" xfId="42995"/>
    <cellStyle name="계산 2 10 6 3 5" xfId="47138"/>
    <cellStyle name="计算 2 10 6 3 5" xfId="47139"/>
    <cellStyle name="계산 2 10 6 3 6" xfId="49828"/>
    <cellStyle name="计算 2 10 6 3 6" xfId="49829"/>
    <cellStyle name="계산 2 10 6 4" xfId="13555"/>
    <cellStyle name="计算 2 10 6 4" xfId="13864"/>
    <cellStyle name="계산 2 10 6 4 2" xfId="26783"/>
    <cellStyle name="计算 2 10 6 4 2" xfId="27092"/>
    <cellStyle name="계산 2 10 6 4 3" xfId="31738"/>
    <cellStyle name="计算 2 10 6 4 3" xfId="31759"/>
    <cellStyle name="계산 2 10 6 4 4" xfId="37959"/>
    <cellStyle name="计算 2 10 6 4 4" xfId="37980"/>
    <cellStyle name="계산 2 10 6 4 5" xfId="17926"/>
    <cellStyle name="计算 2 10 6 4 5" xfId="15557"/>
    <cellStyle name="계산 2 10 6 4 6" xfId="32175"/>
    <cellStyle name="计算 2 10 6 4 6" xfId="46608"/>
    <cellStyle name="계산 2 10 6 5" xfId="24946"/>
    <cellStyle name="计算 2 10 6 5" xfId="24947"/>
    <cellStyle name="계산 2 10 6 5 2" xfId="37242"/>
    <cellStyle name="计算 2 10 6 5 2" xfId="35004"/>
    <cellStyle name="계산 2 10 6 5 3" xfId="43162"/>
    <cellStyle name="计算 2 10 6 5 3" xfId="41008"/>
    <cellStyle name="계산 2 10 6 5 4" xfId="47258"/>
    <cellStyle name="计算 2 10 6 5 4" xfId="45817"/>
    <cellStyle name="계산 2 10 6 5 5" xfId="49996"/>
    <cellStyle name="计算 2 10 6 5 5" xfId="47704"/>
    <cellStyle name="계산 2 10 6 6" xfId="30488"/>
    <cellStyle name="计算 2 10 6 6" xfId="34948"/>
    <cellStyle name="계산 2 10 6 6 2" xfId="16813"/>
    <cellStyle name="计算 2 10 6 6 2" xfId="40946"/>
    <cellStyle name="계산 2 10 6 6 3" xfId="15361"/>
    <cellStyle name="计算 2 10 6 6 3" xfId="47642"/>
    <cellStyle name="계산 2 10 6 7" xfId="37861"/>
    <cellStyle name="计算 2 10 6 7" xfId="37862"/>
    <cellStyle name="계산 2 10 6 7 2" xfId="43786"/>
    <cellStyle name="计算 2 10 6 7 2" xfId="43787"/>
    <cellStyle name="계산 2 10 6 7 3" xfId="50620"/>
    <cellStyle name="计算 2 10 6 7 3" xfId="50621"/>
    <cellStyle name="계산 2 10 6 8" xfId="34182"/>
    <cellStyle name="计算 2 10 6 8" xfId="34183"/>
    <cellStyle name="계산 2 10 6 9" xfId="40207"/>
    <cellStyle name="计算 2 10 6 9" xfId="40208"/>
    <cellStyle name="계산 2 10 7" xfId="7772"/>
    <cellStyle name="计算 2 10 7" xfId="7773"/>
    <cellStyle name="계산 2 10 7 2" xfId="21000"/>
    <cellStyle name="计算 2 10 7 2" xfId="21001"/>
    <cellStyle name="계산 2 10 7 3" xfId="30876"/>
    <cellStyle name="计算 2 10 7 3" xfId="30877"/>
    <cellStyle name="계산 2 10 7 4" xfId="28005"/>
    <cellStyle name="计算 2 10 7 4" xfId="14702"/>
    <cellStyle name="계산 2 10 7 5" xfId="15706"/>
    <cellStyle name="计算 2 10 7 5" xfId="17552"/>
    <cellStyle name="계산 2 10 7 6" xfId="39543"/>
    <cellStyle name="计算 2 10 7 6" xfId="40500"/>
    <cellStyle name="계산 2 10 8" xfId="7434"/>
    <cellStyle name="计算 2 10 8" xfId="7433"/>
    <cellStyle name="계산 2 10 8 2" xfId="20662"/>
    <cellStyle name="计算 2 10 8 2" xfId="20661"/>
    <cellStyle name="계산 2 10 8 3" xfId="36957"/>
    <cellStyle name="计算 2 10 8 3" xfId="35885"/>
    <cellStyle name="계산 2 10 8 4" xfId="42875"/>
    <cellStyle name="计算 2 10 8 4" xfId="41777"/>
    <cellStyle name="계산 2 10 8 5" xfId="47060"/>
    <cellStyle name="计算 2 10 8 5" xfId="46399"/>
    <cellStyle name="계산 2 10 8 6" xfId="49709"/>
    <cellStyle name="计算 2 10 8 6" xfId="48611"/>
    <cellStyle name="계산 2 10 9" xfId="14249"/>
    <cellStyle name="计算 2 10 9" xfId="13678"/>
    <cellStyle name="계산 2 10 9 2" xfId="27477"/>
    <cellStyle name="计算 2 10 9 2" xfId="26906"/>
    <cellStyle name="계산 2 10 9 3" xfId="37449"/>
    <cellStyle name="计算 2 10 9 3" xfId="32360"/>
    <cellStyle name="계산 2 10 9 4" xfId="43369"/>
    <cellStyle name="计算 2 10 9 4" xfId="38578"/>
    <cellStyle name="계산 2 10 9 5" xfId="47375"/>
    <cellStyle name="计算 2 10 9 5" xfId="43923"/>
    <cellStyle name="계산 2 10 9 6" xfId="50203"/>
    <cellStyle name="计算 2 10 9 6" xfId="27920"/>
    <cellStyle name="계산 2 11" xfId="2614"/>
    <cellStyle name="计算 2 11" xfId="2615"/>
    <cellStyle name="계산 2 11 10" xfId="8673"/>
    <cellStyle name="计算 2 11 10" xfId="8313"/>
    <cellStyle name="계산 2 11 10 2" xfId="21901"/>
    <cellStyle name="计算 2 11 10 2" xfId="21541"/>
    <cellStyle name="계산 2 11 10 3" xfId="36660"/>
    <cellStyle name="计算 2 11 10 3" xfId="37663"/>
    <cellStyle name="계산 2 11 10 4" xfId="42563"/>
    <cellStyle name="计算 2 11 10 4" xfId="43586"/>
    <cellStyle name="계산 2 11 10 5" xfId="46884"/>
    <cellStyle name="计算 2 11 10 5" xfId="47484"/>
    <cellStyle name="계산 2 11 10 6" xfId="49397"/>
    <cellStyle name="计算 2 11 10 6" xfId="50420"/>
    <cellStyle name="계산 2 11 11" xfId="14067"/>
    <cellStyle name="计算 2 11 11" xfId="14477"/>
    <cellStyle name="계산 2 11 11 2" xfId="27295"/>
    <cellStyle name="计算 2 11 11 2" xfId="27705"/>
    <cellStyle name="계산 2 11 11 3" xfId="37730"/>
    <cellStyle name="计算 2 11 11 3" xfId="37377"/>
    <cellStyle name="계산 2 11 11 4" xfId="43653"/>
    <cellStyle name="计算 2 11 11 4" xfId="43297"/>
    <cellStyle name="계산 2 11 11 5" xfId="47517"/>
    <cellStyle name="计算 2 11 11 5" xfId="47332"/>
    <cellStyle name="계산 2 11 11 6" xfId="50487"/>
    <cellStyle name="计算 2 11 11 6" xfId="50131"/>
    <cellStyle name="계산 2 11 12" xfId="16373"/>
    <cellStyle name="计算 2 11 12" xfId="16374"/>
    <cellStyle name="계산 2 11 12 2" xfId="43585"/>
    <cellStyle name="计算 2 11 12 2" xfId="41325"/>
    <cellStyle name="계산 2 11 12 3" xfId="50419"/>
    <cellStyle name="计算 2 11 12 3" xfId="48159"/>
    <cellStyle name="계산 2 11 13" xfId="15989"/>
    <cellStyle name="计算 2 11 13" xfId="15988"/>
    <cellStyle name="계산 2 11 14" xfId="34410"/>
    <cellStyle name="计算 2 11 14" xfId="28845"/>
    <cellStyle name="계산 2 11 15" xfId="15472"/>
    <cellStyle name="计算 2 11 15" xfId="28121"/>
    <cellStyle name="계산 2 11 16" xfId="15426"/>
    <cellStyle name="计算 2 11 16" xfId="27965"/>
    <cellStyle name="계산 2 11 17" xfId="50937"/>
    <cellStyle name="计算 2 11 17" xfId="50938"/>
    <cellStyle name="계산 2 11 18" xfId="50844"/>
    <cellStyle name="计算 2 11 18" xfId="50843"/>
    <cellStyle name="계산 2 11 2" xfId="6257"/>
    <cellStyle name="计算 2 11 2" xfId="6258"/>
    <cellStyle name="계산 2 11 2 10" xfId="16007"/>
    <cellStyle name="计算 2 11 2 10" xfId="16008"/>
    <cellStyle name="계산 2 11 2 11" xfId="39674"/>
    <cellStyle name="计算 2 11 2 11" xfId="40064"/>
    <cellStyle name="계산 2 11 2 12" xfId="45362"/>
    <cellStyle name="计算 2 11 2 12" xfId="44356"/>
    <cellStyle name="계산 2 11 2 2" xfId="10991"/>
    <cellStyle name="计算 2 11 2 2" xfId="10992"/>
    <cellStyle name="계산 2 11 2 2 2" xfId="24219"/>
    <cellStyle name="计算 2 11 2 2 2" xfId="24220"/>
    <cellStyle name="계산 2 11 2 2 3" xfId="33621"/>
    <cellStyle name="计算 2 11 2 2 3" xfId="33622"/>
    <cellStyle name="계산 2 11 2 2 4" xfId="39779"/>
    <cellStyle name="计算 2 11 2 2 4" xfId="39780"/>
    <cellStyle name="계산 2 11 2 2 5" xfId="44755"/>
    <cellStyle name="计算 2 11 2 2 5" xfId="44756"/>
    <cellStyle name="계산 2 11 2 2 6" xfId="15813"/>
    <cellStyle name="计算 2 11 2 2 6" xfId="40434"/>
    <cellStyle name="계산 2 11 2 3" xfId="13843"/>
    <cellStyle name="计算 2 11 2 3" xfId="13844"/>
    <cellStyle name="계산 2 11 2 3 2" xfId="27071"/>
    <cellStyle name="计算 2 11 2 3 2" xfId="27072"/>
    <cellStyle name="계산 2 11 2 3 3" xfId="36047"/>
    <cellStyle name="计算 2 11 2 3 3" xfId="36048"/>
    <cellStyle name="계산 2 11 2 3 4" xfId="41940"/>
    <cellStyle name="计算 2 11 2 3 4" xfId="41941"/>
    <cellStyle name="계산 2 11 2 3 5" xfId="46518"/>
    <cellStyle name="计算 2 11 2 3 5" xfId="46519"/>
    <cellStyle name="계산 2 11 2 3 6" xfId="48774"/>
    <cellStyle name="计算 2 11 2 3 6" xfId="48775"/>
    <cellStyle name="계산 2 11 2 4" xfId="6951"/>
    <cellStyle name="计算 2 11 2 4" xfId="12774"/>
    <cellStyle name="계산 2 11 2 4 2" xfId="20179"/>
    <cellStyle name="计算 2 11 2 4 2" xfId="26002"/>
    <cellStyle name="계산 2 11 2 4 3" xfId="31470"/>
    <cellStyle name="计算 2 11 2 4 3" xfId="31469"/>
    <cellStyle name="계산 2 11 2 4 4" xfId="18008"/>
    <cellStyle name="计算 2 11 2 4 4" xfId="17270"/>
    <cellStyle name="계산 2 11 2 4 5" xfId="28111"/>
    <cellStyle name="计算 2 11 2 4 5" xfId="28110"/>
    <cellStyle name="계산 2 11 2 4 6" xfId="27884"/>
    <cellStyle name="计算 2 11 2 4 6" xfId="46742"/>
    <cellStyle name="계산 2 11 2 5" xfId="13951"/>
    <cellStyle name="计算 2 11 2 5" xfId="7251"/>
    <cellStyle name="계산 2 11 2 5 2" xfId="27179"/>
    <cellStyle name="计算 2 11 2 5 2" xfId="20479"/>
    <cellStyle name="계산 2 11 2 5 3" xfId="30420"/>
    <cellStyle name="计算 2 11 2 5 3" xfId="30724"/>
    <cellStyle name="계산 2 11 2 5 4" xfId="14877"/>
    <cellStyle name="计算 2 11 2 5 4" xfId="16910"/>
    <cellStyle name="계산 2 11 2 5 5" xfId="15330"/>
    <cellStyle name="计算 2 11 2 5 5" xfId="34122"/>
    <cellStyle name="계산 2 11 2 5 6" xfId="46296"/>
    <cellStyle name="计算 2 11 2 5 6" xfId="29044"/>
    <cellStyle name="계산 2 11 2 6" xfId="14022"/>
    <cellStyle name="计算 2 11 2 6" xfId="13026"/>
    <cellStyle name="계산 2 11 2 6 2" xfId="27250"/>
    <cellStyle name="计算 2 11 2 6 2" xfId="26254"/>
    <cellStyle name="계산 2 11 2 6 3" xfId="37181"/>
    <cellStyle name="计算 2 11 2 6 3" xfId="35609"/>
    <cellStyle name="계산 2 11 2 6 4" xfId="43100"/>
    <cellStyle name="计算 2 11 2 6 4" xfId="41485"/>
    <cellStyle name="계산 2 11 2 6 5" xfId="47224"/>
    <cellStyle name="计算 2 11 2 6 5" xfId="46281"/>
    <cellStyle name="계산 2 11 2 6 6" xfId="49934"/>
    <cellStyle name="计算 2 11 2 6 6" xfId="48319"/>
    <cellStyle name="계산 2 11 2 7" xfId="19485"/>
    <cellStyle name="计算 2 11 2 7" xfId="19486"/>
    <cellStyle name="계산 2 11 2 7 2" xfId="36794"/>
    <cellStyle name="计算 2 11 2 7 2" xfId="31993"/>
    <cellStyle name="계산 2 11 2 7 3" xfId="42705"/>
    <cellStyle name="计算 2 11 2 7 3" xfId="38216"/>
    <cellStyle name="계산 2 11 2 7 4" xfId="46973"/>
    <cellStyle name="计算 2 11 2 7 4" xfId="17515"/>
    <cellStyle name="계산 2 11 2 7 5" xfId="49539"/>
    <cellStyle name="计算 2 11 2 7 5" xfId="47126"/>
    <cellStyle name="계산 2 11 2 8" xfId="35535"/>
    <cellStyle name="计算 2 11 2 8" xfId="32053"/>
    <cellStyle name="계산 2 11 2 8 2" xfId="41409"/>
    <cellStyle name="计算 2 11 2 8 2" xfId="38276"/>
    <cellStyle name="계산 2 11 2 8 3" xfId="48243"/>
    <cellStyle name="计算 2 11 2 8 3" xfId="45764"/>
    <cellStyle name="계산 2 11 2 9" xfId="29309"/>
    <cellStyle name="计算 2 11 2 9" xfId="29310"/>
    <cellStyle name="계산 2 11 3" xfId="6245"/>
    <cellStyle name="计算 2 11 3" xfId="6124"/>
    <cellStyle name="계산 2 11 3 10" xfId="16000"/>
    <cellStyle name="计算 2 11 3 10" xfId="27819"/>
    <cellStyle name="계산 2 11 3 11" xfId="40047"/>
    <cellStyle name="计算 2 11 3 11" xfId="32288"/>
    <cellStyle name="계산 2 11 3 12" xfId="44587"/>
    <cellStyle name="计算 2 11 3 12" xfId="45400"/>
    <cellStyle name="계산 2 11 3 2" xfId="10979"/>
    <cellStyle name="计算 2 11 3 2" xfId="10858"/>
    <cellStyle name="계산 2 11 3 2 2" xfId="24207"/>
    <cellStyle name="计算 2 11 3 2 2" xfId="24086"/>
    <cellStyle name="계산 2 11 3 2 3" xfId="33609"/>
    <cellStyle name="计算 2 11 3 2 3" xfId="33488"/>
    <cellStyle name="계산 2 11 3 2 4" xfId="39771"/>
    <cellStyle name="计算 2 11 3 2 4" xfId="39673"/>
    <cellStyle name="계산 2 11 3 2 5" xfId="44743"/>
    <cellStyle name="计算 2 11 3 2 5" xfId="44626"/>
    <cellStyle name="계산 2 11 3 2 6" xfId="40108"/>
    <cellStyle name="计算 2 11 3 2 6" xfId="32531"/>
    <cellStyle name="계산 2 11 3 3" xfId="13835"/>
    <cellStyle name="计算 2 11 3 3" xfId="13750"/>
    <cellStyle name="계산 2 11 3 3 2" xfId="27063"/>
    <cellStyle name="计算 2 11 3 3 2" xfId="26978"/>
    <cellStyle name="계산 2 11 3 3 3" xfId="36035"/>
    <cellStyle name="计算 2 11 3 3 3" xfId="35914"/>
    <cellStyle name="계산 2 11 3 3 4" xfId="41928"/>
    <cellStyle name="计算 2 11 3 3 4" xfId="41807"/>
    <cellStyle name="계산 2 11 3 3 5" xfId="46510"/>
    <cellStyle name="计算 2 11 3 3 5" xfId="46420"/>
    <cellStyle name="계산 2 11 3 3 6" xfId="48762"/>
    <cellStyle name="计算 2 11 3 3 6" xfId="48641"/>
    <cellStyle name="계산 2 11 3 4" xfId="6944"/>
    <cellStyle name="计算 2 11 3 4" xfId="8039"/>
    <cellStyle name="계산 2 11 3 4 2" xfId="20172"/>
    <cellStyle name="计算 2 11 3 4 2" xfId="21267"/>
    <cellStyle name="계산 2 11 3 4 3" xfId="31461"/>
    <cellStyle name="计算 2 11 3 4 3" xfId="32392"/>
    <cellStyle name="계산 2 11 3 4 4" xfId="15129"/>
    <cellStyle name="计算 2 11 3 4 4" xfId="38610"/>
    <cellStyle name="계산 2 11 3 4 5" xfId="28109"/>
    <cellStyle name="计算 2 11 3 4 5" xfId="43948"/>
    <cellStyle name="계산 2 11 3 4 6" xfId="47073"/>
    <cellStyle name="计算 2 11 3 4 6" xfId="34534"/>
    <cellStyle name="계산 2 11 3 5" xfId="7253"/>
    <cellStyle name="计算 2 11 3 5" xfId="8672"/>
    <cellStyle name="계산 2 11 3 5 2" xfId="20481"/>
    <cellStyle name="计算 2 11 3 5 2" xfId="21900"/>
    <cellStyle name="계산 2 11 3 5 3" xfId="30423"/>
    <cellStyle name="计算 2 11 3 5 3" xfId="30619"/>
    <cellStyle name="계산 2 11 3 5 4" xfId="14880"/>
    <cellStyle name="计算 2 11 3 5 4" xfId="16863"/>
    <cellStyle name="계산 2 11 3 5 5" xfId="15329"/>
    <cellStyle name="计算 2 11 3 5 5" xfId="28189"/>
    <cellStyle name="계산 2 11 3 5 6" xfId="27952"/>
    <cellStyle name="计算 2 11 3 5 6" xfId="40415"/>
    <cellStyle name="계산 2 11 3 6" xfId="13590"/>
    <cellStyle name="计算 2 11 3 6" xfId="13591"/>
    <cellStyle name="계산 2 11 3 6 2" xfId="26818"/>
    <cellStyle name="计算 2 11 3 6 2" xfId="26819"/>
    <cellStyle name="계산 2 11 3 6 3" xfId="34961"/>
    <cellStyle name="计算 2 11 3 6 3" xfId="35516"/>
    <cellStyle name="계산 2 11 3 6 4" xfId="40959"/>
    <cellStyle name="计算 2 11 3 6 4" xfId="41388"/>
    <cellStyle name="계산 2 11 3 6 5" xfId="45787"/>
    <cellStyle name="计算 2 11 3 6 5" xfId="46216"/>
    <cellStyle name="계산 2 11 3 6 6" xfId="47655"/>
    <cellStyle name="计算 2 11 3 6 6" xfId="48222"/>
    <cellStyle name="계산 2 11 3 7" xfId="19473"/>
    <cellStyle name="计算 2 11 3 7" xfId="19352"/>
    <cellStyle name="계산 2 11 3 7 2" xfId="30348"/>
    <cellStyle name="计算 2 11 3 7 2" xfId="34967"/>
    <cellStyle name="계산 2 11 3 7 3" xfId="14660"/>
    <cellStyle name="计算 2 11 3 7 3" xfId="40965"/>
    <cellStyle name="계산 2 11 3 7 4" xfId="15737"/>
    <cellStyle name="计算 2 11 3 7 4" xfId="45793"/>
    <cellStyle name="계산 2 11 3 7 5" xfId="45113"/>
    <cellStyle name="计算 2 11 3 7 5" xfId="47661"/>
    <cellStyle name="계산 2 11 3 8" xfId="36782"/>
    <cellStyle name="计算 2 11 3 8" xfId="32086"/>
    <cellStyle name="계산 2 11 3 8 2" xfId="42689"/>
    <cellStyle name="计算 2 11 3 8 2" xfId="38309"/>
    <cellStyle name="계산 2 11 3 8 3" xfId="49523"/>
    <cellStyle name="计算 2 11 3 8 3" xfId="39248"/>
    <cellStyle name="계산 2 11 3 9" xfId="29297"/>
    <cellStyle name="计算 2 11 3 9" xfId="29176"/>
    <cellStyle name="계산 2 11 4" xfId="6138"/>
    <cellStyle name="计算 2 11 4" xfId="6576"/>
    <cellStyle name="계산 2 11 4 10" xfId="35695"/>
    <cellStyle name="计算 2 11 4 10" xfId="16245"/>
    <cellStyle name="계산 2 11 4 11" xfId="31624"/>
    <cellStyle name="计算 2 11 4 11" xfId="41153"/>
    <cellStyle name="계산 2 11 4 12" xfId="45145"/>
    <cellStyle name="计算 2 11 4 12" xfId="44402"/>
    <cellStyle name="계산 2 11 4 2" xfId="10872"/>
    <cellStyle name="计算 2 11 4 2" xfId="11310"/>
    <cellStyle name="계산 2 11 4 2 2" xfId="24100"/>
    <cellStyle name="计算 2 11 4 2 2" xfId="24538"/>
    <cellStyle name="계산 2 11 4 2 3" xfId="33502"/>
    <cellStyle name="计算 2 11 4 2 3" xfId="33940"/>
    <cellStyle name="계산 2 11 4 2 4" xfId="39684"/>
    <cellStyle name="计算 2 11 4 2 4" xfId="39997"/>
    <cellStyle name="계산 2 11 4 2 5" xfId="44640"/>
    <cellStyle name="计算 2 11 4 2 5" xfId="45016"/>
    <cellStyle name="계산 2 11 4 2 6" xfId="28083"/>
    <cellStyle name="计算 2 11 4 2 6" xfId="41249"/>
    <cellStyle name="계산 2 11 4 3" xfId="13758"/>
    <cellStyle name="计算 2 11 4 3" xfId="13961"/>
    <cellStyle name="계산 2 11 4 3 2" xfId="26986"/>
    <cellStyle name="计算 2 11 4 3 2" xfId="27189"/>
    <cellStyle name="계산 2 11 4 3 3" xfId="35928"/>
    <cellStyle name="计算 2 11 4 3 3" xfId="36366"/>
    <cellStyle name="계산 2 11 4 3 4" xfId="41821"/>
    <cellStyle name="计算 2 11 4 3 4" xfId="42259"/>
    <cellStyle name="계산 2 11 4 3 5" xfId="46434"/>
    <cellStyle name="计算 2 11 4 3 5" xfId="46681"/>
    <cellStyle name="계산 2 11 4 3 6" xfId="48655"/>
    <cellStyle name="计算 2 11 4 3 6" xfId="49093"/>
    <cellStyle name="계산 2 11 4 4" xfId="12753"/>
    <cellStyle name="计算 2 11 4 4" xfId="8762"/>
    <cellStyle name="계산 2 11 4 4 2" xfId="25981"/>
    <cellStyle name="计算 2 11 4 4 2" xfId="21990"/>
    <cellStyle name="계산 2 11 4 4 3" xfId="32401"/>
    <cellStyle name="计算 2 11 4 4 3" xfId="31568"/>
    <cellStyle name="계산 2 11 4 4 4" xfId="38619"/>
    <cellStyle name="计算 2 11 4 4 4" xfId="17309"/>
    <cellStyle name="계산 2 11 4 4 5" xfId="43954"/>
    <cellStyle name="计算 2 11 4 4 5" xfId="15592"/>
    <cellStyle name="계산 2 11 4 4 6" xfId="40408"/>
    <cellStyle name="计算 2 11 4 4 6" xfId="46625"/>
    <cellStyle name="계산 2 11 4 5" xfId="7298"/>
    <cellStyle name="计算 2 11 4 5" xfId="13585"/>
    <cellStyle name="계산 2 11 4 5 2" xfId="20526"/>
    <cellStyle name="计算 2 11 4 5 2" xfId="26813"/>
    <cellStyle name="계산 2 11 4 5 3" xfId="30542"/>
    <cellStyle name="计算 2 11 4 5 3" xfId="32005"/>
    <cellStyle name="계산 2 11 4 5 4" xfId="16834"/>
    <cellStyle name="计算 2 11 4 5 4" xfId="38228"/>
    <cellStyle name="계산 2 11 4 5 5" xfId="33152"/>
    <cellStyle name="计算 2 11 4 5 5" xfId="15507"/>
    <cellStyle name="계산 2 11 4 5 6" xfId="15651"/>
    <cellStyle name="计算 2 11 4 5 6" xfId="15516"/>
    <cellStyle name="계산 2 11 4 6" xfId="8515"/>
    <cellStyle name="计算 2 11 4 6" xfId="8517"/>
    <cellStyle name="계산 2 11 4 6 2" xfId="21743"/>
    <cellStyle name="计算 2 11 4 6 2" xfId="21745"/>
    <cellStyle name="계산 2 11 4 6 3" xfId="37380"/>
    <cellStyle name="计算 2 11 4 6 3" xfId="35603"/>
    <cellStyle name="계산 2 11 4 6 4" xfId="43300"/>
    <cellStyle name="计算 2 11 4 6 4" xfId="41479"/>
    <cellStyle name="계산 2 11 4 6 5" xfId="47333"/>
    <cellStyle name="计算 2 11 4 6 5" xfId="46275"/>
    <cellStyle name="계산 2 11 4 6 6" xfId="50134"/>
    <cellStyle name="计算 2 11 4 6 6" xfId="48313"/>
    <cellStyle name="계산 2 11 4 7" xfId="19366"/>
    <cellStyle name="计算 2 11 4 7" xfId="19804"/>
    <cellStyle name="계산 2 11 4 7 2" xfId="30605"/>
    <cellStyle name="计算 2 11 4 7 2" xfId="32116"/>
    <cellStyle name="계산 2 11 4 7 3" xfId="15200"/>
    <cellStyle name="计算 2 11 4 7 3" xfId="38339"/>
    <cellStyle name="계산 2 11 4 7 4" xfId="34173"/>
    <cellStyle name="计算 2 11 4 7 4" xfId="17895"/>
    <cellStyle name="계산 2 11 4 7 5" xfId="47196"/>
    <cellStyle name="计算 2 11 4 7 5" xfId="40312"/>
    <cellStyle name="계산 2 11 4 8" xfId="29898"/>
    <cellStyle name="计算 2 11 4 8" xfId="32164"/>
    <cellStyle name="계산 2 11 4 8 2" xfId="16366"/>
    <cellStyle name="计算 2 11 4 8 2" xfId="38389"/>
    <cellStyle name="계산 2 11 4 8 3" xfId="45428"/>
    <cellStyle name="计算 2 11 4 8 3" xfId="28857"/>
    <cellStyle name="계산 2 11 4 9" xfId="29190"/>
    <cellStyle name="计算 2 11 4 9" xfId="29628"/>
    <cellStyle name="계산 2 11 5" xfId="9492"/>
    <cellStyle name="计算 2 11 5" xfId="9493"/>
    <cellStyle name="계산 2 11 5 10" xfId="29931"/>
    <cellStyle name="计算 2 11 5 10" xfId="34064"/>
    <cellStyle name="계산 2 11 5 11" xfId="35800"/>
    <cellStyle name="计算 2 11 5 11" xfId="34371"/>
    <cellStyle name="계산 2 11 5 12" xfId="36942"/>
    <cellStyle name="计算 2 11 5 12" xfId="33347"/>
    <cellStyle name="계산 2 11 5 2" xfId="13129"/>
    <cellStyle name="计算 2 11 5 2" xfId="13130"/>
    <cellStyle name="계산 2 11 5 2 2" xfId="26357"/>
    <cellStyle name="计算 2 11 5 2 2" xfId="26358"/>
    <cellStyle name="계산 2 11 5 2 3" xfId="32609"/>
    <cellStyle name="计算 2 11 5 2 3" xfId="32610"/>
    <cellStyle name="계산 2 11 5 2 4" xfId="38829"/>
    <cellStyle name="计算 2 11 5 2 4" xfId="38830"/>
    <cellStyle name="계산 2 11 5 2 5" xfId="44092"/>
    <cellStyle name="计算 2 11 5 2 5" xfId="44093"/>
    <cellStyle name="계산 2 11 5 2 6" xfId="14754"/>
    <cellStyle name="计算 2 11 5 2 6" xfId="46330"/>
    <cellStyle name="계산 2 11 5 3" xfId="7484"/>
    <cellStyle name="计算 2 11 5 3" xfId="7485"/>
    <cellStyle name="계산 2 11 5 3 2" xfId="20712"/>
    <cellStyle name="计算 2 11 5 3 2" xfId="20713"/>
    <cellStyle name="계산 2 11 5 3 3" xfId="35105"/>
    <cellStyle name="计算 2 11 5 3 3" xfId="35106"/>
    <cellStyle name="계산 2 11 5 3 4" xfId="41089"/>
    <cellStyle name="计算 2 11 5 3 4" xfId="41090"/>
    <cellStyle name="계산 2 11 5 3 5" xfId="45895"/>
    <cellStyle name="计算 2 11 5 3 5" xfId="45896"/>
    <cellStyle name="계산 2 11 5 3 6" xfId="47808"/>
    <cellStyle name="计算 2 11 5 3 6" xfId="47809"/>
    <cellStyle name="계산 2 11 5 4" xfId="12935"/>
    <cellStyle name="计算 2 11 5 4" xfId="7198"/>
    <cellStyle name="계산 2 11 5 4 2" xfId="26163"/>
    <cellStyle name="计算 2 11 5 4 2" xfId="20426"/>
    <cellStyle name="계산 2 11 5 4 3" xfId="32231"/>
    <cellStyle name="计算 2 11 5 4 3" xfId="32230"/>
    <cellStyle name="계산 2 11 5 4 4" xfId="38452"/>
    <cellStyle name="计算 2 11 5 4 4" xfId="38451"/>
    <cellStyle name="계산 2 11 5 4 5" xfId="33181"/>
    <cellStyle name="计算 2 11 5 4 5" xfId="18487"/>
    <cellStyle name="계산 2 11 5 4 6" xfId="46328"/>
    <cellStyle name="计算 2 11 5 4 6" xfId="47503"/>
    <cellStyle name="계산 2 11 5 5" xfId="7906"/>
    <cellStyle name="计算 2 11 5 5" xfId="14334"/>
    <cellStyle name="계산 2 11 5 5 2" xfId="21134"/>
    <cellStyle name="计算 2 11 5 5 2" xfId="27562"/>
    <cellStyle name="계산 2 11 5 5 3" xfId="42750"/>
    <cellStyle name="计算 2 11 5 5 3" xfId="41034"/>
    <cellStyle name="계산 2 11 5 5 4" xfId="49584"/>
    <cellStyle name="计算 2 11 5 5 4" xfId="47730"/>
    <cellStyle name="계산 2 11 5 6" xfId="22720"/>
    <cellStyle name="计算 2 11 5 6" xfId="22721"/>
    <cellStyle name="계산 2 11 5 6 2" xfId="31896"/>
    <cellStyle name="计算 2 11 5 6 2" xfId="30291"/>
    <cellStyle name="계산 2 11 5 6 3" xfId="38117"/>
    <cellStyle name="计算 2 11 5 6 3" xfId="16727"/>
    <cellStyle name="계산 2 11 5 6 4" xfId="15525"/>
    <cellStyle name="计算 2 11 5 6 4" xfId="15337"/>
    <cellStyle name="계산 2 11 5 6 5" xfId="47473"/>
    <cellStyle name="计算 2 11 5 6 5" xfId="39403"/>
    <cellStyle name="계산 2 11 5 7" xfId="36781"/>
    <cellStyle name="计算 2 11 5 7" xfId="32041"/>
    <cellStyle name="계산 2 11 5 7 2" xfId="42688"/>
    <cellStyle name="计算 2 11 5 7 2" xfId="38264"/>
    <cellStyle name="계산 2 11 5 7 3" xfId="49522"/>
    <cellStyle name="计算 2 11 5 7 3" xfId="47068"/>
    <cellStyle name="계산 2 11 5 8" xfId="37018"/>
    <cellStyle name="计算 2 11 5 8" xfId="30852"/>
    <cellStyle name="계산 2 11 5 8 2" xfId="42937"/>
    <cellStyle name="计算 2 11 5 8 2" xfId="16965"/>
    <cellStyle name="계산 2 11 5 8 3" xfId="49771"/>
    <cellStyle name="计算 2 11 5 8 3" xfId="40121"/>
    <cellStyle name="계산 2 11 5 9" xfId="28298"/>
    <cellStyle name="计算 2 11 5 9" xfId="28299"/>
    <cellStyle name="계산 2 11 6" xfId="11720"/>
    <cellStyle name="计算 2 11 6" xfId="11721"/>
    <cellStyle name="계산 2 11 6 10" xfId="45218"/>
    <cellStyle name="计算 2 11 6 10" xfId="45219"/>
    <cellStyle name="계산 2 11 6 11" xfId="14618"/>
    <cellStyle name="计算 2 11 6 11" xfId="34329"/>
    <cellStyle name="계산 2 11 6 2" xfId="12687"/>
    <cellStyle name="计算 2 11 6 2" xfId="8332"/>
    <cellStyle name="계산 2 11 6 2 2" xfId="25915"/>
    <cellStyle name="计算 2 11 6 2 2" xfId="21560"/>
    <cellStyle name="계산 2 11 6 2 3" xfId="36589"/>
    <cellStyle name="计算 2 11 6 2 3" xfId="36590"/>
    <cellStyle name="계산 2 11 6 2 4" xfId="42491"/>
    <cellStyle name="计算 2 11 6 2 4" xfId="42492"/>
    <cellStyle name="계산 2 11 6 2 5" xfId="46821"/>
    <cellStyle name="计算 2 11 6 2 5" xfId="46822"/>
    <cellStyle name="계산 2 11 6 2 6" xfId="49325"/>
    <cellStyle name="计算 2 11 6 2 6" xfId="49326"/>
    <cellStyle name="계산 2 11 6 3" xfId="14417"/>
    <cellStyle name="计算 2 11 6 3" xfId="14418"/>
    <cellStyle name="계산 2 11 6 3 2" xfId="27645"/>
    <cellStyle name="计算 2 11 6 3 2" xfId="27646"/>
    <cellStyle name="계산 2 11 6 3 3" xfId="37077"/>
    <cellStyle name="计算 2 11 6 3 3" xfId="37078"/>
    <cellStyle name="계산 2 11 6 3 4" xfId="42996"/>
    <cellStyle name="计算 2 11 6 3 4" xfId="42997"/>
    <cellStyle name="계산 2 11 6 3 5" xfId="47140"/>
    <cellStyle name="计算 2 11 6 3 5" xfId="47141"/>
    <cellStyle name="계산 2 11 6 3 6" xfId="49830"/>
    <cellStyle name="计算 2 11 6 3 6" xfId="49831"/>
    <cellStyle name="계산 2 11 6 4" xfId="14025"/>
    <cellStyle name="计算 2 11 6 4" xfId="14327"/>
    <cellStyle name="계산 2 11 6 4 2" xfId="27253"/>
    <cellStyle name="计算 2 11 6 4 2" xfId="27555"/>
    <cellStyle name="계산 2 11 6 4 3" xfId="30316"/>
    <cellStyle name="计算 2 11 6 4 3" xfId="35889"/>
    <cellStyle name="계산 2 11 6 4 4" xfId="17729"/>
    <cellStyle name="计算 2 11 6 4 4" xfId="41781"/>
    <cellStyle name="계산 2 11 6 4 5" xfId="27939"/>
    <cellStyle name="计算 2 11 6 4 5" xfId="46403"/>
    <cellStyle name="계산 2 11 6 4 6" xfId="40305"/>
    <cellStyle name="计算 2 11 6 4 6" xfId="48615"/>
    <cellStyle name="계산 2 11 6 5" xfId="24948"/>
    <cellStyle name="计算 2 11 6 5" xfId="24949"/>
    <cellStyle name="계산 2 11 6 5 2" xfId="36816"/>
    <cellStyle name="计算 2 11 6 5 2" xfId="31755"/>
    <cellStyle name="계산 2 11 6 5 3" xfId="42727"/>
    <cellStyle name="计算 2 11 6 5 3" xfId="37976"/>
    <cellStyle name="계산 2 11 6 5 4" xfId="46986"/>
    <cellStyle name="计算 2 11 6 5 4" xfId="18090"/>
    <cellStyle name="계산 2 11 6 5 5" xfId="49561"/>
    <cellStyle name="计算 2 11 6 5 5" xfId="17884"/>
    <cellStyle name="계산 2 11 6 6" xfId="31716"/>
    <cellStyle name="计算 2 11 6 6" xfId="31190"/>
    <cellStyle name="계산 2 11 6 6 2" xfId="37937"/>
    <cellStyle name="计算 2 11 6 6 2" xfId="17101"/>
    <cellStyle name="계산 2 11 6 6 3" xfId="14750"/>
    <cellStyle name="计算 2 11 6 6 3" xfId="40014"/>
    <cellStyle name="계산 2 11 6 7" xfId="37863"/>
    <cellStyle name="计算 2 11 6 7" xfId="37864"/>
    <cellStyle name="계산 2 11 6 7 2" xfId="43788"/>
    <cellStyle name="计算 2 11 6 7 2" xfId="43789"/>
    <cellStyle name="계산 2 11 6 7 3" xfId="50622"/>
    <cellStyle name="计算 2 11 6 7 3" xfId="50623"/>
    <cellStyle name="계산 2 11 6 8" xfId="34184"/>
    <cellStyle name="计算 2 11 6 8" xfId="34185"/>
    <cellStyle name="계산 2 11 6 9" xfId="40209"/>
    <cellStyle name="计算 2 11 6 9" xfId="40210"/>
    <cellStyle name="계산 2 11 7" xfId="7774"/>
    <cellStyle name="计算 2 11 7" xfId="7775"/>
    <cellStyle name="계산 2 11 7 2" xfId="21002"/>
    <cellStyle name="计算 2 11 7 2" xfId="21003"/>
    <cellStyle name="계산 2 11 7 3" xfId="30878"/>
    <cellStyle name="计算 2 11 7 3" xfId="30879"/>
    <cellStyle name="계산 2 11 7 4" xfId="14710"/>
    <cellStyle name="计算 2 11 7 4" xfId="16971"/>
    <cellStyle name="계산 2 11 7 5" xfId="30583"/>
    <cellStyle name="计算 2 11 7 5" xfId="15705"/>
    <cellStyle name="계산 2 11 7 6" xfId="40283"/>
    <cellStyle name="计算 2 11 7 6" xfId="38418"/>
    <cellStyle name="계산 2 11 8" xfId="7432"/>
    <cellStyle name="计算 2 11 8" xfId="7431"/>
    <cellStyle name="계산 2 11 8 2" xfId="20660"/>
    <cellStyle name="计算 2 11 8 2" xfId="20659"/>
    <cellStyle name="계산 2 11 8 3" xfId="34817"/>
    <cellStyle name="计算 2 11 8 3" xfId="36559"/>
    <cellStyle name="계산 2 11 8 4" xfId="40813"/>
    <cellStyle name="计算 2 11 8 4" xfId="42457"/>
    <cellStyle name="계산 2 11 8 5" xfId="45686"/>
    <cellStyle name="计算 2 11 8 5" xfId="46799"/>
    <cellStyle name="계산 2 11 8 6" xfId="33132"/>
    <cellStyle name="计算 2 11 8 6" xfId="49291"/>
    <cellStyle name="계산 2 11 9" xfId="12909"/>
    <cellStyle name="计算 2 11 9" xfId="8475"/>
    <cellStyle name="계산 2 11 9 2" xfId="26137"/>
    <cellStyle name="计算 2 11 9 2" xfId="21703"/>
    <cellStyle name="계산 2 11 9 3" xfId="29790"/>
    <cellStyle name="计算 2 11 9 3" xfId="37051"/>
    <cellStyle name="계산 2 11 9 4" xfId="36783"/>
    <cellStyle name="计算 2 11 9 4" xfId="42970"/>
    <cellStyle name="계산 2 11 9 5" xfId="39799"/>
    <cellStyle name="计算 2 11 9 5" xfId="47125"/>
    <cellStyle name="계산 2 11 9 6" xfId="38396"/>
    <cellStyle name="计算 2 11 9 6" xfId="49804"/>
    <cellStyle name="계산 2 12" xfId="2616"/>
    <cellStyle name="计算 2 12" xfId="2617"/>
    <cellStyle name="계산 2 12 10" xfId="12861"/>
    <cellStyle name="计算 2 12 10" xfId="14312"/>
    <cellStyle name="계산 2 12 10 2" xfId="26089"/>
    <cellStyle name="计算 2 12 10 2" xfId="27540"/>
    <cellStyle name="계산 2 12 10 3" xfId="30630"/>
    <cellStyle name="计算 2 12 10 3" xfId="35020"/>
    <cellStyle name="계산 2 12 10 4" xfId="15202"/>
    <cellStyle name="计算 2 12 10 4" xfId="41024"/>
    <cellStyle name="계산 2 12 10 5" xfId="33053"/>
    <cellStyle name="计算 2 12 10 5" xfId="45829"/>
    <cellStyle name="계산 2 12 10 6" xfId="46634"/>
    <cellStyle name="计算 2 12 10 6" xfId="47720"/>
    <cellStyle name="계산 2 12 11" xfId="14015"/>
    <cellStyle name="计算 2 12 11" xfId="14473"/>
    <cellStyle name="계산 2 12 11 2" xfId="27243"/>
    <cellStyle name="计算 2 12 11 2" xfId="27701"/>
    <cellStyle name="계산 2 12 11 3" xfId="37817"/>
    <cellStyle name="计算 2 12 11 3" xfId="34956"/>
    <cellStyle name="계산 2 12 11 4" xfId="43741"/>
    <cellStyle name="计算 2 12 11 4" xfId="40954"/>
    <cellStyle name="계산 2 12 11 5" xfId="47557"/>
    <cellStyle name="计算 2 12 11 5" xfId="45783"/>
    <cellStyle name="계산 2 12 11 6" xfId="50575"/>
    <cellStyle name="计算 2 12 11 6" xfId="47650"/>
    <cellStyle name="계산 2 12 12" xfId="16375"/>
    <cellStyle name="计算 2 12 12" xfId="16376"/>
    <cellStyle name="계산 2 12 12 2" xfId="41004"/>
    <cellStyle name="计算 2 12 12 2" xfId="41559"/>
    <cellStyle name="계산 2 12 12 3" xfId="47700"/>
    <cellStyle name="计算 2 12 12 3" xfId="48393"/>
    <cellStyle name="계산 2 12 13" xfId="15987"/>
    <cellStyle name="计算 2 12 13" xfId="17771"/>
    <cellStyle name="계산 2 12 14" xfId="32196"/>
    <cellStyle name="计算 2 12 14" xfId="34255"/>
    <cellStyle name="계산 2 12 15" xfId="18129"/>
    <cellStyle name="计算 2 12 15" xfId="40132"/>
    <cellStyle name="계산 2 12 16" xfId="32517"/>
    <cellStyle name="计算 2 12 16" xfId="14550"/>
    <cellStyle name="계산 2 12 17" xfId="50939"/>
    <cellStyle name="计算 2 12 17" xfId="50940"/>
    <cellStyle name="계산 2 12 18" xfId="50842"/>
    <cellStyle name="计算 2 12 18" xfId="50841"/>
    <cellStyle name="계산 2 12 2" xfId="6259"/>
    <cellStyle name="计算 2 12 2" xfId="6260"/>
    <cellStyle name="계산 2 12 2 10" xfId="16009"/>
    <cellStyle name="计算 2 12 2 10" xfId="16010"/>
    <cellStyle name="계산 2 12 2 11" xfId="40045"/>
    <cellStyle name="计算 2 12 2 11" xfId="32513"/>
    <cellStyle name="계산 2 12 2 12" xfId="40082"/>
    <cellStyle name="计算 2 12 2 12" xfId="44596"/>
    <cellStyle name="계산 2 12 2 2" xfId="10993"/>
    <cellStyle name="计算 2 12 2 2" xfId="10994"/>
    <cellStyle name="계산 2 12 2 2 2" xfId="24221"/>
    <cellStyle name="计算 2 12 2 2 2" xfId="24222"/>
    <cellStyle name="계산 2 12 2 2 3" xfId="33623"/>
    <cellStyle name="计算 2 12 2 2 3" xfId="33624"/>
    <cellStyle name="계산 2 12 2 2 4" xfId="39781"/>
    <cellStyle name="计算 2 12 2 2 4" xfId="39782"/>
    <cellStyle name="계산 2 12 2 2 5" xfId="44757"/>
    <cellStyle name="计算 2 12 2 2 5" xfId="44758"/>
    <cellStyle name="계산 2 12 2 2 6" xfId="39374"/>
    <cellStyle name="计算 2 12 2 2 6" xfId="29135"/>
    <cellStyle name="계산 2 12 2 3" xfId="13845"/>
    <cellStyle name="计算 2 12 2 3" xfId="13846"/>
    <cellStyle name="계산 2 12 2 3 2" xfId="27073"/>
    <cellStyle name="计算 2 12 2 3 2" xfId="27074"/>
    <cellStyle name="계산 2 12 2 3 3" xfId="36049"/>
    <cellStyle name="计算 2 12 2 3 3" xfId="36050"/>
    <cellStyle name="계산 2 12 2 3 4" xfId="41942"/>
    <cellStyle name="计算 2 12 2 3 4" xfId="41943"/>
    <cellStyle name="계산 2 12 2 3 5" xfId="46520"/>
    <cellStyle name="计算 2 12 2 3 5" xfId="46521"/>
    <cellStyle name="계산 2 12 2 3 6" xfId="48776"/>
    <cellStyle name="计算 2 12 2 3 6" xfId="48777"/>
    <cellStyle name="계산 2 12 2 4" xfId="6952"/>
    <cellStyle name="计算 2 12 2 4" xfId="6953"/>
    <cellStyle name="계산 2 12 2 4 2" xfId="20180"/>
    <cellStyle name="计算 2 12 2 4 2" xfId="20181"/>
    <cellStyle name="계산 2 12 2 4 3" xfId="29883"/>
    <cellStyle name="计算 2 12 2 4 3" xfId="31472"/>
    <cellStyle name="계산 2 12 2 4 4" xfId="18103"/>
    <cellStyle name="计算 2 12 2 4 4" xfId="17271"/>
    <cellStyle name="계산 2 12 2 4 5" xfId="28757"/>
    <cellStyle name="计算 2 12 2 4 5" xfId="28112"/>
    <cellStyle name="계산 2 12 2 4 6" xfId="44394"/>
    <cellStyle name="计算 2 12 2 4 6" xfId="46175"/>
    <cellStyle name="계산 2 12 2 5" xfId="13653"/>
    <cellStyle name="计算 2 12 2 5" xfId="7252"/>
    <cellStyle name="계산 2 12 2 5 2" xfId="26881"/>
    <cellStyle name="计算 2 12 2 5 2" xfId="20480"/>
    <cellStyle name="계산 2 12 2 5 3" xfId="30723"/>
    <cellStyle name="计算 2 12 2 5 3" xfId="30722"/>
    <cellStyle name="계산 2 12 2 5 4" xfId="17777"/>
    <cellStyle name="计算 2 12 2 5 4" xfId="16909"/>
    <cellStyle name="계산 2 12 2 5 5" xfId="32499"/>
    <cellStyle name="计算 2 12 2 5 5" xfId="28191"/>
    <cellStyle name="계산 2 12 2 5 6" xfId="27868"/>
    <cellStyle name="计算 2 12 2 5 6" xfId="44209"/>
    <cellStyle name="계산 2 12 2 6" xfId="13478"/>
    <cellStyle name="计算 2 12 2 6" xfId="14162"/>
    <cellStyle name="계산 2 12 2 6 2" xfId="26706"/>
    <cellStyle name="计算 2 12 2 6 2" xfId="27390"/>
    <cellStyle name="계산 2 12 2 6 3" xfId="31237"/>
    <cellStyle name="计算 2 12 2 6 3" xfId="30771"/>
    <cellStyle name="계산 2 12 2 6 4" xfId="17138"/>
    <cellStyle name="计算 2 12 2 6 4" xfId="18038"/>
    <cellStyle name="계산 2 12 2 6 5" xfId="27887"/>
    <cellStyle name="计算 2 12 2 6 5" xfId="15725"/>
    <cellStyle name="계산 2 12 2 6 6" xfId="46255"/>
    <cellStyle name="计算 2 12 2 6 6" xfId="38761"/>
    <cellStyle name="계산 2 12 2 7" xfId="19487"/>
    <cellStyle name="计算 2 12 2 7" xfId="19488"/>
    <cellStyle name="계산 2 12 2 7 2" xfId="31608"/>
    <cellStyle name="计算 2 12 2 7 2" xfId="30344"/>
    <cellStyle name="계산 2 12 2 7 3" xfId="17330"/>
    <cellStyle name="计算 2 12 2 7 3" xfId="16765"/>
    <cellStyle name="계산 2 12 2 7 4" xfId="17577"/>
    <cellStyle name="计算 2 12 2 7 4" xfId="28915"/>
    <cellStyle name="계산 2 12 2 7 5" xfId="47009"/>
    <cellStyle name="计算 2 12 2 7 5" xfId="28922"/>
    <cellStyle name="계산 2 12 2 8" xfId="37248"/>
    <cellStyle name="计算 2 12 2 8" xfId="36838"/>
    <cellStyle name="계산 2 12 2 8 2" xfId="43168"/>
    <cellStyle name="计算 2 12 2 8 2" xfId="42749"/>
    <cellStyle name="계산 2 12 2 8 3" xfId="50002"/>
    <cellStyle name="计算 2 12 2 8 3" xfId="49583"/>
    <cellStyle name="계산 2 12 2 9" xfId="29311"/>
    <cellStyle name="计算 2 12 2 9" xfId="29312"/>
    <cellStyle name="계산 2 12 3" xfId="6244"/>
    <cellStyle name="计算 2 12 3" xfId="6243"/>
    <cellStyle name="계산 2 12 3 10" xfId="14763"/>
    <cellStyle name="计算 2 12 3 10" xfId="28049"/>
    <cellStyle name="계산 2 12 3 11" xfId="40066"/>
    <cellStyle name="计算 2 12 3 11" xfId="39678"/>
    <cellStyle name="계산 2 12 3 12" xfId="39275"/>
    <cellStyle name="计算 2 12 3 12" xfId="44348"/>
    <cellStyle name="계산 2 12 3 2" xfId="10978"/>
    <cellStyle name="计算 2 12 3 2" xfId="10977"/>
    <cellStyle name="계산 2 12 3 2 2" xfId="24206"/>
    <cellStyle name="计算 2 12 3 2 2" xfId="24205"/>
    <cellStyle name="계산 2 12 3 2 3" xfId="33608"/>
    <cellStyle name="计算 2 12 3 2 3" xfId="33607"/>
    <cellStyle name="계산 2 12 3 2 4" xfId="39770"/>
    <cellStyle name="计算 2 12 3 2 4" xfId="39769"/>
    <cellStyle name="계산 2 12 3 2 5" xfId="44742"/>
    <cellStyle name="计算 2 12 3 2 5" xfId="44741"/>
    <cellStyle name="계산 2 12 3 2 6" xfId="27839"/>
    <cellStyle name="计算 2 12 3 2 6" xfId="28647"/>
    <cellStyle name="계산 2 12 3 3" xfId="13834"/>
    <cellStyle name="计算 2 12 3 3" xfId="13833"/>
    <cellStyle name="계산 2 12 3 3 2" xfId="27062"/>
    <cellStyle name="计算 2 12 3 3 2" xfId="27061"/>
    <cellStyle name="계산 2 12 3 3 3" xfId="36034"/>
    <cellStyle name="计算 2 12 3 3 3" xfId="36033"/>
    <cellStyle name="계산 2 12 3 3 4" xfId="41927"/>
    <cellStyle name="计算 2 12 3 3 4" xfId="41926"/>
    <cellStyle name="계산 2 12 3 3 5" xfId="46509"/>
    <cellStyle name="计算 2 12 3 3 5" xfId="46508"/>
    <cellStyle name="계산 2 12 3 3 6" xfId="48761"/>
    <cellStyle name="计算 2 12 3 3 6" xfId="48760"/>
    <cellStyle name="계산 2 12 3 4" xfId="6943"/>
    <cellStyle name="计算 2 12 3 4" xfId="12730"/>
    <cellStyle name="계산 2 12 3 4 2" xfId="20171"/>
    <cellStyle name="计算 2 12 3 4 2" xfId="25958"/>
    <cellStyle name="계산 2 12 3 4 3" xfId="31460"/>
    <cellStyle name="计算 2 12 3 4 3" xfId="31459"/>
    <cellStyle name="계산 2 12 3 4 4" xfId="15250"/>
    <cellStyle name="计算 2 12 3 4 4" xfId="17268"/>
    <cellStyle name="계산 2 12 3 4 5" xfId="28108"/>
    <cellStyle name="计算 2 12 3 4 5" xfId="28654"/>
    <cellStyle name="계산 2 12 3 4 6" xfId="47571"/>
    <cellStyle name="计算 2 12 3 4 6" xfId="47612"/>
    <cellStyle name="계산 2 12 3 5" xfId="13623"/>
    <cellStyle name="计算 2 12 3 5" xfId="13929"/>
    <cellStyle name="계산 2 12 3 5 2" xfId="26851"/>
    <cellStyle name="计算 2 12 3 5 2" xfId="27157"/>
    <cellStyle name="계산 2 12 3 5 3" xfId="30728"/>
    <cellStyle name="计算 2 12 3 5 3" xfId="30729"/>
    <cellStyle name="계산 2 12 3 5 4" xfId="17839"/>
    <cellStyle name="计算 2 12 3 5 4" xfId="16912"/>
    <cellStyle name="계산 2 12 3 5 5" xfId="27914"/>
    <cellStyle name="计算 2 12 3 5 5" xfId="29084"/>
    <cellStyle name="계산 2 12 3 5 6" xfId="32203"/>
    <cellStyle name="计算 2 12 3 5 6" xfId="39265"/>
    <cellStyle name="계산 2 12 3 6" xfId="7721"/>
    <cellStyle name="计算 2 12 3 6" xfId="14112"/>
    <cellStyle name="계산 2 12 3 6 2" xfId="20949"/>
    <cellStyle name="计算 2 12 3 6 2" xfId="27340"/>
    <cellStyle name="계산 2 12 3 6 3" xfId="31817"/>
    <cellStyle name="计算 2 12 3 6 3" xfId="30770"/>
    <cellStyle name="계산 2 12 3 6 4" xfId="38038"/>
    <cellStyle name="计算 2 12 3 6 4" xfId="27732"/>
    <cellStyle name="계산 2 12 3 6 5" xfId="18086"/>
    <cellStyle name="计算 2 12 3 6 5" xfId="34484"/>
    <cellStyle name="계산 2 12 3 6 6" xfId="46270"/>
    <cellStyle name="计算 2 12 3 6 6" xfId="28806"/>
    <cellStyle name="계산 2 12 3 7" xfId="19472"/>
    <cellStyle name="计算 2 12 3 7" xfId="19471"/>
    <cellStyle name="계산 2 12 3 7 2" xfId="36662"/>
    <cellStyle name="计算 2 12 3 7 2" xfId="31370"/>
    <cellStyle name="계산 2 12 3 7 3" xfId="42565"/>
    <cellStyle name="计算 2 12 3 7 3" xfId="17221"/>
    <cellStyle name="계산 2 12 3 7 4" xfId="46886"/>
    <cellStyle name="计算 2 12 3 7 4" xfId="15615"/>
    <cellStyle name="계산 2 12 3 7 5" xfId="49399"/>
    <cellStyle name="计算 2 12 3 7 5" xfId="27903"/>
    <cellStyle name="계산 2 12 3 8" xfId="32101"/>
    <cellStyle name="计算 2 12 3 8" xfId="35560"/>
    <cellStyle name="계산 2 12 3 8 2" xfId="38324"/>
    <cellStyle name="计算 2 12 3 8 2" xfId="41436"/>
    <cellStyle name="계산 2 12 3 8 3" xfId="15370"/>
    <cellStyle name="计算 2 12 3 8 3" xfId="48270"/>
    <cellStyle name="계산 2 12 3 9" xfId="29296"/>
    <cellStyle name="计算 2 12 3 9" xfId="29295"/>
    <cellStyle name="계산 2 12 4" xfId="6141"/>
    <cellStyle name="计算 2 12 4" xfId="6140"/>
    <cellStyle name="계산 2 12 4 10" xfId="37539"/>
    <cellStyle name="计算 2 12 4 10" xfId="34876"/>
    <cellStyle name="계산 2 12 4 11" xfId="40055"/>
    <cellStyle name="计算 2 12 4 11" xfId="40073"/>
    <cellStyle name="계산 2 12 4 12" xfId="44415"/>
    <cellStyle name="计算 2 12 4 12" xfId="40459"/>
    <cellStyle name="계산 2 12 4 2" xfId="10875"/>
    <cellStyle name="计算 2 12 4 2" xfId="10874"/>
    <cellStyle name="계산 2 12 4 2 2" xfId="24103"/>
    <cellStyle name="计算 2 12 4 2 2" xfId="24102"/>
    <cellStyle name="계산 2 12 4 2 3" xfId="33505"/>
    <cellStyle name="计算 2 12 4 2 3" xfId="33504"/>
    <cellStyle name="계산 2 12 4 2 4" xfId="39687"/>
    <cellStyle name="计算 2 12 4 2 4" xfId="39686"/>
    <cellStyle name="계산 2 12 4 2 5" xfId="44643"/>
    <cellStyle name="计算 2 12 4 2 5" xfId="44642"/>
    <cellStyle name="계산 2 12 4 2 6" xfId="31426"/>
    <cellStyle name="计算 2 12 4 2 6" xfId="45837"/>
    <cellStyle name="계산 2 12 4 3" xfId="13761"/>
    <cellStyle name="计算 2 12 4 3" xfId="13760"/>
    <cellStyle name="계산 2 12 4 3 2" xfId="26989"/>
    <cellStyle name="计算 2 12 4 3 2" xfId="26988"/>
    <cellStyle name="계산 2 12 4 3 3" xfId="35931"/>
    <cellStyle name="计算 2 12 4 3 3" xfId="35930"/>
    <cellStyle name="계산 2 12 4 3 4" xfId="41824"/>
    <cellStyle name="计算 2 12 4 3 4" xfId="41823"/>
    <cellStyle name="계산 2 12 4 3 5" xfId="46437"/>
    <cellStyle name="计算 2 12 4 3 5" xfId="46436"/>
    <cellStyle name="계산 2 12 4 3 6" xfId="48658"/>
    <cellStyle name="计算 2 12 4 3 6" xfId="48657"/>
    <cellStyle name="계산 2 12 4 4" xfId="6773"/>
    <cellStyle name="计算 2 12 4 4" xfId="12754"/>
    <cellStyle name="계산 2 12 4 4 2" xfId="20001"/>
    <cellStyle name="计算 2 12 4 4 2" xfId="25982"/>
    <cellStyle name="계산 2 12 4 4 3" xfId="32403"/>
    <cellStyle name="计算 2 12 4 4 3" xfId="31882"/>
    <cellStyle name="계산 2 12 4 4 4" xfId="38621"/>
    <cellStyle name="计算 2 12 4 4 4" xfId="38103"/>
    <cellStyle name="계산 2 12 4 4 5" xfId="43956"/>
    <cellStyle name="计算 2 12 4 4 5" xfId="34324"/>
    <cellStyle name="계산 2 12 4 4 6" xfId="46784"/>
    <cellStyle name="计算 2 12 4 4 6" xfId="39863"/>
    <cellStyle name="계산 2 12 4 5" xfId="7297"/>
    <cellStyle name="计算 2 12 4 5" xfId="13906"/>
    <cellStyle name="계산 2 12 4 5 2" xfId="20525"/>
    <cellStyle name="计算 2 12 4 5 2" xfId="27134"/>
    <cellStyle name="계산 2 12 4 5 3" xfId="30539"/>
    <cellStyle name="计算 2 12 4 5 3" xfId="31778"/>
    <cellStyle name="계산 2 12 4 5 4" xfId="27771"/>
    <cellStyle name="计算 2 12 4 5 4" xfId="37999"/>
    <cellStyle name="계산 2 12 4 5 5" xfId="32200"/>
    <cellStyle name="计算 2 12 4 5 5" xfId="35474"/>
    <cellStyle name="계산 2 12 4 5 6" xfId="34557"/>
    <cellStyle name="计算 2 12 4 5 6" xfId="44179"/>
    <cellStyle name="계산 2 12 4 6" xfId="8510"/>
    <cellStyle name="计算 2 12 4 6" xfId="13542"/>
    <cellStyle name="계산 2 12 4 6 2" xfId="21738"/>
    <cellStyle name="计算 2 12 4 6 2" xfId="26770"/>
    <cellStyle name="계산 2 12 4 6 3" xfId="34660"/>
    <cellStyle name="计算 2 12 4 6 3" xfId="30635"/>
    <cellStyle name="계산 2 12 4 6 4" xfId="40649"/>
    <cellStyle name="计算 2 12 4 6 4" xfId="16870"/>
    <cellStyle name="계산 2 12 4 6 5" xfId="45594"/>
    <cellStyle name="计算 2 12 4 6 5" xfId="33222"/>
    <cellStyle name="계산 2 12 4 6 6" xfId="38504"/>
    <cellStyle name="计算 2 12 4 6 6" xfId="15654"/>
    <cellStyle name="계산 2 12 4 7" xfId="19369"/>
    <cellStyle name="计算 2 12 4 7" xfId="19368"/>
    <cellStyle name="계산 2 12 4 7 2" xfId="34759"/>
    <cellStyle name="计算 2 12 4 7 2" xfId="37074"/>
    <cellStyle name="계산 2 12 4 7 3" xfId="40751"/>
    <cellStyle name="计算 2 12 4 7 3" xfId="42993"/>
    <cellStyle name="계산 2 12 4 7 4" xfId="45652"/>
    <cellStyle name="计算 2 12 4 7 4" xfId="47137"/>
    <cellStyle name="계산 2 12 4 7 5" xfId="40469"/>
    <cellStyle name="计算 2 12 4 7 5" xfId="49827"/>
    <cellStyle name="계산 2 12 4 8" xfId="37525"/>
    <cellStyle name="计算 2 12 4 8" xfId="31743"/>
    <cellStyle name="계산 2 12 4 8 2" xfId="43446"/>
    <cellStyle name="计算 2 12 4 8 2" xfId="37964"/>
    <cellStyle name="계산 2 12 4 8 3" xfId="50280"/>
    <cellStyle name="计算 2 12 4 8 3" xfId="47283"/>
    <cellStyle name="계산 2 12 4 9" xfId="29193"/>
    <cellStyle name="计算 2 12 4 9" xfId="29192"/>
    <cellStyle name="계산 2 12 5" xfId="9494"/>
    <cellStyle name="计算 2 12 5" xfId="9495"/>
    <cellStyle name="계산 2 12 5 10" xfId="32452"/>
    <cellStyle name="计算 2 12 5 10" xfId="28141"/>
    <cellStyle name="계산 2 12 5 11" xfId="14511"/>
    <cellStyle name="计算 2 12 5 11" xfId="15423"/>
    <cellStyle name="계산 2 12 5 12" xfId="45210"/>
    <cellStyle name="计算 2 12 5 12" xfId="44077"/>
    <cellStyle name="계산 2 12 5 2" xfId="13131"/>
    <cellStyle name="计算 2 12 5 2" xfId="13132"/>
    <cellStyle name="계산 2 12 5 2 2" xfId="26359"/>
    <cellStyle name="计算 2 12 5 2 2" xfId="26360"/>
    <cellStyle name="계산 2 12 5 2 3" xfId="32611"/>
    <cellStyle name="计算 2 12 5 2 3" xfId="32612"/>
    <cellStyle name="계산 2 12 5 2 4" xfId="38831"/>
    <cellStyle name="计算 2 12 5 2 4" xfId="38832"/>
    <cellStyle name="계산 2 12 5 2 5" xfId="44094"/>
    <cellStyle name="计算 2 12 5 2 5" xfId="44095"/>
    <cellStyle name="계산 2 12 5 2 6" xfId="18084"/>
    <cellStyle name="计算 2 12 5 2 6" xfId="44118"/>
    <cellStyle name="계산 2 12 5 3" xfId="7486"/>
    <cellStyle name="计算 2 12 5 3" xfId="6717"/>
    <cellStyle name="계산 2 12 5 3 2" xfId="20714"/>
    <cellStyle name="计算 2 12 5 3 2" xfId="19945"/>
    <cellStyle name="계산 2 12 5 3 3" xfId="35107"/>
    <cellStyle name="计算 2 12 5 3 3" xfId="35108"/>
    <cellStyle name="계산 2 12 5 3 4" xfId="41091"/>
    <cellStyle name="计算 2 12 5 3 4" xfId="41092"/>
    <cellStyle name="계산 2 12 5 3 5" xfId="45897"/>
    <cellStyle name="计算 2 12 5 3 5" xfId="45898"/>
    <cellStyle name="계산 2 12 5 3 6" xfId="47810"/>
    <cellStyle name="计算 2 12 5 3 6" xfId="47811"/>
    <cellStyle name="계산 2 12 5 4" xfId="13524"/>
    <cellStyle name="计算 2 12 5 4" xfId="14276"/>
    <cellStyle name="계산 2 12 5 4 2" xfId="26752"/>
    <cellStyle name="计算 2 12 5 4 2" xfId="27504"/>
    <cellStyle name="계산 2 12 5 4 3" xfId="29819"/>
    <cellStyle name="计算 2 12 5 4 3" xfId="30945"/>
    <cellStyle name="계산 2 12 5 4 4" xfId="14607"/>
    <cellStyle name="计算 2 12 5 4 4" xfId="17013"/>
    <cellStyle name="계산 2 12 5 4 5" xfId="39775"/>
    <cellStyle name="计算 2 12 5 4 5" xfId="32063"/>
    <cellStyle name="계산 2 12 5 4 6" xfId="40100"/>
    <cellStyle name="计算 2 12 5 4 6" xfId="38442"/>
    <cellStyle name="계산 2 12 5 5" xfId="7443"/>
    <cellStyle name="计算 2 12 5 5" xfId="8328"/>
    <cellStyle name="계산 2 12 5 5 2" xfId="20671"/>
    <cellStyle name="计算 2 12 5 5 2" xfId="21556"/>
    <cellStyle name="계산 2 12 5 5 3" xfId="42459"/>
    <cellStyle name="计算 2 12 5 5 3" xfId="27998"/>
    <cellStyle name="계산 2 12 5 5 4" xfId="49293"/>
    <cellStyle name="计算 2 12 5 5 4" xfId="46807"/>
    <cellStyle name="계산 2 12 5 6" xfId="22722"/>
    <cellStyle name="计算 2 12 5 6" xfId="22723"/>
    <cellStyle name="계산 2 12 5 6 2" xfId="30676"/>
    <cellStyle name="计算 2 12 5 6 2" xfId="34842"/>
    <cellStyle name="계산 2 12 5 6 3" xfId="16890"/>
    <cellStyle name="计算 2 12 5 6 3" xfId="40841"/>
    <cellStyle name="계산 2 12 5 6 4" xfId="33026"/>
    <cellStyle name="计算 2 12 5 6 4" xfId="45704"/>
    <cellStyle name="계산 2 12 5 6 5" xfId="34553"/>
    <cellStyle name="计算 2 12 5 6 5" xfId="33192"/>
    <cellStyle name="계산 2 12 5 7" xfId="35591"/>
    <cellStyle name="计算 2 12 5 7" xfId="31222"/>
    <cellStyle name="계산 2 12 5 7 2" xfId="41467"/>
    <cellStyle name="计算 2 12 5 7 2" xfId="17764"/>
    <cellStyle name="계산 2 12 5 7 3" xfId="48301"/>
    <cellStyle name="计算 2 12 5 7 3" xfId="34627"/>
    <cellStyle name="계산 2 12 5 8" xfId="36773"/>
    <cellStyle name="计算 2 12 5 8" xfId="30577"/>
    <cellStyle name="계산 2 12 5 8 2" xfId="42680"/>
    <cellStyle name="计算 2 12 5 8 2" xfId="16849"/>
    <cellStyle name="계산 2 12 5 8 3" xfId="49514"/>
    <cellStyle name="计算 2 12 5 8 3" xfId="44902"/>
    <cellStyle name="계산 2 12 5 9" xfId="28300"/>
    <cellStyle name="计算 2 12 5 9" xfId="28301"/>
    <cellStyle name="계산 2 12 6" xfId="11722"/>
    <cellStyle name="计算 2 12 6" xfId="11723"/>
    <cellStyle name="계산 2 12 6 10" xfId="45220"/>
    <cellStyle name="计算 2 12 6 10" xfId="45221"/>
    <cellStyle name="계산 2 12 6 11" xfId="40112"/>
    <cellStyle name="计算 2 12 6 11" xfId="33067"/>
    <cellStyle name="계산 2 12 6 2" xfId="8325"/>
    <cellStyle name="计算 2 12 6 2" xfId="12684"/>
    <cellStyle name="계산 2 12 6 2 2" xfId="21553"/>
    <cellStyle name="计算 2 12 6 2 2" xfId="25912"/>
    <cellStyle name="계산 2 12 6 2 3" xfId="36591"/>
    <cellStyle name="计算 2 12 6 2 3" xfId="36592"/>
    <cellStyle name="계산 2 12 6 2 4" xfId="42493"/>
    <cellStyle name="计算 2 12 6 2 4" xfId="42494"/>
    <cellStyle name="계산 2 12 6 2 5" xfId="46823"/>
    <cellStyle name="计算 2 12 6 2 5" xfId="46824"/>
    <cellStyle name="계산 2 12 6 2 6" xfId="49327"/>
    <cellStyle name="计算 2 12 6 2 6" xfId="49328"/>
    <cellStyle name="계산 2 12 6 3" xfId="14419"/>
    <cellStyle name="计算 2 12 6 3" xfId="14420"/>
    <cellStyle name="계산 2 12 6 3 2" xfId="27647"/>
    <cellStyle name="计算 2 12 6 3 2" xfId="27648"/>
    <cellStyle name="계산 2 12 6 3 3" xfId="37079"/>
    <cellStyle name="计算 2 12 6 3 3" xfId="37080"/>
    <cellStyle name="계산 2 12 6 3 4" xfId="42998"/>
    <cellStyle name="计算 2 12 6 3 4" xfId="42999"/>
    <cellStyle name="계산 2 12 6 3 5" xfId="47142"/>
    <cellStyle name="计算 2 12 6 3 5" xfId="47143"/>
    <cellStyle name="계산 2 12 6 3 6" xfId="49832"/>
    <cellStyle name="计算 2 12 6 3 6" xfId="49833"/>
    <cellStyle name="계산 2 12 6 4" xfId="14091"/>
    <cellStyle name="计算 2 12 6 4" xfId="13473"/>
    <cellStyle name="계산 2 12 6 4 2" xfId="27319"/>
    <cellStyle name="计算 2 12 6 4 2" xfId="26701"/>
    <cellStyle name="계산 2 12 6 4 3" xfId="30598"/>
    <cellStyle name="计算 2 12 6 4 3" xfId="34820"/>
    <cellStyle name="계산 2 12 6 4 4" xfId="27761"/>
    <cellStyle name="计算 2 12 6 4 4" xfId="40818"/>
    <cellStyle name="계산 2 12 6 4 5" xfId="34289"/>
    <cellStyle name="计算 2 12 6 4 5" xfId="45690"/>
    <cellStyle name="계산 2 12 6 4 6" xfId="29119"/>
    <cellStyle name="计算 2 12 6 4 6" xfId="15468"/>
    <cellStyle name="계산 2 12 6 5" xfId="24950"/>
    <cellStyle name="计算 2 12 6 5" xfId="24951"/>
    <cellStyle name="계산 2 12 6 5 2" xfId="31528"/>
    <cellStyle name="计算 2 12 6 5 2" xfId="32424"/>
    <cellStyle name="계산 2 12 6 5 3" xfId="15259"/>
    <cellStyle name="计算 2 12 6 5 3" xfId="38642"/>
    <cellStyle name="계산 2 12 6 5 4" xfId="15608"/>
    <cellStyle name="计算 2 12 6 5 4" xfId="43972"/>
    <cellStyle name="계산 2 12 6 5 5" xfId="29016"/>
    <cellStyle name="计算 2 12 6 5 5" xfId="35499"/>
    <cellStyle name="계산 2 12 6 6" xfId="37359"/>
    <cellStyle name="计算 2 12 6 6" xfId="34767"/>
    <cellStyle name="계산 2 12 6 6 2" xfId="43279"/>
    <cellStyle name="计算 2 12 6 6 2" xfId="40762"/>
    <cellStyle name="계산 2 12 6 6 3" xfId="50113"/>
    <cellStyle name="计算 2 12 6 6 3" xfId="28720"/>
    <cellStyle name="계산 2 12 6 7" xfId="37865"/>
    <cellStyle name="计算 2 12 6 7" xfId="37866"/>
    <cellStyle name="계산 2 12 6 7 2" xfId="43790"/>
    <cellStyle name="计算 2 12 6 7 2" xfId="43791"/>
    <cellStyle name="계산 2 12 6 7 3" xfId="50624"/>
    <cellStyle name="计算 2 12 6 7 3" xfId="50625"/>
    <cellStyle name="계산 2 12 6 8" xfId="34186"/>
    <cellStyle name="计算 2 12 6 8" xfId="34187"/>
    <cellStyle name="계산 2 12 6 9" xfId="40211"/>
    <cellStyle name="计算 2 12 6 9" xfId="40212"/>
    <cellStyle name="계산 2 12 7" xfId="7776"/>
    <cellStyle name="计算 2 12 7" xfId="7777"/>
    <cellStyle name="계산 2 12 7 2" xfId="21004"/>
    <cellStyle name="计算 2 12 7 2" xfId="21005"/>
    <cellStyle name="계산 2 12 7 3" xfId="30880"/>
    <cellStyle name="计算 2 12 7 3" xfId="30881"/>
    <cellStyle name="계산 2 12 7 4" xfId="28004"/>
    <cellStyle name="计算 2 12 7 4" xfId="17735"/>
    <cellStyle name="계산 2 12 7 5" xfId="32514"/>
    <cellStyle name="计算 2 12 7 5" xfId="18066"/>
    <cellStyle name="계산 2 12 7 6" xfId="15799"/>
    <cellStyle name="计算 2 12 7 6" xfId="40419"/>
    <cellStyle name="계산 2 12 8" xfId="7430"/>
    <cellStyle name="计算 2 12 8" xfId="7429"/>
    <cellStyle name="계산 2 12 8 2" xfId="20658"/>
    <cellStyle name="计算 2 12 8 2" xfId="20657"/>
    <cellStyle name="계산 2 12 8 3" xfId="35028"/>
    <cellStyle name="计算 2 12 8 3" xfId="36836"/>
    <cellStyle name="계산 2 12 8 4" xfId="41032"/>
    <cellStyle name="计算 2 12 8 4" xfId="42747"/>
    <cellStyle name="계산 2 12 8 5" xfId="45834"/>
    <cellStyle name="计算 2 12 8 5" xfId="46996"/>
    <cellStyle name="계산 2 12 8 6" xfId="47728"/>
    <cellStyle name="计算 2 12 8 6" xfId="49581"/>
    <cellStyle name="계산 2 12 9" xfId="14032"/>
    <cellStyle name="计算 2 12 9" xfId="13036"/>
    <cellStyle name="계산 2 12 9 2" xfId="27260"/>
    <cellStyle name="计算 2 12 9 2" xfId="26264"/>
    <cellStyle name="계산 2 12 9 3" xfId="29816"/>
    <cellStyle name="计算 2 12 9 3" xfId="37335"/>
    <cellStyle name="계산 2 12 9 4" xfId="14606"/>
    <cellStyle name="计算 2 12 9 4" xfId="43255"/>
    <cellStyle name="계산 2 12 9 5" xfId="41303"/>
    <cellStyle name="计算 2 12 9 5" xfId="47311"/>
    <cellStyle name="계산 2 12 9 6" xfId="34552"/>
    <cellStyle name="计算 2 12 9 6" xfId="50089"/>
    <cellStyle name="계산 2 13" xfId="2618"/>
    <cellStyle name="计算 2 13" xfId="2619"/>
    <cellStyle name="계산 2 13 10" xfId="7756"/>
    <cellStyle name="计算 2 13 10" xfId="8703"/>
    <cellStyle name="계산 2 13 10 2" xfId="20984"/>
    <cellStyle name="计算 2 13 10 2" xfId="21931"/>
    <cellStyle name="계산 2 13 10 3" xfId="35656"/>
    <cellStyle name="计算 2 13 10 3" xfId="31984"/>
    <cellStyle name="계산 2 13 10 4" xfId="41536"/>
    <cellStyle name="计算 2 13 10 4" xfId="38207"/>
    <cellStyle name="계산 2 13 10 5" xfId="46308"/>
    <cellStyle name="计算 2 13 10 5" xfId="18076"/>
    <cellStyle name="계산 2 13 10 6" xfId="48370"/>
    <cellStyle name="计算 2 13 10 6" xfId="32489"/>
    <cellStyle name="계산 2 13 11" xfId="8546"/>
    <cellStyle name="计算 2 13 11" xfId="14488"/>
    <cellStyle name="계산 2 13 11 2" xfId="21774"/>
    <cellStyle name="计算 2 13 11 2" xfId="27716"/>
    <cellStyle name="계산 2 13 11 3" xfId="32106"/>
    <cellStyle name="计算 2 13 11 3" xfId="35602"/>
    <cellStyle name="계산 2 13 11 4" xfId="38329"/>
    <cellStyle name="计算 2 13 11 4" xfId="41478"/>
    <cellStyle name="계산 2 13 11 5" xfId="32260"/>
    <cellStyle name="计算 2 13 11 5" xfId="46274"/>
    <cellStyle name="계산 2 13 11 6" xfId="33451"/>
    <cellStyle name="计算 2 13 11 6" xfId="48312"/>
    <cellStyle name="계산 2 13 12" xfId="16377"/>
    <cellStyle name="计算 2 13 12" xfId="16378"/>
    <cellStyle name="계산 2 13 12 2" xfId="43535"/>
    <cellStyle name="计算 2 13 12 2" xfId="43753"/>
    <cellStyle name="계산 2 13 12 3" xfId="50369"/>
    <cellStyle name="计算 2 13 12 3" xfId="50587"/>
    <cellStyle name="계산 2 13 13" xfId="17981"/>
    <cellStyle name="计算 2 13 13" xfId="17985"/>
    <cellStyle name="계산 2 13 14" xfId="32977"/>
    <cellStyle name="计算 2 13 14" xfId="28669"/>
    <cellStyle name="계산 2 13 15" xfId="38714"/>
    <cellStyle name="计算 2 13 15" xfId="34494"/>
    <cellStyle name="계산 2 13 16" xfId="40548"/>
    <cellStyle name="计算 2 13 16" xfId="39566"/>
    <cellStyle name="계산 2 13 17" xfId="50941"/>
    <cellStyle name="计算 2 13 17" xfId="50942"/>
    <cellStyle name="계산 2 13 18" xfId="50840"/>
    <cellStyle name="计算 2 13 18" xfId="50839"/>
    <cellStyle name="계산 2 13 2" xfId="6261"/>
    <cellStyle name="计算 2 13 2" xfId="6262"/>
    <cellStyle name="계산 2 13 2 10" xfId="16011"/>
    <cellStyle name="计算 2 13 2 10" xfId="16012"/>
    <cellStyle name="계산 2 13 2 11" xfId="27980"/>
    <cellStyle name="计算 2 13 2 11" xfId="41192"/>
    <cellStyle name="계산 2 13 2 12" xfId="45566"/>
    <cellStyle name="计算 2 13 2 12" xfId="28740"/>
    <cellStyle name="계산 2 13 2 2" xfId="10995"/>
    <cellStyle name="计算 2 13 2 2" xfId="10996"/>
    <cellStyle name="계산 2 13 2 2 2" xfId="24223"/>
    <cellStyle name="计算 2 13 2 2 2" xfId="24224"/>
    <cellStyle name="계산 2 13 2 2 3" xfId="33625"/>
    <cellStyle name="计算 2 13 2 2 3" xfId="33626"/>
    <cellStyle name="계산 2 13 2 2 4" xfId="39783"/>
    <cellStyle name="计算 2 13 2 2 4" xfId="39784"/>
    <cellStyle name="계산 2 13 2 2 5" xfId="44759"/>
    <cellStyle name="计算 2 13 2 2 5" xfId="44760"/>
    <cellStyle name="계산 2 13 2 2 6" xfId="38719"/>
    <cellStyle name="计算 2 13 2 2 6" xfId="40137"/>
    <cellStyle name="계산 2 13 2 3" xfId="13847"/>
    <cellStyle name="计算 2 13 2 3" xfId="13848"/>
    <cellStyle name="계산 2 13 2 3 2" xfId="27075"/>
    <cellStyle name="计算 2 13 2 3 2" xfId="27076"/>
    <cellStyle name="계산 2 13 2 3 3" xfId="36051"/>
    <cellStyle name="计算 2 13 2 3 3" xfId="36052"/>
    <cellStyle name="계산 2 13 2 3 4" xfId="41944"/>
    <cellStyle name="计算 2 13 2 3 4" xfId="41945"/>
    <cellStyle name="계산 2 13 2 3 5" xfId="46522"/>
    <cellStyle name="计算 2 13 2 3 5" xfId="46523"/>
    <cellStyle name="계산 2 13 2 3 6" xfId="48778"/>
    <cellStyle name="计算 2 13 2 3 6" xfId="48779"/>
    <cellStyle name="계산 2 13 2 4" xfId="12725"/>
    <cellStyle name="计算 2 13 2 4" xfId="12832"/>
    <cellStyle name="계산 2 13 2 4 2" xfId="25953"/>
    <cellStyle name="计算 2 13 2 4 2" xfId="26060"/>
    <cellStyle name="계산 2 13 2 4 3" xfId="31471"/>
    <cellStyle name="计算 2 13 2 4 3" xfId="29884"/>
    <cellStyle name="계산 2 13 2 4 4" xfId="15289"/>
    <cellStyle name="计算 2 13 2 4 4" xfId="14611"/>
    <cellStyle name="계산 2 13 2 4 5" xfId="29949"/>
    <cellStyle name="计算 2 13 2 4 5" xfId="33063"/>
    <cellStyle name="계산 2 13 2 4 6" xfId="46233"/>
    <cellStyle name="计算 2 13 2 4 6" xfId="45378"/>
    <cellStyle name="계산 2 13 2 5" xfId="13644"/>
    <cellStyle name="计算 2 13 2 5" xfId="8704"/>
    <cellStyle name="계산 2 13 2 5 2" xfId="26872"/>
    <cellStyle name="计算 2 13 2 5 2" xfId="21932"/>
    <cellStyle name="계산 2 13 2 5 3" xfId="30419"/>
    <cellStyle name="计算 2 13 2 5 3" xfId="34913"/>
    <cellStyle name="계산 2 13 2 5 4" xfId="14876"/>
    <cellStyle name="计算 2 13 2 5 4" xfId="40911"/>
    <cellStyle name="계산 2 13 2 5 5" xfId="33350"/>
    <cellStyle name="计算 2 13 2 5 5" xfId="45756"/>
    <cellStyle name="계산 2 13 2 5 6" xfId="44226"/>
    <cellStyle name="计算 2 13 2 5 6" xfId="39532"/>
    <cellStyle name="계산 2 13 2 6" xfId="13557"/>
    <cellStyle name="计算 2 13 2 6" xfId="12769"/>
    <cellStyle name="계산 2 13 2 6 2" xfId="26785"/>
    <cellStyle name="计算 2 13 2 6 2" xfId="25997"/>
    <cellStyle name="계산 2 13 2 6 3" xfId="31819"/>
    <cellStyle name="计算 2 13 2 6 3" xfId="36733"/>
    <cellStyle name="계산 2 13 2 6 4" xfId="38040"/>
    <cellStyle name="计算 2 13 2 6 4" xfId="42638"/>
    <cellStyle name="계산 2 13 2 6 5" xfId="15546"/>
    <cellStyle name="计算 2 13 2 6 5" xfId="46929"/>
    <cellStyle name="계산 2 13 2 6 6" xfId="47329"/>
    <cellStyle name="计算 2 13 2 6 6" xfId="49472"/>
    <cellStyle name="계산 2 13 2 7" xfId="19489"/>
    <cellStyle name="计算 2 13 2 7" xfId="19490"/>
    <cellStyle name="계산 2 13 2 7 2" xfId="30155"/>
    <cellStyle name="计算 2 13 2 7 2" xfId="37718"/>
    <cellStyle name="계산 2 13 2 7 3" xfId="16615"/>
    <cellStyle name="计算 2 13 2 7 3" xfId="43641"/>
    <cellStyle name="계산 2 13 2 7 4" xfId="33015"/>
    <cellStyle name="计算 2 13 2 7 4" xfId="47512"/>
    <cellStyle name="계산 2 13 2 7 5" xfId="45322"/>
    <cellStyle name="计算 2 13 2 7 5" xfId="50475"/>
    <cellStyle name="계산 2 13 2 8" xfId="30603"/>
    <cellStyle name="计算 2 13 2 8" xfId="30808"/>
    <cellStyle name="계산 2 13 2 8 2" xfId="14682"/>
    <cellStyle name="计算 2 13 2 8 2" xfId="27726"/>
    <cellStyle name="계산 2 13 2 8 3" xfId="46039"/>
    <cellStyle name="计算 2 13 2 8 3" xfId="15796"/>
    <cellStyle name="계산 2 13 2 9" xfId="29313"/>
    <cellStyle name="计算 2 13 2 9" xfId="29314"/>
    <cellStyle name="계산 2 13 3" xfId="6242"/>
    <cellStyle name="计算 2 13 3" xfId="6241"/>
    <cellStyle name="계산 2 13 3 10" xfId="14567"/>
    <cellStyle name="计算 2 13 3 10" xfId="16036"/>
    <cellStyle name="계산 2 13 3 11" xfId="35871"/>
    <cellStyle name="计算 2 13 3 11" xfId="40629"/>
    <cellStyle name="계산 2 13 3 12" xfId="45354"/>
    <cellStyle name="计算 2 13 3 12" xfId="43884"/>
    <cellStyle name="계산 2 13 3 2" xfId="10976"/>
    <cellStyle name="计算 2 13 3 2" xfId="10975"/>
    <cellStyle name="계산 2 13 3 2 2" xfId="24204"/>
    <cellStyle name="计算 2 13 3 2 2" xfId="24203"/>
    <cellStyle name="계산 2 13 3 2 3" xfId="33606"/>
    <cellStyle name="计算 2 13 3 2 3" xfId="33605"/>
    <cellStyle name="계산 2 13 3 2 4" xfId="39768"/>
    <cellStyle name="计算 2 13 3 2 4" xfId="39767"/>
    <cellStyle name="계산 2 13 3 2 5" xfId="44740"/>
    <cellStyle name="计算 2 13 3 2 5" xfId="44739"/>
    <cellStyle name="계산 2 13 3 2 6" xfId="39437"/>
    <cellStyle name="计算 2 13 3 2 6" xfId="40496"/>
    <cellStyle name="계산 2 13 3 3" xfId="13832"/>
    <cellStyle name="计算 2 13 3 3" xfId="13831"/>
    <cellStyle name="계산 2 13 3 3 2" xfId="27060"/>
    <cellStyle name="计算 2 13 3 3 2" xfId="27059"/>
    <cellStyle name="계산 2 13 3 3 3" xfId="36032"/>
    <cellStyle name="计算 2 13 3 3 3" xfId="36031"/>
    <cellStyle name="계산 2 13 3 3 4" xfId="41925"/>
    <cellStyle name="计算 2 13 3 3 4" xfId="41924"/>
    <cellStyle name="계산 2 13 3 3 5" xfId="46507"/>
    <cellStyle name="计算 2 13 3 3 5" xfId="46506"/>
    <cellStyle name="계산 2 13 3 3 6" xfId="48759"/>
    <cellStyle name="计算 2 13 3 3 6" xfId="48758"/>
    <cellStyle name="계산 2 13 3 4" xfId="12835"/>
    <cellStyle name="计算 2 13 3 4" xfId="12729"/>
    <cellStyle name="계산 2 13 3 4 2" xfId="26063"/>
    <cellStyle name="计算 2 13 3 4 2" xfId="25957"/>
    <cellStyle name="계산 2 13 3 4 3" xfId="31458"/>
    <cellStyle name="计算 2 13 3 4 3" xfId="31457"/>
    <cellStyle name="계산 2 13 3 4 4" xfId="17267"/>
    <cellStyle name="计算 2 13 3 4 4" xfId="17951"/>
    <cellStyle name="계산 2 13 3 4 5" xfId="28733"/>
    <cellStyle name="计算 2 13 3 4 5" xfId="32965"/>
    <cellStyle name="계산 2 13 3 4 6" xfId="44605"/>
    <cellStyle name="计算 2 13 3 4 6" xfId="43930"/>
    <cellStyle name="계산 2 13 3 5" xfId="7268"/>
    <cellStyle name="计算 2 13 3 5" xfId="12881"/>
    <cellStyle name="계산 2 13 3 5 2" xfId="20496"/>
    <cellStyle name="计算 2 13 3 5 2" xfId="26109"/>
    <cellStyle name="계산 2 13 3 5 3" xfId="30730"/>
    <cellStyle name="计算 2 13 3 5 3" xfId="30424"/>
    <cellStyle name="계산 2 13 3 5 4" xfId="16913"/>
    <cellStyle name="计算 2 13 3 5 4" xfId="14881"/>
    <cellStyle name="계산 2 13 3 5 5" xfId="34566"/>
    <cellStyle name="计算 2 13 3 5 5" xfId="28849"/>
    <cellStyle name="계산 2 13 3 5 6" xfId="40348"/>
    <cellStyle name="计算 2 13 3 5 6" xfId="46346"/>
    <cellStyle name="계산 2 13 3 6" xfId="12798"/>
    <cellStyle name="计算 2 13 3 6" xfId="14198"/>
    <cellStyle name="계산 2 13 3 6 2" xfId="26026"/>
    <cellStyle name="计算 2 13 3 6 2" xfId="27426"/>
    <cellStyle name="계산 2 13 3 6 3" xfId="37014"/>
    <cellStyle name="计算 2 13 3 6 3" xfId="36502"/>
    <cellStyle name="계산 2 13 3 6 4" xfId="42933"/>
    <cellStyle name="计算 2 13 3 6 4" xfId="42395"/>
    <cellStyle name="계산 2 13 3 6 5" xfId="47103"/>
    <cellStyle name="计算 2 13 3 6 5" xfId="46766"/>
    <cellStyle name="계산 2 13 3 6 6" xfId="49767"/>
    <cellStyle name="计算 2 13 3 6 6" xfId="49229"/>
    <cellStyle name="계산 2 13 3 7" xfId="19470"/>
    <cellStyle name="计算 2 13 3 7" xfId="19469"/>
    <cellStyle name="계산 2 13 3 7 2" xfId="37715"/>
    <cellStyle name="计算 2 13 3 7 2" xfId="30457"/>
    <cellStyle name="계산 2 13 3 7 3" xfId="43638"/>
    <cellStyle name="计算 2 13 3 7 3" xfId="16802"/>
    <cellStyle name="계산 2 13 3 7 4" xfId="47510"/>
    <cellStyle name="计算 2 13 3 7 4" xfId="28712"/>
    <cellStyle name="계산 2 13 3 7 5" xfId="50472"/>
    <cellStyle name="计算 2 13 3 7 5" xfId="47132"/>
    <cellStyle name="계산 2 13 3 8" xfId="30551"/>
    <cellStyle name="计算 2 13 3 8" xfId="37706"/>
    <cellStyle name="계산 2 13 3 8 2" xfId="16838"/>
    <cellStyle name="计算 2 13 3 8 2" xfId="43629"/>
    <cellStyle name="계산 2 13 3 8 3" xfId="34295"/>
    <cellStyle name="计算 2 13 3 8 3" xfId="50463"/>
    <cellStyle name="계산 2 13 3 9" xfId="29294"/>
    <cellStyle name="计算 2 13 3 9" xfId="29293"/>
    <cellStyle name="계산 2 13 4" xfId="6630"/>
    <cellStyle name="计算 2 13 4" xfId="6142"/>
    <cellStyle name="계산 2 13 4 10" xfId="16290"/>
    <cellStyle name="计算 2 13 4 10" xfId="36931"/>
    <cellStyle name="계산 2 13 4 11" xfId="15744"/>
    <cellStyle name="计算 2 13 4 11" xfId="27880"/>
    <cellStyle name="계산 2 13 4 12" xfId="44533"/>
    <cellStyle name="计算 2 13 4 12" xfId="45399"/>
    <cellStyle name="계산 2 13 4 2" xfId="11364"/>
    <cellStyle name="计算 2 13 4 2" xfId="10876"/>
    <cellStyle name="계산 2 13 4 2 2" xfId="24592"/>
    <cellStyle name="计算 2 13 4 2 2" xfId="24104"/>
    <cellStyle name="계산 2 13 4 2 3" xfId="33994"/>
    <cellStyle name="计算 2 13 4 2 3" xfId="33506"/>
    <cellStyle name="계산 2 13 4 2 4" xfId="40032"/>
    <cellStyle name="计算 2 13 4 2 4" xfId="39688"/>
    <cellStyle name="계산 2 13 4 2 5" xfId="45059"/>
    <cellStyle name="计算 2 13 4 2 5" xfId="44644"/>
    <cellStyle name="계산 2 13 4 2 6" xfId="34250"/>
    <cellStyle name="计算 2 13 4 2 6" xfId="44080"/>
    <cellStyle name="계산 2 13 4 3" xfId="13991"/>
    <cellStyle name="计算 2 13 4 3" xfId="13762"/>
    <cellStyle name="계산 2 13 4 3 2" xfId="27219"/>
    <cellStyle name="计算 2 13 4 3 2" xfId="26990"/>
    <cellStyle name="계산 2 13 4 3 3" xfId="36419"/>
    <cellStyle name="计算 2 13 4 3 3" xfId="35932"/>
    <cellStyle name="계산 2 13 4 3 4" xfId="42312"/>
    <cellStyle name="计算 2 13 4 3 4" xfId="41825"/>
    <cellStyle name="계산 2 13 4 3 5" xfId="46711"/>
    <cellStyle name="计算 2 13 4 3 5" xfId="46438"/>
    <cellStyle name="계산 2 13 4 3 6" xfId="49146"/>
    <cellStyle name="计算 2 13 4 3 6" xfId="48659"/>
    <cellStyle name="계산 2 13 4 4" xfId="8291"/>
    <cellStyle name="计算 2 13 4 4" xfId="8752"/>
    <cellStyle name="계산 2 13 4 4 2" xfId="21519"/>
    <cellStyle name="计算 2 13 4 4 2" xfId="21980"/>
    <cellStyle name="계산 2 13 4 4 3" xfId="31583"/>
    <cellStyle name="计算 2 13 4 4 3" xfId="32402"/>
    <cellStyle name="계산 2 13 4 4 4" xfId="15264"/>
    <cellStyle name="计算 2 13 4 4 4" xfId="38620"/>
    <cellStyle name="계산 2 13 4 4 5" xfId="15585"/>
    <cellStyle name="计算 2 13 4 4 5" xfId="43955"/>
    <cellStyle name="계산 2 13 4 4 6" xfId="46777"/>
    <cellStyle name="计算 2 13 4 4 6" xfId="47539"/>
    <cellStyle name="계산 2 13 4 5" xfId="12904"/>
    <cellStyle name="计算 2 13 4 5" xfId="13924"/>
    <cellStyle name="계산 2 13 4 5 2" xfId="26132"/>
    <cellStyle name="计算 2 13 4 5 2" xfId="27152"/>
    <cellStyle name="계산 2 13 4 5 3" xfId="31995"/>
    <cellStyle name="计算 2 13 4 5 3" xfId="30617"/>
    <cellStyle name="계산 2 13 4 5 4" xfId="38218"/>
    <cellStyle name="计算 2 13 4 5 4" xfId="14684"/>
    <cellStyle name="계산 2 13 4 5 5" xfId="30026"/>
    <cellStyle name="计算 2 13 4 5 5" xfId="34419"/>
    <cellStyle name="계산 2 13 4 5 6" xfId="35630"/>
    <cellStyle name="计算 2 13 4 5 6" xfId="44901"/>
    <cellStyle name="계산 2 13 4 6" xfId="14146"/>
    <cellStyle name="计算 2 13 4 6" xfId="14023"/>
    <cellStyle name="계산 2 13 4 6 2" xfId="27374"/>
    <cellStyle name="计算 2 13 4 6 2" xfId="27251"/>
    <cellStyle name="계산 2 13 4 6 3" xfId="34721"/>
    <cellStyle name="计算 2 13 4 6 3" xfId="36553"/>
    <cellStyle name="계산 2 13 4 6 4" xfId="40711"/>
    <cellStyle name="计算 2 13 4 6 4" xfId="42451"/>
    <cellStyle name="계산 2 13 4 6 5" xfId="45629"/>
    <cellStyle name="计算 2 13 4 6 5" xfId="46795"/>
    <cellStyle name="계산 2 13 4 6 6" xfId="17498"/>
    <cellStyle name="计算 2 13 4 6 6" xfId="49285"/>
    <cellStyle name="계산 2 13 4 7" xfId="19858"/>
    <cellStyle name="计算 2 13 4 7" xfId="19370"/>
    <cellStyle name="계산 2 13 4 7 2" xfId="34717"/>
    <cellStyle name="计算 2 13 4 7 2" xfId="35831"/>
    <cellStyle name="계산 2 13 4 7 3" xfId="40707"/>
    <cellStyle name="计算 2 13 4 7 3" xfId="41718"/>
    <cellStyle name="계산 2 13 4 7 4" xfId="45628"/>
    <cellStyle name="计算 2 13 4 7 4" xfId="46373"/>
    <cellStyle name="계산 2 13 4 7 5" xfId="39234"/>
    <cellStyle name="计算 2 13 4 7 5" xfId="48552"/>
    <cellStyle name="계산 2 13 4 8" xfId="35587"/>
    <cellStyle name="计算 2 13 4 8" xfId="35851"/>
    <cellStyle name="계산 2 13 4 8 2" xfId="41463"/>
    <cellStyle name="计算 2 13 4 8 2" xfId="41740"/>
    <cellStyle name="계산 2 13 4 8 3" xfId="48297"/>
    <cellStyle name="计算 2 13 4 8 3" xfId="48574"/>
    <cellStyle name="계산 2 13 4 9" xfId="29682"/>
    <cellStyle name="计算 2 13 4 9" xfId="29194"/>
    <cellStyle name="계산 2 13 5" xfId="9496"/>
    <cellStyle name="计算 2 13 5" xfId="9497"/>
    <cellStyle name="계산 2 13 5 10" xfId="33107"/>
    <cellStyle name="计算 2 13 5 10" xfId="34360"/>
    <cellStyle name="계산 2 13 5 11" xfId="15366"/>
    <cellStyle name="计算 2 13 5 11" xfId="15365"/>
    <cellStyle name="계산 2 13 5 12" xfId="15908"/>
    <cellStyle name="计算 2 13 5 12" xfId="44478"/>
    <cellStyle name="계산 2 13 5 2" xfId="13133"/>
    <cellStyle name="计算 2 13 5 2" xfId="13134"/>
    <cellStyle name="계산 2 13 5 2 2" xfId="26361"/>
    <cellStyle name="计算 2 13 5 2 2" xfId="26362"/>
    <cellStyle name="계산 2 13 5 2 3" xfId="32613"/>
    <cellStyle name="计算 2 13 5 2 3" xfId="32614"/>
    <cellStyle name="계산 2 13 5 2 4" xfId="38833"/>
    <cellStyle name="计算 2 13 5 2 4" xfId="38834"/>
    <cellStyle name="계산 2 13 5 2 5" xfId="44096"/>
    <cellStyle name="计算 2 13 5 2 5" xfId="44097"/>
    <cellStyle name="계산 2 13 5 2 6" xfId="46357"/>
    <cellStyle name="计算 2 13 5 2 6" xfId="17415"/>
    <cellStyle name="계산 2 13 5 3" xfId="12875"/>
    <cellStyle name="计算 2 13 5 3" xfId="7487"/>
    <cellStyle name="계산 2 13 5 3 2" xfId="26103"/>
    <cellStyle name="计算 2 13 5 3 2" xfId="20715"/>
    <cellStyle name="계산 2 13 5 3 3" xfId="35109"/>
    <cellStyle name="计算 2 13 5 3 3" xfId="35110"/>
    <cellStyle name="계산 2 13 5 3 4" xfId="41093"/>
    <cellStyle name="计算 2 13 5 3 4" xfId="41094"/>
    <cellStyle name="계산 2 13 5 3 5" xfId="45899"/>
    <cellStyle name="计算 2 13 5 3 5" xfId="45900"/>
    <cellStyle name="계산 2 13 5 3 6" xfId="47812"/>
    <cellStyle name="计算 2 13 5 3 6" xfId="47813"/>
    <cellStyle name="계산 2 13 5 4" xfId="8646"/>
    <cellStyle name="计算 2 13 5 4" xfId="14138"/>
    <cellStyle name="계산 2 13 5 4 2" xfId="21874"/>
    <cellStyle name="计算 2 13 5 4 2" xfId="27366"/>
    <cellStyle name="계산 2 13 5 4 3" xfId="30946"/>
    <cellStyle name="计算 2 13 5 4 3" xfId="30947"/>
    <cellStyle name="계산 2 13 5 4 4" xfId="17740"/>
    <cellStyle name="计算 2 13 5 4 4" xfId="17047"/>
    <cellStyle name="계산 2 13 5 4 5" xfId="17545"/>
    <cellStyle name="计算 2 13 5 4 5" xfId="15663"/>
    <cellStyle name="계산 2 13 5 4 6" xfId="15853"/>
    <cellStyle name="计算 2 13 5 4 6" xfId="40485"/>
    <cellStyle name="계산 2 13 5 5" xfId="6706"/>
    <cellStyle name="计算 2 13 5 5" xfId="14272"/>
    <cellStyle name="계산 2 13 5 5 2" xfId="19934"/>
    <cellStyle name="计算 2 13 5 5 2" xfId="27500"/>
    <cellStyle name="계산 2 13 5 5 3" xfId="40815"/>
    <cellStyle name="计算 2 13 5 5 3" xfId="41778"/>
    <cellStyle name="계산 2 13 5 5 4" xfId="15842"/>
    <cellStyle name="计算 2 13 5 5 4" xfId="48612"/>
    <cellStyle name="계산 2 13 5 6" xfId="22724"/>
    <cellStyle name="计算 2 13 5 6" xfId="22725"/>
    <cellStyle name="계산 2 13 5 6 2" xfId="37402"/>
    <cellStyle name="计算 2 13 5 6 2" xfId="34849"/>
    <cellStyle name="계산 2 13 5 6 3" xfId="43322"/>
    <cellStyle name="计算 2 13 5 6 3" xfId="40848"/>
    <cellStyle name="계산 2 13 5 6 4" xfId="47346"/>
    <cellStyle name="计算 2 13 5 6 4" xfId="45709"/>
    <cellStyle name="계산 2 13 5 6 5" xfId="50156"/>
    <cellStyle name="计算 2 13 5 6 5" xfId="39409"/>
    <cellStyle name="계산 2 13 5 7" xfId="36752"/>
    <cellStyle name="计算 2 13 5 7" xfId="34847"/>
    <cellStyle name="계산 2 13 5 7 2" xfId="42659"/>
    <cellStyle name="计算 2 13 5 7 2" xfId="40846"/>
    <cellStyle name="계산 2 13 5 7 3" xfId="49493"/>
    <cellStyle name="计算 2 13 5 7 3" xfId="28894"/>
    <cellStyle name="계산 2 13 5 8" xfId="31288"/>
    <cellStyle name="计算 2 13 5 8" xfId="37621"/>
    <cellStyle name="계산 2 13 5 8 2" xfId="17178"/>
    <cellStyle name="计算 2 13 5 8 2" xfId="43544"/>
    <cellStyle name="계산 2 13 5 8 3" xfId="39830"/>
    <cellStyle name="计算 2 13 5 8 3" xfId="50378"/>
    <cellStyle name="계산 2 13 5 9" xfId="28302"/>
    <cellStyle name="计算 2 13 5 9" xfId="28303"/>
    <cellStyle name="계산 2 13 6" xfId="11724"/>
    <cellStyle name="计算 2 13 6" xfId="11725"/>
    <cellStyle name="계산 2 13 6 10" xfId="45222"/>
    <cellStyle name="计算 2 13 6 10" xfId="45223"/>
    <cellStyle name="계산 2 13 6 11" xfId="28764"/>
    <cellStyle name="计算 2 13 6 11" xfId="39260"/>
    <cellStyle name="계산 2 13 6 2" xfId="12807"/>
    <cellStyle name="计算 2 13 6 2" xfId="12685"/>
    <cellStyle name="계산 2 13 6 2 2" xfId="26035"/>
    <cellStyle name="计算 2 13 6 2 2" xfId="25913"/>
    <cellStyle name="계산 2 13 6 2 3" xfId="36593"/>
    <cellStyle name="计算 2 13 6 2 3" xfId="36594"/>
    <cellStyle name="계산 2 13 6 2 4" xfId="42495"/>
    <cellStyle name="计算 2 13 6 2 4" xfId="42496"/>
    <cellStyle name="계산 2 13 6 2 5" xfId="46825"/>
    <cellStyle name="计算 2 13 6 2 5" xfId="46826"/>
    <cellStyle name="계산 2 13 6 2 6" xfId="49329"/>
    <cellStyle name="计算 2 13 6 2 6" xfId="49330"/>
    <cellStyle name="계산 2 13 6 3" xfId="14421"/>
    <cellStyle name="计算 2 13 6 3" xfId="14422"/>
    <cellStyle name="계산 2 13 6 3 2" xfId="27649"/>
    <cellStyle name="计算 2 13 6 3 2" xfId="27650"/>
    <cellStyle name="계산 2 13 6 3 3" xfId="37081"/>
    <cellStyle name="计算 2 13 6 3 3" xfId="37082"/>
    <cellStyle name="계산 2 13 6 3 4" xfId="43000"/>
    <cellStyle name="计算 2 13 6 3 4" xfId="43001"/>
    <cellStyle name="계산 2 13 6 3 5" xfId="47144"/>
    <cellStyle name="计算 2 13 6 3 5" xfId="47145"/>
    <cellStyle name="계산 2 13 6 3 6" xfId="49834"/>
    <cellStyle name="计算 2 13 6 3 6" xfId="49835"/>
    <cellStyle name="계산 2 13 6 4" xfId="7334"/>
    <cellStyle name="计算 2 13 6 4" xfId="13031"/>
    <cellStyle name="계산 2 13 6 4 2" xfId="20562"/>
    <cellStyle name="计算 2 13 6 4 2" xfId="26259"/>
    <cellStyle name="계산 2 13 6 4 3" xfId="30315"/>
    <cellStyle name="计算 2 13 6 4 3" xfId="32037"/>
    <cellStyle name="계산 2 13 6 4 4" xfId="16747"/>
    <cellStyle name="计算 2 13 6 4 4" xfId="38260"/>
    <cellStyle name="계산 2 13 6 4 5" xfId="17384"/>
    <cellStyle name="计算 2 13 6 4 5" xfId="34079"/>
    <cellStyle name="계산 2 13 6 4 6" xfId="38723"/>
    <cellStyle name="计算 2 13 6 4 6" xfId="47609"/>
    <cellStyle name="계산 2 13 6 5" xfId="24952"/>
    <cellStyle name="计算 2 13 6 5" xfId="24953"/>
    <cellStyle name="계산 2 13 6 5 2" xfId="35659"/>
    <cellStyle name="计算 2 13 6 5 2" xfId="36670"/>
    <cellStyle name="계산 2 13 6 5 3" xfId="41539"/>
    <cellStyle name="计算 2 13 6 5 3" xfId="42573"/>
    <cellStyle name="계산 2 13 6 5 4" xfId="46310"/>
    <cellStyle name="计算 2 13 6 5 4" xfId="46889"/>
    <cellStyle name="계산 2 13 6 5 5" xfId="48373"/>
    <cellStyle name="计算 2 13 6 5 5" xfId="49407"/>
    <cellStyle name="계산 2 13 6 6" xfId="35892"/>
    <cellStyle name="计算 2 13 6 6" xfId="37647"/>
    <cellStyle name="계산 2 13 6 6 2" xfId="41784"/>
    <cellStyle name="计算 2 13 6 6 2" xfId="43570"/>
    <cellStyle name="계산 2 13 6 6 3" xfId="48618"/>
    <cellStyle name="计算 2 13 6 6 3" xfId="50404"/>
    <cellStyle name="계산 2 13 6 7" xfId="37867"/>
    <cellStyle name="计算 2 13 6 7" xfId="37868"/>
    <cellStyle name="계산 2 13 6 7 2" xfId="43792"/>
    <cellStyle name="计算 2 13 6 7 2" xfId="43793"/>
    <cellStyle name="계산 2 13 6 7 3" xfId="50626"/>
    <cellStyle name="计算 2 13 6 7 3" xfId="50627"/>
    <cellStyle name="계산 2 13 6 8" xfId="34188"/>
    <cellStyle name="计算 2 13 6 8" xfId="34189"/>
    <cellStyle name="계산 2 13 6 9" xfId="40213"/>
    <cellStyle name="计算 2 13 6 9" xfId="40214"/>
    <cellStyle name="계산 2 13 7" xfId="7778"/>
    <cellStyle name="计算 2 13 7" xfId="7779"/>
    <cellStyle name="계산 2 13 7 2" xfId="21006"/>
    <cellStyle name="计算 2 13 7 2" xfId="21007"/>
    <cellStyle name="계산 2 13 7 3" xfId="30882"/>
    <cellStyle name="计算 2 13 7 3" xfId="30883"/>
    <cellStyle name="계산 2 13 7 4" xfId="14703"/>
    <cellStyle name="计算 2 13 7 4" xfId="16970"/>
    <cellStyle name="계산 2 13 7 5" xfId="36519"/>
    <cellStyle name="计算 2 13 7 5" xfId="15704"/>
    <cellStyle name="계산 2 13 7 6" xfId="39358"/>
    <cellStyle name="计算 2 13 7 6" xfId="34067"/>
    <cellStyle name="계산 2 13 8" xfId="7428"/>
    <cellStyle name="计算 2 13 8" xfId="7410"/>
    <cellStyle name="계산 2 13 8 2" xfId="20656"/>
    <cellStyle name="计算 2 13 8 2" xfId="20638"/>
    <cellStyle name="계산 2 13 8 3" xfId="35682"/>
    <cellStyle name="计算 2 13 8 3" xfId="36681"/>
    <cellStyle name="계산 2 13 8 4" xfId="41562"/>
    <cellStyle name="计算 2 13 8 4" xfId="42584"/>
    <cellStyle name="계산 2 13 8 5" xfId="46324"/>
    <cellStyle name="计算 2 13 8 5" xfId="46898"/>
    <cellStyle name="계산 2 13 8 6" xfId="48396"/>
    <cellStyle name="计算 2 13 8 6" xfId="49418"/>
    <cellStyle name="계산 2 13 9" xfId="14174"/>
    <cellStyle name="计算 2 13 9" xfId="13569"/>
    <cellStyle name="계산 2 13 9 2" xfId="27402"/>
    <cellStyle name="计算 2 13 9 2" xfId="26797"/>
    <cellStyle name="계산 2 13 9 3" xfId="31313"/>
    <cellStyle name="计算 2 13 9 3" xfId="37206"/>
    <cellStyle name="계산 2 13 9 4" xfId="17783"/>
    <cellStyle name="计算 2 13 9 4" xfId="43125"/>
    <cellStyle name="계산 2 13 9 5" xfId="15618"/>
    <cellStyle name="计算 2 13 9 5" xfId="47240"/>
    <cellStyle name="계산 2 13 9 6" xfId="41313"/>
    <cellStyle name="计算 2 13 9 6" xfId="49959"/>
    <cellStyle name="계산 2 14" xfId="2620"/>
    <cellStyle name="计算 2 14" xfId="2621"/>
    <cellStyle name="계산 2 14 10" xfId="7730"/>
    <cellStyle name="计算 2 14 10" xfId="14367"/>
    <cellStyle name="계산 2 14 10 2" xfId="20958"/>
    <cellStyle name="计算 2 14 10 2" xfId="27595"/>
    <cellStyle name="계산 2 14 10 3" xfId="36965"/>
    <cellStyle name="计算 2 14 10 3" xfId="37574"/>
    <cellStyle name="계산 2 14 10 4" xfId="42883"/>
    <cellStyle name="计算 2 14 10 4" xfId="43495"/>
    <cellStyle name="계산 2 14 10 5" xfId="47067"/>
    <cellStyle name="计算 2 14 10 5" xfId="47437"/>
    <cellStyle name="계산 2 14 10 6" xfId="49717"/>
    <cellStyle name="计算 2 14 10 6" xfId="50329"/>
    <cellStyle name="계산 2 14 11" xfId="8659"/>
    <cellStyle name="计算 2 14 11" xfId="12948"/>
    <cellStyle name="계산 2 14 11 2" xfId="21887"/>
    <cellStyle name="计算 2 14 11 2" xfId="26176"/>
    <cellStyle name="계산 2 14 11 3" xfId="30290"/>
    <cellStyle name="计算 2 14 11 3" xfId="37763"/>
    <cellStyle name="계산 2 14 11 4" xfId="16726"/>
    <cellStyle name="计算 2 14 11 4" xfId="43687"/>
    <cellStyle name="계산 2 14 11 5" xfId="15338"/>
    <cellStyle name="计算 2 14 11 5" xfId="47535"/>
    <cellStyle name="계산 2 14 11 6" xfId="28838"/>
    <cellStyle name="计算 2 14 11 6" xfId="50521"/>
    <cellStyle name="계산 2 14 12" xfId="16379"/>
    <cellStyle name="计算 2 14 12" xfId="16380"/>
    <cellStyle name="계산 2 14 12 2" xfId="16966"/>
    <cellStyle name="计算 2 14 12 2" xfId="17332"/>
    <cellStyle name="계산 2 14 12 3" xfId="39569"/>
    <cellStyle name="计算 2 14 12 3" xfId="47099"/>
    <cellStyle name="계산 2 14 13" xfId="17980"/>
    <cellStyle name="计算 2 14 13" xfId="15986"/>
    <cellStyle name="계산 2 14 14" xfId="33346"/>
    <cellStyle name="计算 2 14 14" xfId="34514"/>
    <cellStyle name="계산 2 14 15" xfId="39368"/>
    <cellStyle name="计算 2 14 15" xfId="40428"/>
    <cellStyle name="계산 2 14 16" xfId="33355"/>
    <cellStyle name="计算 2 14 16" xfId="39216"/>
    <cellStyle name="계산 2 14 17" xfId="50943"/>
    <cellStyle name="计算 2 14 17" xfId="50944"/>
    <cellStyle name="계산 2 14 18" xfId="50838"/>
    <cellStyle name="计算 2 14 18" xfId="50837"/>
    <cellStyle name="계산 2 14 2" xfId="6263"/>
    <cellStyle name="计算 2 14 2" xfId="6264"/>
    <cellStyle name="계산 2 14 2 10" xfId="16013"/>
    <cellStyle name="计算 2 14 2 10" xfId="16014"/>
    <cellStyle name="계산 2 14 2 11" xfId="27876"/>
    <cellStyle name="计算 2 14 2 11" xfId="39879"/>
    <cellStyle name="계산 2 14 2 12" xfId="39615"/>
    <cellStyle name="计算 2 14 2 12" xfId="40435"/>
    <cellStyle name="계산 2 14 2 2" xfId="10997"/>
    <cellStyle name="计算 2 14 2 2" xfId="10998"/>
    <cellStyle name="계산 2 14 2 2 2" xfId="24225"/>
    <cellStyle name="计算 2 14 2 2 2" xfId="24226"/>
    <cellStyle name="계산 2 14 2 2 3" xfId="33627"/>
    <cellStyle name="计算 2 14 2 2 3" xfId="33628"/>
    <cellStyle name="계산 2 14 2 2 4" xfId="39785"/>
    <cellStyle name="计算 2 14 2 2 4" xfId="39786"/>
    <cellStyle name="계산 2 14 2 2 5" xfId="44761"/>
    <cellStyle name="计算 2 14 2 2 5" xfId="44762"/>
    <cellStyle name="계산 2 14 2 2 6" xfId="16507"/>
    <cellStyle name="计算 2 14 2 2 6" xfId="33366"/>
    <cellStyle name="계산 2 14 2 3" xfId="13849"/>
    <cellStyle name="计算 2 14 2 3" xfId="13850"/>
    <cellStyle name="계산 2 14 2 3 2" xfId="27077"/>
    <cellStyle name="计算 2 14 2 3 2" xfId="27078"/>
    <cellStyle name="계산 2 14 2 3 3" xfId="36053"/>
    <cellStyle name="计算 2 14 2 3 3" xfId="36054"/>
    <cellStyle name="계산 2 14 2 3 4" xfId="41946"/>
    <cellStyle name="计算 2 14 2 3 4" xfId="41947"/>
    <cellStyle name="계산 2 14 2 3 5" xfId="46524"/>
    <cellStyle name="计算 2 14 2 3 5" xfId="46525"/>
    <cellStyle name="계산 2 14 2 3 6" xfId="48780"/>
    <cellStyle name="计算 2 14 2 3 6" xfId="48781"/>
    <cellStyle name="계산 2 14 2 4" xfId="12726"/>
    <cellStyle name="计算 2 14 2 4" xfId="6954"/>
    <cellStyle name="계산 2 14 2 4 2" xfId="25954"/>
    <cellStyle name="计算 2 14 2 4 2" xfId="20182"/>
    <cellStyle name="계산 2 14 2 4 3" xfId="31474"/>
    <cellStyle name="计算 2 14 2 4 3" xfId="31473"/>
    <cellStyle name="계산 2 14 2 4 4" xfId="15172"/>
    <cellStyle name="计算 2 14 2 4 4" xfId="17272"/>
    <cellStyle name="계산 2 14 2 4 5" xfId="34383"/>
    <cellStyle name="计算 2 14 2 4 5" xfId="28113"/>
    <cellStyle name="계산 2 14 2 4 6" xfId="32463"/>
    <cellStyle name="计算 2 14 2 4 6" xfId="46723"/>
    <cellStyle name="계산 2 14 2 5" xfId="13645"/>
    <cellStyle name="计算 2 14 2 5" xfId="13952"/>
    <cellStyle name="계산 2 14 2 5 2" xfId="26873"/>
    <cellStyle name="计算 2 14 2 5 2" xfId="27180"/>
    <cellStyle name="계산 2 14 2 5 3" xfId="30418"/>
    <cellStyle name="计算 2 14 2 5 3" xfId="30721"/>
    <cellStyle name="계산 2 14 2 5 4" xfId="27803"/>
    <cellStyle name="计算 2 14 2 5 4" xfId="16908"/>
    <cellStyle name="계산 2 14 2 5 5" xfId="28673"/>
    <cellStyle name="计算 2 14 2 5 5" xfId="33156"/>
    <cellStyle name="계산 2 14 2 5 6" xfId="46045"/>
    <cellStyle name="计算 2 14 2 5 6" xfId="45607"/>
    <cellStyle name="계산 2 14 2 6" xfId="13676"/>
    <cellStyle name="计算 2 14 2 6" xfId="7409"/>
    <cellStyle name="계산 2 14 2 6 2" xfId="26904"/>
    <cellStyle name="计算 2 14 2 6 2" xfId="20637"/>
    <cellStyle name="계산 2 14 2 6 3" xfId="30079"/>
    <cellStyle name="计算 2 14 2 6 3" xfId="30772"/>
    <cellStyle name="계산 2 14 2 6 4" xfId="16561"/>
    <cellStyle name="计算 2 14 2 6 4" xfId="16931"/>
    <cellStyle name="계산 2 14 2 6 5" xfId="29997"/>
    <cellStyle name="计算 2 14 2 6 5" xfId="28211"/>
    <cellStyle name="계산 2 14 2 6 6" xfId="32179"/>
    <cellStyle name="计算 2 14 2 6 6" xfId="33115"/>
    <cellStyle name="계산 2 14 2 7" xfId="19491"/>
    <cellStyle name="计算 2 14 2 7" xfId="19492"/>
    <cellStyle name="계산 2 14 2 7 2" xfId="30796"/>
    <cellStyle name="计算 2 14 2 7 2" xfId="37321"/>
    <cellStyle name="계산 2 14 2 7 3" xfId="15222"/>
    <cellStyle name="计算 2 14 2 7 3" xfId="43241"/>
    <cellStyle name="계산 2 14 2 7 4" xfId="14757"/>
    <cellStyle name="计算 2 14 2 7 4" xfId="47302"/>
    <cellStyle name="계산 2 14 2 7 5" xfId="16531"/>
    <cellStyle name="计算 2 14 2 7 5" xfId="50075"/>
    <cellStyle name="계산 2 14 2 8" xfId="31622"/>
    <cellStyle name="计算 2 14 2 8" xfId="37561"/>
    <cellStyle name="계산 2 14 2 8 2" xfId="17336"/>
    <cellStyle name="计算 2 14 2 8 2" xfId="43482"/>
    <cellStyle name="계산 2 14 2 8 3" xfId="34357"/>
    <cellStyle name="计算 2 14 2 8 3" xfId="50316"/>
    <cellStyle name="계산 2 14 2 9" xfId="29315"/>
    <cellStyle name="计算 2 14 2 9" xfId="29316"/>
    <cellStyle name="계산 2 14 3" xfId="6240"/>
    <cellStyle name="计算 2 14 3" xfId="6239"/>
    <cellStyle name="계산 2 14 3 10" xfId="14566"/>
    <cellStyle name="计算 2 14 3 10" xfId="14565"/>
    <cellStyle name="계산 2 14 3 11" xfId="39304"/>
    <cellStyle name="计算 2 14 3 11" xfId="34435"/>
    <cellStyle name="계산 2 14 3 12" xfId="38510"/>
    <cellStyle name="计算 2 14 3 12" xfId="45396"/>
    <cellStyle name="계산 2 14 3 2" xfId="10974"/>
    <cellStyle name="计算 2 14 3 2" xfId="10973"/>
    <cellStyle name="계산 2 14 3 2 2" xfId="24202"/>
    <cellStyle name="计算 2 14 3 2 2" xfId="24201"/>
    <cellStyle name="계산 2 14 3 2 3" xfId="33604"/>
    <cellStyle name="计算 2 14 3 2 3" xfId="33603"/>
    <cellStyle name="계산 2 14 3 2 4" xfId="39766"/>
    <cellStyle name="计算 2 14 3 2 4" xfId="39765"/>
    <cellStyle name="계산 2 14 3 2 5" xfId="44738"/>
    <cellStyle name="计算 2 14 3 2 5" xfId="44737"/>
    <cellStyle name="계산 2 14 3 2 6" xfId="15861"/>
    <cellStyle name="计算 2 14 3 2 6" xfId="38521"/>
    <cellStyle name="계산 2 14 3 3" xfId="13830"/>
    <cellStyle name="计算 2 14 3 3" xfId="13829"/>
    <cellStyle name="계산 2 14 3 3 2" xfId="27058"/>
    <cellStyle name="计算 2 14 3 3 2" xfId="27057"/>
    <cellStyle name="계산 2 14 3 3 3" xfId="36030"/>
    <cellStyle name="计算 2 14 3 3 3" xfId="36029"/>
    <cellStyle name="계산 2 14 3 3 4" xfId="41923"/>
    <cellStyle name="计算 2 14 3 3 4" xfId="41922"/>
    <cellStyle name="계산 2 14 3 3 5" xfId="46505"/>
    <cellStyle name="计算 2 14 3 3 5" xfId="46504"/>
    <cellStyle name="계산 2 14 3 3 6" xfId="48757"/>
    <cellStyle name="计算 2 14 3 3 6" xfId="48756"/>
    <cellStyle name="계산 2 14 3 4" xfId="6942"/>
    <cellStyle name="计算 2 14 3 4" xfId="6941"/>
    <cellStyle name="계산 2 14 3 4 2" xfId="20170"/>
    <cellStyle name="计算 2 14 3 4 2" xfId="20169"/>
    <cellStyle name="계산 2 14 3 4 3" xfId="31456"/>
    <cellStyle name="计算 2 14 3 4 3" xfId="31455"/>
    <cellStyle name="계산 2 14 3 4 4" xfId="17266"/>
    <cellStyle name="计算 2 14 3 4 4" xfId="17265"/>
    <cellStyle name="계산 2 14 3 4 5" xfId="28107"/>
    <cellStyle name="计算 2 14 3 4 5" xfId="28106"/>
    <cellStyle name="계산 2 14 3 4 6" xfId="34521"/>
    <cellStyle name="计算 2 14 3 4 6" xfId="45648"/>
    <cellStyle name="계산 2 14 3 5" xfId="6698"/>
    <cellStyle name="计算 2 14 3 5" xfId="13641"/>
    <cellStyle name="계산 2 14 3 5 2" xfId="19926"/>
    <cellStyle name="计算 2 14 3 5 2" xfId="26869"/>
    <cellStyle name="계산 2 14 3 5 3" xfId="30731"/>
    <cellStyle name="计算 2 14 3 5 3" xfId="30732"/>
    <cellStyle name="계산 2 14 3 5 4" xfId="17955"/>
    <cellStyle name="计算 2 14 3 5 4" xfId="27739"/>
    <cellStyle name="계산 2 14 3 5 5" xfId="33396"/>
    <cellStyle name="计算 2 14 3 5 5" xfId="28717"/>
    <cellStyle name="계산 2 14 3 5 6" xfId="16527"/>
    <cellStyle name="计算 2 14 3 5 6" xfId="38486"/>
    <cellStyle name="계산 2 14 3 6" xfId="13057"/>
    <cellStyle name="计算 2 14 3 6" xfId="14024"/>
    <cellStyle name="계산 2 14 3 6 2" xfId="26285"/>
    <cellStyle name="计算 2 14 3 6 2" xfId="27252"/>
    <cellStyle name="계산 2 14 3 6 3" xfId="29785"/>
    <cellStyle name="计算 2 14 3 6 3" xfId="30769"/>
    <cellStyle name="계산 2 14 3 6 4" xfId="18125"/>
    <cellStyle name="计算 2 14 3 6 4" xfId="17843"/>
    <cellStyle name="계산 2 14 3 6 5" xfId="29075"/>
    <cellStyle name="计算 2 14 3 6 5" xfId="28921"/>
    <cellStyle name="계산 2 14 3 6 6" xfId="45127"/>
    <cellStyle name="计算 2 14 3 6 6" xfId="39415"/>
    <cellStyle name="계산 2 14 3 7" xfId="19468"/>
    <cellStyle name="计算 2 14 3 7" xfId="19467"/>
    <cellStyle name="계산 2 14 3 7 2" xfId="31914"/>
    <cellStyle name="计算 2 14 3 7 2" xfId="37393"/>
    <cellStyle name="계산 2 14 3 7 3" xfId="38136"/>
    <cellStyle name="计算 2 14 3 7 3" xfId="43313"/>
    <cellStyle name="계산 2 14 3 7 4" xfId="18078"/>
    <cellStyle name="计算 2 14 3 7 4" xfId="47340"/>
    <cellStyle name="계산 2 14 3 7 5" xfId="17442"/>
    <cellStyle name="计算 2 14 3 7 5" xfId="50147"/>
    <cellStyle name="계산 2 14 3 8" xfId="35699"/>
    <cellStyle name="计算 2 14 3 8" xfId="37536"/>
    <cellStyle name="계산 2 14 3 8 2" xfId="41583"/>
    <cellStyle name="计算 2 14 3 8 2" xfId="43457"/>
    <cellStyle name="계산 2 14 3 8 3" xfId="48417"/>
    <cellStyle name="计算 2 14 3 8 3" xfId="50291"/>
    <cellStyle name="계산 2 14 3 9" xfId="29292"/>
    <cellStyle name="计算 2 14 3 9" xfId="29291"/>
    <cellStyle name="계산 2 14 4" xfId="6143"/>
    <cellStyle name="计算 2 14 4" xfId="6144"/>
    <cellStyle name="계산 2 14 4 10" xfId="35860"/>
    <cellStyle name="计算 2 14 4 10" xfId="30585"/>
    <cellStyle name="계산 2 14 4 11" xfId="28842"/>
    <cellStyle name="计算 2 14 4 11" xfId="39882"/>
    <cellStyle name="계산 2 14 4 12" xfId="15756"/>
    <cellStyle name="计算 2 14 4 12" xfId="34334"/>
    <cellStyle name="계산 2 14 4 2" xfId="10877"/>
    <cellStyle name="计算 2 14 4 2" xfId="10878"/>
    <cellStyle name="계산 2 14 4 2 2" xfId="24105"/>
    <cellStyle name="计算 2 14 4 2 2" xfId="24106"/>
    <cellStyle name="계산 2 14 4 2 3" xfId="33507"/>
    <cellStyle name="计算 2 14 4 2 3" xfId="33508"/>
    <cellStyle name="계산 2 14 4 2 4" xfId="39689"/>
    <cellStyle name="计算 2 14 4 2 4" xfId="39690"/>
    <cellStyle name="계산 2 14 4 2 5" xfId="44645"/>
    <cellStyle name="计算 2 14 4 2 5" xfId="44646"/>
    <cellStyle name="계산 2 14 4 2 6" xfId="46391"/>
    <cellStyle name="计算 2 14 4 2 6" xfId="46199"/>
    <cellStyle name="계산 2 14 4 3" xfId="13763"/>
    <cellStyle name="计算 2 14 4 3" xfId="13764"/>
    <cellStyle name="계산 2 14 4 3 2" xfId="26991"/>
    <cellStyle name="计算 2 14 4 3 2" xfId="26992"/>
    <cellStyle name="계산 2 14 4 3 3" xfId="35933"/>
    <cellStyle name="计算 2 14 4 3 3" xfId="35934"/>
    <cellStyle name="계산 2 14 4 3 4" xfId="41826"/>
    <cellStyle name="计算 2 14 4 3 4" xfId="41827"/>
    <cellStyle name="계산 2 14 4 3 5" xfId="46439"/>
    <cellStyle name="计算 2 14 4 3 5" xfId="46440"/>
    <cellStyle name="계산 2 14 4 3 6" xfId="48660"/>
    <cellStyle name="计算 2 14 4 3 6" xfId="48661"/>
    <cellStyle name="계산 2 14 4 4" xfId="12751"/>
    <cellStyle name="计算 2 14 4 4" xfId="12851"/>
    <cellStyle name="계산 2 14 4 4 2" xfId="25979"/>
    <cellStyle name="计算 2 14 4 4 2" xfId="26079"/>
    <cellStyle name="계산 2 14 4 4 3" xfId="31883"/>
    <cellStyle name="计算 2 14 4 4 3" xfId="32405"/>
    <cellStyle name="계산 2 14 4 4 4" xfId="38104"/>
    <cellStyle name="计算 2 14 4 4 4" xfId="38623"/>
    <cellStyle name="계산 2 14 4 4 5" xfId="17795"/>
    <cellStyle name="计算 2 14 4 4 5" xfId="43958"/>
    <cellStyle name="계산 2 14 4 4 6" xfId="34478"/>
    <cellStyle name="计算 2 14 4 4 6" xfId="15630"/>
    <cellStyle name="계산 2 14 4 5" xfId="13624"/>
    <cellStyle name="计算 2 14 4 5" xfId="7323"/>
    <cellStyle name="계산 2 14 4 5 2" xfId="26852"/>
    <cellStyle name="计算 2 14 4 5 2" xfId="20551"/>
    <cellStyle name="계산 2 14 4 5 3" xfId="30540"/>
    <cellStyle name="计算 2 14 4 5 3" xfId="30452"/>
    <cellStyle name="계산 2 14 4 5 4" xfId="15192"/>
    <cellStyle name="计算 2 14 4 5 4" xfId="14668"/>
    <cellStyle name="계산 2 14 4 5 5" xfId="28852"/>
    <cellStyle name="计算 2 14 4 5 5" xfId="30056"/>
    <cellStyle name="계산 2 14 4 5 6" xfId="47218"/>
    <cellStyle name="计算 2 14 4 5 6" xfId="44908"/>
    <cellStyle name="계산 2 14 4 6" xfId="13028"/>
    <cellStyle name="计算 2 14 4 6" xfId="7585"/>
    <cellStyle name="계산 2 14 4 6 2" xfId="26256"/>
    <cellStyle name="计算 2 14 4 6 2" xfId="20813"/>
    <cellStyle name="계산 2 14 4 6 3" xfId="37149"/>
    <cellStyle name="计算 2 14 4 6 3" xfId="30223"/>
    <cellStyle name="계산 2 14 4 6 4" xfId="43068"/>
    <cellStyle name="计算 2 14 4 6 4" xfId="16672"/>
    <cellStyle name="계산 2 14 4 6 5" xfId="47204"/>
    <cellStyle name="计算 2 14 4 6 5" xfId="41071"/>
    <cellStyle name="계산 2 14 4 6 6" xfId="49902"/>
    <cellStyle name="计算 2 14 4 6 6" xfId="44034"/>
    <cellStyle name="계산 2 14 4 7" xfId="19371"/>
    <cellStyle name="计算 2 14 4 7" xfId="19372"/>
    <cellStyle name="계산 2 14 4 7 2" xfId="36744"/>
    <cellStyle name="计算 2 14 4 7 2" xfId="36861"/>
    <cellStyle name="계산 2 14 4 7 3" xfId="42649"/>
    <cellStyle name="计算 2 14 4 7 3" xfId="42773"/>
    <cellStyle name="계산 2 14 4 7 4" xfId="46937"/>
    <cellStyle name="计算 2 14 4 7 4" xfId="47008"/>
    <cellStyle name="계산 2 14 4 7 5" xfId="49483"/>
    <cellStyle name="计算 2 14 4 7 5" xfId="49607"/>
    <cellStyle name="계산 2 14 4 8" xfId="37696"/>
    <cellStyle name="计算 2 14 4 8" xfId="29775"/>
    <cellStyle name="계산 2 14 4 8 2" xfId="43619"/>
    <cellStyle name="计算 2 14 4 8 2" xfId="16333"/>
    <cellStyle name="계산 2 14 4 8 3" xfId="50453"/>
    <cellStyle name="计算 2 14 4 8 3" xfId="45338"/>
    <cellStyle name="계산 2 14 4 9" xfId="29195"/>
    <cellStyle name="计算 2 14 4 9" xfId="29196"/>
    <cellStyle name="계산 2 14 5" xfId="9498"/>
    <cellStyle name="计算 2 14 5" xfId="9499"/>
    <cellStyle name="계산 2 14 5 10" xfId="28804"/>
    <cellStyle name="计算 2 14 5 10" xfId="32283"/>
    <cellStyle name="계산 2 14 5 11" xfId="16511"/>
    <cellStyle name="计算 2 14 5 11" xfId="40150"/>
    <cellStyle name="계산 2 14 5 12" xfId="45464"/>
    <cellStyle name="计算 2 14 5 12" xfId="17621"/>
    <cellStyle name="계산 2 14 5 2" xfId="13135"/>
    <cellStyle name="计算 2 14 5 2" xfId="13136"/>
    <cellStyle name="계산 2 14 5 2 2" xfId="26363"/>
    <cellStyle name="计算 2 14 5 2 2" xfId="26364"/>
    <cellStyle name="계산 2 14 5 2 3" xfId="32615"/>
    <cellStyle name="计算 2 14 5 2 3" xfId="32616"/>
    <cellStyle name="계산 2 14 5 2 4" xfId="38835"/>
    <cellStyle name="计算 2 14 5 2 4" xfId="38836"/>
    <cellStyle name="계산 2 14 5 2 5" xfId="44098"/>
    <cellStyle name="计算 2 14 5 2 5" xfId="44099"/>
    <cellStyle name="계산 2 14 5 2 6" xfId="46544"/>
    <cellStyle name="计算 2 14 5 2 6" xfId="46923"/>
    <cellStyle name="계산 2 14 5 3" xfId="7488"/>
    <cellStyle name="计算 2 14 5 3" xfId="7489"/>
    <cellStyle name="계산 2 14 5 3 2" xfId="20716"/>
    <cellStyle name="计算 2 14 5 3 2" xfId="20717"/>
    <cellStyle name="계산 2 14 5 3 3" xfId="35111"/>
    <cellStyle name="计算 2 14 5 3 3" xfId="35112"/>
    <cellStyle name="계산 2 14 5 3 4" xfId="41095"/>
    <cellStyle name="计算 2 14 5 3 4" xfId="41096"/>
    <cellStyle name="계산 2 14 5 3 5" xfId="45901"/>
    <cellStyle name="计算 2 14 5 3 5" xfId="45902"/>
    <cellStyle name="계산 2 14 5 3 6" xfId="47814"/>
    <cellStyle name="计算 2 14 5 3 6" xfId="47815"/>
    <cellStyle name="계산 2 14 5 4" xfId="13604"/>
    <cellStyle name="计算 2 14 5 4" xfId="14210"/>
    <cellStyle name="계산 2 14 5 4 2" xfId="26832"/>
    <cellStyle name="计算 2 14 5 4 2" xfId="27438"/>
    <cellStyle name="계산 2 14 5 4 3" xfId="30948"/>
    <cellStyle name="计算 2 14 5 4 3" xfId="32150"/>
    <cellStyle name="계산 2 14 5 4 4" xfId="17015"/>
    <cellStyle name="计算 2 14 5 4 4" xfId="38375"/>
    <cellStyle name="계산 2 14 5 4 5" xfId="14521"/>
    <cellStyle name="计算 2 14 5 4 5" xfId="32524"/>
    <cellStyle name="계산 2 14 5 4 6" xfId="39424"/>
    <cellStyle name="计算 2 14 5 4 6" xfId="38458"/>
    <cellStyle name="계산 2 14 5 5" xfId="12760"/>
    <cellStyle name="计算 2 14 5 5" xfId="7718"/>
    <cellStyle name="계산 2 14 5 5 2" xfId="25988"/>
    <cellStyle name="计算 2 14 5 5 2" xfId="20946"/>
    <cellStyle name="계산 2 14 5 5 3" xfId="42876"/>
    <cellStyle name="计算 2 14 5 5 3" xfId="41423"/>
    <cellStyle name="계산 2 14 5 5 4" xfId="49710"/>
    <cellStyle name="计算 2 14 5 5 4" xfId="48257"/>
    <cellStyle name="계산 2 14 5 6" xfId="22726"/>
    <cellStyle name="计算 2 14 5 6" xfId="22727"/>
    <cellStyle name="계산 2 14 5 6 2" xfId="37166"/>
    <cellStyle name="计算 2 14 5 6 2" xfId="30107"/>
    <cellStyle name="계산 2 14 5 6 3" xfId="43085"/>
    <cellStyle name="计算 2 14 5 6 3" xfId="14632"/>
    <cellStyle name="계산 2 14 5 6 4" xfId="47216"/>
    <cellStyle name="计算 2 14 5 6 4" xfId="40042"/>
    <cellStyle name="계산 2 14 5 6 5" xfId="49919"/>
    <cellStyle name="计算 2 14 5 6 5" xfId="45536"/>
    <cellStyle name="계산 2 14 5 7" xfId="37395"/>
    <cellStyle name="计算 2 14 5 7" xfId="34947"/>
    <cellStyle name="계산 2 14 5 7 2" xfId="43315"/>
    <cellStyle name="计算 2 14 5 7 2" xfId="40945"/>
    <cellStyle name="계산 2 14 5 7 3" xfId="50149"/>
    <cellStyle name="计算 2 14 5 7 3" xfId="47641"/>
    <cellStyle name="계산 2 14 5 8" xfId="30660"/>
    <cellStyle name="计算 2 14 5 8" xfId="37642"/>
    <cellStyle name="계산 2 14 5 8 2" xfId="27751"/>
    <cellStyle name="计算 2 14 5 8 2" xfId="43565"/>
    <cellStyle name="계산 2 14 5 8 3" xfId="46188"/>
    <cellStyle name="计算 2 14 5 8 3" xfId="50399"/>
    <cellStyle name="계산 2 14 5 9" xfId="28304"/>
    <cellStyle name="计算 2 14 5 9" xfId="28305"/>
    <cellStyle name="계산 2 14 6" xfId="11726"/>
    <cellStyle name="计算 2 14 6" xfId="11727"/>
    <cellStyle name="계산 2 14 6 10" xfId="45224"/>
    <cellStyle name="计算 2 14 6 10" xfId="45225"/>
    <cellStyle name="계산 2 14 6 11" xfId="28799"/>
    <cellStyle name="计算 2 14 6 11" xfId="33450"/>
    <cellStyle name="계산 2 14 6 2" xfId="8389"/>
    <cellStyle name="计算 2 14 6 2" xfId="8390"/>
    <cellStyle name="계산 2 14 6 2 2" xfId="21617"/>
    <cellStyle name="计算 2 14 6 2 2" xfId="21618"/>
    <cellStyle name="계산 2 14 6 2 3" xfId="36595"/>
    <cellStyle name="计算 2 14 6 2 3" xfId="36596"/>
    <cellStyle name="계산 2 14 6 2 4" xfId="42497"/>
    <cellStyle name="计算 2 14 6 2 4" xfId="42498"/>
    <cellStyle name="계산 2 14 6 2 5" xfId="46827"/>
    <cellStyle name="计算 2 14 6 2 5" xfId="46828"/>
    <cellStyle name="계산 2 14 6 2 6" xfId="49331"/>
    <cellStyle name="计算 2 14 6 2 6" xfId="49332"/>
    <cellStyle name="계산 2 14 6 3" xfId="14423"/>
    <cellStyle name="计算 2 14 6 3" xfId="14424"/>
    <cellStyle name="계산 2 14 6 3 2" xfId="27651"/>
    <cellStyle name="计算 2 14 6 3 2" xfId="27652"/>
    <cellStyle name="계산 2 14 6 3 3" xfId="37083"/>
    <cellStyle name="计算 2 14 6 3 3" xfId="37084"/>
    <cellStyle name="계산 2 14 6 3 4" xfId="43002"/>
    <cellStyle name="计算 2 14 6 3 4" xfId="43003"/>
    <cellStyle name="계산 2 14 6 3 5" xfId="47146"/>
    <cellStyle name="计算 2 14 6 3 5" xfId="47147"/>
    <cellStyle name="계산 2 14 6 3 6" xfId="49836"/>
    <cellStyle name="计算 2 14 6 3 6" xfId="49837"/>
    <cellStyle name="계산 2 14 6 4" xfId="12694"/>
    <cellStyle name="计算 2 14 6 4" xfId="14226"/>
    <cellStyle name="계산 2 14 6 4 2" xfId="25922"/>
    <cellStyle name="计算 2 14 6 4 2" xfId="27454"/>
    <cellStyle name="계산 2 14 6 4 3" xfId="30597"/>
    <cellStyle name="计算 2 14 6 4 3" xfId="35645"/>
    <cellStyle name="계산 2 14 6 4 4" xfId="17780"/>
    <cellStyle name="计算 2 14 6 4 4" xfId="41525"/>
    <cellStyle name="계산 2 14 6 4 5" xfId="33006"/>
    <cellStyle name="计算 2 14 6 4 5" xfId="46301"/>
    <cellStyle name="계산 2 14 6 4 6" xfId="44900"/>
    <cellStyle name="计算 2 14 6 4 6" xfId="48359"/>
    <cellStyle name="계산 2 14 6 5" xfId="24954"/>
    <cellStyle name="计算 2 14 6 5" xfId="24955"/>
    <cellStyle name="계산 2 14 6 5 2" xfId="30843"/>
    <cellStyle name="计算 2 14 6 5 2" xfId="35485"/>
    <cellStyle name="계산 2 14 6 5 3" xfId="14498"/>
    <cellStyle name="计算 2 14 6 5 3" xfId="41356"/>
    <cellStyle name="계산 2 14 6 5 4" xfId="15714"/>
    <cellStyle name="计算 2 14 6 5 4" xfId="46192"/>
    <cellStyle name="계산 2 14 6 5 5" xfId="40381"/>
    <cellStyle name="计算 2 14 6 5 5" xfId="48190"/>
    <cellStyle name="계산 2 14 6 6" xfId="30117"/>
    <cellStyle name="计算 2 14 6 6" xfId="30651"/>
    <cellStyle name="계산 2 14 6 6 2" xfId="16645"/>
    <cellStyle name="计算 2 14 6 6 2" xfId="16878"/>
    <cellStyle name="계산 2 14 6 6 3" xfId="45374"/>
    <cellStyle name="计算 2 14 6 6 3" xfId="47547"/>
    <cellStyle name="계산 2 14 6 7" xfId="37869"/>
    <cellStyle name="计算 2 14 6 7" xfId="37870"/>
    <cellStyle name="계산 2 14 6 7 2" xfId="43794"/>
    <cellStyle name="计算 2 14 6 7 2" xfId="43795"/>
    <cellStyle name="계산 2 14 6 7 3" xfId="50628"/>
    <cellStyle name="计算 2 14 6 7 3" xfId="50629"/>
    <cellStyle name="계산 2 14 6 8" xfId="34190"/>
    <cellStyle name="计算 2 14 6 8" xfId="34191"/>
    <cellStyle name="계산 2 14 6 9" xfId="40215"/>
    <cellStyle name="计算 2 14 6 9" xfId="40216"/>
    <cellStyle name="계산 2 14 7" xfId="7780"/>
    <cellStyle name="计算 2 14 7" xfId="7781"/>
    <cellStyle name="계산 2 14 7 2" xfId="21008"/>
    <cellStyle name="计算 2 14 7 2" xfId="21009"/>
    <cellStyle name="계산 2 14 7 3" xfId="30884"/>
    <cellStyle name="计算 2 14 7 3" xfId="30885"/>
    <cellStyle name="계산 2 14 7 4" xfId="17736"/>
    <cellStyle name="计算 2 14 7 4" xfId="16972"/>
    <cellStyle name="계산 2 14 7 5" xfId="17886"/>
    <cellStyle name="计算 2 14 7 5" xfId="31428"/>
    <cellStyle name="계산 2 14 7 6" xfId="38703"/>
    <cellStyle name="计算 2 14 7 6" xfId="40122"/>
    <cellStyle name="계산 2 14 8" xfId="8737"/>
    <cellStyle name="计算 2 14 8" xfId="7427"/>
    <cellStyle name="계산 2 14 8 2" xfId="21965"/>
    <cellStyle name="计算 2 14 8 2" xfId="20655"/>
    <cellStyle name="계산 2 14 8 3" xfId="35495"/>
    <cellStyle name="计算 2 14 8 3" xfId="36899"/>
    <cellStyle name="계산 2 14 8 4" xfId="41366"/>
    <cellStyle name="计算 2 14 8 4" xfId="42814"/>
    <cellStyle name="계산 2 14 8 5" xfId="46200"/>
    <cellStyle name="计算 2 14 8 5" xfId="47030"/>
    <cellStyle name="계산 2 14 8 6" xfId="48200"/>
    <cellStyle name="计算 2 14 8 6" xfId="49648"/>
    <cellStyle name="계산 2 14 9" xfId="14130"/>
    <cellStyle name="计算 2 14 9" xfId="13515"/>
    <cellStyle name="계산 2 14 9 2" xfId="27358"/>
    <cellStyle name="计算 2 14 9 2" xfId="26743"/>
    <cellStyle name="계산 2 14 9 3" xfId="31253"/>
    <cellStyle name="计算 2 14 9 3" xfId="37432"/>
    <cellStyle name="계산 2 14 9 4" xfId="17152"/>
    <cellStyle name="计算 2 14 9 4" xfId="43352"/>
    <cellStyle name="계산 2 14 9 5" xfId="14517"/>
    <cellStyle name="计算 2 14 9 5" xfId="47365"/>
    <cellStyle name="계산 2 14 9 6" xfId="47336"/>
    <cellStyle name="计算 2 14 9 6" xfId="50186"/>
    <cellStyle name="계산 2 15" xfId="2622"/>
    <cellStyle name="计算 2 15" xfId="2623"/>
    <cellStyle name="계산 2 15 10" xfId="8004"/>
    <cellStyle name="计算 2 15 10" xfId="7348"/>
    <cellStyle name="계산 2 15 10 2" xfId="21232"/>
    <cellStyle name="计算 2 15 10 2" xfId="20576"/>
    <cellStyle name="계산 2 15 10 3" xfId="35638"/>
    <cellStyle name="计算 2 15 10 3" xfId="37517"/>
    <cellStyle name="계산 2 15 10 4" xfId="41518"/>
    <cellStyle name="计算 2 15 10 4" xfId="43437"/>
    <cellStyle name="계산 2 15 10 5" xfId="46297"/>
    <cellStyle name="计算 2 15 10 5" xfId="47408"/>
    <cellStyle name="계산 2 15 10 6" xfId="48352"/>
    <cellStyle name="计算 2 15 10 6" xfId="50271"/>
    <cellStyle name="계산 2 15 11" xfId="14411"/>
    <cellStyle name="计算 2 15 11" xfId="8650"/>
    <cellStyle name="계산 2 15 11 2" xfId="27639"/>
    <cellStyle name="计算 2 15 11 2" xfId="21878"/>
    <cellStyle name="계산 2 15 11 3" xfId="36499"/>
    <cellStyle name="计算 2 15 11 3" xfId="37725"/>
    <cellStyle name="계산 2 15 11 4" xfId="42392"/>
    <cellStyle name="计算 2 15 11 4" xfId="43648"/>
    <cellStyle name="계산 2 15 11 5" xfId="46764"/>
    <cellStyle name="计算 2 15 11 5" xfId="47515"/>
    <cellStyle name="계산 2 15 11 6" xfId="49226"/>
    <cellStyle name="计算 2 15 11 6" xfId="50482"/>
    <cellStyle name="계산 2 15 12" xfId="16381"/>
    <cellStyle name="计算 2 15 12" xfId="16382"/>
    <cellStyle name="계산 2 15 12 2" xfId="43118"/>
    <cellStyle name="计算 2 15 12 2" xfId="43566"/>
    <cellStyle name="계산 2 15 12 3" xfId="49952"/>
    <cellStyle name="计算 2 15 12 3" xfId="50400"/>
    <cellStyle name="계산 2 15 13" xfId="15985"/>
    <cellStyle name="计算 2 15 13" xfId="15984"/>
    <cellStyle name="계산 2 15 14" xfId="29040"/>
    <cellStyle name="计算 2 15 14" xfId="27864"/>
    <cellStyle name="계산 2 15 15" xfId="15816"/>
    <cellStyle name="计算 2 15 15" xfId="38423"/>
    <cellStyle name="계산 2 15 16" xfId="40303"/>
    <cellStyle name="计算 2 15 16" xfId="38438"/>
    <cellStyle name="계산 2 15 17" xfId="50945"/>
    <cellStyle name="计算 2 15 17" xfId="50946"/>
    <cellStyle name="계산 2 15 18" xfId="50836"/>
    <cellStyle name="计算 2 15 18" xfId="50835"/>
    <cellStyle name="계산 2 15 2" xfId="6265"/>
    <cellStyle name="计算 2 15 2" xfId="6266"/>
    <cellStyle name="계산 2 15 2 10" xfId="16035"/>
    <cellStyle name="计算 2 15 2 10" xfId="27818"/>
    <cellStyle name="계산 2 15 2 11" xfId="41193"/>
    <cellStyle name="计算 2 15 2 11" xfId="17434"/>
    <cellStyle name="계산 2 15 2 12" xfId="32299"/>
    <cellStyle name="计算 2 15 2 12" xfId="17417"/>
    <cellStyle name="계산 2 15 2 2" xfId="10999"/>
    <cellStyle name="计算 2 15 2 2" xfId="11000"/>
    <cellStyle name="계산 2 15 2 2 2" xfId="24227"/>
    <cellStyle name="计算 2 15 2 2 2" xfId="24228"/>
    <cellStyle name="계산 2 15 2 2 3" xfId="33629"/>
    <cellStyle name="计算 2 15 2 2 3" xfId="33630"/>
    <cellStyle name="계산 2 15 2 2 4" xfId="39787"/>
    <cellStyle name="计算 2 15 2 2 4" xfId="39788"/>
    <cellStyle name="계산 2 15 2 2 5" xfId="44763"/>
    <cellStyle name="计算 2 15 2 2 5" xfId="44764"/>
    <cellStyle name="계산 2 15 2 2 6" xfId="15371"/>
    <cellStyle name="计算 2 15 2 2 6" xfId="32469"/>
    <cellStyle name="계산 2 15 2 3" xfId="13851"/>
    <cellStyle name="计算 2 15 2 3" xfId="13852"/>
    <cellStyle name="계산 2 15 2 3 2" xfId="27079"/>
    <cellStyle name="计算 2 15 2 3 2" xfId="27080"/>
    <cellStyle name="계산 2 15 2 3 3" xfId="36055"/>
    <cellStyle name="计算 2 15 2 3 3" xfId="36056"/>
    <cellStyle name="계산 2 15 2 3 4" xfId="41948"/>
    <cellStyle name="计算 2 15 2 3 4" xfId="41949"/>
    <cellStyle name="계산 2 15 2 3 5" xfId="46526"/>
    <cellStyle name="计算 2 15 2 3 5" xfId="46527"/>
    <cellStyle name="계산 2 15 2 3 6" xfId="48782"/>
    <cellStyle name="计算 2 15 2 3 6" xfId="48783"/>
    <cellStyle name="계산 2 15 2 4" xfId="6955"/>
    <cellStyle name="计算 2 15 2 4" xfId="12723"/>
    <cellStyle name="계산 2 15 2 4 2" xfId="20183"/>
    <cellStyle name="计算 2 15 2 4 2" xfId="25951"/>
    <cellStyle name="계산 2 15 2 4 3" xfId="29885"/>
    <cellStyle name="计算 2 15 2 4 3" xfId="31476"/>
    <cellStyle name="계산 2 15 2 4 4" xfId="16427"/>
    <cellStyle name="计算 2 15 2 4 4" xfId="17274"/>
    <cellStyle name="계산 2 15 2 4 5" xfId="34337"/>
    <cellStyle name="计算 2 15 2 4 5" xfId="28822"/>
    <cellStyle name="계산 2 15 2 4 6" xfId="39319"/>
    <cellStyle name="计算 2 15 2 4 6" xfId="27940"/>
    <cellStyle name="계산 2 15 2 5" xfId="8642"/>
    <cellStyle name="计算 2 15 2 5" xfId="6696"/>
    <cellStyle name="계산 2 15 2 5 2" xfId="21870"/>
    <cellStyle name="计算 2 15 2 5 2" xfId="19924"/>
    <cellStyle name="계산 2 15 2 5 3" xfId="30165"/>
    <cellStyle name="计算 2 15 2 5 3" xfId="34881"/>
    <cellStyle name="계산 2 15 2 5 4" xfId="16626"/>
    <cellStyle name="计算 2 15 2 5 4" xfId="40879"/>
    <cellStyle name="계산 2 15 2 5 5" xfId="27915"/>
    <cellStyle name="计算 2 15 2 5 5" xfId="45725"/>
    <cellStyle name="계산 2 15 2 5 6" xfId="16470"/>
    <cellStyle name="计算 2 15 2 5 6" xfId="39244"/>
    <cellStyle name="계산 2 15 2 6" xfId="7333"/>
    <cellStyle name="计算 2 15 2 6" xfId="13558"/>
    <cellStyle name="계산 2 15 2 6 2" xfId="20561"/>
    <cellStyle name="计算 2 15 2 6 2" xfId="26786"/>
    <cellStyle name="계산 2 15 2 6 3" xfId="32333"/>
    <cellStyle name="计算 2 15 2 6 3" xfId="31820"/>
    <cellStyle name="계산 2 15 2 6 4" xfId="38551"/>
    <cellStyle name="计算 2 15 2 6 4" xfId="38041"/>
    <cellStyle name="계산 2 15 2 6 5" xfId="43910"/>
    <cellStyle name="计算 2 15 2 6 5" xfId="15545"/>
    <cellStyle name="계산 2 15 2 6 6" xfId="35815"/>
    <cellStyle name="计算 2 15 2 6 6" xfId="45799"/>
    <cellStyle name="계산 2 15 2 7" xfId="19493"/>
    <cellStyle name="计算 2 15 2 7" xfId="19494"/>
    <cellStyle name="계산 2 15 2 7 2" xfId="37262"/>
    <cellStyle name="计算 2 15 2 7 2" xfId="34983"/>
    <cellStyle name="계산 2 15 2 7 3" xfId="43182"/>
    <cellStyle name="计算 2 15 2 7 3" xfId="40987"/>
    <cellStyle name="계산 2 15 2 7 4" xfId="47270"/>
    <cellStyle name="计算 2 15 2 7 4" xfId="45803"/>
    <cellStyle name="계산 2 15 2 7 5" xfId="50016"/>
    <cellStyle name="计算 2 15 2 7 5" xfId="47683"/>
    <cellStyle name="계산 2 15 2 8" xfId="31600"/>
    <cellStyle name="计算 2 15 2 8" xfId="34705"/>
    <cellStyle name="계산 2 15 2 8 2" xfId="15267"/>
    <cellStyle name="计算 2 15 2 8 2" xfId="40695"/>
    <cellStyle name="계산 2 15 2 8 3" xfId="27938"/>
    <cellStyle name="计算 2 15 2 8 3" xfId="17492"/>
    <cellStyle name="계산 2 15 2 9" xfId="29317"/>
    <cellStyle name="计算 2 15 2 9" xfId="29318"/>
    <cellStyle name="계산 2 15 3" xfId="6238"/>
    <cellStyle name="计算 2 15 3" xfId="6237"/>
    <cellStyle name="계산 2 15 3 10" xfId="15998"/>
    <cellStyle name="计算 2 15 3 10" xfId="15997"/>
    <cellStyle name="계산 2 15 3 11" xfId="40048"/>
    <cellStyle name="计算 2 15 3 11" xfId="40067"/>
    <cellStyle name="계산 2 15 3 12" xfId="44412"/>
    <cellStyle name="计算 2 15 3 12" xfId="38741"/>
    <cellStyle name="계산 2 15 3 2" xfId="10972"/>
    <cellStyle name="计算 2 15 3 2" xfId="10971"/>
    <cellStyle name="계산 2 15 3 2 2" xfId="24200"/>
    <cellStyle name="计算 2 15 3 2 2" xfId="24199"/>
    <cellStyle name="계산 2 15 3 2 3" xfId="33602"/>
    <cellStyle name="计算 2 15 3 2 3" xfId="33601"/>
    <cellStyle name="계산 2 15 3 2 4" xfId="39764"/>
    <cellStyle name="计算 2 15 3 2 4" xfId="39763"/>
    <cellStyle name="계산 2 15 3 2 5" xfId="44736"/>
    <cellStyle name="计算 2 15 3 2 5" xfId="44735"/>
    <cellStyle name="계산 2 15 3 2 6" xfId="40377"/>
    <cellStyle name="计算 2 15 3 2 6" xfId="39296"/>
    <cellStyle name="계산 2 15 3 3" xfId="13828"/>
    <cellStyle name="计算 2 15 3 3" xfId="13827"/>
    <cellStyle name="계산 2 15 3 3 2" xfId="27056"/>
    <cellStyle name="计算 2 15 3 3 2" xfId="27055"/>
    <cellStyle name="계산 2 15 3 3 3" xfId="36028"/>
    <cellStyle name="计算 2 15 3 3 3" xfId="36027"/>
    <cellStyle name="계산 2 15 3 3 4" xfId="41921"/>
    <cellStyle name="计算 2 15 3 3 4" xfId="41920"/>
    <cellStyle name="계산 2 15 3 3 5" xfId="46503"/>
    <cellStyle name="计算 2 15 3 3 5" xfId="46502"/>
    <cellStyle name="계산 2 15 3 3 6" xfId="48755"/>
    <cellStyle name="计算 2 15 3 3 6" xfId="48754"/>
    <cellStyle name="계산 2 15 3 4" xfId="12779"/>
    <cellStyle name="计算 2 15 3 4" xfId="6940"/>
    <cellStyle name="계산 2 15 3 4 2" xfId="26007"/>
    <cellStyle name="计算 2 15 3 4 2" xfId="20168"/>
    <cellStyle name="계산 2 15 3 4 3" xfId="34681"/>
    <cellStyle name="计算 2 15 3 4 3" xfId="31484"/>
    <cellStyle name="계산 2 15 3 4 4" xfId="40670"/>
    <cellStyle name="计算 2 15 3 4 4" xfId="15252"/>
    <cellStyle name="계산 2 15 3 4 5" xfId="45603"/>
    <cellStyle name="计算 2 15 3 4 5" xfId="34440"/>
    <cellStyle name="계산 2 15 3 4 6" xfId="16481"/>
    <cellStyle name="计算 2 15 3 4 6" xfId="29946"/>
    <cellStyle name="계산 2 15 3 5" xfId="13947"/>
    <cellStyle name="计算 2 15 3 5" xfId="7255"/>
    <cellStyle name="계산 2 15 3 5 2" xfId="27175"/>
    <cellStyle name="计算 2 15 3 5 2" xfId="20483"/>
    <cellStyle name="계산 2 15 3 5 3" xfId="30733"/>
    <cellStyle name="计算 2 15 3 5 3" xfId="30425"/>
    <cellStyle name="계산 2 15 3 5 4" xfId="15214"/>
    <cellStyle name="计算 2 15 3 5 4" xfId="14882"/>
    <cellStyle name="계산 2 15 3 5 5" xfId="33018"/>
    <cellStyle name="计算 2 15 3 5 5" xfId="32199"/>
    <cellStyle name="계산 2 15 3 5 6" xfId="15943"/>
    <cellStyle name="计算 2 15 3 5 6" xfId="44493"/>
    <cellStyle name="계산 2 15 3 6" xfId="14057"/>
    <cellStyle name="计算 2 15 3 6" xfId="8516"/>
    <cellStyle name="계산 2 15 3 6 2" xfId="27285"/>
    <cellStyle name="计算 2 15 3 6 2" xfId="21744"/>
    <cellStyle name="계산 2 15 3 6 3" xfId="31816"/>
    <cellStyle name="计算 2 15 3 6 3" xfId="37298"/>
    <cellStyle name="계산 2 15 3 6 4" xfId="38037"/>
    <cellStyle name="计算 2 15 3 6 4" xfId="43218"/>
    <cellStyle name="계산 2 15 3 6 5" xfId="17917"/>
    <cellStyle name="计算 2 15 3 6 5" xfId="47289"/>
    <cellStyle name="계산 2 15 3 6 6" xfId="41174"/>
    <cellStyle name="计算 2 15 3 6 6" xfId="50052"/>
    <cellStyle name="계산 2 15 3 7" xfId="19466"/>
    <cellStyle name="计算 2 15 3 7" xfId="19465"/>
    <cellStyle name="계산 2 15 3 7 2" xfId="31220"/>
    <cellStyle name="计算 2 15 3 7 2" xfId="37162"/>
    <cellStyle name="계산 2 15 3 7 3" xfId="17127"/>
    <cellStyle name="计算 2 15 3 7 3" xfId="43081"/>
    <cellStyle name="계산 2 15 3 7 4" xfId="27790"/>
    <cellStyle name="计算 2 15 3 7 4" xfId="47213"/>
    <cellStyle name="계산 2 15 3 7 5" xfId="47113"/>
    <cellStyle name="计算 2 15 3 7 5" xfId="49915"/>
    <cellStyle name="계산 2 15 3 8" xfId="34770"/>
    <cellStyle name="计算 2 15 3 8" xfId="37562"/>
    <cellStyle name="계산 2 15 3 8 2" xfId="40765"/>
    <cellStyle name="计算 2 15 3 8 2" xfId="43483"/>
    <cellStyle name="계산 2 15 3 8 3" xfId="29090"/>
    <cellStyle name="计算 2 15 3 8 3" xfId="50317"/>
    <cellStyle name="계산 2 15 3 9" xfId="29290"/>
    <cellStyle name="计算 2 15 3 9" xfId="29289"/>
    <cellStyle name="계산 2 15 4" xfId="6145"/>
    <cellStyle name="计算 2 15 4" xfId="6146"/>
    <cellStyle name="계산 2 15 4 10" xfId="30604"/>
    <cellStyle name="计算 2 15 4 10" xfId="34787"/>
    <cellStyle name="계산 2 15 4 11" xfId="39311"/>
    <cellStyle name="计算 2 15 4 11" xfId="40635"/>
    <cellStyle name="계산 2 15 4 12" xfId="45286"/>
    <cellStyle name="计算 2 15 4 12" xfId="44280"/>
    <cellStyle name="계산 2 15 4 2" xfId="10879"/>
    <cellStyle name="计算 2 15 4 2" xfId="10880"/>
    <cellStyle name="계산 2 15 4 2 2" xfId="24107"/>
    <cellStyle name="计算 2 15 4 2 2" xfId="24108"/>
    <cellStyle name="계산 2 15 4 2 3" xfId="33509"/>
    <cellStyle name="计算 2 15 4 2 3" xfId="33510"/>
    <cellStyle name="계산 2 15 4 2 4" xfId="39691"/>
    <cellStyle name="计算 2 15 4 2 4" xfId="39692"/>
    <cellStyle name="계산 2 15 4 2 5" xfId="44647"/>
    <cellStyle name="计算 2 15 4 2 5" xfId="44648"/>
    <cellStyle name="계산 2 15 4 2 6" xfId="46447"/>
    <cellStyle name="计算 2 15 4 2 6" xfId="29051"/>
    <cellStyle name="계산 2 15 4 3" xfId="13765"/>
    <cellStyle name="计算 2 15 4 3" xfId="13766"/>
    <cellStyle name="계산 2 15 4 3 2" xfId="26993"/>
    <cellStyle name="计算 2 15 4 3 2" xfId="26994"/>
    <cellStyle name="계산 2 15 4 3 3" xfId="35935"/>
    <cellStyle name="计算 2 15 4 3 3" xfId="35936"/>
    <cellStyle name="계산 2 15 4 3 4" xfId="41828"/>
    <cellStyle name="计算 2 15 4 3 4" xfId="41829"/>
    <cellStyle name="계산 2 15 4 3 5" xfId="46441"/>
    <cellStyle name="计算 2 15 4 3 5" xfId="46442"/>
    <cellStyle name="계산 2 15 4 3 6" xfId="48662"/>
    <cellStyle name="计算 2 15 4 3 6" xfId="48663"/>
    <cellStyle name="계산 2 15 4 4" xfId="12752"/>
    <cellStyle name="计算 2 15 4 4" xfId="8042"/>
    <cellStyle name="계산 2 15 4 4 2" xfId="25980"/>
    <cellStyle name="计算 2 15 4 4 2" xfId="21270"/>
    <cellStyle name="계산 2 15 4 4 3" xfId="32404"/>
    <cellStyle name="计算 2 15 4 4 3" xfId="31884"/>
    <cellStyle name="계산 2 15 4 4 4" xfId="38622"/>
    <cellStyle name="计算 2 15 4 4 4" xfId="38105"/>
    <cellStyle name="계산 2 15 4 4 5" xfId="43957"/>
    <cellStyle name="计算 2 15 4 4 5" xfId="15532"/>
    <cellStyle name="계산 2 15 4 4 6" xfId="45663"/>
    <cellStyle name="计算 2 15 4 4 6" xfId="15312"/>
    <cellStyle name="계산 2 15 4 5" xfId="7296"/>
    <cellStyle name="计算 2 15 4 5" xfId="13925"/>
    <cellStyle name="계산 2 15 4 5 2" xfId="20524"/>
    <cellStyle name="计算 2 15 4 5 2" xfId="27153"/>
    <cellStyle name="계산 2 15 4 5 3" xfId="30453"/>
    <cellStyle name="计算 2 15 4 5 3" xfId="30616"/>
    <cellStyle name="계산 2 15 4 5 4" xfId="16799"/>
    <cellStyle name="计算 2 15 4 5 4" xfId="17872"/>
    <cellStyle name="계산 2 15 4 5 5" xfId="27910"/>
    <cellStyle name="计算 2 15 4 5 5" xfId="28853"/>
    <cellStyle name="계산 2 15 4 5 6" xfId="33431"/>
    <cellStyle name="计算 2 15 4 5 6" xfId="46648"/>
    <cellStyle name="계산 2 15 4 6" xfId="14295"/>
    <cellStyle name="计算 2 15 4 6" xfId="7584"/>
    <cellStyle name="계산 2 15 4 6 2" xfId="27523"/>
    <cellStyle name="计算 2 15 4 6 2" xfId="20812"/>
    <cellStyle name="계산 2 15 4 6 3" xfId="36926"/>
    <cellStyle name="计算 2 15 4 6 3" xfId="35807"/>
    <cellStyle name="계산 2 15 4 6 4" xfId="42841"/>
    <cellStyle name="计算 2 15 4 6 4" xfId="41691"/>
    <cellStyle name="계산 2 15 4 6 5" xfId="47046"/>
    <cellStyle name="计算 2 15 4 6 5" xfId="46359"/>
    <cellStyle name="계산 2 15 4 6 6" xfId="49675"/>
    <cellStyle name="计算 2 15 4 6 6" xfId="48525"/>
    <cellStyle name="계산 2 15 4 7" xfId="19373"/>
    <cellStyle name="计算 2 15 4 7" xfId="19374"/>
    <cellStyle name="계산 2 15 4 7 2" xfId="35848"/>
    <cellStyle name="计算 2 15 4 7 2" xfId="31477"/>
    <cellStyle name="계산 2 15 4 7 3" xfId="41737"/>
    <cellStyle name="计算 2 15 4 7 3" xfId="15251"/>
    <cellStyle name="계산 2 15 4 7 4" xfId="46383"/>
    <cellStyle name="计算 2 15 4 7 4" xfId="28114"/>
    <cellStyle name="계산 2 15 4 7 5" xfId="48571"/>
    <cellStyle name="计算 2 15 4 7 5" xfId="46879"/>
    <cellStyle name="계산 2 15 4 8" xfId="31598"/>
    <cellStyle name="计算 2 15 4 8" xfId="37296"/>
    <cellStyle name="계산 2 15 4 8 2" xfId="17786"/>
    <cellStyle name="计算 2 15 4 8 2" xfId="43216"/>
    <cellStyle name="계산 2 15 4 8 3" xfId="18094"/>
    <cellStyle name="计算 2 15 4 8 3" xfId="50050"/>
    <cellStyle name="계산 2 15 4 9" xfId="29197"/>
    <cellStyle name="计算 2 15 4 9" xfId="29198"/>
    <cellStyle name="계산 2 15 5" xfId="9500"/>
    <cellStyle name="计算 2 15 5" xfId="9501"/>
    <cellStyle name="계산 2 15 5 10" xfId="34331"/>
    <cellStyle name="计算 2 15 5 10" xfId="33055"/>
    <cellStyle name="계산 2 15 5 11" xfId="38729"/>
    <cellStyle name="计算 2 15 5 11" xfId="34433"/>
    <cellStyle name="계산 2 15 5 12" xfId="34085"/>
    <cellStyle name="计算 2 15 5 12" xfId="45314"/>
    <cellStyle name="계산 2 15 5 2" xfId="13137"/>
    <cellStyle name="计算 2 15 5 2" xfId="13138"/>
    <cellStyle name="계산 2 15 5 2 2" xfId="26365"/>
    <cellStyle name="计算 2 15 5 2 2" xfId="26366"/>
    <cellStyle name="계산 2 15 5 2 3" xfId="32617"/>
    <cellStyle name="计算 2 15 5 2 3" xfId="32618"/>
    <cellStyle name="계산 2 15 5 2 4" xfId="38837"/>
    <cellStyle name="计算 2 15 5 2 4" xfId="38838"/>
    <cellStyle name="계산 2 15 5 2 5" xfId="44100"/>
    <cellStyle name="计算 2 15 5 2 5" xfId="44101"/>
    <cellStyle name="계산 2 15 5 2 6" xfId="46946"/>
    <cellStyle name="计算 2 15 5 2 6" xfId="27909"/>
    <cellStyle name="계산 2 15 5 3" xfId="7490"/>
    <cellStyle name="计算 2 15 5 3" xfId="7491"/>
    <cellStyle name="계산 2 15 5 3 2" xfId="20718"/>
    <cellStyle name="计算 2 15 5 3 2" xfId="20719"/>
    <cellStyle name="계산 2 15 5 3 3" xfId="35113"/>
    <cellStyle name="计算 2 15 5 3 3" xfId="35114"/>
    <cellStyle name="계산 2 15 5 3 4" xfId="41097"/>
    <cellStyle name="计算 2 15 5 3 4" xfId="41098"/>
    <cellStyle name="계산 2 15 5 3 5" xfId="45903"/>
    <cellStyle name="计算 2 15 5 3 5" xfId="45904"/>
    <cellStyle name="계산 2 15 5 3 6" xfId="47816"/>
    <cellStyle name="计算 2 15 5 3 6" xfId="47817"/>
    <cellStyle name="계산 2 15 5 4" xfId="13067"/>
    <cellStyle name="计算 2 15 5 4" xfId="14070"/>
    <cellStyle name="계산 2 15 5 4 2" xfId="26295"/>
    <cellStyle name="计算 2 15 5 4 2" xfId="27298"/>
    <cellStyle name="계산 2 15 5 4 3" xfId="30949"/>
    <cellStyle name="计算 2 15 5 4 3" xfId="30951"/>
    <cellStyle name="계산 2 15 5 4 4" xfId="28003"/>
    <cellStyle name="计算 2 15 5 4 4" xfId="14711"/>
    <cellStyle name="계산 2 15 5 4 5" xfId="34133"/>
    <cellStyle name="计算 2 15 5 4 5" xfId="15682"/>
    <cellStyle name="계산 2 15 5 4 6" xfId="34127"/>
    <cellStyle name="计算 2 15 5 4 6" xfId="40187"/>
    <cellStyle name="계산 2 15 5 5" xfId="13693"/>
    <cellStyle name="计算 2 15 5 5" xfId="13699"/>
    <cellStyle name="계산 2 15 5 5 2" xfId="26921"/>
    <cellStyle name="计算 2 15 5 5 2" xfId="26927"/>
    <cellStyle name="계산 2 15 5 5 3" xfId="42641"/>
    <cellStyle name="计算 2 15 5 5 3" xfId="16823"/>
    <cellStyle name="계산 2 15 5 5 4" xfId="49475"/>
    <cellStyle name="计算 2 15 5 5 4" xfId="46043"/>
    <cellStyle name="계산 2 15 5 6" xfId="22728"/>
    <cellStyle name="计算 2 15 5 6" xfId="22729"/>
    <cellStyle name="계산 2 15 5 6 2" xfId="37340"/>
    <cellStyle name="计算 2 15 5 6 2" xfId="31832"/>
    <cellStyle name="계산 2 15 5 6 3" xfId="43260"/>
    <cellStyle name="计算 2 15 5 6 3" xfId="38053"/>
    <cellStyle name="계산 2 15 5 6 4" xfId="47314"/>
    <cellStyle name="计算 2 15 5 6 4" xfId="15542"/>
    <cellStyle name="계산 2 15 5 6 5" xfId="50094"/>
    <cellStyle name="计算 2 15 5 6 5" xfId="46913"/>
    <cellStyle name="계산 2 15 5 7" xfId="35652"/>
    <cellStyle name="计算 2 15 5 7" xfId="34964"/>
    <cellStyle name="계산 2 15 5 7 2" xfId="41532"/>
    <cellStyle name="计算 2 15 5 7 2" xfId="40962"/>
    <cellStyle name="계산 2 15 5 7 3" xfId="48366"/>
    <cellStyle name="计算 2 15 5 7 3" xfId="47658"/>
    <cellStyle name="계산 2 15 5 8" xfId="37468"/>
    <cellStyle name="计算 2 15 5 8" xfId="37581"/>
    <cellStyle name="계산 2 15 5 8 2" xfId="43388"/>
    <cellStyle name="计算 2 15 5 8 2" xfId="43503"/>
    <cellStyle name="계산 2 15 5 8 3" xfId="50222"/>
    <cellStyle name="计算 2 15 5 8 3" xfId="50337"/>
    <cellStyle name="계산 2 15 5 9" xfId="28306"/>
    <cellStyle name="计算 2 15 5 9" xfId="28307"/>
    <cellStyle name="계산 2 15 6" xfId="11728"/>
    <cellStyle name="计算 2 15 6" xfId="11729"/>
    <cellStyle name="계산 2 15 6 10" xfId="45226"/>
    <cellStyle name="计算 2 15 6 10" xfId="45227"/>
    <cellStyle name="계산 2 15 6 11" xfId="34618"/>
    <cellStyle name="计算 2 15 6 11" xfId="34607"/>
    <cellStyle name="계산 2 15 6 2" xfId="12806"/>
    <cellStyle name="计算 2 15 6 2" xfId="7182"/>
    <cellStyle name="계산 2 15 6 2 2" xfId="26034"/>
    <cellStyle name="计算 2 15 6 2 2" xfId="20410"/>
    <cellStyle name="계산 2 15 6 2 3" xfId="36597"/>
    <cellStyle name="计算 2 15 6 2 3" xfId="36598"/>
    <cellStyle name="계산 2 15 6 2 4" xfId="42499"/>
    <cellStyle name="计算 2 15 6 2 4" xfId="42500"/>
    <cellStyle name="계산 2 15 6 2 5" xfId="46829"/>
    <cellStyle name="计算 2 15 6 2 5" xfId="46830"/>
    <cellStyle name="계산 2 15 6 2 6" xfId="49333"/>
    <cellStyle name="计算 2 15 6 2 6" xfId="49334"/>
    <cellStyle name="계산 2 15 6 3" xfId="14425"/>
    <cellStyle name="计算 2 15 6 3" xfId="14426"/>
    <cellStyle name="계산 2 15 6 3 2" xfId="27653"/>
    <cellStyle name="计算 2 15 6 3 2" xfId="27654"/>
    <cellStyle name="계산 2 15 6 3 3" xfId="37085"/>
    <cellStyle name="计算 2 15 6 3 3" xfId="37086"/>
    <cellStyle name="계산 2 15 6 3 4" xfId="43004"/>
    <cellStyle name="计算 2 15 6 3 4" xfId="43005"/>
    <cellStyle name="계산 2 15 6 3 5" xfId="47148"/>
    <cellStyle name="计算 2 15 6 3 5" xfId="47149"/>
    <cellStyle name="계산 2 15 6 3 6" xfId="49838"/>
    <cellStyle name="计算 2 15 6 3 6" xfId="49839"/>
    <cellStyle name="계산 2 15 6 4" xfId="13658"/>
    <cellStyle name="计算 2 15 6 4" xfId="14168"/>
    <cellStyle name="계산 2 15 6 4 2" xfId="26886"/>
    <cellStyle name="计算 2 15 6 4 2" xfId="27396"/>
    <cellStyle name="계산 2 15 6 4 3" xfId="30314"/>
    <cellStyle name="计算 2 15 6 4 3" xfId="30313"/>
    <cellStyle name="계산 2 15 6 4 4" xfId="14650"/>
    <cellStyle name="计算 2 15 6 4 4" xfId="16744"/>
    <cellStyle name="계산 2 15 6 4 5" xfId="17453"/>
    <cellStyle name="计算 2 15 6 4 5" xfId="17610"/>
    <cellStyle name="계산 2 15 6 4 6" xfId="45368"/>
    <cellStyle name="计算 2 15 6 4 6" xfId="44384"/>
    <cellStyle name="계산 2 15 6 5" xfId="24956"/>
    <cellStyle name="计算 2 15 6 5" xfId="24957"/>
    <cellStyle name="계산 2 15 6 5 2" xfId="36888"/>
    <cellStyle name="计算 2 15 6 5 2" xfId="32330"/>
    <cellStyle name="계산 2 15 6 5 3" xfId="42803"/>
    <cellStyle name="计算 2 15 6 5 3" xfId="38548"/>
    <cellStyle name="계산 2 15 6 5 4" xfId="47024"/>
    <cellStyle name="计算 2 15 6 5 4" xfId="43908"/>
    <cellStyle name="계산 2 15 6 5 5" xfId="49637"/>
    <cellStyle name="计算 2 15 6 5 5" xfId="47006"/>
    <cellStyle name="계산 2 15 6 6" xfId="30555"/>
    <cellStyle name="计算 2 15 6 6" xfId="37547"/>
    <cellStyle name="계산 2 15 6 6 2" xfId="16841"/>
    <cellStyle name="计算 2 15 6 6 2" xfId="43468"/>
    <cellStyle name="계산 2 15 6 6 3" xfId="33148"/>
    <cellStyle name="计算 2 15 6 6 3" xfId="50302"/>
    <cellStyle name="계산 2 15 6 7" xfId="37871"/>
    <cellStyle name="计算 2 15 6 7" xfId="37872"/>
    <cellStyle name="계산 2 15 6 7 2" xfId="43796"/>
    <cellStyle name="计算 2 15 6 7 2" xfId="43797"/>
    <cellStyle name="계산 2 15 6 7 3" xfId="50630"/>
    <cellStyle name="计算 2 15 6 7 3" xfId="50631"/>
    <cellStyle name="계산 2 15 6 8" xfId="34192"/>
    <cellStyle name="计算 2 15 6 8" xfId="34193"/>
    <cellStyle name="계산 2 15 6 9" xfId="40217"/>
    <cellStyle name="计算 2 15 6 9" xfId="40218"/>
    <cellStyle name="계산 2 15 7" xfId="7782"/>
    <cellStyle name="计算 2 15 7" xfId="7783"/>
    <cellStyle name="계산 2 15 7 2" xfId="21010"/>
    <cellStyle name="计算 2 15 7 2" xfId="21011"/>
    <cellStyle name="계산 2 15 7 3" xfId="30886"/>
    <cellStyle name="计算 2 15 7 3" xfId="30887"/>
    <cellStyle name="계산 2 15 7 4" xfId="16973"/>
    <cellStyle name="计算 2 15 7 4" xfId="17737"/>
    <cellStyle name="계산 2 15 7 5" xfId="15703"/>
    <cellStyle name="计算 2 15 7 5" xfId="17551"/>
    <cellStyle name="계산 2 15 7 6" xfId="40406"/>
    <cellStyle name="计算 2 15 7 6" xfId="17404"/>
    <cellStyle name="계산 2 15 8" xfId="7426"/>
    <cellStyle name="计算 2 15 8" xfId="7425"/>
    <cellStyle name="계산 2 15 8 2" xfId="20654"/>
    <cellStyle name="计算 2 15 8 2" xfId="20653"/>
    <cellStyle name="계산 2 15 8 3" xfId="35832"/>
    <cellStyle name="计算 2 15 8 3" xfId="34760"/>
    <cellStyle name="계산 2 15 8 4" xfId="41719"/>
    <cellStyle name="计算 2 15 8 4" xfId="40752"/>
    <cellStyle name="계산 2 15 8 5" xfId="46374"/>
    <cellStyle name="计算 2 15 8 5" xfId="45653"/>
    <cellStyle name="계산 2 15 8 6" xfId="48553"/>
    <cellStyle name="计算 2 15 8 6" xfId="14626"/>
    <cellStyle name="계산 2 15 9" xfId="14266"/>
    <cellStyle name="计算 2 15 9" xfId="13692"/>
    <cellStyle name="계산 2 15 9 2" xfId="27494"/>
    <cellStyle name="计算 2 15 9 2" xfId="26920"/>
    <cellStyle name="계산 2 15 9 3" xfId="31391"/>
    <cellStyle name="计算 2 15 9 3" xfId="30694"/>
    <cellStyle name="계산 2 15 9 4" xfId="17232"/>
    <cellStyle name="计算 2 15 9 4" xfId="16896"/>
    <cellStyle name="계산 2 15 9 5" xfId="34378"/>
    <cellStyle name="计算 2 15 9 5" xfId="17378"/>
    <cellStyle name="계산 2 15 9 6" xfId="45792"/>
    <cellStyle name="计算 2 15 9 6" xfId="36952"/>
    <cellStyle name="계산 2 16" xfId="2624"/>
    <cellStyle name="计算 2 16" xfId="2625"/>
    <cellStyle name="계산 2 16 10" xfId="12693"/>
    <cellStyle name="计算 2 16 10" xfId="7441"/>
    <cellStyle name="계산 2 16 10 2" xfId="25921"/>
    <cellStyle name="计算 2 16 10 2" xfId="20669"/>
    <cellStyle name="계산 2 16 10 3" xfId="36691"/>
    <cellStyle name="计算 2 16 10 3" xfId="37686"/>
    <cellStyle name="계산 2 16 10 4" xfId="42594"/>
    <cellStyle name="计算 2 16 10 4" xfId="43609"/>
    <cellStyle name="계산 2 16 10 5" xfId="46905"/>
    <cellStyle name="计算 2 16 10 5" xfId="47498"/>
    <cellStyle name="계산 2 16 10 6" xfId="49428"/>
    <cellStyle name="计算 2 16 10 6" xfId="50443"/>
    <cellStyle name="계산 2 16 11" xfId="14479"/>
    <cellStyle name="计算 2 16 11" xfId="13053"/>
    <cellStyle name="계산 2 16 11 2" xfId="27707"/>
    <cellStyle name="计算 2 16 11 2" xfId="26281"/>
    <cellStyle name="계산 2 16 11 3" xfId="30264"/>
    <cellStyle name="计算 2 16 11 3" xfId="37811"/>
    <cellStyle name="계산 2 16 11 4" xfId="16705"/>
    <cellStyle name="计算 2 16 11 4" xfId="43735"/>
    <cellStyle name="계산 2 16 11 5" xfId="28913"/>
    <cellStyle name="计算 2 16 11 5" xfId="47554"/>
    <cellStyle name="계산 2 16 11 6" xfId="15410"/>
    <cellStyle name="计算 2 16 11 6" xfId="50569"/>
    <cellStyle name="계산 2 16 12" xfId="16383"/>
    <cellStyle name="计算 2 16 12" xfId="16384"/>
    <cellStyle name="계산 2 16 12 2" xfId="43758"/>
    <cellStyle name="计算 2 16 12 2" xfId="14873"/>
    <cellStyle name="계산 2 16 12 3" xfId="50592"/>
    <cellStyle name="计算 2 16 12 3" xfId="32270"/>
    <cellStyle name="계산 2 16 13" xfId="15983"/>
    <cellStyle name="计算 2 16 13" xfId="15982"/>
    <cellStyle name="계산 2 16 14" xfId="30047"/>
    <cellStyle name="计算 2 16 14" xfId="34158"/>
    <cellStyle name="계산 2 16 15" xfId="40288"/>
    <cellStyle name="计算 2 16 15" xfId="39202"/>
    <cellStyle name="계산 2 16 16" xfId="15845"/>
    <cellStyle name="计算 2 16 16" xfId="40475"/>
    <cellStyle name="계산 2 16 17" xfId="50947"/>
    <cellStyle name="计算 2 16 17" xfId="50948"/>
    <cellStyle name="계산 2 16 18" xfId="50834"/>
    <cellStyle name="计算 2 16 18" xfId="50833"/>
    <cellStyle name="계산 2 16 2" xfId="6267"/>
    <cellStyle name="计算 2 16 2" xfId="6268"/>
    <cellStyle name="계산 2 16 2 10" xfId="16015"/>
    <cellStyle name="计算 2 16 2 10" xfId="16016"/>
    <cellStyle name="계산 2 16 2 11" xfId="39880"/>
    <cellStyle name="计算 2 16 2 11" xfId="33001"/>
    <cellStyle name="계산 2 16 2 12" xfId="45141"/>
    <cellStyle name="计算 2 16 2 12" xfId="44009"/>
    <cellStyle name="계산 2 16 2 2" xfId="11001"/>
    <cellStyle name="计算 2 16 2 2" xfId="11002"/>
    <cellStyle name="계산 2 16 2 2 2" xfId="24229"/>
    <cellStyle name="计算 2 16 2 2 2" xfId="24230"/>
    <cellStyle name="계산 2 16 2 2 3" xfId="33631"/>
    <cellStyle name="计算 2 16 2 2 3" xfId="33632"/>
    <cellStyle name="계산 2 16 2 2 4" xfId="39789"/>
    <cellStyle name="计算 2 16 2 2 4" xfId="39790"/>
    <cellStyle name="계산 2 16 2 2 5" xfId="44765"/>
    <cellStyle name="计算 2 16 2 2 5" xfId="44766"/>
    <cellStyle name="계산 2 16 2 2 6" xfId="28900"/>
    <cellStyle name="计算 2 16 2 2 6" xfId="28901"/>
    <cellStyle name="계산 2 16 2 3" xfId="13853"/>
    <cellStyle name="计算 2 16 2 3" xfId="13854"/>
    <cellStyle name="계산 2 16 2 3 2" xfId="27081"/>
    <cellStyle name="计算 2 16 2 3 2" xfId="27082"/>
    <cellStyle name="계산 2 16 2 3 3" xfId="36057"/>
    <cellStyle name="计算 2 16 2 3 3" xfId="36058"/>
    <cellStyle name="계산 2 16 2 3 4" xfId="41950"/>
    <cellStyle name="计算 2 16 2 3 4" xfId="41951"/>
    <cellStyle name="계산 2 16 2 3 5" xfId="46528"/>
    <cellStyle name="计算 2 16 2 3 5" xfId="46529"/>
    <cellStyle name="계산 2 16 2 3 6" xfId="48784"/>
    <cellStyle name="计算 2 16 2 3 6" xfId="48785"/>
    <cellStyle name="계산 2 16 2 4" xfId="12831"/>
    <cellStyle name="计算 2 16 2 4" xfId="12724"/>
    <cellStyle name="계산 2 16 2 4 2" xfId="26059"/>
    <cellStyle name="计算 2 16 2 4 2" xfId="25952"/>
    <cellStyle name="계산 2 16 2 4 3" xfId="31475"/>
    <cellStyle name="计算 2 16 2 4 3" xfId="29886"/>
    <cellStyle name="계산 2 16 2 4 4" xfId="17273"/>
    <cellStyle name="计算 2 16 2 4 4" xfId="16428"/>
    <cellStyle name="계산 2 16 2 4 5" xfId="32259"/>
    <cellStyle name="计算 2 16 2 4 5" xfId="32289"/>
    <cellStyle name="계산 2 16 2 4 6" xfId="45785"/>
    <cellStyle name="计算 2 16 2 4 6" xfId="15489"/>
    <cellStyle name="계산 2 16 2 5" xfId="13953"/>
    <cellStyle name="计算 2 16 2 5" xfId="13646"/>
    <cellStyle name="계산 2 16 2 5 2" xfId="27181"/>
    <cellStyle name="计算 2 16 2 5 2" xfId="26874"/>
    <cellStyle name="계산 2 16 2 5 3" xfId="31773"/>
    <cellStyle name="计算 2 16 2 5 3" xfId="30164"/>
    <cellStyle name="계산 2 16 2 5 4" xfId="37994"/>
    <cellStyle name="计算 2 16 2 5 4" xfId="16625"/>
    <cellStyle name="계산 2 16 2 5 5" xfId="18089"/>
    <cellStyle name="计算 2 16 2 5 5" xfId="41077"/>
    <cellStyle name="계산 2 16 2 5 6" xfId="46190"/>
    <cellStyle name="计算 2 16 2 5 6" xfId="44036"/>
    <cellStyle name="계산 2 16 2 6" xfId="8001"/>
    <cellStyle name="计算 2 16 2 6" xfId="12907"/>
    <cellStyle name="계산 2 16 2 6 2" xfId="21229"/>
    <cellStyle name="计算 2 16 2 6 2" xfId="26135"/>
    <cellStyle name="계산 2 16 2 6 3" xfId="30743"/>
    <cellStyle name="计算 2 16 2 6 3" xfId="29798"/>
    <cellStyle name="계산 2 16 2 6 4" xfId="16919"/>
    <cellStyle name="计算 2 16 2 6 4" xfId="36877"/>
    <cellStyle name="계산 2 16 2 6 5" xfId="15316"/>
    <cellStyle name="计算 2 16 2 6 5" xfId="40018"/>
    <cellStyle name="계산 2 16 2 6 6" xfId="40521"/>
    <cellStyle name="计算 2 16 2 6 6" xfId="38749"/>
    <cellStyle name="계산 2 16 2 7" xfId="19495"/>
    <cellStyle name="计算 2 16 2 7" xfId="19496"/>
    <cellStyle name="계산 2 16 2 7 2" xfId="31299"/>
    <cellStyle name="计算 2 16 2 7 2" xfId="30795"/>
    <cellStyle name="계산 2 16 2 7 3" xfId="17186"/>
    <cellStyle name="计算 2 16 2 7 3" xfId="27728"/>
    <cellStyle name="계산 2 16 2 7 4" xfId="34141"/>
    <cellStyle name="计算 2 16 2 7 4" xfId="18636"/>
    <cellStyle name="계산 2 16 2 7 5" xfId="29072"/>
    <cellStyle name="计算 2 16 2 7 5" xfId="40183"/>
    <cellStyle name="계산 2 16 2 8" xfId="37515"/>
    <cellStyle name="计算 2 16 2 8" xfId="35058"/>
    <cellStyle name="계산 2 16 2 8 2" xfId="43435"/>
    <cellStyle name="计算 2 16 2 8 2" xfId="41065"/>
    <cellStyle name="계산 2 16 2 8 3" xfId="50269"/>
    <cellStyle name="计算 2 16 2 8 3" xfId="47761"/>
    <cellStyle name="계산 2 16 2 9" xfId="29319"/>
    <cellStyle name="计算 2 16 2 9" xfId="29320"/>
    <cellStyle name="계산 2 16 3" xfId="6236"/>
    <cellStyle name="计算 2 16 3" xfId="6235"/>
    <cellStyle name="계산 2 16 3 10" xfId="19336"/>
    <cellStyle name="计算 2 16 3 10" xfId="19335"/>
    <cellStyle name="계산 2 16 3 11" xfId="39681"/>
    <cellStyle name="计算 2 16 3 11" xfId="34800"/>
    <cellStyle name="계산 2 16 3 12" xfId="44010"/>
    <cellStyle name="计算 2 16 3 12" xfId="45142"/>
    <cellStyle name="계산 2 16 3 2" xfId="10970"/>
    <cellStyle name="计算 2 16 3 2" xfId="10969"/>
    <cellStyle name="계산 2 16 3 2 2" xfId="24198"/>
    <cellStyle name="计算 2 16 3 2 2" xfId="24197"/>
    <cellStyle name="계산 2 16 3 2 3" xfId="33600"/>
    <cellStyle name="计算 2 16 3 2 3" xfId="33599"/>
    <cellStyle name="계산 2 16 3 2 4" xfId="39762"/>
    <cellStyle name="计算 2 16 3 2 4" xfId="39761"/>
    <cellStyle name="계산 2 16 3 2 5" xfId="44734"/>
    <cellStyle name="计算 2 16 3 2 5" xfId="44733"/>
    <cellStyle name="계산 2 16 3 2 6" xfId="15760"/>
    <cellStyle name="计算 2 16 3 2 6" xfId="15397"/>
    <cellStyle name="계산 2 16 3 3" xfId="13826"/>
    <cellStyle name="计算 2 16 3 3" xfId="13825"/>
    <cellStyle name="계산 2 16 3 3 2" xfId="27054"/>
    <cellStyle name="计算 2 16 3 3 2" xfId="27053"/>
    <cellStyle name="계산 2 16 3 3 3" xfId="36026"/>
    <cellStyle name="计算 2 16 3 3 3" xfId="36025"/>
    <cellStyle name="계산 2 16 3 3 4" xfId="41919"/>
    <cellStyle name="计算 2 16 3 3 4" xfId="41918"/>
    <cellStyle name="계산 2 16 3 3 5" xfId="46501"/>
    <cellStyle name="计算 2 16 3 3 5" xfId="46500"/>
    <cellStyle name="계산 2 16 3 3 6" xfId="48753"/>
    <cellStyle name="计算 2 16 3 3 6" xfId="48752"/>
    <cellStyle name="계산 2 16 3 4" xfId="6939"/>
    <cellStyle name="计算 2 16 3 4" xfId="9067"/>
    <cellStyle name="계산 2 16 3 4 2" xfId="20167"/>
    <cellStyle name="计算 2 16 3 4 2" xfId="22295"/>
    <cellStyle name="계산 2 16 3 4 3" xfId="31454"/>
    <cellStyle name="计算 2 16 3 4 3" xfId="31453"/>
    <cellStyle name="계산 2 16 3 4 4" xfId="17264"/>
    <cellStyle name="计算 2 16 3 4 4" xfId="17960"/>
    <cellStyle name="계산 2 16 3 4 5" xfId="34080"/>
    <cellStyle name="计算 2 16 3 4 5" xfId="28105"/>
    <cellStyle name="계산 2 16 3 4 6" xfId="29027"/>
    <cellStyle name="计算 2 16 3 4 6" xfId="35627"/>
    <cellStyle name="계산 2 16 3 5" xfId="13640"/>
    <cellStyle name="计算 2 16 3 5" xfId="13946"/>
    <cellStyle name="계산 2 16 3 5 2" xfId="26868"/>
    <cellStyle name="计算 2 16 3 5 2" xfId="27174"/>
    <cellStyle name="계산 2 16 3 5 3" xfId="30446"/>
    <cellStyle name="计算 2 16 3 5 3" xfId="34709"/>
    <cellStyle name="계산 2 16 3 5 4" xfId="14666"/>
    <cellStyle name="计算 2 16 3 5 4" xfId="40699"/>
    <cellStyle name="계산 2 16 3 5 5" xfId="28917"/>
    <cellStyle name="计算 2 16 3 5 5" xfId="45622"/>
    <cellStyle name="계산 2 16 3 5 6" xfId="29115"/>
    <cellStyle name="计算 2 16 3 5 6" xfId="39215"/>
    <cellStyle name="계산 2 16 3 6" xfId="7377"/>
    <cellStyle name="计算 2 16 3 6" xfId="13593"/>
    <cellStyle name="계산 2 16 3 6 2" xfId="20605"/>
    <cellStyle name="计算 2 16 3 6 2" xfId="26821"/>
    <cellStyle name="계산 2 16 3 6 3" xfId="31720"/>
    <cellStyle name="计算 2 16 3 6 3" xfId="30845"/>
    <cellStyle name="계산 2 16 3 6 4" xfId="37941"/>
    <cellStyle name="计算 2 16 3 6 4" xfId="16960"/>
    <cellStyle name="계산 2 16 3 6 5" xfId="15562"/>
    <cellStyle name="计算 2 16 3 6 5" xfId="15689"/>
    <cellStyle name="계산 2 16 3 6 6" xfId="46189"/>
    <cellStyle name="计算 2 16 3 6 6" xfId="38492"/>
    <cellStyle name="계산 2 16 3 7" xfId="19464"/>
    <cellStyle name="计算 2 16 3 7" xfId="19463"/>
    <cellStyle name="계산 2 16 3 7 2" xfId="31307"/>
    <cellStyle name="计算 2 16 3 7 2" xfId="36771"/>
    <cellStyle name="계산 2 16 3 7 3" xfId="17190"/>
    <cellStyle name="计算 2 16 3 7 3" xfId="42678"/>
    <cellStyle name="계산 2 16 3 7 4" xfId="27918"/>
    <cellStyle name="计算 2 16 3 7 4" xfId="46956"/>
    <cellStyle name="계산 2 16 3 7 5" xfId="45691"/>
    <cellStyle name="计算 2 16 3 7 5" xfId="49512"/>
    <cellStyle name="계산 2 16 3 8" xfId="36560"/>
    <cellStyle name="计算 2 16 3 8" xfId="35846"/>
    <cellStyle name="계산 2 16 3 8 2" xfId="42458"/>
    <cellStyle name="计算 2 16 3 8 2" xfId="41735"/>
    <cellStyle name="계산 2 16 3 8 3" xfId="49292"/>
    <cellStyle name="计算 2 16 3 8 3" xfId="48569"/>
    <cellStyle name="계산 2 16 3 9" xfId="29288"/>
    <cellStyle name="计算 2 16 3 9" xfId="29287"/>
    <cellStyle name="계산 2 16 4" xfId="6147"/>
    <cellStyle name="计算 2 16 4" xfId="6148"/>
    <cellStyle name="계산 2 16 4 10" xfId="34934"/>
    <cellStyle name="计算 2 16 4 10" xfId="30661"/>
    <cellStyle name="계산 2 16 4 11" xfId="30644"/>
    <cellStyle name="计算 2 16 4 11" xfId="39676"/>
    <cellStyle name="계산 2 16 4 12" xfId="14533"/>
    <cellStyle name="计算 2 16 4 12" xfId="44517"/>
    <cellStyle name="계산 2 16 4 2" xfId="10881"/>
    <cellStyle name="计算 2 16 4 2" xfId="10882"/>
    <cellStyle name="계산 2 16 4 2 2" xfId="24109"/>
    <cellStyle name="计算 2 16 4 2 2" xfId="24110"/>
    <cellStyle name="계산 2 16 4 2 3" xfId="33511"/>
    <cellStyle name="计算 2 16 4 2 3" xfId="33512"/>
    <cellStyle name="계산 2 16 4 2 4" xfId="39693"/>
    <cellStyle name="计算 2 16 4 2 4" xfId="39694"/>
    <cellStyle name="계산 2 16 4 2 5" xfId="44649"/>
    <cellStyle name="计算 2 16 4 2 5" xfId="44650"/>
    <cellStyle name="계산 2 16 4 2 6" xfId="47528"/>
    <cellStyle name="计算 2 16 4 2 6" xfId="43927"/>
    <cellStyle name="계산 2 16 4 3" xfId="13767"/>
    <cellStyle name="计算 2 16 4 3" xfId="13768"/>
    <cellStyle name="계산 2 16 4 3 2" xfId="26995"/>
    <cellStyle name="计算 2 16 4 3 2" xfId="26996"/>
    <cellStyle name="계산 2 16 4 3 3" xfId="35937"/>
    <cellStyle name="计算 2 16 4 3 3" xfId="35938"/>
    <cellStyle name="계산 2 16 4 3 4" xfId="41830"/>
    <cellStyle name="计算 2 16 4 3 4" xfId="41831"/>
    <cellStyle name="계산 2 16 4 3 5" xfId="46443"/>
    <cellStyle name="计算 2 16 4 3 5" xfId="46444"/>
    <cellStyle name="계산 2 16 4 3 6" xfId="48664"/>
    <cellStyle name="计算 2 16 4 3 6" xfId="48665"/>
    <cellStyle name="계산 2 16 4 4" xfId="8043"/>
    <cellStyle name="计算 2 16 4 4" xfId="12850"/>
    <cellStyle name="계산 2 16 4 4 2" xfId="21271"/>
    <cellStyle name="计算 2 16 4 4 2" xfId="26078"/>
    <cellStyle name="계산 2 16 4 4 3" xfId="32407"/>
    <cellStyle name="计算 2 16 4 4 3" xfId="32406"/>
    <cellStyle name="계산 2 16 4 4 4" xfId="38625"/>
    <cellStyle name="计算 2 16 4 4 4" xfId="38624"/>
    <cellStyle name="계산 2 16 4 4 5" xfId="43960"/>
    <cellStyle name="计算 2 16 4 4 5" xfId="43959"/>
    <cellStyle name="계산 2 16 4 4 6" xfId="46217"/>
    <cellStyle name="计算 2 16 4 4 6" xfId="44260"/>
    <cellStyle name="계산 2 16 4 5" xfId="7295"/>
    <cellStyle name="计算 2 16 4 5" xfId="13926"/>
    <cellStyle name="계산 2 16 4 5 2" xfId="20523"/>
    <cellStyle name="计算 2 16 4 5 2" xfId="27154"/>
    <cellStyle name="계산 2 16 4 5 3" xfId="34992"/>
    <cellStyle name="计算 2 16 4 5 3" xfId="31777"/>
    <cellStyle name="계산 2 16 4 5 4" xfId="40996"/>
    <cellStyle name="计算 2 16 4 5 4" xfId="37998"/>
    <cellStyle name="계산 2 16 4 5 5" xfId="45808"/>
    <cellStyle name="计算 2 16 4 5 5" xfId="15556"/>
    <cellStyle name="계산 2 16 4 5 6" xfId="47692"/>
    <cellStyle name="计算 2 16 4 5 6" xfId="36791"/>
    <cellStyle name="계산 2 16 4 6" xfId="14163"/>
    <cellStyle name="计算 2 16 4 6" xfId="13559"/>
    <cellStyle name="계산 2 16 4 6 2" xfId="27391"/>
    <cellStyle name="计算 2 16 4 6 2" xfId="26787"/>
    <cellStyle name="계산 2 16 4 6 3" xfId="35855"/>
    <cellStyle name="计算 2 16 4 6 3" xfId="34783"/>
    <cellStyle name="계산 2 16 4 6 4" xfId="41744"/>
    <cellStyle name="计算 2 16 4 6 4" xfId="40779"/>
    <cellStyle name="계산 2 16 4 6 5" xfId="46388"/>
    <cellStyle name="计算 2 16 4 6 5" xfId="45669"/>
    <cellStyle name="계산 2 16 4 6 6" xfId="48578"/>
    <cellStyle name="计算 2 16 4 6 6" xfId="34457"/>
    <cellStyle name="계산 2 16 4 7" xfId="19375"/>
    <cellStyle name="计算 2 16 4 7" xfId="19376"/>
    <cellStyle name="계산 2 16 4 7 2" xfId="31509"/>
    <cellStyle name="计算 2 16 4 7 2" xfId="30406"/>
    <cellStyle name="계산 2 16 4 7 3" xfId="14741"/>
    <cellStyle name="计算 2 16 4 7 3" xfId="14786"/>
    <cellStyle name="계산 2 16 4 7 4" xfId="29937"/>
    <cellStyle name="计算 2 16 4 7 4" xfId="28916"/>
    <cellStyle name="계산 2 16 4 7 5" xfId="47033"/>
    <cellStyle name="计算 2 16 4 7 5" xfId="33178"/>
    <cellStyle name="계산 2 16 4 8" xfId="37212"/>
    <cellStyle name="计算 2 16 4 8" xfId="34927"/>
    <cellStyle name="계산 2 16 4 8 2" xfId="43131"/>
    <cellStyle name="计算 2 16 4 8 2" xfId="40925"/>
    <cellStyle name="계산 2 16 4 8 3" xfId="49965"/>
    <cellStyle name="计算 2 16 4 8 3" xfId="14513"/>
    <cellStyle name="계산 2 16 4 9" xfId="29199"/>
    <cellStyle name="计算 2 16 4 9" xfId="29200"/>
    <cellStyle name="계산 2 16 5" xfId="9502"/>
    <cellStyle name="计算 2 16 5" xfId="9503"/>
    <cellStyle name="계산 2 16 5 10" xfId="28752"/>
    <cellStyle name="计算 2 16 5 10" xfId="33435"/>
    <cellStyle name="계산 2 16 5 11" xfId="39386"/>
    <cellStyle name="计算 2 16 5 11" xfId="40448"/>
    <cellStyle name="계산 2 16 5 12" xfId="44308"/>
    <cellStyle name="计算 2 16 5 12" xfId="40146"/>
    <cellStyle name="계산 2 16 5 2" xfId="13139"/>
    <cellStyle name="计算 2 16 5 2" xfId="13140"/>
    <cellStyle name="계산 2 16 5 2 2" xfId="26367"/>
    <cellStyle name="计算 2 16 5 2 2" xfId="26368"/>
    <cellStyle name="계산 2 16 5 2 3" xfId="32619"/>
    <cellStyle name="计算 2 16 5 2 3" xfId="32620"/>
    <cellStyle name="계산 2 16 5 2 4" xfId="38839"/>
    <cellStyle name="计算 2 16 5 2 4" xfId="38840"/>
    <cellStyle name="계산 2 16 5 2 5" xfId="44102"/>
    <cellStyle name="计算 2 16 5 2 5" xfId="44103"/>
    <cellStyle name="계산 2 16 5 2 6" xfId="47000"/>
    <cellStyle name="计算 2 16 5 2 6" xfId="15743"/>
    <cellStyle name="계산 2 16 5 3" xfId="7492"/>
    <cellStyle name="计算 2 16 5 3" xfId="7493"/>
    <cellStyle name="계산 2 16 5 3 2" xfId="20720"/>
    <cellStyle name="计算 2 16 5 3 2" xfId="20721"/>
    <cellStyle name="계산 2 16 5 3 3" xfId="35115"/>
    <cellStyle name="计算 2 16 5 3 3" xfId="35116"/>
    <cellStyle name="계산 2 16 5 3 4" xfId="41099"/>
    <cellStyle name="计算 2 16 5 3 4" xfId="41100"/>
    <cellStyle name="계산 2 16 5 3 5" xfId="45905"/>
    <cellStyle name="计算 2 16 5 3 5" xfId="45906"/>
    <cellStyle name="계산 2 16 5 3 6" xfId="47818"/>
    <cellStyle name="计算 2 16 5 3 6" xfId="47819"/>
    <cellStyle name="계산 2 16 5 4" xfId="12894"/>
    <cellStyle name="计算 2 16 5 4" xfId="13665"/>
    <cellStyle name="계산 2 16 5 4 2" xfId="26122"/>
    <cellStyle name="计算 2 16 5 4 2" xfId="26893"/>
    <cellStyle name="계산 2 16 5 4 3" xfId="30952"/>
    <cellStyle name="计算 2 16 5 4 3" xfId="30953"/>
    <cellStyle name="계산 2 16 5 4 4" xfId="17014"/>
    <cellStyle name="计算 2 16 5 4 4" xfId="17742"/>
    <cellStyle name="계산 2 16 5 4 5" xfId="31900"/>
    <cellStyle name="计算 2 16 5 4 5" xfId="15310"/>
    <cellStyle name="계산 2 16 5 4 6" xfId="16535"/>
    <cellStyle name="计算 2 16 5 4 6" xfId="33034"/>
    <cellStyle name="계산 2 16 5 5" xfId="7760"/>
    <cellStyle name="计算 2 16 5 5" xfId="12799"/>
    <cellStyle name="계산 2 16 5 5 2" xfId="20988"/>
    <cellStyle name="计算 2 16 5 5 2" xfId="26027"/>
    <cellStyle name="계산 2 16 5 5 3" xfId="41501"/>
    <cellStyle name="计算 2 16 5 5 3" xfId="42692"/>
    <cellStyle name="계산 2 16 5 5 4" xfId="48335"/>
    <cellStyle name="计算 2 16 5 5 4" xfId="49526"/>
    <cellStyle name="계산 2 16 5 6" xfId="22730"/>
    <cellStyle name="计算 2 16 5 6" xfId="22731"/>
    <cellStyle name="계산 2 16 5 6 2" xfId="37055"/>
    <cellStyle name="计算 2 16 5 6 2" xfId="30709"/>
    <cellStyle name="계산 2 16 5 6 3" xfId="42974"/>
    <cellStyle name="计算 2 16 5 6 3" xfId="16901"/>
    <cellStyle name="계산 2 16 5 6 4" xfId="47127"/>
    <cellStyle name="计算 2 16 5 6 4" xfId="34175"/>
    <cellStyle name="계산 2 16 5 6 5" xfId="49808"/>
    <cellStyle name="计算 2 16 5 6 5" xfId="29101"/>
    <cellStyle name="계산 2 16 5 7" xfId="30576"/>
    <cellStyle name="计算 2 16 5 7" xfId="37666"/>
    <cellStyle name="계산 2 16 5 7 2" xfId="16848"/>
    <cellStyle name="计算 2 16 5 7 2" xfId="43589"/>
    <cellStyle name="계산 2 16 5 7 3" xfId="46649"/>
    <cellStyle name="计算 2 16 5 7 3" xfId="50423"/>
    <cellStyle name="계산 2 16 5 8" xfId="37735"/>
    <cellStyle name="计算 2 16 5 8" xfId="30489"/>
    <cellStyle name="계산 2 16 5 8 2" xfId="43659"/>
    <cellStyle name="计算 2 16 5 8 2" xfId="17827"/>
    <cellStyle name="계산 2 16 5 8 3" xfId="50493"/>
    <cellStyle name="计算 2 16 5 8 3" xfId="47018"/>
    <cellStyle name="계산 2 16 5 9" xfId="28308"/>
    <cellStyle name="计算 2 16 5 9" xfId="28309"/>
    <cellStyle name="계산 2 16 6" xfId="11730"/>
    <cellStyle name="计算 2 16 6" xfId="11731"/>
    <cellStyle name="계산 2 16 6 10" xfId="45228"/>
    <cellStyle name="计算 2 16 6 10" xfId="45229"/>
    <cellStyle name="계산 2 16 6 11" xfId="29136"/>
    <cellStyle name="计算 2 16 6 11" xfId="27969"/>
    <cellStyle name="계산 2 16 6 2" xfId="8391"/>
    <cellStyle name="计算 2 16 6 2" xfId="8392"/>
    <cellStyle name="계산 2 16 6 2 2" xfId="21619"/>
    <cellStyle name="计算 2 16 6 2 2" xfId="21620"/>
    <cellStyle name="계산 2 16 6 2 3" xfId="36599"/>
    <cellStyle name="计算 2 16 6 2 3" xfId="36600"/>
    <cellStyle name="계산 2 16 6 2 4" xfId="42501"/>
    <cellStyle name="计算 2 16 6 2 4" xfId="42502"/>
    <cellStyle name="계산 2 16 6 2 5" xfId="46831"/>
    <cellStyle name="计算 2 16 6 2 5" xfId="46832"/>
    <cellStyle name="계산 2 16 6 2 6" xfId="49335"/>
    <cellStyle name="计算 2 16 6 2 6" xfId="49336"/>
    <cellStyle name="계산 2 16 6 3" xfId="14427"/>
    <cellStyle name="计算 2 16 6 3" xfId="14428"/>
    <cellStyle name="계산 2 16 6 3 2" xfId="27655"/>
    <cellStyle name="计算 2 16 6 3 2" xfId="27656"/>
    <cellStyle name="계산 2 16 6 3 3" xfId="37087"/>
    <cellStyle name="计算 2 16 6 3 3" xfId="37088"/>
    <cellStyle name="계산 2 16 6 3 4" xfId="43006"/>
    <cellStyle name="计算 2 16 6 3 4" xfId="43007"/>
    <cellStyle name="계산 2 16 6 3 5" xfId="47150"/>
    <cellStyle name="计算 2 16 6 3 5" xfId="47151"/>
    <cellStyle name="계산 2 16 6 3 6" xfId="49840"/>
    <cellStyle name="计算 2 16 6 3 6" xfId="49841"/>
    <cellStyle name="계산 2 16 6 4" xfId="8003"/>
    <cellStyle name="计算 2 16 6 4" xfId="12885"/>
    <cellStyle name="계산 2 16 6 4 2" xfId="21231"/>
    <cellStyle name="计算 2 16 6 4 2" xfId="26113"/>
    <cellStyle name="계산 2 16 6 4 3" xfId="30563"/>
    <cellStyle name="计算 2 16 6 4 3" xfId="31976"/>
    <cellStyle name="계산 2 16 6 4 4" xfId="15195"/>
    <cellStyle name="计算 2 16 6 4 4" xfId="38199"/>
    <cellStyle name="계산 2 16 6 4 5" xfId="15319"/>
    <cellStyle name="计算 2 16 6 4 5" xfId="17905"/>
    <cellStyle name="계산 2 16 6 4 6" xfId="46040"/>
    <cellStyle name="计算 2 16 6 4 6" xfId="47037"/>
    <cellStyle name="계산 2 16 6 5" xfId="24958"/>
    <cellStyle name="计算 2 16 6 5" xfId="24959"/>
    <cellStyle name="계산 2 16 6 5 2" xfId="31527"/>
    <cellStyle name="计算 2 16 6 5 2" xfId="30272"/>
    <cellStyle name="계산 2 16 6 5 3" xfId="17289"/>
    <cellStyle name="计算 2 16 6 5 3" xfId="18530"/>
    <cellStyle name="계산 2 16 6 5 4" xfId="17883"/>
    <cellStyle name="计算 2 16 6 5 4" xfId="29120"/>
    <cellStyle name="계산 2 16 6 5 5" xfId="40555"/>
    <cellStyle name="计算 2 16 6 5 5" xfId="18159"/>
    <cellStyle name="계산 2 16 6 6" xfId="37027"/>
    <cellStyle name="计算 2 16 6 6" xfId="30853"/>
    <cellStyle name="계산 2 16 6 6 2" xfId="42946"/>
    <cellStyle name="计算 2 16 6 6 2" xfId="14700"/>
    <cellStyle name="계산 2 16 6 6 3" xfId="49780"/>
    <cellStyle name="计算 2 16 6 6 3" xfId="16495"/>
    <cellStyle name="계산 2 16 6 7" xfId="37873"/>
    <cellStyle name="计算 2 16 6 7" xfId="37874"/>
    <cellStyle name="계산 2 16 6 7 2" xfId="43798"/>
    <cellStyle name="计算 2 16 6 7 2" xfId="43799"/>
    <cellStyle name="계산 2 16 6 7 3" xfId="50632"/>
    <cellStyle name="计算 2 16 6 7 3" xfId="50633"/>
    <cellStyle name="계산 2 16 6 8" xfId="34194"/>
    <cellStyle name="计算 2 16 6 8" xfId="34195"/>
    <cellStyle name="계산 2 16 6 9" xfId="40219"/>
    <cellStyle name="计算 2 16 6 9" xfId="40220"/>
    <cellStyle name="계산 2 16 7" xfId="7784"/>
    <cellStyle name="计算 2 16 7" xfId="7785"/>
    <cellStyle name="계산 2 16 7 2" xfId="21012"/>
    <cellStyle name="计算 2 16 7 2" xfId="21013"/>
    <cellStyle name="계산 2 16 7 3" xfId="30888"/>
    <cellStyle name="计算 2 16 7 3" xfId="30889"/>
    <cellStyle name="계산 2 16 7 4" xfId="18535"/>
    <cellStyle name="计算 2 16 7 4" xfId="14704"/>
    <cellStyle name="계산 2 16 7 5" xfId="31631"/>
    <cellStyle name="计算 2 16 7 5" xfId="15702"/>
    <cellStyle name="계산 2 16 7 6" xfId="17706"/>
    <cellStyle name="计算 2 16 7 6" xfId="15433"/>
    <cellStyle name="계산 2 16 8" xfId="7424"/>
    <cellStyle name="计算 2 16 8" xfId="7423"/>
    <cellStyle name="계산 2 16 8 2" xfId="20652"/>
    <cellStyle name="计算 2 16 8 2" xfId="20651"/>
    <cellStyle name="계산 2 16 8 3" xfId="31642"/>
    <cellStyle name="计算 2 16 8 3" xfId="31695"/>
    <cellStyle name="계산 2 16 8 4" xfId="17345"/>
    <cellStyle name="计算 2 16 8 4" xfId="17368"/>
    <cellStyle name="계산 2 16 8 5" xfId="15573"/>
    <cellStyle name="计算 2 16 8 5" xfId="32134"/>
    <cellStyle name="계산 2 16 8 6" xfId="34261"/>
    <cellStyle name="计算 2 16 8 6" xfId="40526"/>
    <cellStyle name="계산 2 16 9" xfId="12924"/>
    <cellStyle name="计算 2 16 9" xfId="14064"/>
    <cellStyle name="계산 2 16 9 2" xfId="26152"/>
    <cellStyle name="计算 2 16 9 2" xfId="27292"/>
    <cellStyle name="계산 2 16 9 3" xfId="30287"/>
    <cellStyle name="计算 2 16 9 3" xfId="30258"/>
    <cellStyle name="계산 2 16 9 4" xfId="16723"/>
    <cellStyle name="计算 2 16 9 4" xfId="16703"/>
    <cellStyle name="계산 2 16 9 5" xfId="33348"/>
    <cellStyle name="计算 2 16 9 5" xfId="28869"/>
    <cellStyle name="계산 2 16 9 6" xfId="40085"/>
    <cellStyle name="计算 2 16 9 6" xfId="29131"/>
    <cellStyle name="계산 2 17" xfId="2626"/>
    <cellStyle name="计算 2 17" xfId="2627"/>
    <cellStyle name="계산 2 17 10" xfId="14331"/>
    <cellStyle name="计算 2 17 10" xfId="8593"/>
    <cellStyle name="계산 2 17 10 2" xfId="27559"/>
    <cellStyle name="计算 2 17 10 2" xfId="21821"/>
    <cellStyle name="계산 2 17 10 3" xfId="30477"/>
    <cellStyle name="计算 2 17 10 3" xfId="31526"/>
    <cellStyle name="계산 2 17 10 4" xfId="27781"/>
    <cellStyle name="计算 2 17 10 4" xfId="17288"/>
    <cellStyle name="계산 2 17 10 5" xfId="29143"/>
    <cellStyle name="计算 2 17 10 5" xfId="15609"/>
    <cellStyle name="계산 2 17 10 6" xfId="47330"/>
    <cellStyle name="计算 2 17 10 6" xfId="28051"/>
    <cellStyle name="계산 2 17 11" xfId="14474"/>
    <cellStyle name="计算 2 17 11" xfId="8716"/>
    <cellStyle name="계산 2 17 11 2" xfId="27702"/>
    <cellStyle name="计算 2 17 11 2" xfId="21944"/>
    <cellStyle name="계산 2 17 11 3" xfId="30213"/>
    <cellStyle name="计算 2 17 11 3" xfId="37397"/>
    <cellStyle name="계산 2 17 11 4" xfId="27806"/>
    <cellStyle name="计算 2 17 11 4" xfId="43317"/>
    <cellStyle name="계산 2 17 11 5" xfId="39716"/>
    <cellStyle name="计算 2 17 11 5" xfId="47343"/>
    <cellStyle name="계산 2 17 11 6" xfId="18483"/>
    <cellStyle name="计算 2 17 11 6" xfId="50151"/>
    <cellStyle name="계산 2 17 12" xfId="16385"/>
    <cellStyle name="计算 2 17 12" xfId="16386"/>
    <cellStyle name="계산 2 17 12 2" xfId="43464"/>
    <cellStyle name="计算 2 17 12 2" xfId="16762"/>
    <cellStyle name="계산 2 17 12 3" xfId="50298"/>
    <cellStyle name="计算 2 17 12 3" xfId="15391"/>
    <cellStyle name="계산 2 17 13" xfId="15981"/>
    <cellStyle name="计算 2 17 13" xfId="15980"/>
    <cellStyle name="계산 2 17 14" xfId="32547"/>
    <cellStyle name="计算 2 17 14" xfId="28233"/>
    <cellStyle name="계산 2 17 15" xfId="17539"/>
    <cellStyle name="计算 2 17 15" xfId="39548"/>
    <cellStyle name="계산 2 17 16" xfId="39413"/>
    <cellStyle name="计算 2 17 16" xfId="28142"/>
    <cellStyle name="계산 2 17 17" xfId="50949"/>
    <cellStyle name="计算 2 17 17" xfId="50950"/>
    <cellStyle name="계산 2 17 18" xfId="50832"/>
    <cellStyle name="计算 2 17 18" xfId="50831"/>
    <cellStyle name="계산 2 17 2" xfId="6269"/>
    <cellStyle name="计算 2 17 2" xfId="6270"/>
    <cellStyle name="계산 2 17 2 10" xfId="16017"/>
    <cellStyle name="计算 2 17 2 10" xfId="16018"/>
    <cellStyle name="계산 2 17 2 11" xfId="34283"/>
    <cellStyle name="计算 2 17 2 11" xfId="41190"/>
    <cellStyle name="계산 2 17 2 12" xfId="40162"/>
    <cellStyle name="计算 2 17 2 12" xfId="44411"/>
    <cellStyle name="계산 2 17 2 2" xfId="11003"/>
    <cellStyle name="计算 2 17 2 2" xfId="11004"/>
    <cellStyle name="계산 2 17 2 2 2" xfId="24231"/>
    <cellStyle name="计算 2 17 2 2 2" xfId="24232"/>
    <cellStyle name="계산 2 17 2 2 3" xfId="33633"/>
    <cellStyle name="计算 2 17 2 2 3" xfId="33634"/>
    <cellStyle name="계산 2 17 2 2 4" xfId="39791"/>
    <cellStyle name="计算 2 17 2 2 4" xfId="39792"/>
    <cellStyle name="계산 2 17 2 2 5" xfId="44767"/>
    <cellStyle name="计算 2 17 2 2 5" xfId="44768"/>
    <cellStyle name="계산 2 17 2 2 6" xfId="40463"/>
    <cellStyle name="计算 2 17 2 2 6" xfId="34086"/>
    <cellStyle name="계산 2 17 2 3" xfId="13855"/>
    <cellStyle name="计算 2 17 2 3" xfId="13856"/>
    <cellStyle name="계산 2 17 2 3 2" xfId="27083"/>
    <cellStyle name="计算 2 17 2 3 2" xfId="27084"/>
    <cellStyle name="계산 2 17 2 3 3" xfId="36059"/>
    <cellStyle name="计算 2 17 2 3 3" xfId="36060"/>
    <cellStyle name="계산 2 17 2 3 4" xfId="41952"/>
    <cellStyle name="计算 2 17 2 3 4" xfId="41953"/>
    <cellStyle name="계산 2 17 2 3 5" xfId="46530"/>
    <cellStyle name="计算 2 17 2 3 5" xfId="46531"/>
    <cellStyle name="계산 2 17 2 3 6" xfId="48786"/>
    <cellStyle name="计算 2 17 2 3 6" xfId="48787"/>
    <cellStyle name="계산 2 17 2 4" xfId="6956"/>
    <cellStyle name="计算 2 17 2 4" xfId="6957"/>
    <cellStyle name="계산 2 17 2 4 2" xfId="20184"/>
    <cellStyle name="计算 2 17 2 4 2" xfId="20185"/>
    <cellStyle name="계산 2 17 2 4 3" xfId="31479"/>
    <cellStyle name="计算 2 17 2 4 3" xfId="31480"/>
    <cellStyle name="계산 2 17 2 4 4" xfId="17857"/>
    <cellStyle name="计算 2 17 2 4 4" xfId="17275"/>
    <cellStyle name="계산 2 17 2 4 5" xfId="28158"/>
    <cellStyle name="计算 2 17 2 4 5" xfId="28881"/>
    <cellStyle name="계산 2 17 2 4 6" xfId="47432"/>
    <cellStyle name="计算 2 17 2 4 6" xfId="47007"/>
    <cellStyle name="계산 2 17 2 5" xfId="7250"/>
    <cellStyle name="计算 2 17 2 5" xfId="13954"/>
    <cellStyle name="계산 2 17 2 5 2" xfId="20478"/>
    <cellStyle name="计算 2 17 2 5 2" xfId="27182"/>
    <cellStyle name="계산 2 17 2 5 3" xfId="30417"/>
    <cellStyle name="计算 2 17 2 5 3" xfId="34882"/>
    <cellStyle name="계산 2 17 2 5 4" xfId="16798"/>
    <cellStyle name="计算 2 17 2 5 4" xfId="40880"/>
    <cellStyle name="계산 2 17 2 5 5" xfId="15331"/>
    <cellStyle name="计算 2 17 2 5 5" xfId="45726"/>
    <cellStyle name="계산 2 17 2 5 6" xfId="15645"/>
    <cellStyle name="计算 2 17 2 5 6" xfId="34391"/>
    <cellStyle name="계산 2 17 2 6" xfId="8553"/>
    <cellStyle name="计算 2 17 2 6" xfId="14093"/>
    <cellStyle name="계산 2 17 2 6 2" xfId="21781"/>
    <cellStyle name="计算 2 17 2 6 2" xfId="27321"/>
    <cellStyle name="계산 2 17 2 6 3" xfId="31285"/>
    <cellStyle name="计算 2 17 2 6 3" xfId="35849"/>
    <cellStyle name="계산 2 17 2 6 4" xfId="17175"/>
    <cellStyle name="计算 2 17 2 6 4" xfId="41738"/>
    <cellStyle name="계산 2 17 2 6 5" xfId="15619"/>
    <cellStyle name="计算 2 17 2 6 5" xfId="46384"/>
    <cellStyle name="계산 2 17 2 6 6" xfId="46985"/>
    <cellStyle name="计算 2 17 2 6 6" xfId="48572"/>
    <cellStyle name="계산 2 17 2 7" xfId="19497"/>
    <cellStyle name="计算 2 17 2 7" xfId="19498"/>
    <cellStyle name="계산 2 17 2 7 2" xfId="30818"/>
    <cellStyle name="计算 2 17 2 7 2" xfId="37151"/>
    <cellStyle name="계산 2 17 2 7 3" xfId="16950"/>
    <cellStyle name="计算 2 17 2 7 3" xfId="43070"/>
    <cellStyle name="계산 2 17 2 7 4" xfId="17553"/>
    <cellStyle name="计算 2 17 2 7 4" xfId="47206"/>
    <cellStyle name="계산 2 17 2 7 5" xfId="35690"/>
    <cellStyle name="计算 2 17 2 7 5" xfId="49904"/>
    <cellStyle name="계산 2 17 2 8" xfId="30554"/>
    <cellStyle name="计算 2 17 2 8" xfId="37684"/>
    <cellStyle name="계산 2 17 2 8 2" xfId="16840"/>
    <cellStyle name="计算 2 17 2 8 2" xfId="43607"/>
    <cellStyle name="계산 2 17 2 8 3" xfId="32557"/>
    <cellStyle name="计算 2 17 2 8 3" xfId="50441"/>
    <cellStyle name="계산 2 17 2 9" xfId="29321"/>
    <cellStyle name="计算 2 17 2 9" xfId="29322"/>
    <cellStyle name="계산 2 17 3" xfId="6234"/>
    <cellStyle name="计算 2 17 3" xfId="6233"/>
    <cellStyle name="계산 2 17 3 10" xfId="19334"/>
    <cellStyle name="计算 2 17 3 10" xfId="15996"/>
    <cellStyle name="계산 2 17 3 11" xfId="40630"/>
    <cellStyle name="计算 2 17 3 11" xfId="39305"/>
    <cellStyle name="계산 2 17 3 12" xfId="34162"/>
    <cellStyle name="计算 2 17 3 12" xfId="15863"/>
    <cellStyle name="계산 2 17 3 2" xfId="10968"/>
    <cellStyle name="计算 2 17 3 2" xfId="10967"/>
    <cellStyle name="계산 2 17 3 2 2" xfId="24196"/>
    <cellStyle name="计算 2 17 3 2 2" xfId="24195"/>
    <cellStyle name="계산 2 17 3 2 3" xfId="33598"/>
    <cellStyle name="计算 2 17 3 2 3" xfId="33597"/>
    <cellStyle name="계산 2 17 3 2 4" xfId="39760"/>
    <cellStyle name="计算 2 17 3 2 4" xfId="39759"/>
    <cellStyle name="계산 2 17 3 2 5" xfId="44732"/>
    <cellStyle name="计算 2 17 3 2 5" xfId="44731"/>
    <cellStyle name="계산 2 17 3 2 6" xfId="40621"/>
    <cellStyle name="计算 2 17 3 2 6" xfId="39640"/>
    <cellStyle name="계산 2 17 3 3" xfId="13824"/>
    <cellStyle name="计算 2 17 3 3" xfId="13823"/>
    <cellStyle name="계산 2 17 3 3 2" xfId="27052"/>
    <cellStyle name="计算 2 17 3 3 2" xfId="27051"/>
    <cellStyle name="계산 2 17 3 3 3" xfId="36024"/>
    <cellStyle name="计算 2 17 3 3 3" xfId="36023"/>
    <cellStyle name="계산 2 17 3 3 4" xfId="41917"/>
    <cellStyle name="计算 2 17 3 3 4" xfId="41916"/>
    <cellStyle name="계산 2 17 3 3 5" xfId="46499"/>
    <cellStyle name="计算 2 17 3 3 5" xfId="46498"/>
    <cellStyle name="계산 2 17 3 3 6" xfId="48751"/>
    <cellStyle name="计算 2 17 3 3 6" xfId="48750"/>
    <cellStyle name="계산 2 17 3 4" xfId="12836"/>
    <cellStyle name="计算 2 17 3 4" xfId="6938"/>
    <cellStyle name="계산 2 17 3 4 2" xfId="26064"/>
    <cellStyle name="计算 2 17 3 4 2" xfId="20166"/>
    <cellStyle name="계산 2 17 3 4 3" xfId="31452"/>
    <cellStyle name="计算 2 17 3 4 3" xfId="31451"/>
    <cellStyle name="계산 2 17 3 4 4" xfId="15128"/>
    <cellStyle name="计算 2 17 3 4 4" xfId="17263"/>
    <cellStyle name="계산 2 17 3 4 5" xfId="28104"/>
    <cellStyle name="计算 2 17 3 4 5" xfId="28103"/>
    <cellStyle name="계산 2 17 3 4 6" xfId="46248"/>
    <cellStyle name="计算 2 17 3 4 6" xfId="47465"/>
    <cellStyle name="계산 2 17 3 5" xfId="7254"/>
    <cellStyle name="计算 2 17 3 5" xfId="13639"/>
    <cellStyle name="계산 2 17 3 5 2" xfId="20482"/>
    <cellStyle name="计算 2 17 3 5 2" xfId="26867"/>
    <cellStyle name="계산 2 17 3 5 3" xfId="30426"/>
    <cellStyle name="计算 2 17 3 5 3" xfId="30427"/>
    <cellStyle name="계산 2 17 3 5 4" xfId="14883"/>
    <cellStyle name="计算 2 17 3 5 4" xfId="14884"/>
    <cellStyle name="계산 2 17 3 5 5" xfId="15328"/>
    <cellStyle name="计算 2 17 3 5 5" xfId="33151"/>
    <cellStyle name="계산 2 17 3 5 6" xfId="30184"/>
    <cellStyle name="计算 2 17 3 5 6" xfId="47450"/>
    <cellStyle name="계산 2 17 3 6" xfId="12888"/>
    <cellStyle name="计算 2 17 3 6" xfId="13661"/>
    <cellStyle name="계산 2 17 3 6 2" xfId="26116"/>
    <cellStyle name="计算 2 17 3 6 2" xfId="26889"/>
    <cellStyle name="계산 2 17 3 6 3" xfId="34867"/>
    <cellStyle name="计算 2 17 3 6 3" xfId="29796"/>
    <cellStyle name="계산 2 17 3 6 4" xfId="40866"/>
    <cellStyle name="计算 2 17 3 6 4" xfId="35472"/>
    <cellStyle name="계산 2 17 3 6 5" xfId="45718"/>
    <cellStyle name="计算 2 17 3 6 5" xfId="41310"/>
    <cellStyle name="계산 2 17 3 6 6" xfId="29933"/>
    <cellStyle name="计算 2 17 3 6 6" xfId="45555"/>
    <cellStyle name="계산 2 17 3 7" xfId="19462"/>
    <cellStyle name="计算 2 17 3 7" xfId="19461"/>
    <cellStyle name="계산 2 17 3 7 2" xfId="31796"/>
    <cellStyle name="计算 2 17 3 7 2" xfId="35674"/>
    <cellStyle name="계산 2 17 3 7 3" xfId="38017"/>
    <cellStyle name="计算 2 17 3 7 3" xfId="41554"/>
    <cellStyle name="계산 2 17 3 7 4" xfId="15297"/>
    <cellStyle name="计算 2 17 3 7 4" xfId="46317"/>
    <cellStyle name="계산 2 17 3 7 5" xfId="28918"/>
    <cellStyle name="计算 2 17 3 7 5" xfId="48388"/>
    <cellStyle name="계산 2 17 3 8" xfId="31789"/>
    <cellStyle name="计算 2 17 3 8" xfId="30267"/>
    <cellStyle name="계산 2 17 3 8 2" xfId="38010"/>
    <cellStyle name="计算 2 17 3 8 2" xfId="16707"/>
    <cellStyle name="계산 2 17 3 8 3" xfId="34285"/>
    <cellStyle name="计算 2 17 3 8 3" xfId="45357"/>
    <cellStyle name="계산 2 17 3 9" xfId="29286"/>
    <cellStyle name="计算 2 17 3 9" xfId="29285"/>
    <cellStyle name="계산 2 17 4" xfId="6149"/>
    <cellStyle name="计算 2 17 4" xfId="6157"/>
    <cellStyle name="계산 2 17 4 10" xfId="31744"/>
    <cellStyle name="计算 2 17 4 10" xfId="35689"/>
    <cellStyle name="계산 2 17 4 11" xfId="40072"/>
    <cellStyle name="计算 2 17 4 11" xfId="32484"/>
    <cellStyle name="계산 2 17 4 12" xfId="45486"/>
    <cellStyle name="计算 2 17 4 12" xfId="45449"/>
    <cellStyle name="계산 2 17 4 2" xfId="10883"/>
    <cellStyle name="计算 2 17 4 2" xfId="10891"/>
    <cellStyle name="계산 2 17 4 2 2" xfId="24111"/>
    <cellStyle name="计算 2 17 4 2 2" xfId="24119"/>
    <cellStyle name="계산 2 17 4 2 3" xfId="33513"/>
    <cellStyle name="计算 2 17 4 2 3" xfId="33521"/>
    <cellStyle name="계산 2 17 4 2 4" xfId="39695"/>
    <cellStyle name="计算 2 17 4 2 4" xfId="39702"/>
    <cellStyle name="계산 2 17 4 2 5" xfId="44651"/>
    <cellStyle name="计算 2 17 4 2 5" xfId="44659"/>
    <cellStyle name="계산 2 17 4 2 6" xfId="46803"/>
    <cellStyle name="计算 2 17 4 2 6" xfId="39228"/>
    <cellStyle name="계산 2 17 4 3" xfId="13769"/>
    <cellStyle name="计算 2 17 4 3" xfId="13775"/>
    <cellStyle name="계산 2 17 4 3 2" xfId="26997"/>
    <cellStyle name="计算 2 17 4 3 2" xfId="27003"/>
    <cellStyle name="계산 2 17 4 3 3" xfId="35939"/>
    <cellStyle name="计算 2 17 4 3 3" xfId="35947"/>
    <cellStyle name="계산 2 17 4 3 4" xfId="41832"/>
    <cellStyle name="计算 2 17 4 3 4" xfId="41840"/>
    <cellStyle name="계산 2 17 4 3 5" xfId="46445"/>
    <cellStyle name="计算 2 17 4 3 5" xfId="46453"/>
    <cellStyle name="계산 2 17 4 3 6" xfId="48666"/>
    <cellStyle name="计算 2 17 4 3 6" xfId="48674"/>
    <cellStyle name="계산 2 17 4 4" xfId="9064"/>
    <cellStyle name="计算 2 17 4 4" xfId="12849"/>
    <cellStyle name="계산 2 17 4 4 2" xfId="22292"/>
    <cellStyle name="计算 2 17 4 4 2" xfId="26077"/>
    <cellStyle name="계산 2 17 4 4 3" xfId="31885"/>
    <cellStyle name="计算 2 17 4 4 3" xfId="32414"/>
    <cellStyle name="계산 2 17 4 4 4" xfId="38106"/>
    <cellStyle name="计算 2 17 4 4 4" xfId="38632"/>
    <cellStyle name="계산 2 17 4 4 5" xfId="15531"/>
    <cellStyle name="计算 2 17 4 4 5" xfId="43966"/>
    <cellStyle name="계산 2 17 4 4 6" xfId="28688"/>
    <cellStyle name="计算 2 17 4 4 6" xfId="15577"/>
    <cellStyle name="계산 2 17 4 5" xfId="7294"/>
    <cellStyle name="计算 2 17 4 5" xfId="7289"/>
    <cellStyle name="계산 2 17 4 5 2" xfId="20522"/>
    <cellStyle name="计算 2 17 4 5 2" xfId="20517"/>
    <cellStyle name="계산 2 17 4 5 3" xfId="30451"/>
    <cellStyle name="计算 2 17 4 5 3" xfId="30450"/>
    <cellStyle name="계산 2 17 4 5 4" xfId="18145"/>
    <cellStyle name="计算 2 17 4 5 4" xfId="16796"/>
    <cellStyle name="계산 2 17 4 5 5" xfId="34170"/>
    <cellStyle name="计算 2 17 4 5 5" xfId="32555"/>
    <cellStyle name="계산 2 17 4 5 6" xfId="46655"/>
    <cellStyle name="计算 2 17 4 5 6" xfId="15603"/>
    <cellStyle name="계산 2 17 4 6" xfId="13033"/>
    <cellStyle name="计算 2 17 4 6" xfId="13965"/>
    <cellStyle name="계산 2 17 4 6 2" xfId="26261"/>
    <cellStyle name="计算 2 17 4 6 2" xfId="27193"/>
    <cellStyle name="계산 2 17 4 6 3" xfId="30844"/>
    <cellStyle name="计算 2 17 4 6 3" xfId="36824"/>
    <cellStyle name="계산 2 17 4 6 4" xfId="15229"/>
    <cellStyle name="计算 2 17 4 6 4" xfId="42735"/>
    <cellStyle name="계산 2 17 4 6 5" xfId="17606"/>
    <cellStyle name="计算 2 17 4 6 5" xfId="46989"/>
    <cellStyle name="계산 2 17 4 6 6" xfId="34098"/>
    <cellStyle name="计算 2 17 4 6 6" xfId="49569"/>
    <cellStyle name="계산 2 17 4 7" xfId="19377"/>
    <cellStyle name="计算 2 17 4 7" xfId="19385"/>
    <cellStyle name="계산 2 17 4 7 2" xfId="30342"/>
    <cellStyle name="计算 2 17 4 7 2" xfId="31717"/>
    <cellStyle name="계산 2 17 4 7 3" xfId="16763"/>
    <cellStyle name="计算 2 17 4 7 3" xfId="37938"/>
    <cellStyle name="계산 2 17 4 7 4" xfId="28672"/>
    <cellStyle name="计算 2 17 4 7 4" xfId="17798"/>
    <cellStyle name="계산 2 17 4 7 5" xfId="34564"/>
    <cellStyle name="计算 2 17 4 7 5" xfId="27926"/>
    <cellStyle name="계산 2 17 4 8" xfId="35873"/>
    <cellStyle name="计算 2 17 4 8" xfId="35504"/>
    <cellStyle name="계산 2 17 4 8 2" xfId="41765"/>
    <cellStyle name="计算 2 17 4 8 2" xfId="41375"/>
    <cellStyle name="계산 2 17 4 8 3" xfId="48599"/>
    <cellStyle name="计算 2 17 4 8 3" xfId="48209"/>
    <cellStyle name="계산 2 17 4 9" xfId="29201"/>
    <cellStyle name="计算 2 17 4 9" xfId="29209"/>
    <cellStyle name="계산 2 17 5" xfId="9504"/>
    <cellStyle name="计算 2 17 5" xfId="9505"/>
    <cellStyle name="계산 2 17 5 10" xfId="34604"/>
    <cellStyle name="计算 2 17 5 10" xfId="29123"/>
    <cellStyle name="계산 2 17 5 11" xfId="18116"/>
    <cellStyle name="计算 2 17 5 11" xfId="38512"/>
    <cellStyle name="계산 2 17 5 12" xfId="44546"/>
    <cellStyle name="计算 2 17 5 12" xfId="45516"/>
    <cellStyle name="계산 2 17 5 2" xfId="13141"/>
    <cellStyle name="计算 2 17 5 2" xfId="13142"/>
    <cellStyle name="계산 2 17 5 2 2" xfId="26369"/>
    <cellStyle name="计算 2 17 5 2 2" xfId="26370"/>
    <cellStyle name="계산 2 17 5 2 3" xfId="32621"/>
    <cellStyle name="计算 2 17 5 2 3" xfId="32622"/>
    <cellStyle name="계산 2 17 5 2 4" xfId="38841"/>
    <cellStyle name="计算 2 17 5 2 4" xfId="38842"/>
    <cellStyle name="계산 2 17 5 2 5" xfId="44104"/>
    <cellStyle name="计算 2 17 5 2 5" xfId="44105"/>
    <cellStyle name="계산 2 17 5 2 6" xfId="44117"/>
    <cellStyle name="计算 2 17 5 2 6" xfId="47413"/>
    <cellStyle name="계산 2 17 5 3" xfId="7494"/>
    <cellStyle name="计算 2 17 5 3" xfId="7495"/>
    <cellStyle name="계산 2 17 5 3 2" xfId="20722"/>
    <cellStyle name="计算 2 17 5 3 2" xfId="20723"/>
    <cellStyle name="계산 2 17 5 3 3" xfId="35117"/>
    <cellStyle name="计算 2 17 5 3 3" xfId="35118"/>
    <cellStyle name="계산 2 17 5 3 4" xfId="41101"/>
    <cellStyle name="计算 2 17 5 3 4" xfId="41102"/>
    <cellStyle name="계산 2 17 5 3 5" xfId="45907"/>
    <cellStyle name="计算 2 17 5 3 5" xfId="45908"/>
    <cellStyle name="계산 2 17 5 3 6" xfId="47820"/>
    <cellStyle name="计算 2 17 5 3 6" xfId="47821"/>
    <cellStyle name="계산 2 17 5 4" xfId="14234"/>
    <cellStyle name="计算 2 17 5 4" xfId="13483"/>
    <cellStyle name="계산 2 17 5 4 2" xfId="27462"/>
    <cellStyle name="计算 2 17 5 4 2" xfId="26711"/>
    <cellStyle name="계산 2 17 5 4 3" xfId="30954"/>
    <cellStyle name="计算 2 17 5 4 3" xfId="31830"/>
    <cellStyle name="계산 2 17 5 4 4" xfId="17016"/>
    <cellStyle name="计算 2 17 5 4 4" xfId="38051"/>
    <cellStyle name="계산 2 17 5 4 5" xfId="15683"/>
    <cellStyle name="计算 2 17 5 4 5" xfId="15543"/>
    <cellStyle name="계산 2 17 5 4 6" xfId="17638"/>
    <cellStyle name="计算 2 17 5 4 6" xfId="17928"/>
    <cellStyle name="계산 2 17 5 5" xfId="12930"/>
    <cellStyle name="计算 2 17 5 5" xfId="12859"/>
    <cellStyle name="계산 2 17 5 5 2" xfId="26158"/>
    <cellStyle name="计算 2 17 5 5 2" xfId="26087"/>
    <cellStyle name="계산 2 17 5 5 3" xfId="40974"/>
    <cellStyle name="计算 2 17 5 5 3" xfId="42409"/>
    <cellStyle name="계산 2 17 5 5 4" xfId="47670"/>
    <cellStyle name="计算 2 17 5 5 4" xfId="49243"/>
    <cellStyle name="계산 2 17 5 6" xfId="22732"/>
    <cellStyle name="计算 2 17 5 6" xfId="22733"/>
    <cellStyle name="계산 2 17 5 6 2" xfId="32361"/>
    <cellStyle name="计算 2 17 5 6 2" xfId="37450"/>
    <cellStyle name="계산 2 17 5 6 3" xfId="38579"/>
    <cellStyle name="计算 2 17 5 6 3" xfId="43370"/>
    <cellStyle name="계산 2 17 5 6 4" xfId="43924"/>
    <cellStyle name="计算 2 17 5 6 4" xfId="47376"/>
    <cellStyle name="계산 2 17 5 6 5" xfId="47244"/>
    <cellStyle name="计算 2 17 5 6 5" xfId="50204"/>
    <cellStyle name="계산 2 17 5 7" xfId="31626"/>
    <cellStyle name="计算 2 17 5 7" xfId="37495"/>
    <cellStyle name="계산 2 17 5 7 2" xfId="17340"/>
    <cellStyle name="计算 2 17 5 7 2" xfId="43415"/>
    <cellStyle name="계산 2 17 5 7 3" xfId="46933"/>
    <cellStyle name="计算 2 17 5 7 3" xfId="50249"/>
    <cellStyle name="계산 2 17 5 8" xfId="30648"/>
    <cellStyle name="计算 2 17 5 8" xfId="37672"/>
    <cellStyle name="계산 2 17 5 8 2" xfId="16877"/>
    <cellStyle name="计算 2 17 5 8 2" xfId="43595"/>
    <cellStyle name="계산 2 17 5 8 3" xfId="34321"/>
    <cellStyle name="计算 2 17 5 8 3" xfId="50429"/>
    <cellStyle name="계산 2 17 5 9" xfId="28310"/>
    <cellStyle name="计算 2 17 5 9" xfId="28311"/>
    <cellStyle name="계산 2 17 6" xfId="11732"/>
    <cellStyle name="计算 2 17 6" xfId="11733"/>
    <cellStyle name="계산 2 17 6 10" xfId="45230"/>
    <cellStyle name="计算 2 17 6 10" xfId="45231"/>
    <cellStyle name="계산 2 17 6 11" xfId="28207"/>
    <cellStyle name="计算 2 17 6 11" xfId="40344"/>
    <cellStyle name="계산 2 17 6 2" xfId="8393"/>
    <cellStyle name="计算 2 17 6 2" xfId="12766"/>
    <cellStyle name="계산 2 17 6 2 2" xfId="21621"/>
    <cellStyle name="计算 2 17 6 2 2" xfId="25994"/>
    <cellStyle name="계산 2 17 6 2 3" xfId="36601"/>
    <cellStyle name="计算 2 17 6 2 3" xfId="36602"/>
    <cellStyle name="계산 2 17 6 2 4" xfId="42503"/>
    <cellStyle name="计算 2 17 6 2 4" xfId="42504"/>
    <cellStyle name="계산 2 17 6 2 5" xfId="46833"/>
    <cellStyle name="计算 2 17 6 2 5" xfId="46834"/>
    <cellStyle name="계산 2 17 6 2 6" xfId="49337"/>
    <cellStyle name="计算 2 17 6 2 6" xfId="49338"/>
    <cellStyle name="계산 2 17 6 3" xfId="14429"/>
    <cellStyle name="计算 2 17 6 3" xfId="14430"/>
    <cellStyle name="계산 2 17 6 3 2" xfId="27657"/>
    <cellStyle name="计算 2 17 6 3 2" xfId="27658"/>
    <cellStyle name="계산 2 17 6 3 3" xfId="37089"/>
    <cellStyle name="计算 2 17 6 3 3" xfId="37090"/>
    <cellStyle name="계산 2 17 6 3 4" xfId="43008"/>
    <cellStyle name="计算 2 17 6 3 4" xfId="43009"/>
    <cellStyle name="계산 2 17 6 3 5" xfId="47152"/>
    <cellStyle name="计算 2 17 6 3 5" xfId="47153"/>
    <cellStyle name="계산 2 17 6 3 6" xfId="49842"/>
    <cellStyle name="计算 2 17 6 3 6" xfId="49843"/>
    <cellStyle name="계산 2 17 6 4" xfId="14055"/>
    <cellStyle name="计算 2 17 6 4" xfId="13055"/>
    <cellStyle name="계산 2 17 6 4 2" xfId="27283"/>
    <cellStyle name="计算 2 17 6 4 2" xfId="26283"/>
    <cellStyle name="계산 2 17 6 4 3" xfId="32098"/>
    <cellStyle name="计算 2 17 6 4 3" xfId="35550"/>
    <cellStyle name="계산 2 17 6 4 4" xfId="38321"/>
    <cellStyle name="计算 2 17 6 4 4" xfId="41425"/>
    <cellStyle name="계산 2 17 6 4 5" xfId="33023"/>
    <cellStyle name="计算 2 17 6 4 5" xfId="46237"/>
    <cellStyle name="계산 2 17 6 4 6" xfId="16502"/>
    <cellStyle name="计算 2 17 6 4 6" xfId="48259"/>
    <cellStyle name="계산 2 17 6 5" xfId="24960"/>
    <cellStyle name="计算 2 17 6 5" xfId="24961"/>
    <cellStyle name="계산 2 17 6 5 2" xfId="35825"/>
    <cellStyle name="计算 2 17 6 5 2" xfId="34749"/>
    <cellStyle name="계산 2 17 6 5 3" xfId="41712"/>
    <cellStyle name="计算 2 17 6 5 3" xfId="40741"/>
    <cellStyle name="계산 2 17 6 5 4" xfId="46369"/>
    <cellStyle name="计算 2 17 6 5 4" xfId="45646"/>
    <cellStyle name="계산 2 17 6 5 5" xfId="48546"/>
    <cellStyle name="计算 2 17 6 5 5" xfId="34093"/>
    <cellStyle name="계산 2 17 6 6" xfId="31740"/>
    <cellStyle name="计算 2 17 6 6" xfId="37311"/>
    <cellStyle name="계산 2 17 6 6 2" xfId="37961"/>
    <cellStyle name="计算 2 17 6 6 2" xfId="43231"/>
    <cellStyle name="계산 2 17 6 6 3" xfId="38421"/>
    <cellStyle name="计算 2 17 6 6 3" xfId="50065"/>
    <cellStyle name="계산 2 17 6 7" xfId="37875"/>
    <cellStyle name="计算 2 17 6 7" xfId="37876"/>
    <cellStyle name="계산 2 17 6 7 2" xfId="43800"/>
    <cellStyle name="计算 2 17 6 7 2" xfId="43801"/>
    <cellStyle name="계산 2 17 6 7 3" xfId="50634"/>
    <cellStyle name="计算 2 17 6 7 3" xfId="50635"/>
    <cellStyle name="계산 2 17 6 8" xfId="34196"/>
    <cellStyle name="计算 2 17 6 8" xfId="34197"/>
    <cellStyle name="계산 2 17 6 9" xfId="40221"/>
    <cellStyle name="计算 2 17 6 9" xfId="40222"/>
    <cellStyle name="계산 2 17 7" xfId="7786"/>
    <cellStyle name="计算 2 17 7" xfId="7787"/>
    <cellStyle name="계산 2 17 7 2" xfId="21014"/>
    <cellStyle name="计算 2 17 7 2" xfId="21015"/>
    <cellStyle name="계산 2 17 7 3" xfId="30890"/>
    <cellStyle name="计算 2 17 7 3" xfId="30891"/>
    <cellStyle name="계산 2 17 7 4" xfId="17738"/>
    <cellStyle name="计算 2 17 7 4" xfId="16936"/>
    <cellStyle name="계산 2 17 7 5" xfId="15311"/>
    <cellStyle name="计算 2 17 7 5" xfId="31427"/>
    <cellStyle name="계산 2 17 7 6" xfId="34558"/>
    <cellStyle name="计算 2 17 7 6" xfId="29024"/>
    <cellStyle name="계산 2 17 8" xfId="7422"/>
    <cellStyle name="计算 2 17 8" xfId="7421"/>
    <cellStyle name="계산 2 17 8 2" xfId="20650"/>
    <cellStyle name="计算 2 17 8 2" xfId="20649"/>
    <cellStyle name="계산 2 17 8 3" xfId="36510"/>
    <cellStyle name="计算 2 17 8 3" xfId="34969"/>
    <cellStyle name="계산 2 17 8 4" xfId="42403"/>
    <cellStyle name="计算 2 17 8 4" xfId="40967"/>
    <cellStyle name="계산 2 17 8 5" xfId="46772"/>
    <cellStyle name="计算 2 17 8 5" xfId="45795"/>
    <cellStyle name="계산 2 17 8 6" xfId="49237"/>
    <cellStyle name="计算 2 17 8 6" xfId="47663"/>
    <cellStyle name="계산 2 17 9" xfId="13062"/>
    <cellStyle name="计算 2 17 9" xfId="14204"/>
    <cellStyle name="계산 2 17 9 2" xfId="26290"/>
    <cellStyle name="计算 2 17 9 2" xfId="27432"/>
    <cellStyle name="계산 2 17 9 3" xfId="36993"/>
    <cellStyle name="计算 2 17 9 3" xfId="32146"/>
    <cellStyle name="계산 2 17 9 4" xfId="42912"/>
    <cellStyle name="计算 2 17 9 4" xfId="38371"/>
    <cellStyle name="계산 2 17 9 5" xfId="47089"/>
    <cellStyle name="计算 2 17 9 5" xfId="32248"/>
    <cellStyle name="계산 2 17 9 6" xfId="49746"/>
    <cellStyle name="计算 2 17 9 6" xfId="39584"/>
    <cellStyle name="계산 2 18" xfId="2628"/>
    <cellStyle name="计算 2 18" xfId="2629"/>
    <cellStyle name="계산 2 18 10" xfId="8449"/>
    <cellStyle name="计算 2 18 10" xfId="7722"/>
    <cellStyle name="계산 2 18 10 2" xfId="21677"/>
    <cellStyle name="计算 2 18 10 2" xfId="20950"/>
    <cellStyle name="계산 2 18 10 3" xfId="32099"/>
    <cellStyle name="计算 2 18 10 3" xfId="34818"/>
    <cellStyle name="계산 2 18 10 4" xfId="38322"/>
    <cellStyle name="计算 2 18 10 4" xfId="40814"/>
    <cellStyle name="계산 2 18 10 5" xfId="18071"/>
    <cellStyle name="计算 2 18 10 5" xfId="45687"/>
    <cellStyle name="계산 2 18 10 6" xfId="34352"/>
    <cellStyle name="计算 2 18 10 6" xfId="34392"/>
    <cellStyle name="계산 2 18 11" xfId="14490"/>
    <cellStyle name="计算 2 18 11" xfId="7303"/>
    <cellStyle name="계산 2 18 11 2" xfId="27718"/>
    <cellStyle name="计算 2 18 11 2" xfId="20531"/>
    <cellStyle name="계산 2 18 11 3" xfId="34699"/>
    <cellStyle name="计算 2 18 11 3" xfId="30236"/>
    <cellStyle name="계산 2 18 11 4" xfId="40689"/>
    <cellStyle name="计算 2 18 11 4" xfId="16686"/>
    <cellStyle name="계산 2 18 11 5" xfId="45615"/>
    <cellStyle name="计算 2 18 11 5" xfId="34562"/>
    <cellStyle name="계산 2 18 11 6" xfId="32988"/>
    <cellStyle name="计算 2 18 11 6" xfId="34540"/>
    <cellStyle name="계산 2 18 12" xfId="16387"/>
    <cellStyle name="计算 2 18 12" xfId="16388"/>
    <cellStyle name="계산 2 18 12 2" xfId="43734"/>
    <cellStyle name="计算 2 18 12 2" xfId="16945"/>
    <cellStyle name="계산 2 18 12 3" xfId="50568"/>
    <cellStyle name="计算 2 18 12 3" xfId="39356"/>
    <cellStyle name="계산 2 18 13" xfId="15979"/>
    <cellStyle name="计算 2 18 13" xfId="15978"/>
    <cellStyle name="계산 2 18 14" xfId="33208"/>
    <cellStyle name="计算 2 18 14" xfId="34471"/>
    <cellStyle name="계산 2 18 15" xfId="40528"/>
    <cellStyle name="计算 2 18 15" xfId="15914"/>
    <cellStyle name="계산 2 18 16" xfId="38758"/>
    <cellStyle name="计算 2 18 16" xfId="40176"/>
    <cellStyle name="계산 2 18 17" xfId="50951"/>
    <cellStyle name="计算 2 18 17" xfId="50952"/>
    <cellStyle name="계산 2 18 18" xfId="50830"/>
    <cellStyle name="计算 2 18 18" xfId="50829"/>
    <cellStyle name="계산 2 18 2" xfId="6271"/>
    <cellStyle name="计算 2 18 2" xfId="6272"/>
    <cellStyle name="계산 2 18 2 10" xfId="16019"/>
    <cellStyle name="计算 2 18 2 10" xfId="16020"/>
    <cellStyle name="계산 2 18 2 11" xfId="34525"/>
    <cellStyle name="计算 2 18 2 11" xfId="39877"/>
    <cellStyle name="계산 2 18 2 12" xfId="45395"/>
    <cellStyle name="计算 2 18 2 12" xfId="15818"/>
    <cellStyle name="계산 2 18 2 2" xfId="11005"/>
    <cellStyle name="计算 2 18 2 2" xfId="11006"/>
    <cellStyle name="계산 2 18 2 2 2" xfId="24233"/>
    <cellStyle name="计算 2 18 2 2 2" xfId="24234"/>
    <cellStyle name="계산 2 18 2 2 3" xfId="33635"/>
    <cellStyle name="计算 2 18 2 2 3" xfId="33636"/>
    <cellStyle name="계산 2 18 2 2 4" xfId="39793"/>
    <cellStyle name="计算 2 18 2 2 4" xfId="39794"/>
    <cellStyle name="계산 2 18 2 2 5" xfId="44769"/>
    <cellStyle name="计算 2 18 2 2 5" xfId="44770"/>
    <cellStyle name="계산 2 18 2 2 6" xfId="34319"/>
    <cellStyle name="计算 2 18 2 2 6" xfId="32267"/>
    <cellStyle name="계산 2 18 2 3" xfId="13857"/>
    <cellStyle name="计算 2 18 2 3" xfId="13858"/>
    <cellStyle name="계산 2 18 2 3 2" xfId="27085"/>
    <cellStyle name="计算 2 18 2 3 2" xfId="27086"/>
    <cellStyle name="계산 2 18 2 3 3" xfId="36061"/>
    <cellStyle name="计算 2 18 2 3 3" xfId="36062"/>
    <cellStyle name="계산 2 18 2 3 4" xfId="41954"/>
    <cellStyle name="计算 2 18 2 3 4" xfId="41955"/>
    <cellStyle name="계산 2 18 2 3 5" xfId="46532"/>
    <cellStyle name="计算 2 18 2 3 5" xfId="46533"/>
    <cellStyle name="계산 2 18 2 3 6" xfId="48788"/>
    <cellStyle name="计算 2 18 2 3 6" xfId="48789"/>
    <cellStyle name="계산 2 18 2 4" xfId="12777"/>
    <cellStyle name="计算 2 18 2 4" xfId="6958"/>
    <cellStyle name="계산 2 18 2 4 2" xfId="26005"/>
    <cellStyle name="计算 2 18 2 4 2" xfId="20186"/>
    <cellStyle name="계산 2 18 2 4 3" xfId="31481"/>
    <cellStyle name="计算 2 18 2 4 3" xfId="31482"/>
    <cellStyle name="계산 2 18 2 4 4" xfId="14736"/>
    <cellStyle name="计算 2 18 2 4 4" xfId="17860"/>
    <cellStyle name="계산 2 18 2 4 5" xfId="33126"/>
    <cellStyle name="计算 2 18 2 4 5" xfId="28116"/>
    <cellStyle name="계산 2 18 2 4 6" xfId="46247"/>
    <cellStyle name="计算 2 18 2 4 6" xfId="40531"/>
    <cellStyle name="계산 2 18 2 5" xfId="13647"/>
    <cellStyle name="计算 2 18 2 5" xfId="8544"/>
    <cellStyle name="계산 2 18 2 5 2" xfId="26875"/>
    <cellStyle name="计算 2 18 2 5 2" xfId="21772"/>
    <cellStyle name="계산 2 18 2 5 3" xfId="30163"/>
    <cellStyle name="计算 2 18 2 5 3" xfId="34884"/>
    <cellStyle name="계산 2 18 2 5 4" xfId="14635"/>
    <cellStyle name="计算 2 18 2 5 4" xfId="40882"/>
    <cellStyle name="계산 2 18 2 5 5" xfId="34297"/>
    <cellStyle name="计算 2 18 2 5 5" xfId="45728"/>
    <cellStyle name="계산 2 18 2 5 6" xfId="45169"/>
    <cellStyle name="计算 2 18 2 5 6" xfId="38754"/>
    <cellStyle name="계산 2 18 2 6" xfId="13475"/>
    <cellStyle name="计算 2 18 2 6" xfId="13561"/>
    <cellStyle name="계산 2 18 2 6 2" xfId="26703"/>
    <cellStyle name="计算 2 18 2 6 2" xfId="26789"/>
    <cellStyle name="계산 2 18 2 6 3" xfId="30774"/>
    <cellStyle name="计算 2 18 2 6 3" xfId="37240"/>
    <cellStyle name="계산 2 18 2 6 4" xfId="15220"/>
    <cellStyle name="计算 2 18 2 6 4" xfId="43160"/>
    <cellStyle name="계산 2 18 2 6 5" xfId="28249"/>
    <cellStyle name="计算 2 18 2 6 5" xfId="47257"/>
    <cellStyle name="계산 2 18 2 6 6" xfId="15429"/>
    <cellStyle name="计算 2 18 2 6 6" xfId="49994"/>
    <cellStyle name="계산 2 18 2 7" xfId="19499"/>
    <cellStyle name="计算 2 18 2 7" xfId="19500"/>
    <cellStyle name="계산 2 18 2 7 2" xfId="29979"/>
    <cellStyle name="计算 2 18 2 7 2" xfId="37189"/>
    <cellStyle name="계산 2 18 2 7 3" xfId="16491"/>
    <cellStyle name="计算 2 18 2 7 3" xfId="43108"/>
    <cellStyle name="계산 2 18 2 7 4" xfId="33147"/>
    <cellStyle name="计算 2 18 2 7 4" xfId="47228"/>
    <cellStyle name="계산 2 18 2 7 5" xfId="45274"/>
    <cellStyle name="计算 2 18 2 7 5" xfId="49942"/>
    <cellStyle name="계산 2 18 2 8" xfId="30277"/>
    <cellStyle name="计算 2 18 2 8" xfId="30239"/>
    <cellStyle name="계산 2 18 2 8 2" xfId="16715"/>
    <cellStyle name="计算 2 18 2 8 2" xfId="16689"/>
    <cellStyle name="계산 2 18 2 8 3" xfId="45115"/>
    <cellStyle name="计算 2 18 2 8 3" xfId="30212"/>
    <cellStyle name="계산 2 18 2 9" xfId="29323"/>
    <cellStyle name="计算 2 18 2 9" xfId="29324"/>
    <cellStyle name="계산 2 18 3" xfId="6232"/>
    <cellStyle name="计算 2 18 3" xfId="6231"/>
    <cellStyle name="계산 2 18 3 10" xfId="14564"/>
    <cellStyle name="计算 2 18 3 10" xfId="14563"/>
    <cellStyle name="계산 2 18 3 11" xfId="28876"/>
    <cellStyle name="计算 2 18 3 11" xfId="40049"/>
    <cellStyle name="계산 2 18 3 12" xfId="28892"/>
    <cellStyle name="计算 2 18 3 12" xfId="15814"/>
    <cellStyle name="계산 2 18 3 2" xfId="10966"/>
    <cellStyle name="计算 2 18 3 2" xfId="10965"/>
    <cellStyle name="계산 2 18 3 2 2" xfId="24194"/>
    <cellStyle name="计算 2 18 3 2 2" xfId="24193"/>
    <cellStyle name="계산 2 18 3 2 3" xfId="33596"/>
    <cellStyle name="计算 2 18 3 2 3" xfId="33595"/>
    <cellStyle name="계산 2 18 3 2 4" xfId="39758"/>
    <cellStyle name="计算 2 18 3 2 4" xfId="39757"/>
    <cellStyle name="계산 2 18 3 2 5" xfId="44730"/>
    <cellStyle name="计算 2 18 3 2 5" xfId="44729"/>
    <cellStyle name="계산 2 18 3 2 6" xfId="17512"/>
    <cellStyle name="计算 2 18 3 2 6" xfId="17522"/>
    <cellStyle name="계산 2 18 3 3" xfId="13822"/>
    <cellStyle name="计算 2 18 3 3" xfId="13821"/>
    <cellStyle name="계산 2 18 3 3 2" xfId="27050"/>
    <cellStyle name="计算 2 18 3 3 2" xfId="27049"/>
    <cellStyle name="계산 2 18 3 3 3" xfId="36022"/>
    <cellStyle name="计算 2 18 3 3 3" xfId="36021"/>
    <cellStyle name="계산 2 18 3 3 4" xfId="41915"/>
    <cellStyle name="计算 2 18 3 3 4" xfId="41914"/>
    <cellStyle name="계산 2 18 3 3 5" xfId="46497"/>
    <cellStyle name="计算 2 18 3 3 5" xfId="46496"/>
    <cellStyle name="계산 2 18 3 3 6" xfId="48749"/>
    <cellStyle name="计算 2 18 3 3 6" xfId="48748"/>
    <cellStyle name="계산 2 18 3 4" xfId="6937"/>
    <cellStyle name="计算 2 18 3 4" xfId="12732"/>
    <cellStyle name="계산 2 18 3 4 2" xfId="20165"/>
    <cellStyle name="计算 2 18 3 4 2" xfId="25960"/>
    <cellStyle name="계산 2 18 3 4 3" xfId="31450"/>
    <cellStyle name="计算 2 18 3 4 3" xfId="31449"/>
    <cellStyle name="계산 2 18 3 4 4" xfId="17262"/>
    <cellStyle name="计算 2 18 3 4 4" xfId="15248"/>
    <cellStyle name="계산 2 18 3 4 5" xfId="33186"/>
    <cellStyle name="计算 2 18 3 4 5" xfId="33413"/>
    <cellStyle name="계산 2 18 3 4 6" xfId="45767"/>
    <cellStyle name="计算 2 18 3 4 6" xfId="17554"/>
    <cellStyle name="계산 2 18 3 5" xfId="13945"/>
    <cellStyle name="计算 2 18 3 5" xfId="6699"/>
    <cellStyle name="계산 2 18 3 5 2" xfId="27173"/>
    <cellStyle name="计算 2 18 3 5 2" xfId="19927"/>
    <cellStyle name="계산 2 18 3 5 3" xfId="36923"/>
    <cellStyle name="计算 2 18 3 5 3" xfId="30606"/>
    <cellStyle name="계산 2 18 3 5 4" xfId="42838"/>
    <cellStyle name="计算 2 18 3 5 4" xfId="27760"/>
    <cellStyle name="계산 2 18 3 5 5" xfId="47045"/>
    <cellStyle name="计算 2 18 3 5 5" xfId="30058"/>
    <cellStyle name="계산 2 18 3 5 6" xfId="49672"/>
    <cellStyle name="计算 2 18 3 5 6" xfId="33127"/>
    <cellStyle name="계산 2 18 3 6" xfId="7994"/>
    <cellStyle name="计算 2 18 3 6" xfId="14200"/>
    <cellStyle name="계산 2 18 3 6 2" xfId="21222"/>
    <cellStyle name="计算 2 18 3 6 2" xfId="27428"/>
    <cellStyle name="계산 2 18 3 6 3" xfId="30705"/>
    <cellStyle name="计算 2 18 3 6 3" xfId="35512"/>
    <cellStyle name="계산 2 18 3 6 4" xfId="14691"/>
    <cellStyle name="计算 2 18 3 6 4" xfId="41384"/>
    <cellStyle name="계산 2 18 3 6 5" xfId="33224"/>
    <cellStyle name="计算 2 18 3 6 5" xfId="46212"/>
    <cellStyle name="계산 2 18 3 6 6" xfId="46276"/>
    <cellStyle name="计算 2 18 3 6 6" xfId="48218"/>
    <cellStyle name="계산 2 18 3 7" xfId="19460"/>
    <cellStyle name="计算 2 18 3 7" xfId="19459"/>
    <cellStyle name="계산 2 18 3 7 2" xfId="29862"/>
    <cellStyle name="计算 2 18 3 7 2" xfId="37324"/>
    <cellStyle name="계산 2 18 3 7 3" xfId="17991"/>
    <cellStyle name="计算 2 18 3 7 3" xfId="43244"/>
    <cellStyle name="계산 2 18 3 7 4" xfId="29993"/>
    <cellStyle name="计算 2 18 3 7 4" xfId="47304"/>
    <cellStyle name="계산 2 18 3 7 5" xfId="32186"/>
    <cellStyle name="计算 2 18 3 7 5" xfId="50078"/>
    <cellStyle name="계산 2 18 3 8" xfId="37354"/>
    <cellStyle name="计算 2 18 3 8" xfId="34940"/>
    <cellStyle name="계산 2 18 3 8 2" xfId="43274"/>
    <cellStyle name="计算 2 18 3 8 2" xfId="40938"/>
    <cellStyle name="계산 2 18 3 8 3" xfId="50108"/>
    <cellStyle name="计算 2 18 3 8 3" xfId="47634"/>
    <cellStyle name="계산 2 18 3 9" xfId="29284"/>
    <cellStyle name="计算 2 18 3 9" xfId="29283"/>
    <cellStyle name="계산 2 18 4" xfId="6663"/>
    <cellStyle name="计算 2 18 4" xfId="6150"/>
    <cellStyle name="계산 2 18 4 10" xfId="37670"/>
    <cellStyle name="计算 2 18 4 10" xfId="15963"/>
    <cellStyle name="계산 2 18 4 11" xfId="17392"/>
    <cellStyle name="计算 2 18 4 11" xfId="40054"/>
    <cellStyle name="계산 2 18 4 12" xfId="45539"/>
    <cellStyle name="计算 2 18 4 12" xfId="34280"/>
    <cellStyle name="계산 2 18 4 2" xfId="11397"/>
    <cellStyle name="计算 2 18 4 2" xfId="10884"/>
    <cellStyle name="계산 2 18 4 2 2" xfId="24625"/>
    <cellStyle name="计算 2 18 4 2 2" xfId="24112"/>
    <cellStyle name="계산 2 18 4 2 3" xfId="34027"/>
    <cellStyle name="计算 2 18 4 2 3" xfId="33514"/>
    <cellStyle name="계산 2 18 4 2 4" xfId="40060"/>
    <cellStyle name="计算 2 18 4 2 4" xfId="39696"/>
    <cellStyle name="계산 2 18 4 2 5" xfId="45090"/>
    <cellStyle name="计算 2 18 4 2 5" xfId="44652"/>
    <cellStyle name="계산 2 18 4 2 6" xfId="32446"/>
    <cellStyle name="计算 2 18 4 2 6" xfId="15698"/>
    <cellStyle name="계산 2 18 4 3" xfId="14007"/>
    <cellStyle name="计算 2 18 4 3" xfId="13770"/>
    <cellStyle name="계산 2 18 4 3 2" xfId="27235"/>
    <cellStyle name="计算 2 18 4 3 2" xfId="26998"/>
    <cellStyle name="계산 2 18 4 3 3" xfId="36452"/>
    <cellStyle name="计算 2 18 4 3 3" xfId="35940"/>
    <cellStyle name="계산 2 18 4 3 4" xfId="42345"/>
    <cellStyle name="计算 2 18 4 3 4" xfId="41833"/>
    <cellStyle name="계산 2 18 4 3 5" xfId="46737"/>
    <cellStyle name="计算 2 18 4 3 5" xfId="46446"/>
    <cellStyle name="계산 2 18 4 3 6" xfId="49179"/>
    <cellStyle name="计算 2 18 4 3 6" xfId="48667"/>
    <cellStyle name="계산 2 18 4 4" xfId="9122"/>
    <cellStyle name="计算 2 18 4 4" xfId="6774"/>
    <cellStyle name="계산 2 18 4 4 2" xfId="22350"/>
    <cellStyle name="计算 2 18 4 4 2" xfId="20002"/>
    <cellStyle name="계산 2 18 4 4 3" xfId="31595"/>
    <cellStyle name="计算 2 18 4 4 3" xfId="32409"/>
    <cellStyle name="계산 2 18 4 4 4" xfId="17805"/>
    <cellStyle name="计算 2 18 4 4 4" xfId="38627"/>
    <cellStyle name="계산 2 18 4 4 5" xfId="17937"/>
    <cellStyle name="计算 2 18 4 4 5" xfId="43961"/>
    <cellStyle name="계산 2 18 4 4 6" xfId="46295"/>
    <cellStyle name="计算 2 18 4 4 6" xfId="46706"/>
    <cellStyle name="계산 2 18 4 5" xfId="14262"/>
    <cellStyle name="计算 2 18 4 5" xfId="13927"/>
    <cellStyle name="계산 2 18 4 5 2" xfId="27490"/>
    <cellStyle name="计算 2 18 4 5 2" xfId="27155"/>
    <cellStyle name="계산 2 18 4 5 3" xfId="31992"/>
    <cellStyle name="计算 2 18 4 5 3" xfId="30573"/>
    <cellStyle name="계산 2 18 4 5 4" xfId="38215"/>
    <cellStyle name="计算 2 18 4 5 4" xfId="17831"/>
    <cellStyle name="계산 2 18 4 5 5" xfId="18075"/>
    <cellStyle name="计算 2 18 4 5 5" xfId="33352"/>
    <cellStyle name="계산 2 18 4 5 6" xfId="47398"/>
    <cellStyle name="计算 2 18 4 5 6" xfId="18082"/>
    <cellStyle name="계산 2 18 4 6" xfId="14056"/>
    <cellStyle name="计算 2 18 4 6" xfId="7739"/>
    <cellStyle name="계산 2 18 4 6 2" xfId="27284"/>
    <cellStyle name="计算 2 18 4 6 2" xfId="20967"/>
    <cellStyle name="계산 2 18 4 6 3" xfId="36761"/>
    <cellStyle name="计算 2 18 4 6 3" xfId="34729"/>
    <cellStyle name="계산 2 18 4 6 4" xfId="42668"/>
    <cellStyle name="计算 2 18 4 6 4" xfId="40719"/>
    <cellStyle name="계산 2 18 4 6 5" xfId="46950"/>
    <cellStyle name="计算 2 18 4 6 5" xfId="45634"/>
    <cellStyle name="계산 2 18 4 6 6" xfId="49502"/>
    <cellStyle name="计算 2 18 4 6 6" xfId="17502"/>
    <cellStyle name="계산 2 18 4 7" xfId="19891"/>
    <cellStyle name="计算 2 18 4 7" xfId="19378"/>
    <cellStyle name="계산 2 18 4 7 2" xfId="35593"/>
    <cellStyle name="计算 2 18 4 7 2" xfId="36898"/>
    <cellStyle name="계산 2 18 4 7 3" xfId="41469"/>
    <cellStyle name="计算 2 18 4 7 3" xfId="42813"/>
    <cellStyle name="계산 2 18 4 7 4" xfId="46268"/>
    <cellStyle name="计算 2 18 4 7 4" xfId="47029"/>
    <cellStyle name="계산 2 18 4 7 5" xfId="48303"/>
    <cellStyle name="计算 2 18 4 7 5" xfId="49647"/>
    <cellStyle name="계산 2 18 4 8" xfId="30485"/>
    <cellStyle name="计算 2 18 4 8" xfId="30140"/>
    <cellStyle name="계산 2 18 4 8 2" xfId="18146"/>
    <cellStyle name="计算 2 18 4 8 2" xfId="16605"/>
    <cellStyle name="계산 2 18 4 8 3" xfId="34586"/>
    <cellStyle name="计算 2 18 4 8 3" xfId="14748"/>
    <cellStyle name="계산 2 18 4 9" xfId="29715"/>
    <cellStyle name="计算 2 18 4 9" xfId="29202"/>
    <cellStyle name="계산 2 18 5" xfId="9506"/>
    <cellStyle name="计算 2 18 5" xfId="9507"/>
    <cellStyle name="계산 2 18 5 10" xfId="27954"/>
    <cellStyle name="计算 2 18 5 10" xfId="30015"/>
    <cellStyle name="계산 2 18 5 11" xfId="40369"/>
    <cellStyle name="计算 2 18 5 11" xfId="39288"/>
    <cellStyle name="계산 2 18 5 12" xfId="28721"/>
    <cellStyle name="计算 2 18 5 12" xfId="39342"/>
    <cellStyle name="계산 2 18 5 2" xfId="13143"/>
    <cellStyle name="计算 2 18 5 2" xfId="13144"/>
    <cellStyle name="계산 2 18 5 2 2" xfId="26371"/>
    <cellStyle name="计算 2 18 5 2 2" xfId="26372"/>
    <cellStyle name="계산 2 18 5 2 3" xfId="32623"/>
    <cellStyle name="计算 2 18 5 2 3" xfId="32624"/>
    <cellStyle name="계산 2 18 5 2 4" xfId="38843"/>
    <cellStyle name="计算 2 18 5 2 4" xfId="38844"/>
    <cellStyle name="계산 2 18 5 2 5" xfId="44106"/>
    <cellStyle name="计算 2 18 5 2 5" xfId="44107"/>
    <cellStyle name="계산 2 18 5 2 6" xfId="46758"/>
    <cellStyle name="计算 2 18 5 2 6" xfId="46543"/>
    <cellStyle name="계산 2 18 5 3" xfId="7496"/>
    <cellStyle name="计算 2 18 5 3" xfId="8740"/>
    <cellStyle name="계산 2 18 5 3 2" xfId="20724"/>
    <cellStyle name="计算 2 18 5 3 2" xfId="21968"/>
    <cellStyle name="계산 2 18 5 3 3" xfId="35119"/>
    <cellStyle name="计算 2 18 5 3 3" xfId="35120"/>
    <cellStyle name="계산 2 18 5 3 4" xfId="41103"/>
    <cellStyle name="计算 2 18 5 3 4" xfId="41104"/>
    <cellStyle name="계산 2 18 5 3 5" xfId="45909"/>
    <cellStyle name="计算 2 18 5 3 5" xfId="45910"/>
    <cellStyle name="계산 2 18 5 3 6" xfId="47822"/>
    <cellStyle name="计算 2 18 5 3 6" xfId="47823"/>
    <cellStyle name="계산 2 18 5 4" xfId="7327"/>
    <cellStyle name="计算 2 18 5 4" xfId="13482"/>
    <cellStyle name="계산 2 18 5 4 2" xfId="20555"/>
    <cellStyle name="计算 2 18 5 4 2" xfId="26710"/>
    <cellStyle name="계산 2 18 5 4 3" xfId="30990"/>
    <cellStyle name="计算 2 18 5 4 3" xfId="30957"/>
    <cellStyle name="계산 2 18 5 4 4" xfId="17036"/>
    <cellStyle name="计算 2 18 5 4 4" xfId="17989"/>
    <cellStyle name="계산 2 18 5 4 5" xfId="30135"/>
    <cellStyle name="计算 2 18 5 4 5" xfId="14520"/>
    <cellStyle name="계산 2 18 5 4 6" xfId="40608"/>
    <cellStyle name="计算 2 18 5 4 6" xfId="39595"/>
    <cellStyle name="계산 2 18 5 5" xfId="14315"/>
    <cellStyle name="计算 2 18 5 5" xfId="6835"/>
    <cellStyle name="계산 2 18 5 5 2" xfId="27543"/>
    <cellStyle name="计算 2 18 5 5 2" xfId="20063"/>
    <cellStyle name="계산 2 18 5 5 3" xfId="14775"/>
    <cellStyle name="计算 2 18 5 5 3" xfId="17364"/>
    <cellStyle name="계산 2 18 5 5 4" xfId="18632"/>
    <cellStyle name="计算 2 18 5 5 4" xfId="28699"/>
    <cellStyle name="계산 2 18 5 6" xfId="22734"/>
    <cellStyle name="计算 2 18 5 6" xfId="22735"/>
    <cellStyle name="계산 2 18 5 6 2" xfId="31667"/>
    <cellStyle name="计算 2 18 5 6 2" xfId="31201"/>
    <cellStyle name="계산 2 18 5 6 3" xfId="15146"/>
    <cellStyle name="计算 2 18 5 6 3" xfId="17112"/>
    <cellStyle name="계산 2 18 5 6 4" xfId="17930"/>
    <cellStyle name="计算 2 18 5 6 4" xfId="34140"/>
    <cellStyle name="계산 2 18 5 6 5" xfId="47275"/>
    <cellStyle name="计算 2 18 5 6 5" xfId="17461"/>
    <cellStyle name="계산 2 18 5 7" xfId="36578"/>
    <cellStyle name="计算 2 18 5 7" xfId="36954"/>
    <cellStyle name="계산 2 18 5 7 2" xfId="42480"/>
    <cellStyle name="计算 2 18 5 7 2" xfId="42872"/>
    <cellStyle name="계산 2 18 5 7 3" xfId="49314"/>
    <cellStyle name="计算 2 18 5 7 3" xfId="49706"/>
    <cellStyle name="계산 2 18 5 8" xfId="36673"/>
    <cellStyle name="计算 2 18 5 8" xfId="29786"/>
    <cellStyle name="계산 2 18 5 8 2" xfId="42576"/>
    <cellStyle name="计算 2 18 5 8 2" xfId="36514"/>
    <cellStyle name="계산 2 18 5 8 3" xfId="49410"/>
    <cellStyle name="计算 2 18 5 8 3" xfId="43995"/>
    <cellStyle name="계산 2 18 5 9" xfId="28312"/>
    <cellStyle name="计算 2 18 5 9" xfId="28313"/>
    <cellStyle name="계산 2 18 6" xfId="11734"/>
    <cellStyle name="计算 2 18 6" xfId="11735"/>
    <cellStyle name="계산 2 18 6 10" xfId="45232"/>
    <cellStyle name="计算 2 18 6 10" xfId="45233"/>
    <cellStyle name="계산 2 18 6 11" xfId="15463"/>
    <cellStyle name="计算 2 18 6 11" xfId="30037"/>
    <cellStyle name="계산 2 18 6 2" xfId="8394"/>
    <cellStyle name="计算 2 18 6 2" xfId="8395"/>
    <cellStyle name="계산 2 18 6 2 2" xfId="21622"/>
    <cellStyle name="计算 2 18 6 2 2" xfId="21623"/>
    <cellStyle name="계산 2 18 6 2 3" xfId="36603"/>
    <cellStyle name="计算 2 18 6 2 3" xfId="36604"/>
    <cellStyle name="계산 2 18 6 2 4" xfId="42505"/>
    <cellStyle name="计算 2 18 6 2 4" xfId="42506"/>
    <cellStyle name="계산 2 18 6 2 5" xfId="46835"/>
    <cellStyle name="计算 2 18 6 2 5" xfId="46836"/>
    <cellStyle name="계산 2 18 6 2 6" xfId="49339"/>
    <cellStyle name="计算 2 18 6 2 6" xfId="49340"/>
    <cellStyle name="계산 2 18 6 3" xfId="14431"/>
    <cellStyle name="计算 2 18 6 3" xfId="14432"/>
    <cellStyle name="계산 2 18 6 3 2" xfId="27659"/>
    <cellStyle name="计算 2 18 6 3 2" xfId="27660"/>
    <cellStyle name="계산 2 18 6 3 3" xfId="37091"/>
    <cellStyle name="计算 2 18 6 3 3" xfId="37092"/>
    <cellStyle name="계산 2 18 6 3 4" xfId="43010"/>
    <cellStyle name="计算 2 18 6 3 4" xfId="43011"/>
    <cellStyle name="계산 2 18 6 3 5" xfId="47154"/>
    <cellStyle name="计算 2 18 6 3 5" xfId="47155"/>
    <cellStyle name="계산 2 18 6 3 6" xfId="49844"/>
    <cellStyle name="计算 2 18 6 3 6" xfId="49845"/>
    <cellStyle name="계산 2 18 6 4" xfId="13701"/>
    <cellStyle name="计算 2 18 6 4" xfId="14196"/>
    <cellStyle name="계산 2 18 6 4 2" xfId="26929"/>
    <cellStyle name="计算 2 18 6 4 2" xfId="27424"/>
    <cellStyle name="계산 2 18 6 4 3" xfId="30596"/>
    <cellStyle name="计算 2 18 6 4 3" xfId="36961"/>
    <cellStyle name="계산 2 18 6 4 4" xfId="14681"/>
    <cellStyle name="计算 2 18 6 4 4" xfId="42879"/>
    <cellStyle name="계산 2 18 6 4 5" xfId="28703"/>
    <cellStyle name="计算 2 18 6 4 5" xfId="47064"/>
    <cellStyle name="계산 2 18 6 4 6" xfId="46647"/>
    <cellStyle name="计算 2 18 6 4 6" xfId="49713"/>
    <cellStyle name="계산 2 18 6 5" xfId="24962"/>
    <cellStyle name="计算 2 18 6 5" xfId="24963"/>
    <cellStyle name="계산 2 18 6 5 2" xfId="37381"/>
    <cellStyle name="计算 2 18 6 5 2" xfId="31722"/>
    <cellStyle name="계산 2 18 6 5 3" xfId="43301"/>
    <cellStyle name="计算 2 18 6 5 3" xfId="37943"/>
    <cellStyle name="계산 2 18 6 5 4" xfId="47334"/>
    <cellStyle name="计算 2 18 6 5 4" xfId="30189"/>
    <cellStyle name="계산 2 18 6 5 5" xfId="50135"/>
    <cellStyle name="计算 2 18 6 5 5" xfId="46202"/>
    <cellStyle name="계산 2 18 6 6" xfId="34657"/>
    <cellStyle name="计算 2 18 6 6" xfId="36694"/>
    <cellStyle name="계산 2 18 6 6 2" xfId="40646"/>
    <cellStyle name="计算 2 18 6 6 2" xfId="42597"/>
    <cellStyle name="계산 2 18 6 6 3" xfId="17470"/>
    <cellStyle name="计算 2 18 6 6 3" xfId="49431"/>
    <cellStyle name="계산 2 18 6 7" xfId="37877"/>
    <cellStyle name="计算 2 18 6 7" xfId="37878"/>
    <cellStyle name="계산 2 18 6 7 2" xfId="43802"/>
    <cellStyle name="计算 2 18 6 7 2" xfId="43803"/>
    <cellStyle name="계산 2 18 6 7 3" xfId="50636"/>
    <cellStyle name="计算 2 18 6 7 3" xfId="50637"/>
    <cellStyle name="계산 2 18 6 8" xfId="34198"/>
    <cellStyle name="计算 2 18 6 8" xfId="34199"/>
    <cellStyle name="계산 2 18 6 9" xfId="40223"/>
    <cellStyle name="计算 2 18 6 9" xfId="40224"/>
    <cellStyle name="계산 2 18 7" xfId="7788"/>
    <cellStyle name="计算 2 18 7" xfId="7789"/>
    <cellStyle name="계산 2 18 7 2" xfId="21016"/>
    <cellStyle name="计算 2 18 7 2" xfId="21017"/>
    <cellStyle name="계산 2 18 7 3" xfId="30892"/>
    <cellStyle name="计算 2 18 7 3" xfId="30893"/>
    <cellStyle name="계산 2 18 7 4" xfId="16974"/>
    <cellStyle name="计算 2 18 7 4" xfId="17739"/>
    <cellStyle name="계산 2 18 7 5" xfId="15701"/>
    <cellStyle name="计算 2 18 7 5" xfId="17887"/>
    <cellStyle name="계산 2 18 7 6" xfId="15930"/>
    <cellStyle name="计算 2 18 7 6" xfId="40563"/>
    <cellStyle name="계산 2 18 8" xfId="7420"/>
    <cellStyle name="计算 2 18 8" xfId="7419"/>
    <cellStyle name="계산 2 18 8 2" xfId="20648"/>
    <cellStyle name="计算 2 18 8 2" xfId="20647"/>
    <cellStyle name="계산 2 18 8 3" xfId="36779"/>
    <cellStyle name="计算 2 18 8 3" xfId="35618"/>
    <cellStyle name="계산 2 18 8 4" xfId="42686"/>
    <cellStyle name="计算 2 18 8 4" xfId="41495"/>
    <cellStyle name="계산 2 18 8 5" xfId="46963"/>
    <cellStyle name="计算 2 18 8 5" xfId="46288"/>
    <cellStyle name="계산 2 18 8 6" xfId="49520"/>
    <cellStyle name="计算 2 18 8 6" xfId="48329"/>
    <cellStyle name="계산 2 18 9" xfId="13598"/>
    <cellStyle name="计算 2 18 9" xfId="14143"/>
    <cellStyle name="계산 2 18 9 2" xfId="26826"/>
    <cellStyle name="计算 2 18 9 2" xfId="27371"/>
    <cellStyle name="계산 2 18 9 3" xfId="37277"/>
    <cellStyle name="计算 2 18 9 3" xfId="34666"/>
    <cellStyle name="계산 2 18 9 4" xfId="43197"/>
    <cellStyle name="计算 2 18 9 4" xfId="40655"/>
    <cellStyle name="계산 2 18 9 5" xfId="47279"/>
    <cellStyle name="计算 2 18 9 5" xfId="45597"/>
    <cellStyle name="계산 2 18 9 6" xfId="50031"/>
    <cellStyle name="计算 2 18 9 6" xfId="17472"/>
    <cellStyle name="계산 2 19" xfId="2630"/>
    <cellStyle name="计算 2 19" xfId="2631"/>
    <cellStyle name="계산 2 19 10" xfId="14358"/>
    <cellStyle name="计算 2 19 10" xfId="12979"/>
    <cellStyle name="계산 2 19 10 2" xfId="27586"/>
    <cellStyle name="计算 2 19 10 2" xfId="26207"/>
    <cellStyle name="계산 2 19 10 3" xfId="37611"/>
    <cellStyle name="计算 2 19 10 3" xfId="36800"/>
    <cellStyle name="계산 2 19 10 4" xfId="43534"/>
    <cellStyle name="计算 2 19 10 4" xfId="42711"/>
    <cellStyle name="계산 2 19 10 5" xfId="47457"/>
    <cellStyle name="计算 2 19 10 5" xfId="46976"/>
    <cellStyle name="계산 2 19 10 6" xfId="50368"/>
    <cellStyle name="计算 2 19 10 6" xfId="49545"/>
    <cellStyle name="계산 2 19 11" xfId="13549"/>
    <cellStyle name="计算 2 19 11" xfId="13492"/>
    <cellStyle name="계산 2 19 11 2" xfId="26777"/>
    <cellStyle name="计算 2 19 11 2" xfId="26720"/>
    <cellStyle name="계산 2 19 11 3" xfId="31728"/>
    <cellStyle name="计算 2 19 11 3" xfId="34810"/>
    <cellStyle name="계산 2 19 11 4" xfId="37949"/>
    <cellStyle name="计算 2 19 11 4" xfId="40806"/>
    <cellStyle name="계산 2 19 11 5" xfId="17976"/>
    <cellStyle name="计算 2 19 11 5" xfId="45680"/>
    <cellStyle name="계산 2 19 11 6" xfId="41172"/>
    <cellStyle name="计算 2 19 11 6" xfId="16480"/>
    <cellStyle name="계산 2 19 12" xfId="16389"/>
    <cellStyle name="计算 2 19 12" xfId="16390"/>
    <cellStyle name="계산 2 19 12 2" xfId="17775"/>
    <cellStyle name="计算 2 19 12 2" xfId="43752"/>
    <cellStyle name="계산 2 19 12 3" xfId="46615"/>
    <cellStyle name="计算 2 19 12 3" xfId="50586"/>
    <cellStyle name="계산 2 19 13" xfId="15977"/>
    <cellStyle name="计算 2 19 13" xfId="15976"/>
    <cellStyle name="계산 2 19 14" xfId="28908"/>
    <cellStyle name="计算 2 19 14" xfId="32233"/>
    <cellStyle name="계산 2 19 15" xfId="28816"/>
    <cellStyle name="计算 2 19 15" xfId="16543"/>
    <cellStyle name="계산 2 19 16" xfId="16525"/>
    <cellStyle name="计算 2 19 16" xfId="34584"/>
    <cellStyle name="계산 2 19 17" xfId="50953"/>
    <cellStyle name="计算 2 19 17" xfId="50954"/>
    <cellStyle name="계산 2 19 18" xfId="50828"/>
    <cellStyle name="计算 2 19 18" xfId="50827"/>
    <cellStyle name="계산 2 19 2" xfId="6273"/>
    <cellStyle name="计算 2 19 2" xfId="6274"/>
    <cellStyle name="계산 2 19 2 10" xfId="16021"/>
    <cellStyle name="计算 2 19 2 10" xfId="16022"/>
    <cellStyle name="계산 2 19 2 11" xfId="41191"/>
    <cellStyle name="计算 2 19 2 11" xfId="29048"/>
    <cellStyle name="계산 2 19 2 12" xfId="15456"/>
    <cellStyle name="计算 2 19 2 12" xfId="45328"/>
    <cellStyle name="계산 2 19 2 2" xfId="11007"/>
    <cellStyle name="计算 2 19 2 2" xfId="11008"/>
    <cellStyle name="계산 2 19 2 2 2" xfId="24235"/>
    <cellStyle name="计算 2 19 2 2 2" xfId="24236"/>
    <cellStyle name="계산 2 19 2 2 3" xfId="33637"/>
    <cellStyle name="计算 2 19 2 2 3" xfId="33638"/>
    <cellStyle name="계산 2 19 2 2 4" xfId="39795"/>
    <cellStyle name="计算 2 19 2 2 4" xfId="39796"/>
    <cellStyle name="계산 2 19 2 2 5" xfId="44771"/>
    <cellStyle name="计算 2 19 2 2 5" xfId="44772"/>
    <cellStyle name="계산 2 19 2 2 6" xfId="15398"/>
    <cellStyle name="计算 2 19 2 2 6" xfId="28739"/>
    <cellStyle name="계산 2 19 2 3" xfId="13859"/>
    <cellStyle name="计算 2 19 2 3" xfId="13860"/>
    <cellStyle name="계산 2 19 2 3 2" xfId="27087"/>
    <cellStyle name="计算 2 19 2 3 2" xfId="27088"/>
    <cellStyle name="계산 2 19 2 3 3" xfId="36063"/>
    <cellStyle name="计算 2 19 2 3 3" xfId="36064"/>
    <cellStyle name="계산 2 19 2 3 4" xfId="41956"/>
    <cellStyle name="计算 2 19 2 3 4" xfId="41957"/>
    <cellStyle name="계산 2 19 2 3 5" xfId="46534"/>
    <cellStyle name="计算 2 19 2 3 5" xfId="46535"/>
    <cellStyle name="계산 2 19 2 3 6" xfId="48790"/>
    <cellStyle name="计算 2 19 2 3 6" xfId="48791"/>
    <cellStyle name="계산 2 19 2 4" xfId="6959"/>
    <cellStyle name="计算 2 19 2 4" xfId="12721"/>
    <cellStyle name="계산 2 19 2 4 2" xfId="20187"/>
    <cellStyle name="计算 2 19 2 4 2" xfId="25949"/>
    <cellStyle name="계산 2 19 2 4 3" xfId="31483"/>
    <cellStyle name="计算 2 19 2 4 3" xfId="29919"/>
    <cellStyle name="계산 2 19 2 4 4" xfId="15131"/>
    <cellStyle name="计算 2 19 2 4 4" xfId="14613"/>
    <cellStyle name="계산 2 19 2 4 5" xfId="28117"/>
    <cellStyle name="计算 2 19 2 4 5" xfId="30049"/>
    <cellStyle name="계산 2 19 2 4 6" xfId="47364"/>
    <cellStyle name="计算 2 19 2 4 6" xfId="44318"/>
    <cellStyle name="계산 2 19 2 5" xfId="7248"/>
    <cellStyle name="计算 2 19 2 5" xfId="7249"/>
    <cellStyle name="계산 2 19 2 5 2" xfId="20476"/>
    <cellStyle name="计算 2 19 2 5 2" xfId="20477"/>
    <cellStyle name="계산 2 19 2 5 3" xfId="34883"/>
    <cellStyle name="计算 2 19 2 5 3" xfId="30162"/>
    <cellStyle name="계산 2 19 2 5 4" xfId="40881"/>
    <cellStyle name="计算 2 19 2 5 4" xfId="16622"/>
    <cellStyle name="계산 2 19 2 5 5" xfId="45727"/>
    <cellStyle name="计算 2 19 2 5 5" xfId="40009"/>
    <cellStyle name="계산 2 19 2 5 6" xfId="28829"/>
    <cellStyle name="计算 2 19 2 5 6" xfId="33444"/>
    <cellStyle name="계산 2 19 2 6" xfId="14228"/>
    <cellStyle name="计算 2 19 2 6" xfId="13660"/>
    <cellStyle name="계산 2 19 2 6 2" xfId="27456"/>
    <cellStyle name="计算 2 19 2 6 2" xfId="26888"/>
    <cellStyle name="계산 2 19 2 6 3" xfId="35546"/>
    <cellStyle name="计算 2 19 2 6 3" xfId="31874"/>
    <cellStyle name="계산 2 19 2 6 4" xfId="41421"/>
    <cellStyle name="计算 2 19 2 6 4" xfId="38095"/>
    <cellStyle name="계산 2 19 2 6 5" xfId="46234"/>
    <cellStyle name="计算 2 19 2 6 5" xfId="15534"/>
    <cellStyle name="계산 2 19 2 6 6" xfId="48255"/>
    <cellStyle name="计算 2 19 2 6 6" xfId="41066"/>
    <cellStyle name="계산 2 19 2 7" xfId="19501"/>
    <cellStyle name="计算 2 19 2 7" xfId="19502"/>
    <cellStyle name="계산 2 19 2 7 2" xfId="31209"/>
    <cellStyle name="计算 2 19 2 7 2" xfId="37419"/>
    <cellStyle name="계산 2 19 2 7 3" xfId="17119"/>
    <cellStyle name="计算 2 19 2 7 3" xfId="43339"/>
    <cellStyle name="계산 2 19 2 7 4" xfId="28157"/>
    <cellStyle name="计算 2 19 2 7 4" xfId="47355"/>
    <cellStyle name="계산 2 19 2 7 5" xfId="39320"/>
    <cellStyle name="计算 2 19 2 7 5" xfId="50173"/>
    <cellStyle name="계산 2 19 2 8" xfId="35676"/>
    <cellStyle name="计算 2 19 2 8" xfId="34973"/>
    <cellStyle name="계산 2 19 2 8 2" xfId="41556"/>
    <cellStyle name="计算 2 19 2 8 2" xfId="40971"/>
    <cellStyle name="계산 2 19 2 8 3" xfId="48390"/>
    <cellStyle name="计算 2 19 2 8 3" xfId="47667"/>
    <cellStyle name="계산 2 19 2 9" xfId="29325"/>
    <cellStyle name="计算 2 19 2 9" xfId="29326"/>
    <cellStyle name="계산 2 19 3" xfId="6230"/>
    <cellStyle name="计算 2 19 3" xfId="6229"/>
    <cellStyle name="계산 2 19 3 10" xfId="14562"/>
    <cellStyle name="计算 2 19 3 10" xfId="35834"/>
    <cellStyle name="계산 2 19 3 11" xfId="40068"/>
    <cellStyle name="计算 2 19 3 11" xfId="39961"/>
    <cellStyle name="계산 2 19 3 12" xfId="38684"/>
    <cellStyle name="计算 2 19 3 12" xfId="27937"/>
    <cellStyle name="계산 2 19 3 2" xfId="10964"/>
    <cellStyle name="计算 2 19 3 2" xfId="10963"/>
    <cellStyle name="계산 2 19 3 2 2" xfId="24192"/>
    <cellStyle name="计算 2 19 3 2 2" xfId="24191"/>
    <cellStyle name="계산 2 19 3 2 3" xfId="33594"/>
    <cellStyle name="计算 2 19 3 2 3" xfId="33593"/>
    <cellStyle name="계산 2 19 3 2 4" xfId="39756"/>
    <cellStyle name="计算 2 19 3 2 4" xfId="39755"/>
    <cellStyle name="계산 2 19 3 2 5" xfId="44728"/>
    <cellStyle name="计算 2 19 3 2 5" xfId="44727"/>
    <cellStyle name="계산 2 19 3 2 6" xfId="35038"/>
    <cellStyle name="计算 2 19 3 2 6" xfId="29955"/>
    <cellStyle name="계산 2 19 3 3" xfId="13820"/>
    <cellStyle name="计算 2 19 3 3" xfId="13819"/>
    <cellStyle name="계산 2 19 3 3 2" xfId="27048"/>
    <cellStyle name="计算 2 19 3 3 2" xfId="27047"/>
    <cellStyle name="계산 2 19 3 3 3" xfId="36020"/>
    <cellStyle name="计算 2 19 3 3 3" xfId="36019"/>
    <cellStyle name="계산 2 19 3 3 4" xfId="41913"/>
    <cellStyle name="计算 2 19 3 3 4" xfId="41912"/>
    <cellStyle name="계산 2 19 3 3 5" xfId="46495"/>
    <cellStyle name="计算 2 19 3 3 5" xfId="46494"/>
    <cellStyle name="계산 2 19 3 3 6" xfId="48747"/>
    <cellStyle name="计算 2 19 3 3 6" xfId="48746"/>
    <cellStyle name="계산 2 19 3 4" xfId="12837"/>
    <cellStyle name="计算 2 19 3 4" xfId="12731"/>
    <cellStyle name="계산 2 19 3 4 2" xfId="26065"/>
    <cellStyle name="计算 2 19 3 4 2" xfId="25959"/>
    <cellStyle name="계산 2 19 3 4 3" xfId="31448"/>
    <cellStyle name="计算 2 19 3 4 3" xfId="31447"/>
    <cellStyle name="계산 2 19 3 4 4" xfId="15127"/>
    <cellStyle name="计算 2 19 3 4 4" xfId="17959"/>
    <cellStyle name="계산 2 19 3 4 5" xfId="28102"/>
    <cellStyle name="计算 2 19 3 4 5" xfId="28101"/>
    <cellStyle name="계산 2 19 3 4 6" xfId="46284"/>
    <cellStyle name="计算 2 19 3 4 6" xfId="47276"/>
    <cellStyle name="계산 2 19 3 5" xfId="13638"/>
    <cellStyle name="计算 2 19 3 5" xfId="13944"/>
    <cellStyle name="계산 2 19 3 5 2" xfId="26866"/>
    <cellStyle name="计算 2 19 3 5 2" xfId="27172"/>
    <cellStyle name="계산 2 19 3 5 3" xfId="30428"/>
    <cellStyle name="计算 2 19 3 5 3" xfId="30429"/>
    <cellStyle name="계산 2 19 3 5 4" xfId="14885"/>
    <cellStyle name="计算 2 19 3 5 4" xfId="14886"/>
    <cellStyle name="계산 2 19 3 5 5" xfId="34417"/>
    <cellStyle name="计算 2 19 3 5 5" xfId="14752"/>
    <cellStyle name="계산 2 19 3 5 6" xfId="33122"/>
    <cellStyle name="计算 2 19 3 5 6" xfId="47014"/>
    <cellStyle name="계산 2 19 3 6" xfId="14355"/>
    <cellStyle name="计算 2 19 3 6" xfId="14229"/>
    <cellStyle name="계산 2 19 3 6 2" xfId="27583"/>
    <cellStyle name="计算 2 19 3 6 2" xfId="27457"/>
    <cellStyle name="계산 2 19 3 6 3" xfId="30788"/>
    <cellStyle name="计算 2 19 3 6 3" xfId="31815"/>
    <cellStyle name="계산 2 19 3 6 4" xfId="14698"/>
    <cellStyle name="计算 2 19 3 6 4" xfId="38036"/>
    <cellStyle name="계산 2 19 3 6 5" xfId="33158"/>
    <cellStyle name="计算 2 19 3 6 5" xfId="17572"/>
    <cellStyle name="계산 2 19 3 6 6" xfId="39299"/>
    <cellStyle name="计算 2 19 3 6 6" xfId="46601"/>
    <cellStyle name="계산 2 19 3 7" xfId="19458"/>
    <cellStyle name="计算 2 19 3 7" xfId="19457"/>
    <cellStyle name="계산 2 19 3 7 2" xfId="36919"/>
    <cellStyle name="计算 2 19 3 7 2" xfId="36485"/>
    <cellStyle name="계산 2 19 3 7 3" xfId="42834"/>
    <cellStyle name="计算 2 19 3 7 3" xfId="42378"/>
    <cellStyle name="계산 2 19 3 7 4" xfId="47042"/>
    <cellStyle name="计算 2 19 3 7 4" xfId="46757"/>
    <cellStyle name="계산 2 19 3 7 5" xfId="49668"/>
    <cellStyle name="计算 2 19 3 7 5" xfId="49212"/>
    <cellStyle name="계산 2 19 3 8" xfId="34707"/>
    <cellStyle name="计算 2 19 3 8" xfId="31706"/>
    <cellStyle name="계산 2 19 3 8 2" xfId="40697"/>
    <cellStyle name="计算 2 19 3 8 2" xfId="27984"/>
    <cellStyle name="계산 2 19 3 8 3" xfId="17494"/>
    <cellStyle name="计算 2 19 3 8 3" xfId="39859"/>
    <cellStyle name="계산 2 19 3 9" xfId="29282"/>
    <cellStyle name="计算 2 19 3 9" xfId="29281"/>
    <cellStyle name="계산 2 19 4" xfId="6115"/>
    <cellStyle name="计算 2 19 4" xfId="6153"/>
    <cellStyle name="계산 2 19 4 10" xfId="37622"/>
    <cellStyle name="计算 2 19 4 10" xfId="37762"/>
    <cellStyle name="계산 2 19 4 11" xfId="33205"/>
    <cellStyle name="计算 2 19 4 11" xfId="33142"/>
    <cellStyle name="계산 2 19 4 12" xfId="33042"/>
    <cellStyle name="计算 2 19 4 12" xfId="45195"/>
    <cellStyle name="계산 2 19 4 2" xfId="10849"/>
    <cellStyle name="计算 2 19 4 2" xfId="10887"/>
    <cellStyle name="계산 2 19 4 2 2" xfId="24077"/>
    <cellStyle name="计算 2 19 4 2 2" xfId="24115"/>
    <cellStyle name="계산 2 19 4 2 3" xfId="33479"/>
    <cellStyle name="计算 2 19 4 2 3" xfId="33517"/>
    <cellStyle name="계산 2 19 4 2 4" xfId="39664"/>
    <cellStyle name="计算 2 19 4 2 4" xfId="39698"/>
    <cellStyle name="계산 2 19 4 2 5" xfId="44617"/>
    <cellStyle name="计算 2 19 4 2 5" xfId="44655"/>
    <cellStyle name="계산 2 19 4 2 6" xfId="47446"/>
    <cellStyle name="计算 2 19 4 2 6" xfId="47403"/>
    <cellStyle name="계산 2 19 4 3" xfId="13741"/>
    <cellStyle name="计算 2 19 4 3" xfId="13771"/>
    <cellStyle name="계산 2 19 4 3 2" xfId="26969"/>
    <cellStyle name="计算 2 19 4 3 2" xfId="26999"/>
    <cellStyle name="계산 2 19 4 3 3" xfId="35905"/>
    <cellStyle name="计算 2 19 4 3 3" xfId="35943"/>
    <cellStyle name="계산 2 19 4 3 4" xfId="41798"/>
    <cellStyle name="计算 2 19 4 3 4" xfId="41836"/>
    <cellStyle name="계산 2 19 4 3 5" xfId="46411"/>
    <cellStyle name="计算 2 19 4 3 5" xfId="46449"/>
    <cellStyle name="계산 2 19 4 3 6" xfId="48632"/>
    <cellStyle name="计算 2 19 4 3 6" xfId="48670"/>
    <cellStyle name="계산 2 19 4 4" xfId="12855"/>
    <cellStyle name="计算 2 19 4 4" xfId="12784"/>
    <cellStyle name="계산 2 19 4 4 2" xfId="26083"/>
    <cellStyle name="计算 2 19 4 4 2" xfId="26012"/>
    <cellStyle name="계산 2 19 4 4 3" xfId="32385"/>
    <cellStyle name="计算 2 19 4 4 3" xfId="32410"/>
    <cellStyle name="계산 2 19 4 4 4" xfId="38603"/>
    <cellStyle name="计算 2 19 4 4 4" xfId="38628"/>
    <cellStyle name="계산 2 19 4 4 5" xfId="43941"/>
    <cellStyle name="计算 2 19 4 4 5" xfId="43962"/>
    <cellStyle name="계산 2 19 4 4 6" xfId="34159"/>
    <cellStyle name="计算 2 19 4 4 6" xfId="40028"/>
    <cellStyle name="계산 2 19 4 5" xfId="13652"/>
    <cellStyle name="计算 2 19 4 5" xfId="7293"/>
    <cellStyle name="계산 2 19 4 5 2" xfId="26880"/>
    <cellStyle name="计算 2 19 4 5 2" xfId="20521"/>
    <cellStyle name="계산 2 19 4 5 3" xfId="30574"/>
    <cellStyle name="计算 2 19 4 5 3" xfId="30537"/>
    <cellStyle name="계산 2 19 4 5 4" xfId="27765"/>
    <cellStyle name="计算 2 19 4 5 4" xfId="16832"/>
    <cellStyle name="계산 2 19 4 5 5" xfId="28675"/>
    <cellStyle name="计算 2 19 4 5 5" xfId="32979"/>
    <cellStyle name="계산 2 19 4 5 6" xfId="46954"/>
    <cellStyle name="计算 2 19 4 5 6" xfId="40329"/>
    <cellStyle name="계산 2 19 4 6" xfId="14259"/>
    <cellStyle name="计算 2 19 4 6" xfId="14126"/>
    <cellStyle name="계산 2 19 4 6 2" xfId="27487"/>
    <cellStyle name="计算 2 19 4 6 2" xfId="27354"/>
    <cellStyle name="계산 2 19 4 6 3" xfId="30222"/>
    <cellStyle name="计算 2 19 4 6 3" xfId="35013"/>
    <cellStyle name="계산 2 19 4 6 4" xfId="16671"/>
    <cellStyle name="计算 2 19 4 6 4" xfId="41017"/>
    <cellStyle name="계산 2 19 4 6 5" xfId="34111"/>
    <cellStyle name="计算 2 19 4 6 5" xfId="45824"/>
    <cellStyle name="계산 2 19 4 6 6" xfId="45167"/>
    <cellStyle name="计算 2 19 4 6 6" xfId="47713"/>
    <cellStyle name="계산 2 19 4 7" xfId="19343"/>
    <cellStyle name="计算 2 19 4 7" xfId="19381"/>
    <cellStyle name="계산 2 19 4 7 2" xfId="35615"/>
    <cellStyle name="计算 2 19 4 7 2" xfId="30205"/>
    <cellStyle name="계산 2 19 4 7 3" xfId="41492"/>
    <cellStyle name="计算 2 19 4 7 3" xfId="16660"/>
    <cellStyle name="계산 2 19 4 7 4" xfId="46285"/>
    <cellStyle name="计算 2 19 4 7 4" xfId="39718"/>
    <cellStyle name="계산 2 19 4 7 5" xfId="48326"/>
    <cellStyle name="计算 2 19 4 7 5" xfId="34298"/>
    <cellStyle name="계산 2 19 4 8" xfId="34995"/>
    <cellStyle name="计算 2 19 4 8" xfId="37533"/>
    <cellStyle name="계산 2 19 4 8 2" xfId="40999"/>
    <cellStyle name="计算 2 19 4 8 2" xfId="43454"/>
    <cellStyle name="계산 2 19 4 8 3" xfId="47695"/>
    <cellStyle name="计算 2 19 4 8 3" xfId="50288"/>
    <cellStyle name="계산 2 19 4 9" xfId="29167"/>
    <cellStyle name="计算 2 19 4 9" xfId="29205"/>
    <cellStyle name="계산 2 19 5" xfId="9508"/>
    <cellStyle name="计算 2 19 5" xfId="9509"/>
    <cellStyle name="계산 2 19 5 10" xfId="34131"/>
    <cellStyle name="计算 2 19 5 10" xfId="32508"/>
    <cellStyle name="계산 2 19 5 11" xfId="17618"/>
    <cellStyle name="计算 2 19 5 11" xfId="39631"/>
    <cellStyle name="계산 2 19 5 12" xfId="34317"/>
    <cellStyle name="计算 2 19 5 12" xfId="29938"/>
    <cellStyle name="계산 2 19 5 2" xfId="13145"/>
    <cellStyle name="计算 2 19 5 2" xfId="13146"/>
    <cellStyle name="계산 2 19 5 2 2" xfId="26373"/>
    <cellStyle name="计算 2 19 5 2 2" xfId="26374"/>
    <cellStyle name="계산 2 19 5 2 3" xfId="32625"/>
    <cellStyle name="计算 2 19 5 2 3" xfId="32626"/>
    <cellStyle name="계산 2 19 5 2 4" xfId="38845"/>
    <cellStyle name="计算 2 19 5 2 4" xfId="38846"/>
    <cellStyle name="계산 2 19 5 2 5" xfId="44108"/>
    <cellStyle name="计算 2 19 5 2 5" xfId="44109"/>
    <cellStyle name="계산 2 19 5 2 6" xfId="15599"/>
    <cellStyle name="计算 2 19 5 2 6" xfId="47536"/>
    <cellStyle name="계산 2 19 5 3" xfId="7476"/>
    <cellStyle name="计算 2 19 5 3" xfId="7497"/>
    <cellStyle name="계산 2 19 5 3 2" xfId="20704"/>
    <cellStyle name="计算 2 19 5 3 2" xfId="20725"/>
    <cellStyle name="계산 2 19 5 3 3" xfId="35121"/>
    <cellStyle name="计算 2 19 5 3 3" xfId="35122"/>
    <cellStyle name="계산 2 19 5 3 4" xfId="41105"/>
    <cellStyle name="计算 2 19 5 3 4" xfId="41106"/>
    <cellStyle name="계산 2 19 5 3 5" xfId="45911"/>
    <cellStyle name="计算 2 19 5 3 5" xfId="45912"/>
    <cellStyle name="계산 2 19 5 3 6" xfId="47824"/>
    <cellStyle name="计算 2 19 5 3 6" xfId="47825"/>
    <cellStyle name="계산 2 19 5 4" xfId="14099"/>
    <cellStyle name="计算 2 19 5 4" xfId="13571"/>
    <cellStyle name="계산 2 19 5 4 2" xfId="27327"/>
    <cellStyle name="计算 2 19 5 4 2" xfId="26799"/>
    <cellStyle name="계산 2 19 5 4 3" xfId="34856"/>
    <cellStyle name="计算 2 19 5 4 3" xfId="29910"/>
    <cellStyle name="계산 2 19 5 4 4" xfId="40855"/>
    <cellStyle name="计算 2 19 5 4 4" xfId="16446"/>
    <cellStyle name="계산 2 19 5 4 5" xfId="45713"/>
    <cellStyle name="计算 2 19 5 4 5" xfId="28180"/>
    <cellStyle name="계산 2 19 5 4 6" xfId="33416"/>
    <cellStyle name="计算 2 19 5 4 6" xfId="27898"/>
    <cellStyle name="계산 2 19 5 5" xfId="13017"/>
    <cellStyle name="计算 2 19 5 5" xfId="8316"/>
    <cellStyle name="계산 2 19 5 5 2" xfId="26245"/>
    <cellStyle name="计算 2 19 5 5 2" xfId="21544"/>
    <cellStyle name="계산 2 19 5 5 3" xfId="40757"/>
    <cellStyle name="计算 2 19 5 5 3" xfId="16340"/>
    <cellStyle name="계산 2 19 5 5 4" xfId="35887"/>
    <cellStyle name="计算 2 19 5 5 4" xfId="44346"/>
    <cellStyle name="계산 2 19 5 6" xfId="22736"/>
    <cellStyle name="计算 2 19 5 6" xfId="22737"/>
    <cellStyle name="계산 2 19 5 6 2" xfId="31290"/>
    <cellStyle name="计算 2 19 5 6 2" xfId="31597"/>
    <cellStyle name="계산 2 19 5 6 3" xfId="17180"/>
    <cellStyle name="计算 2 19 5 6 3" xfId="17325"/>
    <cellStyle name="계산 2 19 5 6 4" xfId="15617"/>
    <cellStyle name="计算 2 19 5 6 4" xfId="15584"/>
    <cellStyle name="계산 2 19 5 6 5" xfId="40013"/>
    <cellStyle name="计算 2 19 5 6 5" xfId="47414"/>
    <cellStyle name="계산 2 19 5 7" xfId="37496"/>
    <cellStyle name="计算 2 19 5 7" xfId="30320"/>
    <cellStyle name="계산 2 19 5 7 2" xfId="43416"/>
    <cellStyle name="计算 2 19 5 7 2" xfId="17728"/>
    <cellStyle name="계산 2 19 5 7 3" xfId="50250"/>
    <cellStyle name="计算 2 19 5 7 3" xfId="28762"/>
    <cellStyle name="계산 2 19 5 8" xfId="37794"/>
    <cellStyle name="计算 2 19 5 8" xfId="36743"/>
    <cellStyle name="계산 2 19 5 8 2" xfId="43718"/>
    <cellStyle name="计算 2 19 5 8 2" xfId="42648"/>
    <cellStyle name="계산 2 19 5 8 3" xfId="50552"/>
    <cellStyle name="计算 2 19 5 8 3" xfId="49482"/>
    <cellStyle name="계산 2 19 5 9" xfId="28314"/>
    <cellStyle name="计算 2 19 5 9" xfId="28315"/>
    <cellStyle name="계산 2 19 6" xfId="11736"/>
    <cellStyle name="计算 2 19 6" xfId="11737"/>
    <cellStyle name="계산 2 19 6 10" xfId="45234"/>
    <cellStyle name="计算 2 19 6 10" xfId="45235"/>
    <cellStyle name="계산 2 19 6 11" xfId="33060"/>
    <cellStyle name="计算 2 19 6 11" xfId="40616"/>
    <cellStyle name="계산 2 19 6 2" xfId="12682"/>
    <cellStyle name="计算 2 19 6 2" xfId="12805"/>
    <cellStyle name="계산 2 19 6 2 2" xfId="25910"/>
    <cellStyle name="计算 2 19 6 2 2" xfId="26033"/>
    <cellStyle name="계산 2 19 6 2 3" xfId="36605"/>
    <cellStyle name="计算 2 19 6 2 3" xfId="36606"/>
    <cellStyle name="계산 2 19 6 2 4" xfId="42507"/>
    <cellStyle name="计算 2 19 6 2 4" xfId="42508"/>
    <cellStyle name="계산 2 19 6 2 5" xfId="46837"/>
    <cellStyle name="计算 2 19 6 2 5" xfId="46838"/>
    <cellStyle name="계산 2 19 6 2 6" xfId="49341"/>
    <cellStyle name="计算 2 19 6 2 6" xfId="49342"/>
    <cellStyle name="계산 2 19 6 3" xfId="14433"/>
    <cellStyle name="计算 2 19 6 3" xfId="14434"/>
    <cellStyle name="계산 2 19 6 3 2" xfId="27661"/>
    <cellStyle name="计算 2 19 6 3 2" xfId="27662"/>
    <cellStyle name="계산 2 19 6 3 3" xfId="37093"/>
    <cellStyle name="计算 2 19 6 3 3" xfId="37094"/>
    <cellStyle name="계산 2 19 6 3 4" xfId="43012"/>
    <cellStyle name="计算 2 19 6 3 4" xfId="43013"/>
    <cellStyle name="계산 2 19 6 3 5" xfId="47156"/>
    <cellStyle name="计算 2 19 6 3 5" xfId="47157"/>
    <cellStyle name="계산 2 19 6 3 6" xfId="49846"/>
    <cellStyle name="计算 2 19 6 3 6" xfId="49847"/>
    <cellStyle name="계산 2 19 6 4" xfId="13589"/>
    <cellStyle name="计算 2 19 6 4" xfId="14346"/>
    <cellStyle name="계산 2 19 6 4 2" xfId="26817"/>
    <cellStyle name="计算 2 19 6 4 2" xfId="27574"/>
    <cellStyle name="계산 2 19 6 4 3" xfId="30317"/>
    <cellStyle name="计算 2 19 6 4 3" xfId="31758"/>
    <cellStyle name="계산 2 19 6 4 4" xfId="14661"/>
    <cellStyle name="计算 2 19 6 4 4" xfId="37979"/>
    <cellStyle name="계산 2 19 6 4 5" xfId="29110"/>
    <cellStyle name="计算 2 19 6 4 5" xfId="17797"/>
    <cellStyle name="계산 2 19 6 4 6" xfId="43880"/>
    <cellStyle name="计算 2 19 6 4 6" xfId="46926"/>
    <cellStyle name="계산 2 19 6 5" xfId="24964"/>
    <cellStyle name="计算 2 19 6 5" xfId="24965"/>
    <cellStyle name="계산 2 19 6 5 2" xfId="32317"/>
    <cellStyle name="计算 2 19 6 5 2" xfId="36700"/>
    <cellStyle name="계산 2 19 6 5 3" xfId="38535"/>
    <cellStyle name="计算 2 19 6 5 3" xfId="42604"/>
    <cellStyle name="계산 2 19 6 5 4" xfId="43900"/>
    <cellStyle name="计算 2 19 6 5 4" xfId="46910"/>
    <cellStyle name="계산 2 19 6 5 5" xfId="39711"/>
    <cellStyle name="计算 2 19 6 5 5" xfId="49438"/>
    <cellStyle name="계산 2 19 6 6" xfId="37676"/>
    <cellStyle name="计算 2 19 6 6" xfId="37478"/>
    <cellStyle name="계산 2 19 6 6 2" xfId="43599"/>
    <cellStyle name="计算 2 19 6 6 2" xfId="43398"/>
    <cellStyle name="계산 2 19 6 6 3" xfId="50433"/>
    <cellStyle name="计算 2 19 6 6 3" xfId="50232"/>
    <cellStyle name="계산 2 19 6 7" xfId="37879"/>
    <cellStyle name="计算 2 19 6 7" xfId="37880"/>
    <cellStyle name="계산 2 19 6 7 2" xfId="43804"/>
    <cellStyle name="计算 2 19 6 7 2" xfId="43805"/>
    <cellStyle name="계산 2 19 6 7 3" xfId="50638"/>
    <cellStyle name="计算 2 19 6 7 3" xfId="50639"/>
    <cellStyle name="계산 2 19 6 8" xfId="34200"/>
    <cellStyle name="计算 2 19 6 8" xfId="34201"/>
    <cellStyle name="계산 2 19 6 9" xfId="40225"/>
    <cellStyle name="计算 2 19 6 9" xfId="40226"/>
    <cellStyle name="계산 2 19 7" xfId="7790"/>
    <cellStyle name="计算 2 19 7" xfId="7791"/>
    <cellStyle name="계산 2 19 7 2" xfId="21018"/>
    <cellStyle name="计算 2 19 7 2" xfId="21019"/>
    <cellStyle name="계산 2 19 7 3" xfId="30894"/>
    <cellStyle name="计算 2 19 7 3" xfId="30895"/>
    <cellStyle name="계산 2 19 7 4" xfId="14705"/>
    <cellStyle name="计算 2 19 7 4" xfId="18536"/>
    <cellStyle name="계산 2 19 7 5" xfId="15700"/>
    <cellStyle name="计算 2 19 7 5" xfId="34802"/>
    <cellStyle name="계산 2 19 7 6" xfId="39580"/>
    <cellStyle name="计算 2 19 7 6" xfId="38419"/>
    <cellStyle name="계산 2 19 8" xfId="7418"/>
    <cellStyle name="计算 2 19 8" xfId="7417"/>
    <cellStyle name="계산 2 19 8 2" xfId="20646"/>
    <cellStyle name="计算 2 19 8 2" xfId="20645"/>
    <cellStyle name="계산 2 19 8 3" xfId="36703"/>
    <cellStyle name="计算 2 19 8 3" xfId="35522"/>
    <cellStyle name="계산 2 19 8 4" xfId="42607"/>
    <cellStyle name="计算 2 19 8 4" xfId="41394"/>
    <cellStyle name="계산 2 19 8 5" xfId="46911"/>
    <cellStyle name="计算 2 19 8 5" xfId="46219"/>
    <cellStyle name="계산 2 19 8 6" xfId="49441"/>
    <cellStyle name="计算 2 19 8 6" xfId="48228"/>
    <cellStyle name="계산 2 19 9" xfId="13529"/>
    <cellStyle name="计算 2 19 9" xfId="14282"/>
    <cellStyle name="계산 2 19 9 2" xfId="26757"/>
    <cellStyle name="计算 2 19 9 2" xfId="27510"/>
    <cellStyle name="계산 2 19 9 3" xfId="37179"/>
    <cellStyle name="计算 2 19 9 3" xfId="31235"/>
    <cellStyle name="계산 2 19 9 4" xfId="43098"/>
    <cellStyle name="计算 2 19 9 4" xfId="17768"/>
    <cellStyle name="계산 2 19 9 5" xfId="47223"/>
    <cellStyle name="计算 2 19 9 5" xfId="15623"/>
    <cellStyle name="계산 2 19 9 6" xfId="49932"/>
    <cellStyle name="计算 2 19 9 6" xfId="47497"/>
    <cellStyle name="계산 2 2" xfId="2632"/>
    <cellStyle name="计算 2 2" xfId="2633"/>
    <cellStyle name="계산 2 2 10" xfId="13710"/>
    <cellStyle name="计算 2 2 10" xfId="2634"/>
    <cellStyle name="计算 2 2 10 10" xfId="50822"/>
    <cellStyle name="계산 2 2 10 2" xfId="26938"/>
    <cellStyle name="计算 2 2 10 2" xfId="6277"/>
    <cellStyle name="计算 2 2 10 2 2" xfId="11011"/>
    <cellStyle name="计算 2 2 10 2 2 2" xfId="24239"/>
    <cellStyle name="计算 2 2 10 2 2 3" xfId="33641"/>
    <cellStyle name="计算 2 2 10 2 2 4" xfId="44775"/>
    <cellStyle name="计算 2 2 10 2 2 5" xfId="34593"/>
    <cellStyle name="计算 2 2 10 2 3" xfId="6960"/>
    <cellStyle name="计算 2 2 10 2 3 2" xfId="20188"/>
    <cellStyle name="计算 2 2 10 2 3 3" xfId="36067"/>
    <cellStyle name="计算 2 2 10 2 3 4" xfId="41960"/>
    <cellStyle name="计算 2 2 10 2 3 5" xfId="48794"/>
    <cellStyle name="计算 2 2 10 2 4" xfId="19505"/>
    <cellStyle name="计算 2 2 10 2 4 2" xfId="30237"/>
    <cellStyle name="计算 2 2 10 2 4 3" xfId="16687"/>
    <cellStyle name="计算 2 2 10 2 4 4" xfId="33016"/>
    <cellStyle name="计算 2 2 10 2 5" xfId="36869"/>
    <cellStyle name="计算 2 2 10 2 5 2" xfId="42781"/>
    <cellStyle name="计算 2 2 10 2 5 3" xfId="49615"/>
    <cellStyle name="计算 2 2 10 2 6" xfId="29329"/>
    <cellStyle name="计算 2 2 10 2 7" xfId="16025"/>
    <cellStyle name="计算 2 2 10 2 8" xfId="44560"/>
    <cellStyle name="계산 2 2 10 3" xfId="37412"/>
    <cellStyle name="计算 2 2 10 3" xfId="9512"/>
    <cellStyle name="计算 2 2 10 3 10" xfId="44026"/>
    <cellStyle name="计算 2 2 10 3 2" xfId="13149"/>
    <cellStyle name="计算 2 2 10 3 2 2" xfId="26377"/>
    <cellStyle name="计算 2 2 10 3 2 3" xfId="32629"/>
    <cellStyle name="计算 2 2 10 3 2 4" xfId="38849"/>
    <cellStyle name="计算 2 2 10 3 2 5" xfId="43912"/>
    <cellStyle name="计算 2 2 10 3 3" xfId="7500"/>
    <cellStyle name="计算 2 2 10 3 3 2" xfId="20728"/>
    <cellStyle name="计算 2 2 10 3 3 3" xfId="35125"/>
    <cellStyle name="计算 2 2 10 3 3 4" xfId="45915"/>
    <cellStyle name="计算 2 2 10 3 3 5" xfId="47828"/>
    <cellStyle name="计算 2 2 10 3 4" xfId="14036"/>
    <cellStyle name="计算 2 2 10 3 4 2" xfId="27264"/>
    <cellStyle name="计算 2 2 10 3 4 3" xfId="31841"/>
    <cellStyle name="计算 2 2 10 3 4 4" xfId="38062"/>
    <cellStyle name="计算 2 2 10 3 4 5" xfId="15493"/>
    <cellStyle name="计算 2 2 10 3 5" xfId="7220"/>
    <cellStyle name="计算 2 2 10 3 5 2" xfId="20448"/>
    <cellStyle name="计算 2 2 10 3 5 3" xfId="41724"/>
    <cellStyle name="计算 2 2 10 3 5 4" xfId="48558"/>
    <cellStyle name="计算 2 2 10 3 6" xfId="22740"/>
    <cellStyle name="计算 2 2 10 3 6 2" xfId="37281"/>
    <cellStyle name="计算 2 2 10 3 6 3" xfId="43201"/>
    <cellStyle name="计算 2 2 10 3 6 4" xfId="50035"/>
    <cellStyle name="计算 2 2 10 3 7" xfId="29792"/>
    <cellStyle name="计算 2 2 10 3 7 2" xfId="35622"/>
    <cellStyle name="计算 2 2 10 3 7 3" xfId="45352"/>
    <cellStyle name="计算 2 2 10 3 8" xfId="28318"/>
    <cellStyle name="计算 2 2 10 3 9" xfId="34496"/>
    <cellStyle name="계산 2 2 10 4" xfId="43332"/>
    <cellStyle name="计算 2 2 10 4" xfId="7794"/>
    <cellStyle name="计算 2 2 10 4 2" xfId="21022"/>
    <cellStyle name="계산 2 2 10 5" xfId="47352"/>
    <cellStyle name="计算 2 2 10 5" xfId="15973"/>
    <cellStyle name="계산 2 2 10 6" xfId="50166"/>
    <cellStyle name="计算 2 2 10 6" xfId="28710"/>
    <cellStyle name="计算 2 2 10 7" xfId="28729"/>
    <cellStyle name="计算 2 2 10 8" xfId="39341"/>
    <cellStyle name="计算 2 2 10 9" xfId="50957"/>
    <cellStyle name="계산 2 2 11" xfId="7342"/>
    <cellStyle name="计算 2 2 11" xfId="6276"/>
    <cellStyle name="계산 2 2 11 2" xfId="20570"/>
    <cellStyle name="计算 2 2 11 2" xfId="11010"/>
    <cellStyle name="计算 2 2 11 2 2" xfId="24238"/>
    <cellStyle name="计算 2 2 11 2 3" xfId="33640"/>
    <cellStyle name="计算 2 2 11 2 4" xfId="44774"/>
    <cellStyle name="计算 2 2 11 2 5" xfId="33128"/>
    <cellStyle name="계산 2 2 11 3" xfId="37531"/>
    <cellStyle name="计算 2 2 11 3" xfId="12722"/>
    <cellStyle name="计算 2 2 11 3 2" xfId="25950"/>
    <cellStyle name="计算 2 2 11 3 3" xfId="36066"/>
    <cellStyle name="计算 2 2 11 3 4" xfId="41959"/>
    <cellStyle name="计算 2 2 11 3 5" xfId="48793"/>
    <cellStyle name="계산 2 2 11 4" xfId="43452"/>
    <cellStyle name="计算 2 2 11 4" xfId="19504"/>
    <cellStyle name="计算 2 2 11 4 2" xfId="37382"/>
    <cellStyle name="计算 2 2 11 4 3" xfId="43302"/>
    <cellStyle name="计算 2 2 11 4 4" xfId="50136"/>
    <cellStyle name="계산 2 2 11 5" xfId="47416"/>
    <cellStyle name="计算 2 2 11 5" xfId="35621"/>
    <cellStyle name="计算 2 2 11 5 2" xfId="41498"/>
    <cellStyle name="计算 2 2 11 5 3" xfId="48332"/>
    <cellStyle name="계산 2 2 11 6" xfId="50286"/>
    <cellStyle name="计算 2 2 11 6" xfId="29328"/>
    <cellStyle name="计算 2 2 11 7" xfId="16024"/>
    <cellStyle name="计算 2 2 11 8" xfId="32221"/>
    <cellStyle name="计算 2 2 11 9" xfId="39176"/>
    <cellStyle name="계산 2 2 12" xfId="13553"/>
    <cellStyle name="计算 2 2 12" xfId="9511"/>
    <cellStyle name="计算 2 2 12 10" xfId="36914"/>
    <cellStyle name="计算 2 2 12 11" xfId="45159"/>
    <cellStyle name="계산 2 2 12 2" xfId="26781"/>
    <cellStyle name="计算 2 2 12 2" xfId="13148"/>
    <cellStyle name="计算 2 2 12 2 2" xfId="26376"/>
    <cellStyle name="计算 2 2 12 2 3" xfId="32628"/>
    <cellStyle name="计算 2 2 12 2 4" xfId="38848"/>
    <cellStyle name="计算 2 2 12 2 5" xfId="45770"/>
    <cellStyle name="계산 2 2 12 3" xfId="37742"/>
    <cellStyle name="计算 2 2 12 3" xfId="7499"/>
    <cellStyle name="计算 2 2 12 3 2" xfId="20727"/>
    <cellStyle name="计算 2 2 12 3 3" xfId="35124"/>
    <cellStyle name="计算 2 2 12 3 4" xfId="45914"/>
    <cellStyle name="计算 2 2 12 3 5" xfId="47827"/>
    <cellStyle name="계산 2 2 12 4" xfId="43666"/>
    <cellStyle name="计算 2 2 12 4" xfId="13039"/>
    <cellStyle name="计算 2 2 12 4 2" xfId="26267"/>
    <cellStyle name="计算 2 2 12 4 3" xfId="30956"/>
    <cellStyle name="计算 2 2 12 4 4" xfId="17743"/>
    <cellStyle name="计算 2 2 12 4 5" xfId="40578"/>
    <cellStyle name="계산 2 2 12 5" xfId="47526"/>
    <cellStyle name="计算 2 2 12 5" xfId="12877"/>
    <cellStyle name="计算 2 2 12 5 2" xfId="26105"/>
    <cellStyle name="计算 2 2 12 5 3" xfId="42819"/>
    <cellStyle name="计算 2 2 12 5 4" xfId="49653"/>
    <cellStyle name="계산 2 2 12 6" xfId="50500"/>
    <cellStyle name="计算 2 2 12 6" xfId="22739"/>
    <cellStyle name="计算 2 2 12 6 2" xfId="30833"/>
    <cellStyle name="计算 2 2 12 6 3" xfId="16957"/>
    <cellStyle name="计算 2 2 12 6 4" xfId="39605"/>
    <cellStyle name="计算 2 2 12 7" xfId="36774"/>
    <cellStyle name="计算 2 2 12 7 2" xfId="42681"/>
    <cellStyle name="计算 2 2 12 7 3" xfId="49515"/>
    <cellStyle name="计算 2 2 12 8" xfId="28317"/>
    <cellStyle name="计算 2 2 12 9" xfId="33169"/>
    <cellStyle name="계산 2 2 13" xfId="16391"/>
    <cellStyle name="计算 2 2 13" xfId="7793"/>
    <cellStyle name="계산 2 2 13 2" xfId="41415"/>
    <cellStyle name="计算 2 2 13 2" xfId="21021"/>
    <cellStyle name="계산 2 2 13 3" xfId="48249"/>
    <cellStyle name="计算 2 2 13 3" xfId="42564"/>
    <cellStyle name="计算 2 2 13 4" xfId="46885"/>
    <cellStyle name="计算 2 2 13 5" xfId="49398"/>
    <cellStyle name="계산 2 2 14" xfId="15975"/>
    <cellStyle name="计算 2 2 14" xfId="7212"/>
    <cellStyle name="计算 2 2 14 2" xfId="20440"/>
    <cellStyle name="计算 2 2 14 3" xfId="37425"/>
    <cellStyle name="计算 2 2 14 4" xfId="43345"/>
    <cellStyle name="计算 2 2 14 5" xfId="50179"/>
    <cellStyle name="계산 2 2 15" xfId="34294"/>
    <cellStyle name="计算 2 2 15" xfId="14407"/>
    <cellStyle name="计算 2 2 15 2" xfId="27635"/>
    <cellStyle name="计算 2 2 15 3" xfId="37825"/>
    <cellStyle name="计算 2 2 15 4" xfId="43749"/>
    <cellStyle name="计算 2 2 15 5" xfId="50583"/>
    <cellStyle name="계산 2 2 16" xfId="40196"/>
    <cellStyle name="计算 2 2 16" xfId="16392"/>
    <cellStyle name="계산 2 2 17" xfId="35691"/>
    <cellStyle name="计算 2 2 17" xfId="15974"/>
    <cellStyle name="계산 2 2 18" xfId="50955"/>
    <cellStyle name="计算 2 2 18" xfId="33011"/>
    <cellStyle name="계산 2 2 19" xfId="50825"/>
    <cellStyle name="计算 2 2 19" xfId="38776"/>
    <cellStyle name="계산 2 2 2" xfId="2635"/>
    <cellStyle name="计算 2 2 2" xfId="2636"/>
    <cellStyle name="계산 2 2 2 10" xfId="8312"/>
    <cellStyle name="计算 2 2 2 10" xfId="13989"/>
    <cellStyle name="계산 2 2 2 10 2" xfId="21540"/>
    <cellStyle name="计算 2 2 2 10 2" xfId="27217"/>
    <cellStyle name="계산 2 2 2 10 3" xfId="35585"/>
    <cellStyle name="计算 2 2 2 10 3" xfId="30141"/>
    <cellStyle name="계산 2 2 2 10 4" xfId="41461"/>
    <cellStyle name="计算 2 2 2 10 4" xfId="16606"/>
    <cellStyle name="계산 2 2 2 10 5" xfId="46262"/>
    <cellStyle name="计算 2 2 2 10 5" xfId="39682"/>
    <cellStyle name="계산 2 2 2 10 6" xfId="48295"/>
    <cellStyle name="计算 2 2 2 10 6" xfId="15787"/>
    <cellStyle name="계산 2 2 2 11" xfId="14476"/>
    <cellStyle name="计算 2 2 2 11" xfId="6836"/>
    <cellStyle name="계산 2 2 2 11 2" xfId="27704"/>
    <cellStyle name="计算 2 2 2 11 2" xfId="20064"/>
    <cellStyle name="계산 2 2 2 11 3" xfId="35451"/>
    <cellStyle name="计算 2 2 2 11 3" xfId="37801"/>
    <cellStyle name="계산 2 2 2 11 4" xfId="41320"/>
    <cellStyle name="计算 2 2 2 11 4" xfId="43725"/>
    <cellStyle name="계산 2 2 2 11 5" xfId="46173"/>
    <cellStyle name="计算 2 2 2 11 5" xfId="47549"/>
    <cellStyle name="계산 2 2 2 11 6" xfId="48154"/>
    <cellStyle name="计算 2 2 2 11 6" xfId="50559"/>
    <cellStyle name="계산 2 2 2 12" xfId="16394"/>
    <cellStyle name="计算 2 2 2 12" xfId="16395"/>
    <cellStyle name="계산 2 2 2 12 2" xfId="43760"/>
    <cellStyle name="计算 2 2 2 12 2" xfId="43107"/>
    <cellStyle name="계산 2 2 2 12 3" xfId="50594"/>
    <cellStyle name="计算 2 2 2 12 3" xfId="49941"/>
    <cellStyle name="계산 2 2 2 13" xfId="15972"/>
    <cellStyle name="计算 2 2 2 13" xfId="15971"/>
    <cellStyle name="계산 2 2 2 14" xfId="33388"/>
    <cellStyle name="计算 2 2 2 14" xfId="34559"/>
    <cellStyle name="계산 2 2 2 15" xfId="39433"/>
    <cellStyle name="计算 2 2 2 15" xfId="40493"/>
    <cellStyle name="계산 2 2 2 16" xfId="38502"/>
    <cellStyle name="计算 2 2 2 16" xfId="39416"/>
    <cellStyle name="계산 2 2 2 17" xfId="50958"/>
    <cellStyle name="计算 2 2 2 17" xfId="50959"/>
    <cellStyle name="계산 2 2 2 18" xfId="50821"/>
    <cellStyle name="计算 2 2 2 18" xfId="50819"/>
    <cellStyle name="계산 2 2 2 2" xfId="6278"/>
    <cellStyle name="计算 2 2 2 2" xfId="6279"/>
    <cellStyle name="계산 2 2 2 2 10" xfId="16026"/>
    <cellStyle name="计算 2 2 2 2 10" xfId="16027"/>
    <cellStyle name="계산 2 2 2 2 11" xfId="41188"/>
    <cellStyle name="计算 2 2 2 2 11" xfId="28678"/>
    <cellStyle name="계산 2 2 2 2 12" xfId="45530"/>
    <cellStyle name="计算 2 2 2 2 12" xfId="34281"/>
    <cellStyle name="계산 2 2 2 2 2" xfId="11012"/>
    <cellStyle name="计算 2 2 2 2 2" xfId="11013"/>
    <cellStyle name="계산 2 2 2 2 2 2" xfId="24240"/>
    <cellStyle name="计算 2 2 2 2 2 2" xfId="24241"/>
    <cellStyle name="계산 2 2 2 2 2 3" xfId="33642"/>
    <cellStyle name="计算 2 2 2 2 2 3" xfId="33643"/>
    <cellStyle name="계산 2 2 2 2 2 4" xfId="39800"/>
    <cellStyle name="计算 2 2 2 2 2 4" xfId="39801"/>
    <cellStyle name="계산 2 2 2 2 2 5" xfId="44776"/>
    <cellStyle name="计算 2 2 2 2 2 5" xfId="44777"/>
    <cellStyle name="계산 2 2 2 2 2 6" xfId="33420"/>
    <cellStyle name="计算 2 2 2 2 2 6" xfId="28160"/>
    <cellStyle name="계산 2 2 2 2 3" xfId="13862"/>
    <cellStyle name="计算 2 2 2 2 3" xfId="13863"/>
    <cellStyle name="계산 2 2 2 2 3 2" xfId="27090"/>
    <cellStyle name="计算 2 2 2 2 3 2" xfId="27091"/>
    <cellStyle name="계산 2 2 2 2 3 3" xfId="36068"/>
    <cellStyle name="计算 2 2 2 2 3 3" xfId="36069"/>
    <cellStyle name="계산 2 2 2 2 3 4" xfId="41961"/>
    <cellStyle name="计算 2 2 2 2 3 4" xfId="41962"/>
    <cellStyle name="계산 2 2 2 2 3 5" xfId="46539"/>
    <cellStyle name="计算 2 2 2 2 3 5" xfId="46540"/>
    <cellStyle name="계산 2 2 2 2 3 6" xfId="48795"/>
    <cellStyle name="计算 2 2 2 2 3 6" xfId="48796"/>
    <cellStyle name="계산 2 2 2 2 4" xfId="6961"/>
    <cellStyle name="计算 2 2 2 2 4" xfId="12719"/>
    <cellStyle name="계산 2 2 2 2 4 2" xfId="20189"/>
    <cellStyle name="计算 2 2 2 2 4 2" xfId="25947"/>
    <cellStyle name="계산 2 2 2 2 4 3" xfId="31892"/>
    <cellStyle name="计算 2 2 2 2 4 3" xfId="31486"/>
    <cellStyle name="계산 2 2 2 2 4 4" xfId="38113"/>
    <cellStyle name="计算 2 2 2 2 4 4" xfId="17276"/>
    <cellStyle name="계산 2 2 2 2 4 5" xfId="17910"/>
    <cellStyle name="计算 2 2 2 2 4 5" xfId="15613"/>
    <cellStyle name="계산 2 2 2 2 4 6" xfId="28176"/>
    <cellStyle name="计算 2 2 2 2 4 6" xfId="43929"/>
    <cellStyle name="계산 2 2 2 2 5" xfId="7246"/>
    <cellStyle name="计算 2 2 2 2 5" xfId="7247"/>
    <cellStyle name="계산 2 2 2 2 5 2" xfId="20474"/>
    <cellStyle name="计算 2 2 2 2 5 2" xfId="20475"/>
    <cellStyle name="계산 2 2 2 2 5 3" xfId="34887"/>
    <cellStyle name="计算 2 2 2 2 5 3" xfId="34888"/>
    <cellStyle name="계산 2 2 2 2 5 4" xfId="40885"/>
    <cellStyle name="计算 2 2 2 2 5 4" xfId="40886"/>
    <cellStyle name="계산 2 2 2 2 5 5" xfId="45731"/>
    <cellStyle name="计算 2 2 2 2 5 5" xfId="45732"/>
    <cellStyle name="계산 2 2 2 2 5 6" xfId="29087"/>
    <cellStyle name="计算 2 2 2 2 5 6" xfId="15465"/>
    <cellStyle name="계산 2 2 2 2 6" xfId="12887"/>
    <cellStyle name="计算 2 2 2 2 6" xfId="14059"/>
    <cellStyle name="계산 2 2 2 2 6 2" xfId="26115"/>
    <cellStyle name="计算 2 2 2 2 6 2" xfId="27287"/>
    <cellStyle name="계산 2 2 2 2 6 3" xfId="36956"/>
    <cellStyle name="计算 2 2 2 2 6 3" xfId="34692"/>
    <cellStyle name="계산 2 2 2 2 6 4" xfId="42874"/>
    <cellStyle name="计算 2 2 2 2 6 4" xfId="40682"/>
    <cellStyle name="계산 2 2 2 2 6 5" xfId="47059"/>
    <cellStyle name="计算 2 2 2 2 6 5" xfId="45610"/>
    <cellStyle name="계산 2 2 2 2 6 6" xfId="49708"/>
    <cellStyle name="计算 2 2 2 2 6 6" xfId="15467"/>
    <cellStyle name="계산 2 2 2 2 7" xfId="19506"/>
    <cellStyle name="计算 2 2 2 2 7" xfId="19507"/>
    <cellStyle name="계산 2 2 2 2 7 2" xfId="31244"/>
    <cellStyle name="计算 2 2 2 2 7 2" xfId="31363"/>
    <cellStyle name="계산 2 2 2 2 7 3" xfId="17145"/>
    <cellStyle name="计算 2 2 2 2 7 3" xfId="15122"/>
    <cellStyle name="계산 2 2 2 2 7 4" xfId="29057"/>
    <cellStyle name="计算 2 2 2 2 7 4" xfId="17585"/>
    <cellStyle name="계산 2 2 2 2 7 5" xfId="47619"/>
    <cellStyle name="计算 2 2 2 2 7 5" xfId="15314"/>
    <cellStyle name="계산 2 2 2 2 8" xfId="37599"/>
    <cellStyle name="计算 2 2 2 2 8" xfId="30226"/>
    <cellStyle name="계산 2 2 2 2 8 2" xfId="43522"/>
    <cellStyle name="计算 2 2 2 2 8 2" xfId="16676"/>
    <cellStyle name="계산 2 2 2 2 8 3" xfId="50356"/>
    <cellStyle name="计算 2 2 2 2 8 3" xfId="45421"/>
    <cellStyle name="계산 2 2 2 2 9" xfId="29330"/>
    <cellStyle name="计算 2 2 2 2 9" xfId="29331"/>
    <cellStyle name="계산 2 2 2 3" xfId="6227"/>
    <cellStyle name="计算 2 2 2 3" xfId="6226"/>
    <cellStyle name="계산 2 2 2 3 10" xfId="36907"/>
    <cellStyle name="计算 2 2 2 3 10" xfId="30268"/>
    <cellStyle name="계산 2 2 2 3 11" xfId="40631"/>
    <cellStyle name="计算 2 2 2 3 11" xfId="39306"/>
    <cellStyle name="계산 2 2 2 3 12" xfId="44573"/>
    <cellStyle name="计算 2 2 2 3 12" xfId="39630"/>
    <cellStyle name="계산 2 2 2 3 2" xfId="10961"/>
    <cellStyle name="计算 2 2 2 3 2" xfId="10960"/>
    <cellStyle name="계산 2 2 2 3 2 2" xfId="24189"/>
    <cellStyle name="计算 2 2 2 3 2 2" xfId="24188"/>
    <cellStyle name="계산 2 2 2 3 2 3" xfId="33591"/>
    <cellStyle name="计算 2 2 2 3 2 3" xfId="33590"/>
    <cellStyle name="계산 2 2 2 3 2 4" xfId="39753"/>
    <cellStyle name="计算 2 2 2 3 2 4" xfId="39752"/>
    <cellStyle name="계산 2 2 2 3 2 5" xfId="44725"/>
    <cellStyle name="计算 2 2 2 3 2 5" xfId="44724"/>
    <cellStyle name="계산 2 2 2 3 2 6" xfId="15474"/>
    <cellStyle name="计算 2 2 2 3 2 6" xfId="15396"/>
    <cellStyle name="계산 2 2 2 3 3" xfId="13817"/>
    <cellStyle name="计算 2 2 2 3 3" xfId="13816"/>
    <cellStyle name="계산 2 2 2 3 3 2" xfId="27045"/>
    <cellStyle name="计算 2 2 2 3 3 2" xfId="27044"/>
    <cellStyle name="계산 2 2 2 3 3 3" xfId="36017"/>
    <cellStyle name="计算 2 2 2 3 3 3" xfId="36016"/>
    <cellStyle name="계산 2 2 2 3 3 4" xfId="41910"/>
    <cellStyle name="计算 2 2 2 3 3 4" xfId="41909"/>
    <cellStyle name="계산 2 2 2 3 3 5" xfId="46492"/>
    <cellStyle name="计算 2 2 2 3 3 5" xfId="46491"/>
    <cellStyle name="계산 2 2 2 3 3 6" xfId="48744"/>
    <cellStyle name="计算 2 2 2 3 3 6" xfId="48743"/>
    <cellStyle name="계산 2 2 2 3 4" xfId="6936"/>
    <cellStyle name="计算 2 2 2 3 4" xfId="12734"/>
    <cellStyle name="계산 2 2 2 3 4 2" xfId="20164"/>
    <cellStyle name="计算 2 2 2 3 4 2" xfId="25962"/>
    <cellStyle name="계산 2 2 2 3 4 3" xfId="31409"/>
    <cellStyle name="计算 2 2 2 3 4 3" xfId="31446"/>
    <cellStyle name="계산 2 2 2 3 4 4" xfId="17241"/>
    <cellStyle name="计算 2 2 2 3 4 4" xfId="17261"/>
    <cellStyle name="계산 2 2 2 3 4 5" xfId="32261"/>
    <cellStyle name="计算 2 2 2 3 4 5" xfId="34500"/>
    <cellStyle name="계산 2 2 2 3 4 6" xfId="15406"/>
    <cellStyle name="计算 2 2 2 3 4 6" xfId="47409"/>
    <cellStyle name="계산 2 2 2 3 5" xfId="13637"/>
    <cellStyle name="计算 2 2 2 3 5" xfId="13943"/>
    <cellStyle name="계산 2 2 2 3 5 2" xfId="26865"/>
    <cellStyle name="计算 2 2 2 3 5 2" xfId="27171"/>
    <cellStyle name="계산 2 2 2 3 5 3" xfId="30607"/>
    <cellStyle name="计算 2 2 2 3 5 3" xfId="34702"/>
    <cellStyle name="계산 2 2 2 3 5 4" xfId="18031"/>
    <cellStyle name="计算 2 2 2 3 5 4" xfId="40692"/>
    <cellStyle name="계산 2 2 2 3 5 5" xfId="27924"/>
    <cellStyle name="计算 2 2 2 3 5 5" xfId="45617"/>
    <cellStyle name="계산 2 2 2 3 5 6" xfId="28079"/>
    <cellStyle name="计算 2 2 2 3 5 6" xfId="29126"/>
    <cellStyle name="계산 2 2 2 3 6" xfId="7210"/>
    <cellStyle name="计算 2 2 2 3 6" xfId="13059"/>
    <cellStyle name="계산 2 2 2 3 6 2" xfId="20438"/>
    <cellStyle name="计算 2 2 2 3 6 2" xfId="26287"/>
    <cellStyle name="계산 2 2 2 3 6 3" xfId="31652"/>
    <cellStyle name="计算 2 2 2 3 6 3" xfId="29795"/>
    <cellStyle name="계산 2 2 2 3 6 4" xfId="14747"/>
    <cellStyle name="计算 2 2 2 3 6 4" xfId="16341"/>
    <cellStyle name="계산 2 2 2 3 6 5" xfId="15303"/>
    <cellStyle name="计算 2 2 2 3 6 5" xfId="32466"/>
    <cellStyle name="계산 2 2 2 3 6 6" xfId="40191"/>
    <cellStyle name="计算 2 2 2 3 6 6" xfId="44585"/>
    <cellStyle name="계산 2 2 2 3 7" xfId="19455"/>
    <cellStyle name="计算 2 2 2 3 7" xfId="19454"/>
    <cellStyle name="계산 2 2 2 3 7 2" xfId="35897"/>
    <cellStyle name="计算 2 2 2 3 7 2" xfId="37040"/>
    <cellStyle name="계산 2 2 2 3 7 3" xfId="41790"/>
    <cellStyle name="计算 2 2 2 3 7 3" xfId="42959"/>
    <cellStyle name="계산 2 2 2 3 7 4" xfId="46408"/>
    <cellStyle name="计算 2 2 2 3 7 4" xfId="47117"/>
    <cellStyle name="계산 2 2 2 3 7 5" xfId="48624"/>
    <cellStyle name="计算 2 2 2 3 7 5" xfId="49793"/>
    <cellStyle name="계산 2 2 2 3 8" xfId="34768"/>
    <cellStyle name="计算 2 2 2 3 8" xfId="37657"/>
    <cellStyle name="계산 2 2 2 3 8 2" xfId="40763"/>
    <cellStyle name="计算 2 2 2 3 8 2" xfId="43580"/>
    <cellStyle name="계산 2 2 2 3 8 3" xfId="33404"/>
    <cellStyle name="计算 2 2 2 3 8 3" xfId="50414"/>
    <cellStyle name="계산 2 2 2 3 9" xfId="29279"/>
    <cellStyle name="计算 2 2 2 3 9" xfId="29278"/>
    <cellStyle name="계산 2 2 2 4" xfId="6116"/>
    <cellStyle name="计算 2 2 2 4" xfId="6117"/>
    <cellStyle name="계산 2 2 2 4 10" xfId="30875"/>
    <cellStyle name="计算 2 2 2 4 10" xfId="36517"/>
    <cellStyle name="계산 2 2 2 4 11" xfId="28230"/>
    <cellStyle name="计算 2 2 2 4 11" xfId="32543"/>
    <cellStyle name="계산 2 2 2 4 12" xfId="40597"/>
    <cellStyle name="计算 2 2 2 4 12" xfId="39249"/>
    <cellStyle name="계산 2 2 2 4 2" xfId="10850"/>
    <cellStyle name="计算 2 2 2 4 2" xfId="10851"/>
    <cellStyle name="계산 2 2 2 4 2 2" xfId="24078"/>
    <cellStyle name="计算 2 2 2 4 2 2" xfId="24079"/>
    <cellStyle name="계산 2 2 2 4 2 3" xfId="33480"/>
    <cellStyle name="计算 2 2 2 4 2 3" xfId="33481"/>
    <cellStyle name="계산 2 2 2 4 2 4" xfId="39665"/>
    <cellStyle name="计算 2 2 2 4 2 4" xfId="39666"/>
    <cellStyle name="계산 2 2 2 4 2 5" xfId="44618"/>
    <cellStyle name="计算 2 2 2 4 2 5" xfId="44619"/>
    <cellStyle name="계산 2 2 2 4 2 6" xfId="46893"/>
    <cellStyle name="计算 2 2 2 4 2 6" xfId="32216"/>
    <cellStyle name="계산 2 2 2 4 3" xfId="13742"/>
    <cellStyle name="计算 2 2 2 4 3" xfId="13743"/>
    <cellStyle name="계산 2 2 2 4 3 2" xfId="26970"/>
    <cellStyle name="计算 2 2 2 4 3 2" xfId="26971"/>
    <cellStyle name="계산 2 2 2 4 3 3" xfId="35906"/>
    <cellStyle name="计算 2 2 2 4 3 3" xfId="35907"/>
    <cellStyle name="계산 2 2 2 4 3 4" xfId="41799"/>
    <cellStyle name="计算 2 2 2 4 3 4" xfId="41800"/>
    <cellStyle name="계산 2 2 2 4 3 5" xfId="46412"/>
    <cellStyle name="计算 2 2 2 4 3 5" xfId="46413"/>
    <cellStyle name="계산 2 2 2 4 3 6" xfId="48633"/>
    <cellStyle name="计算 2 2 2 4 3 6" xfId="48634"/>
    <cellStyle name="계산 2 2 2 4 4" xfId="9063"/>
    <cellStyle name="计算 2 2 2 4 4" xfId="8013"/>
    <cellStyle name="계산 2 2 2 4 4 2" xfId="22291"/>
    <cellStyle name="计算 2 2 2 4 4 2" xfId="21241"/>
    <cellStyle name="계산 2 2 2 4 4 3" xfId="32386"/>
    <cellStyle name="计算 2 2 2 4 4 3" xfId="29874"/>
    <cellStyle name="계산 2 2 2 4 4 4" xfId="38604"/>
    <cellStyle name="计算 2 2 2 4 4 4" xfId="18003"/>
    <cellStyle name="계산 2 2 2 4 4 5" xfId="43942"/>
    <cellStyle name="计算 2 2 2 4 4 5" xfId="34472"/>
    <cellStyle name="계산 2 2 2 4 4 6" xfId="44262"/>
    <cellStyle name="计算 2 2 2 4 4 6" xfId="44568"/>
    <cellStyle name="계산 2 2 2 4 5" xfId="13917"/>
    <cellStyle name="计算 2 2 2 4 5" xfId="7301"/>
    <cellStyle name="계산 2 2 2 4 5 2" xfId="27145"/>
    <cellStyle name="计算 2 2 2 4 5 2" xfId="20529"/>
    <cellStyle name="계산 2 2 2 4 5 3" xfId="29758"/>
    <cellStyle name="计算 2 2 2 4 5 3" xfId="30458"/>
    <cellStyle name="계산 2 2 2 4 5 4" xfId="36565"/>
    <cellStyle name="计算 2 2 2 4 5 4" xfId="15182"/>
    <cellStyle name="계산 2 2 2 4 5 5" xfId="34549"/>
    <cellStyle name="计算 2 2 2 4 5 5" xfId="33013"/>
    <cellStyle name="계산 2 2 2 4 5 6" xfId="40262"/>
    <cellStyle name="计算 2 2 2 4 5 6" xfId="15598"/>
    <cellStyle name="계산 2 2 2 4 6" xfId="8477"/>
    <cellStyle name="计算 2 2 2 4 6" xfId="14381"/>
    <cellStyle name="계산 2 2 2 4 6 2" xfId="21705"/>
    <cellStyle name="计算 2 2 2 4 6 2" xfId="27609"/>
    <cellStyle name="계산 2 2 2 4 6 3" xfId="30269"/>
    <cellStyle name="计算 2 2 2 4 6 3" xfId="31750"/>
    <cellStyle name="계산 2 2 2 4 6 4" xfId="16710"/>
    <cellStyle name="计算 2 2 2 4 6 4" xfId="37971"/>
    <cellStyle name="계산 2 2 2 4 6 5" xfId="17524"/>
    <cellStyle name="计算 2 2 2 4 6 5" xfId="17925"/>
    <cellStyle name="계산 2 2 2 4 6 6" xfId="40532"/>
    <cellStyle name="计算 2 2 2 4 6 6" xfId="28802"/>
    <cellStyle name="계산 2 2 2 4 7" xfId="19344"/>
    <cellStyle name="计算 2 2 2 4 7" xfId="19345"/>
    <cellStyle name="계산 2 2 2 4 7 2" xfId="29789"/>
    <cellStyle name="计算 2 2 2 4 7 2" xfId="37679"/>
    <cellStyle name="계산 2 2 2 4 7 3" xfId="16338"/>
    <cellStyle name="计算 2 2 2 4 7 3" xfId="43602"/>
    <cellStyle name="계산 2 2 2 4 7 4" xfId="34431"/>
    <cellStyle name="计算 2 2 2 4 7 4" xfId="47492"/>
    <cellStyle name="계산 2 2 2 4 7 5" xfId="45381"/>
    <cellStyle name="计算 2 2 2 4 7 5" xfId="50436"/>
    <cellStyle name="계산 2 2 2 4 8" xfId="32314"/>
    <cellStyle name="计算 2 2 2 4 8" xfId="31705"/>
    <cellStyle name="계산 2 2 2 4 8 2" xfId="38532"/>
    <cellStyle name="计算 2 2 2 4 8 2" xfId="27985"/>
    <cellStyle name="계산 2 2 2 4 8 3" xfId="17936"/>
    <cellStyle name="计算 2 2 2 4 8 3" xfId="46611"/>
    <cellStyle name="계산 2 2 2 4 9" xfId="29168"/>
    <cellStyle name="计算 2 2 2 4 9" xfId="29169"/>
    <cellStyle name="계산 2 2 2 5" xfId="9513"/>
    <cellStyle name="计算 2 2 2 5" xfId="9514"/>
    <cellStyle name="계산 2 2 2 5 10" xfId="28867"/>
    <cellStyle name="计算 2 2 2 5 10" xfId="32207"/>
    <cellStyle name="계산 2 2 2 5 11" xfId="15445"/>
    <cellStyle name="计算 2 2 2 5 11" xfId="17677"/>
    <cellStyle name="계산 2 2 2 5 12" xfId="32285"/>
    <cellStyle name="计算 2 2 2 5 12" xfId="44427"/>
    <cellStyle name="계산 2 2 2 5 2" xfId="13150"/>
    <cellStyle name="计算 2 2 2 5 2" xfId="13151"/>
    <cellStyle name="계산 2 2 2 5 2 2" xfId="26378"/>
    <cellStyle name="计算 2 2 2 5 2 2" xfId="26379"/>
    <cellStyle name="계산 2 2 2 5 2 3" xfId="32630"/>
    <cellStyle name="计算 2 2 2 5 2 3" xfId="32631"/>
    <cellStyle name="계산 2 2 2 5 2 4" xfId="38850"/>
    <cellStyle name="计算 2 2 2 5 2 4" xfId="38851"/>
    <cellStyle name="계산 2 2 2 5 2 5" xfId="44113"/>
    <cellStyle name="计算 2 2 2 5 2 5" xfId="44114"/>
    <cellStyle name="계산 2 2 2 5 2 6" xfId="44116"/>
    <cellStyle name="计算 2 2 2 5 2 6" xfId="45632"/>
    <cellStyle name="계산 2 2 2 5 3" xfId="7501"/>
    <cellStyle name="计算 2 2 2 5 3" xfId="7502"/>
    <cellStyle name="계산 2 2 2 5 3 2" xfId="20729"/>
    <cellStyle name="计算 2 2 2 5 3 2" xfId="20730"/>
    <cellStyle name="계산 2 2 2 5 3 3" xfId="35126"/>
    <cellStyle name="计算 2 2 2 5 3 3" xfId="35127"/>
    <cellStyle name="계산 2 2 2 5 3 4" xfId="41109"/>
    <cellStyle name="计算 2 2 2 5 3 4" xfId="41110"/>
    <cellStyle name="계산 2 2 2 5 3 5" xfId="45916"/>
    <cellStyle name="计算 2 2 2 5 3 5" xfId="45917"/>
    <cellStyle name="계산 2 2 2 5 3 6" xfId="47829"/>
    <cellStyle name="计算 2 2 2 5 3 6" xfId="47830"/>
    <cellStyle name="계산 2 2 2 5 4" xfId="8500"/>
    <cellStyle name="计算 2 2 2 5 4" xfId="8470"/>
    <cellStyle name="계산 2 2 2 5 4 2" xfId="21728"/>
    <cellStyle name="计算 2 2 2 5 4 2" xfId="21698"/>
    <cellStyle name="계산 2 2 2 5 4 3" xfId="30958"/>
    <cellStyle name="计算 2 2 2 5 4 3" xfId="30959"/>
    <cellStyle name="계산 2 2 2 5 4 4" xfId="16978"/>
    <cellStyle name="计算 2 2 2 5 4 4" xfId="17744"/>
    <cellStyle name="계산 2 2 2 5 4 5" xfId="31423"/>
    <cellStyle name="计算 2 2 2 5 4 5" xfId="17549"/>
    <cellStyle name="계산 2 2 2 5 4 6" xfId="32237"/>
    <cellStyle name="计算 2 2 2 5 4 6" xfId="39247"/>
    <cellStyle name="계산 2 2 2 5 5" xfId="14019"/>
    <cellStyle name="计算 2 2 2 5 5" xfId="12857"/>
    <cellStyle name="계산 2 2 2 5 5 2" xfId="27247"/>
    <cellStyle name="计算 2 2 2 5 5 2" xfId="26085"/>
    <cellStyle name="계산 2 2 2 5 5 3" xfId="14636"/>
    <cellStyle name="计算 2 2 2 5 5 3" xfId="42589"/>
    <cellStyle name="계산 2 2 2 5 5 4" xfId="28067"/>
    <cellStyle name="计算 2 2 2 5 5 4" xfId="49423"/>
    <cellStyle name="계산 2 2 2 5 6" xfId="22741"/>
    <cellStyle name="计算 2 2 2 5 6" xfId="22742"/>
    <cellStyle name="계산 2 2 2 5 6 2" xfId="36484"/>
    <cellStyle name="计算 2 2 2 5 6 2" xfId="36527"/>
    <cellStyle name="계산 2 2 2 5 6 3" xfId="42377"/>
    <cellStyle name="计算 2 2 2 5 6 3" xfId="42425"/>
    <cellStyle name="계산 2 2 2 5 6 4" xfId="46756"/>
    <cellStyle name="计算 2 2 2 5 6 4" xfId="46781"/>
    <cellStyle name="계산 2 2 2 5 6 5" xfId="49211"/>
    <cellStyle name="计算 2 2 2 5 6 5" xfId="49259"/>
    <cellStyle name="계산 2 2 2 5 7" xfId="36916"/>
    <cellStyle name="计算 2 2 2 5 7" xfId="29811"/>
    <cellStyle name="계산 2 2 2 5 7 2" xfId="42831"/>
    <cellStyle name="计算 2 2 2 5 7 2" xfId="28035"/>
    <cellStyle name="계산 2 2 2 5 7 3" xfId="49665"/>
    <cellStyle name="计算 2 2 2 5 7 3" xfId="45502"/>
    <cellStyle name="계산 2 2 2 5 8" xfId="31377"/>
    <cellStyle name="计算 2 2 2 5 8" xfId="35554"/>
    <cellStyle name="계산 2 2 2 5 8 2" xfId="15239"/>
    <cellStyle name="计算 2 2 2 5 8 2" xfId="41429"/>
    <cellStyle name="계산 2 2 2 5 8 3" xfId="47292"/>
    <cellStyle name="计算 2 2 2 5 8 3" xfId="48263"/>
    <cellStyle name="계산 2 2 2 5 9" xfId="28319"/>
    <cellStyle name="计算 2 2 2 5 9" xfId="28320"/>
    <cellStyle name="계산 2 2 2 6" xfId="11739"/>
    <cellStyle name="计算 2 2 2 6" xfId="11740"/>
    <cellStyle name="계산 2 2 2 6 10" xfId="45237"/>
    <cellStyle name="计算 2 2 2 6 10" xfId="45238"/>
    <cellStyle name="계산 2 2 2 6 11" xfId="31629"/>
    <cellStyle name="计算 2 2 2 6 11" xfId="34077"/>
    <cellStyle name="계산 2 2 2 6 2" xfId="8396"/>
    <cellStyle name="计算 2 2 2 6 2" xfId="8397"/>
    <cellStyle name="계산 2 2 2 6 2 2" xfId="21624"/>
    <cellStyle name="计算 2 2 2 6 2 2" xfId="21625"/>
    <cellStyle name="계산 2 2 2 6 2 3" xfId="36608"/>
    <cellStyle name="计算 2 2 2 6 2 3" xfId="36609"/>
    <cellStyle name="계산 2 2 2 6 2 4" xfId="42510"/>
    <cellStyle name="计算 2 2 2 6 2 4" xfId="42511"/>
    <cellStyle name="계산 2 2 2 6 2 5" xfId="46840"/>
    <cellStyle name="计算 2 2 2 6 2 5" xfId="46841"/>
    <cellStyle name="계산 2 2 2 6 2 6" xfId="49344"/>
    <cellStyle name="计算 2 2 2 6 2 6" xfId="49345"/>
    <cellStyle name="계산 2 2 2 6 3" xfId="14436"/>
    <cellStyle name="计算 2 2 2 6 3" xfId="14437"/>
    <cellStyle name="계산 2 2 2 6 3 2" xfId="27664"/>
    <cellStyle name="计算 2 2 2 6 3 2" xfId="27665"/>
    <cellStyle name="계산 2 2 2 6 3 3" xfId="37096"/>
    <cellStyle name="计算 2 2 2 6 3 3" xfId="37097"/>
    <cellStyle name="계산 2 2 2 6 3 4" xfId="43015"/>
    <cellStyle name="计算 2 2 2 6 3 4" xfId="43016"/>
    <cellStyle name="계산 2 2 2 6 3 5" xfId="47159"/>
    <cellStyle name="计算 2 2 2 6 3 5" xfId="47160"/>
    <cellStyle name="계산 2 2 2 6 3 6" xfId="49849"/>
    <cellStyle name="计算 2 2 2 6 3 6" xfId="49850"/>
    <cellStyle name="계산 2 2 2 6 4" xfId="7984"/>
    <cellStyle name="计算 2 2 2 6 4" xfId="14109"/>
    <cellStyle name="계산 2 2 2 6 4 2" xfId="21212"/>
    <cellStyle name="计算 2 2 2 6 4 2" xfId="27337"/>
    <cellStyle name="계산 2 2 2 6 4 3" xfId="30595"/>
    <cellStyle name="计算 2 2 2 6 4 3" xfId="36741"/>
    <cellStyle name="계산 2 2 2 6 4 4" xfId="16855"/>
    <cellStyle name="计算 2 2 2 6 4 4" xfId="42646"/>
    <cellStyle name="계산 2 2 2 6 4 5" xfId="33385"/>
    <cellStyle name="计算 2 2 2 6 4 5" xfId="46934"/>
    <cellStyle name="계산 2 2 2 6 4 6" xfId="17567"/>
    <cellStyle name="计算 2 2 2 6 4 6" xfId="49480"/>
    <cellStyle name="계산 2 2 2 6 5" xfId="24967"/>
    <cellStyle name="计算 2 2 2 6 5" xfId="24968"/>
    <cellStyle name="계산 2 2 2 6 5 2" xfId="36500"/>
    <cellStyle name="计算 2 2 2 6 5 2" xfId="29753"/>
    <cellStyle name="계산 2 2 2 6 5 3" xfId="42393"/>
    <cellStyle name="计算 2 2 2 6 5 3" xfId="16322"/>
    <cellStyle name="계산 2 2 2 6 5 4" xfId="46765"/>
    <cellStyle name="计算 2 2 2 6 5 4" xfId="34139"/>
    <cellStyle name="계산 2 2 2 6 5 5" xfId="49227"/>
    <cellStyle name="计算 2 2 2 6 5 5" xfId="45128"/>
    <cellStyle name="계산 2 2 2 6 6" xfId="31212"/>
    <cellStyle name="计算 2 2 2 6 6" xfId="31691"/>
    <cellStyle name="계산 2 2 2 6 6 2" xfId="17120"/>
    <cellStyle name="计算 2 2 2 6 6 2" xfId="17367"/>
    <cellStyle name="계산 2 2 2 6 6 3" xfId="17449"/>
    <cellStyle name="计算 2 2 2 6 6 3" xfId="15595"/>
    <cellStyle name="계산 2 2 2 6 7" xfId="37882"/>
    <cellStyle name="计算 2 2 2 6 7" xfId="37883"/>
    <cellStyle name="계산 2 2 2 6 7 2" xfId="43807"/>
    <cellStyle name="计算 2 2 2 6 7 2" xfId="43808"/>
    <cellStyle name="계산 2 2 2 6 7 3" xfId="50641"/>
    <cellStyle name="计算 2 2 2 6 7 3" xfId="50642"/>
    <cellStyle name="계산 2 2 2 6 8" xfId="34203"/>
    <cellStyle name="计算 2 2 2 6 8" xfId="34204"/>
    <cellStyle name="계산 2 2 2 6 9" xfId="40228"/>
    <cellStyle name="计算 2 2 2 6 9" xfId="40229"/>
    <cellStyle name="계산 2 2 2 7" xfId="7795"/>
    <cellStyle name="计算 2 2 2 7" xfId="7796"/>
    <cellStyle name="계산 2 2 2 7 2" xfId="21023"/>
    <cellStyle name="计算 2 2 2 7 2" xfId="21024"/>
    <cellStyle name="계산 2 2 2 7 3" xfId="30899"/>
    <cellStyle name="计算 2 2 2 7 3" xfId="30900"/>
    <cellStyle name="계산 2 2 2 7 4" xfId="17944"/>
    <cellStyle name="计算 2 2 2 7 4" xfId="17941"/>
    <cellStyle name="계산 2 2 2 7 5" xfId="27834"/>
    <cellStyle name="计算 2 2 2 7 5" xfId="15712"/>
    <cellStyle name="계산 2 2 2 7 6" xfId="38454"/>
    <cellStyle name="计算 2 2 2 7 6" xfId="14537"/>
    <cellStyle name="계산 2 2 2 8" xfId="7415"/>
    <cellStyle name="计算 2 2 2 8" xfId="7414"/>
    <cellStyle name="계산 2 2 2 8 2" xfId="20643"/>
    <cellStyle name="计算 2 2 2 8 2" xfId="20642"/>
    <cellStyle name="계산 2 2 2 8 3" xfId="36558"/>
    <cellStyle name="计算 2 2 2 8 3" xfId="35027"/>
    <cellStyle name="계산 2 2 2 8 4" xfId="42456"/>
    <cellStyle name="计算 2 2 2 8 4" xfId="41031"/>
    <cellStyle name="계산 2 2 2 8 5" xfId="46798"/>
    <cellStyle name="计算 2 2 2 8 5" xfId="45833"/>
    <cellStyle name="계산 2 2 2 8 6" xfId="49290"/>
    <cellStyle name="计算 2 2 2 8 6" xfId="47727"/>
    <cellStyle name="계산 2 2 2 9" xfId="8505"/>
    <cellStyle name="计算 2 2 2 9" xfId="14031"/>
    <cellStyle name="계산 2 2 2 9 2" xfId="21733"/>
    <cellStyle name="计算 2 2 2 9 2" xfId="27259"/>
    <cellStyle name="계산 2 2 2 9 3" xfId="37050"/>
    <cellStyle name="计算 2 2 2 9 3" xfId="30864"/>
    <cellStyle name="계산 2 2 2 9 4" xfId="42969"/>
    <cellStyle name="计算 2 2 2 9 4" xfId="28014"/>
    <cellStyle name="계산 2 2 2 9 5" xfId="47124"/>
    <cellStyle name="计算 2 2 2 9 5" xfId="31587"/>
    <cellStyle name="계산 2 2 2 9 6" xfId="49803"/>
    <cellStyle name="计算 2 2 2 9 6" xfId="40306"/>
    <cellStyle name="计算 2 2 20" xfId="28161"/>
    <cellStyle name="计算 2 2 21" xfId="50956"/>
    <cellStyle name="计算 2 2 22" xfId="50824"/>
    <cellStyle name="계산 2 2 3" xfId="6275"/>
    <cellStyle name="计算 2 2 3" xfId="2637"/>
    <cellStyle name="계산 2 2 3 10" xfId="16023"/>
    <cellStyle name="计算 2 2 3 10" xfId="15970"/>
    <cellStyle name="계산 2 2 3 11" xfId="39878"/>
    <cellStyle name="计算 2 2 3 11" xfId="14540"/>
    <cellStyle name="계산 2 2 3 12" xfId="44322"/>
    <cellStyle name="计算 2 2 3 12" xfId="14510"/>
    <cellStyle name="计算 2 2 3 13" xfId="50960"/>
    <cellStyle name="计算 2 2 3 14" xfId="50818"/>
    <cellStyle name="계산 2 2 3 2" xfId="11009"/>
    <cellStyle name="计算 2 2 3 2" xfId="6280"/>
    <cellStyle name="계산 2 2 3 2 2" xfId="24237"/>
    <cellStyle name="计算 2 2 3 2 2" xfId="11014"/>
    <cellStyle name="计算 2 2 3 2 2 2" xfId="24242"/>
    <cellStyle name="计算 2 2 3 2 2 3" xfId="33644"/>
    <cellStyle name="计算 2 2 3 2 2 4" xfId="44778"/>
    <cellStyle name="计算 2 2 3 2 2 5" xfId="27936"/>
    <cellStyle name="계산 2 2 3 2 3" xfId="33639"/>
    <cellStyle name="计算 2 2 3 2 3" xfId="12829"/>
    <cellStyle name="计算 2 2 3 2 3 2" xfId="26057"/>
    <cellStyle name="计算 2 2 3 2 3 3" xfId="36070"/>
    <cellStyle name="计算 2 2 3 2 3 4" xfId="41963"/>
    <cellStyle name="计算 2 2 3 2 3 5" xfId="48797"/>
    <cellStyle name="계산 2 2 3 2 4" xfId="39797"/>
    <cellStyle name="计算 2 2 3 2 4" xfId="19508"/>
    <cellStyle name="计算 2 2 3 2 4 2" xfId="33944"/>
    <cellStyle name="计算 2 2 3 2 4 3" xfId="40001"/>
    <cellStyle name="计算 2 2 3 2 4 4" xfId="33164"/>
    <cellStyle name="계산 2 2 3 2 5" xfId="44773"/>
    <cellStyle name="计算 2 2 3 2 5" xfId="34811"/>
    <cellStyle name="计算 2 2 3 2 5 2" xfId="40807"/>
    <cellStyle name="计算 2 2 3 2 5 3" xfId="39536"/>
    <cellStyle name="계산 2 2 3 2 6" xfId="33041"/>
    <cellStyle name="计算 2 2 3 2 6" xfId="29332"/>
    <cellStyle name="计算 2 2 3 2 7" xfId="16028"/>
    <cellStyle name="计算 2 2 3 2 8" xfId="39875"/>
    <cellStyle name="计算 2 2 3 2 9" xfId="16475"/>
    <cellStyle name="계산 2 2 3 3" xfId="13861"/>
    <cellStyle name="计算 2 2 3 3" xfId="9515"/>
    <cellStyle name="计算 2 2 3 3 10" xfId="40095"/>
    <cellStyle name="计算 2 2 3 3 11" xfId="45412"/>
    <cellStyle name="계산 2 2 3 3 2" xfId="27089"/>
    <cellStyle name="计算 2 2 3 3 2" xfId="13152"/>
    <cellStyle name="计算 2 2 3 3 2 2" xfId="26380"/>
    <cellStyle name="计算 2 2 3 3 2 3" xfId="32632"/>
    <cellStyle name="计算 2 2 3 3 2 4" xfId="38852"/>
    <cellStyle name="计算 2 2 3 3 2 5" xfId="28092"/>
    <cellStyle name="계산 2 2 3 3 3" xfId="36065"/>
    <cellStyle name="计算 2 2 3 3 3" xfId="7503"/>
    <cellStyle name="计算 2 2 3 3 3 2" xfId="20731"/>
    <cellStyle name="计算 2 2 3 3 3 3" xfId="35128"/>
    <cellStyle name="计算 2 2 3 3 3 4" xfId="45918"/>
    <cellStyle name="计算 2 2 3 3 3 5" xfId="47831"/>
    <cellStyle name="계산 2 2 3 3 4" xfId="41958"/>
    <cellStyle name="计算 2 2 3 3 4" xfId="12949"/>
    <cellStyle name="计算 2 2 3 3 4 2" xfId="26177"/>
    <cellStyle name="计算 2 2 3 3 4 3" xfId="31840"/>
    <cellStyle name="计算 2 2 3 3 4 4" xfId="38061"/>
    <cellStyle name="计算 2 2 3 3 4 5" xfId="15313"/>
    <cellStyle name="계산 2 2 3 3 5" xfId="46536"/>
    <cellStyle name="计算 2 2 3 3 5" xfId="14380"/>
    <cellStyle name="计算 2 2 3 3 5 2" xfId="27608"/>
    <cellStyle name="计算 2 2 3 3 5 3" xfId="41371"/>
    <cellStyle name="计算 2 2 3 3 5 4" xfId="48205"/>
    <cellStyle name="계산 2 2 3 3 6" xfId="48792"/>
    <cellStyle name="计算 2 2 3 3 6" xfId="22743"/>
    <cellStyle name="计算 2 2 3 3 6 2" xfId="36998"/>
    <cellStyle name="计算 2 2 3 3 6 3" xfId="42917"/>
    <cellStyle name="计算 2 2 3 3 6 4" xfId="49751"/>
    <cellStyle name="计算 2 2 3 3 7" xfId="31671"/>
    <cellStyle name="计算 2 2 3 3 7 2" xfId="17824"/>
    <cellStyle name="计算 2 2 3 3 7 3" xfId="17594"/>
    <cellStyle name="计算 2 2 3 3 8" xfId="28321"/>
    <cellStyle name="计算 2 2 3 3 9" xfId="34266"/>
    <cellStyle name="계산 2 2 3 4" xfId="12830"/>
    <cellStyle name="计算 2 2 3 4" xfId="7797"/>
    <cellStyle name="계산 2 2 3 4 2" xfId="26058"/>
    <cellStyle name="计算 2 2 3 4 2" xfId="21025"/>
    <cellStyle name="계산 2 2 3 4 3" xfId="31520"/>
    <cellStyle name="计算 2 2 3 4 3" xfId="36835"/>
    <cellStyle name="계산 2 2 3 4 4" xfId="17803"/>
    <cellStyle name="计算 2 2 3 4 4" xfId="42746"/>
    <cellStyle name="계산 2 2 3 4 5" xfId="15611"/>
    <cellStyle name="计算 2 2 3 4 5" xfId="46995"/>
    <cellStyle name="계산 2 2 3 4 6" xfId="15660"/>
    <cellStyle name="计算 2 2 3 4 6" xfId="49580"/>
    <cellStyle name="계산 2 2 3 5" xfId="13955"/>
    <cellStyle name="计算 2 2 3 5" xfId="7413"/>
    <cellStyle name="계산 2 2 3 5 2" xfId="27183"/>
    <cellStyle name="计算 2 2 3 5 2" xfId="20641"/>
    <cellStyle name="계산 2 2 3 5 3" xfId="34886"/>
    <cellStyle name="计算 2 2 3 5 3" xfId="37334"/>
    <cellStyle name="계산 2 2 3 5 4" xfId="40884"/>
    <cellStyle name="计算 2 2 3 5 4" xfId="43254"/>
    <cellStyle name="계산 2 2 3 5 5" xfId="45730"/>
    <cellStyle name="计算 2 2 3 5 5" xfId="47310"/>
    <cellStyle name="계산 2 2 3 5 6" xfId="34248"/>
    <cellStyle name="计算 2 2 3 5 6" xfId="50088"/>
    <cellStyle name="계산 2 2 3 6" xfId="7729"/>
    <cellStyle name="计算 2 2 3 6" xfId="13035"/>
    <cellStyle name="계산 2 2 3 6 2" xfId="20957"/>
    <cellStyle name="计算 2 2 3 6 2" xfId="26263"/>
    <cellStyle name="계산 2 2 3 6 3" xfId="30775"/>
    <cellStyle name="计算 2 2 3 6 3" xfId="35457"/>
    <cellStyle name="계산 2 2 3 6 4" xfId="27731"/>
    <cellStyle name="计算 2 2 3 6 4" xfId="41326"/>
    <cellStyle name="계산 2 2 3 6 5" xfId="32559"/>
    <cellStyle name="计算 2 2 3 6 5" xfId="46177"/>
    <cellStyle name="계산 2 2 3 6 6" xfId="40587"/>
    <cellStyle name="计算 2 2 3 6 6" xfId="48160"/>
    <cellStyle name="계산 2 2 3 7" xfId="19503"/>
    <cellStyle name="计算 2 2 3 7" xfId="14311"/>
    <cellStyle name="계산 2 2 3 7 2" xfId="30794"/>
    <cellStyle name="计算 2 2 3 7 2" xfId="27539"/>
    <cellStyle name="계산 2 2 3 7 3" xfId="15223"/>
    <cellStyle name="计算 2 2 3 7 3" xfId="32147"/>
    <cellStyle name="계산 2 2 3 7 4" xfId="18637"/>
    <cellStyle name="计算 2 2 3 7 4" xfId="38372"/>
    <cellStyle name="계산 2 2 3 7 5" xfId="38764"/>
    <cellStyle name="计算 2 2 3 7 5" xfId="15492"/>
    <cellStyle name="计算 2 2 3 7 6" xfId="28759"/>
    <cellStyle name="계산 2 2 3 8" xfId="31979"/>
    <cellStyle name="计算 2 2 3 8" xfId="14470"/>
    <cellStyle name="계산 2 2 3 8 2" xfId="38202"/>
    <cellStyle name="计算 2 2 3 8 2" xfId="27698"/>
    <cellStyle name="계산 2 2 3 8 3" xfId="39429"/>
    <cellStyle name="计算 2 2 3 8 3" xfId="36482"/>
    <cellStyle name="计算 2 2 3 8 4" xfId="42375"/>
    <cellStyle name="计算 2 2 3 8 5" xfId="46755"/>
    <cellStyle name="计算 2 2 3 8 6" xfId="49209"/>
    <cellStyle name="계산 2 2 3 9" xfId="29327"/>
    <cellStyle name="计算 2 2 3 9" xfId="16396"/>
    <cellStyle name="계산 2 2 4" xfId="6228"/>
    <cellStyle name="计算 2 2 4" xfId="2638"/>
    <cellStyle name="계산 2 2 4 10" xfId="35619"/>
    <cellStyle name="计算 2 2 4 10" xfId="15969"/>
    <cellStyle name="계산 2 2 4 11" xfId="30407"/>
    <cellStyle name="计算 2 2 4 11" xfId="38448"/>
    <cellStyle name="계산 2 2 4 12" xfId="45543"/>
    <cellStyle name="计算 2 2 4 12" xfId="15909"/>
    <cellStyle name="计算 2 2 4 13" xfId="50961"/>
    <cellStyle name="计算 2 2 4 14" xfId="50816"/>
    <cellStyle name="계산 2 2 4 2" xfId="10962"/>
    <cellStyle name="计算 2 2 4 2" xfId="6281"/>
    <cellStyle name="계산 2 2 4 2 2" xfId="24190"/>
    <cellStyle name="计算 2 2 4 2 2" xfId="11015"/>
    <cellStyle name="计算 2 2 4 2 2 2" xfId="24243"/>
    <cellStyle name="计算 2 2 4 2 2 3" xfId="33645"/>
    <cellStyle name="计算 2 2 4 2 2 4" xfId="44779"/>
    <cellStyle name="计算 2 2 4 2 2 5" xfId="29106"/>
    <cellStyle name="계산 2 2 4 2 3" xfId="33592"/>
    <cellStyle name="计算 2 2 4 2 3" xfId="12720"/>
    <cellStyle name="计算 2 2 4 2 3 2" xfId="25948"/>
    <cellStyle name="计算 2 2 4 2 3 3" xfId="36071"/>
    <cellStyle name="计算 2 2 4 2 3 4" xfId="41964"/>
    <cellStyle name="计算 2 2 4 2 3 5" xfId="48798"/>
    <cellStyle name="계산 2 2 4 2 4" xfId="39754"/>
    <cellStyle name="计算 2 2 4 2 4" xfId="19509"/>
    <cellStyle name="计算 2 2 4 2 4 2" xfId="31381"/>
    <cellStyle name="计算 2 2 4 2 4 3" xfId="18473"/>
    <cellStyle name="计算 2 2 4 2 4 4" xfId="45698"/>
    <cellStyle name="계산 2 2 4 2 5" xfId="44726"/>
    <cellStyle name="计算 2 2 4 2 5" xfId="34724"/>
    <cellStyle name="计算 2 2 4 2 5 2" xfId="40714"/>
    <cellStyle name="计算 2 2 4 2 5 3" xfId="17500"/>
    <cellStyle name="계산 2 2 4 2 6" xfId="15440"/>
    <cellStyle name="计算 2 2 4 2 6" xfId="29333"/>
    <cellStyle name="计算 2 2 4 2 7" xfId="16029"/>
    <cellStyle name="计算 2 2 4 2 8" xfId="41189"/>
    <cellStyle name="计算 2 2 4 2 9" xfId="32552"/>
    <cellStyle name="계산 2 2 4 3" xfId="13818"/>
    <cellStyle name="计算 2 2 4 3" xfId="9516"/>
    <cellStyle name="计算 2 2 4 3 10" xfId="38675"/>
    <cellStyle name="计算 2 2 4 3 11" xfId="15411"/>
    <cellStyle name="계산 2 2 4 3 2" xfId="27046"/>
    <cellStyle name="计算 2 2 4 3 2" xfId="13153"/>
    <cellStyle name="计算 2 2 4 3 2 2" xfId="26381"/>
    <cellStyle name="计算 2 2 4 3 2 3" xfId="32633"/>
    <cellStyle name="计算 2 2 4 3 2 4" xfId="38853"/>
    <cellStyle name="计算 2 2 4 3 2 5" xfId="46542"/>
    <cellStyle name="계산 2 2 4 3 3" xfId="36018"/>
    <cellStyle name="计算 2 2 4 3 3" xfId="7504"/>
    <cellStyle name="计算 2 2 4 3 3 2" xfId="20732"/>
    <cellStyle name="计算 2 2 4 3 3 3" xfId="35129"/>
    <cellStyle name="计算 2 2 4 3 3 4" xfId="45919"/>
    <cellStyle name="计算 2 2 4 3 3 5" xfId="47832"/>
    <cellStyle name="계산 2 2 4 3 4" xfId="41911"/>
    <cellStyle name="计算 2 2 4 3 4" xfId="13718"/>
    <cellStyle name="计算 2 2 4 3 4 2" xfId="26946"/>
    <cellStyle name="计算 2 2 4 3 4 3" xfId="32336"/>
    <cellStyle name="计算 2 2 4 3 4 4" xfId="38554"/>
    <cellStyle name="计算 2 2 4 3 4 5" xfId="28077"/>
    <cellStyle name="계산 2 2 4 3 5" xfId="46493"/>
    <cellStyle name="计算 2 2 4 3 5" xfId="7738"/>
    <cellStyle name="计算 2 2 4 3 5 2" xfId="20966"/>
    <cellStyle name="计算 2 2 4 3 5 3" xfId="40931"/>
    <cellStyle name="计算 2 2 4 3 5 4" xfId="47627"/>
    <cellStyle name="계산 2 2 4 3 6" xfId="48745"/>
    <cellStyle name="计算 2 2 4 3 6" xfId="22744"/>
    <cellStyle name="计算 2 2 4 3 6 2" xfId="34943"/>
    <cellStyle name="计算 2 2 4 3 6 3" xfId="40941"/>
    <cellStyle name="计算 2 2 4 3 6 4" xfId="47637"/>
    <cellStyle name="计算 2 2 4 3 7" xfId="37765"/>
    <cellStyle name="计算 2 2 4 3 7 2" xfId="43689"/>
    <cellStyle name="计算 2 2 4 3 7 3" xfId="50523"/>
    <cellStyle name="计算 2 2 4 3 8" xfId="28322"/>
    <cellStyle name="计算 2 2 4 3 9" xfId="32984"/>
    <cellStyle name="계산 2 2 4 4" xfId="8767"/>
    <cellStyle name="计算 2 2 4 4" xfId="7798"/>
    <cellStyle name="계산 2 2 4 4 2" xfId="21995"/>
    <cellStyle name="计算 2 2 4 4 2" xfId="21026"/>
    <cellStyle name="계산 2 2 4 4 3" xfId="29881"/>
    <cellStyle name="计算 2 2 4 4 3" xfId="35681"/>
    <cellStyle name="계산 2 2 4 4 4" xfId="16440"/>
    <cellStyle name="计算 2 2 4 4 4" xfId="41561"/>
    <cellStyle name="계산 2 2 4 4 5" xfId="34611"/>
    <cellStyle name="计算 2 2 4 4 5" xfId="46323"/>
    <cellStyle name="계산 2 2 4 4 6" xfId="43992"/>
    <cellStyle name="计算 2 2 4 4 6" xfId="48395"/>
    <cellStyle name="계산 2 2 4 5" xfId="7257"/>
    <cellStyle name="计算 2 2 4 5" xfId="7412"/>
    <cellStyle name="계산 2 2 4 5 2" xfId="20485"/>
    <cellStyle name="计算 2 2 4 5 2" xfId="20640"/>
    <cellStyle name="계산 2 2 4 5 3" xfId="30525"/>
    <cellStyle name="计算 2 2 4 5 3" xfId="31312"/>
    <cellStyle name="계산 2 2 4 5 4" xfId="15191"/>
    <cellStyle name="计算 2 2 4 5 4" xfId="17192"/>
    <cellStyle name="계산 2 2 4 5 5" xfId="33220"/>
    <cellStyle name="计算 2 2 4 5 5" xfId="34572"/>
    <cellStyle name="계산 2 2 4 5 6" xfId="45587"/>
    <cellStyle name="计算 2 2 4 5 6" xfId="46747"/>
    <cellStyle name="계산 2 2 4 6" xfId="13476"/>
    <cellStyle name="计算 2 2 4 6" xfId="14173"/>
    <cellStyle name="계산 2 2 4 6 2" xfId="26704"/>
    <cellStyle name="计算 2 2 4 6 2" xfId="27401"/>
    <cellStyle name="계산 2 2 4 6 3" xfId="37243"/>
    <cellStyle name="计算 2 2 4 6 3" xfId="34813"/>
    <cellStyle name="계산 2 2 4 6 4" xfId="43163"/>
    <cellStyle name="计算 2 2 4 6 4" xfId="40809"/>
    <cellStyle name="계산 2 2 4 6 5" xfId="47259"/>
    <cellStyle name="计算 2 2 4 6 5" xfId="45682"/>
    <cellStyle name="계산 2 2 4 6 6" xfId="49997"/>
    <cellStyle name="计算 2 2 4 6 6" xfId="32474"/>
    <cellStyle name="계산 2 2 4 7" xfId="19456"/>
    <cellStyle name="计算 2 2 4 7" xfId="8745"/>
    <cellStyle name="계산 2 2 4 7 2" xfId="36722"/>
    <cellStyle name="计算 2 2 4 7 2" xfId="21973"/>
    <cellStyle name="계산 2 2 4 7 3" xfId="42627"/>
    <cellStyle name="计算 2 2 4 7 3" xfId="34831"/>
    <cellStyle name="계산 2 2 4 7 4" xfId="46924"/>
    <cellStyle name="计算 2 2 4 7 4" xfId="40830"/>
    <cellStyle name="계산 2 2 4 7 5" xfId="49461"/>
    <cellStyle name="计算 2 2 4 7 5" xfId="45697"/>
    <cellStyle name="计算 2 2 4 7 6" xfId="34507"/>
    <cellStyle name="계산 2 2 4 8" xfId="31544"/>
    <cellStyle name="计算 2 2 4 8" xfId="8717"/>
    <cellStyle name="계산 2 2 4 8 2" xfId="17297"/>
    <cellStyle name="计算 2 2 4 8 2" xfId="21945"/>
    <cellStyle name="계산 2 2 4 8 3" xfId="15302"/>
    <cellStyle name="计算 2 2 4 8 3" xfId="37701"/>
    <cellStyle name="计算 2 2 4 8 4" xfId="43624"/>
    <cellStyle name="计算 2 2 4 8 5" xfId="47505"/>
    <cellStyle name="计算 2 2 4 8 6" xfId="50458"/>
    <cellStyle name="계산 2 2 4 9" xfId="29280"/>
    <cellStyle name="计算 2 2 4 9" xfId="16397"/>
    <cellStyle name="계산 2 2 5" xfId="6154"/>
    <cellStyle name="计算 2 2 5" xfId="2639"/>
    <cellStyle name="계산 2 2 5 10" xfId="30194"/>
    <cellStyle name="计算 2 2 5 10" xfId="15968"/>
    <cellStyle name="계산 2 2 5 11" xfId="28652"/>
    <cellStyle name="计算 2 2 5 11" xfId="40313"/>
    <cellStyle name="계산 2 2 5 12" xfId="44062"/>
    <cellStyle name="计算 2 2 5 12" xfId="40514"/>
    <cellStyle name="计算 2 2 5 13" xfId="50962"/>
    <cellStyle name="计算 2 2 5 14" xfId="50815"/>
    <cellStyle name="계산 2 2 5 2" xfId="10888"/>
    <cellStyle name="计算 2 2 5 2" xfId="6282"/>
    <cellStyle name="계산 2 2 5 2 2" xfId="24116"/>
    <cellStyle name="计算 2 2 5 2 2" xfId="11016"/>
    <cellStyle name="计算 2 2 5 2 2 2" xfId="24244"/>
    <cellStyle name="计算 2 2 5 2 2 3" xfId="33646"/>
    <cellStyle name="计算 2 2 5 2 2 4" xfId="44780"/>
    <cellStyle name="计算 2 2 5 2 2 5" xfId="15399"/>
    <cellStyle name="계산 2 2 5 2 3" xfId="33518"/>
    <cellStyle name="计算 2 2 5 2 3" xfId="6962"/>
    <cellStyle name="计算 2 2 5 2 3 2" xfId="20190"/>
    <cellStyle name="计算 2 2 5 2 3 3" xfId="36072"/>
    <cellStyle name="计算 2 2 5 2 3 4" xfId="41965"/>
    <cellStyle name="计算 2 2 5 2 3 5" xfId="48799"/>
    <cellStyle name="계산 2 2 5 2 4" xfId="39699"/>
    <cellStyle name="计算 2 2 5 2 4" xfId="19510"/>
    <cellStyle name="计算 2 2 5 2 4 2" xfId="36487"/>
    <cellStyle name="计算 2 2 5 2 4 3" xfId="42380"/>
    <cellStyle name="计算 2 2 5 2 4 4" xfId="49214"/>
    <cellStyle name="계산 2 2 5 2 5" xfId="44656"/>
    <cellStyle name="计算 2 2 5 2 5" xfId="37523"/>
    <cellStyle name="计算 2 2 5 2 5 2" xfId="43444"/>
    <cellStyle name="计算 2 2 5 2 5 3" xfId="50278"/>
    <cellStyle name="계산 2 2 5 2 6" xfId="46448"/>
    <cellStyle name="计算 2 2 5 2 6" xfId="29334"/>
    <cellStyle name="计算 2 2 5 2 7" xfId="16030"/>
    <cellStyle name="计算 2 2 5 2 8" xfId="33357"/>
    <cellStyle name="计算 2 2 5 2 9" xfId="45191"/>
    <cellStyle name="계산 2 2 5 3" xfId="13772"/>
    <cellStyle name="计算 2 2 5 3" xfId="9517"/>
    <cellStyle name="计算 2 2 5 3 10" xfId="34495"/>
    <cellStyle name="计算 2 2 5 3 11" xfId="17966"/>
    <cellStyle name="계산 2 2 5 3 2" xfId="27000"/>
    <cellStyle name="计算 2 2 5 3 2" xfId="13154"/>
    <cellStyle name="计算 2 2 5 3 2 2" xfId="26382"/>
    <cellStyle name="计算 2 2 5 3 2 3" xfId="32634"/>
    <cellStyle name="计算 2 2 5 3 2 4" xfId="38854"/>
    <cellStyle name="计算 2 2 5 3 2 5" xfId="27919"/>
    <cellStyle name="계산 2 2 5 3 3" xfId="35944"/>
    <cellStyle name="计算 2 2 5 3 3" xfId="8559"/>
    <cellStyle name="计算 2 2 5 3 3 2" xfId="21787"/>
    <cellStyle name="计算 2 2 5 3 3 3" xfId="35130"/>
    <cellStyle name="计算 2 2 5 3 3 4" xfId="45920"/>
    <cellStyle name="计算 2 2 5 3 3 5" xfId="47833"/>
    <cellStyle name="계산 2 2 5 3 4" xfId="41837"/>
    <cellStyle name="计算 2 2 5 3 4" xfId="14292"/>
    <cellStyle name="计算 2 2 5 3 4 2" xfId="27520"/>
    <cellStyle name="计算 2 2 5 3 4 3" xfId="29822"/>
    <cellStyle name="计算 2 2 5 3 4 4" xfId="35584"/>
    <cellStyle name="计算 2 2 5 3 4 5" xfId="17622"/>
    <cellStyle name="계산 2 2 5 3 5" xfId="46450"/>
    <cellStyle name="计算 2 2 5 3 5" xfId="14299"/>
    <cellStyle name="计算 2 2 5 3 5 2" xfId="27527"/>
    <cellStyle name="计算 2 2 5 3 5 3" xfId="42754"/>
    <cellStyle name="计算 2 2 5 3 5 4" xfId="49588"/>
    <cellStyle name="계산 2 2 5 3 6" xfId="48671"/>
    <cellStyle name="计算 2 2 5 3 6" xfId="22745"/>
    <cellStyle name="计算 2 2 5 3 6 2" xfId="29782"/>
    <cellStyle name="计算 2 2 5 3 6 3" xfId="31635"/>
    <cellStyle name="计算 2 2 5 3 6 4" xfId="30033"/>
    <cellStyle name="计算 2 2 5 3 7" xfId="36756"/>
    <cellStyle name="计算 2 2 5 3 7 2" xfId="42663"/>
    <cellStyle name="计算 2 2 5 3 7 3" xfId="49497"/>
    <cellStyle name="计算 2 2 5 3 8" xfId="28323"/>
    <cellStyle name="计算 2 2 5 3 9" xfId="28680"/>
    <cellStyle name="계산 2 2 5 4" xfId="8044"/>
    <cellStyle name="计算 2 2 5 4" xfId="7799"/>
    <cellStyle name="계산 2 2 5 4 2" xfId="21272"/>
    <cellStyle name="计算 2 2 5 4 2" xfId="21027"/>
    <cellStyle name="계산 2 2 5 4 3" xfId="32411"/>
    <cellStyle name="计算 2 2 5 4 3" xfId="36746"/>
    <cellStyle name="계산 2 2 5 4 4" xfId="38629"/>
    <cellStyle name="计算 2 2 5 4 4" xfId="42651"/>
    <cellStyle name="계산 2 2 5 4 5" xfId="43963"/>
    <cellStyle name="计算 2 2 5 4 5" xfId="46939"/>
    <cellStyle name="계산 2 2 5 4 6" xfId="39344"/>
    <cellStyle name="计算 2 2 5 4 6" xfId="49485"/>
    <cellStyle name="계산 2 2 5 5" xfId="7292"/>
    <cellStyle name="计算 2 2 5 5" xfId="7411"/>
    <cellStyle name="계산 2 2 5 5 2" xfId="20520"/>
    <cellStyle name="计算 2 2 5 5 2" xfId="20639"/>
    <cellStyle name="계산 2 2 5 5 3" xfId="30601"/>
    <cellStyle name="计算 2 2 5 5 3" xfId="37232"/>
    <cellStyle name="계산 2 2 5 5 4" xfId="16857"/>
    <cellStyle name="计算 2 2 5 5 4" xfId="43151"/>
    <cellStyle name="계산 2 2 5 5 5" xfId="34481"/>
    <cellStyle name="计算 2 2 5 5 5" xfId="47252"/>
    <cellStyle name="계산 2 2 5 5 6" xfId="32215"/>
    <cellStyle name="计算 2 2 5 5 6" xfId="49985"/>
    <cellStyle name="계산 2 2 5 6" xfId="14085"/>
    <cellStyle name="计算 2 2 5 6" xfId="13568"/>
    <cellStyle name="계산 2 2 5 6 2" xfId="27313"/>
    <cellStyle name="计算 2 2 5 6 2" xfId="26796"/>
    <cellStyle name="계산 2 2 5 6 3" xfId="32047"/>
    <cellStyle name="计算 2 2 5 6 3" xfId="30334"/>
    <cellStyle name="계산 2 2 5 6 4" xfId="38270"/>
    <cellStyle name="计算 2 2 5 6 4" xfId="16755"/>
    <cellStyle name="계산 2 2 5 6 5" xfId="33402"/>
    <cellStyle name="计算 2 2 5 6 5" xfId="28242"/>
    <cellStyle name="계산 2 2 5 6 6" xfId="46739"/>
    <cellStyle name="计算 2 2 5 6 6" xfId="45295"/>
    <cellStyle name="계산 2 2 5 7" xfId="19382"/>
    <cellStyle name="计算 2 2 5 7" xfId="14300"/>
    <cellStyle name="계산 2 2 5 7 2" xfId="31582"/>
    <cellStyle name="计算 2 2 5 7 2" xfId="27528"/>
    <cellStyle name="계산 2 2 5 7 3" xfId="15138"/>
    <cellStyle name="计算 2 2 5 7 3" xfId="36760"/>
    <cellStyle name="계산 2 2 5 7 4" xfId="17574"/>
    <cellStyle name="计算 2 2 5 7 4" xfId="42667"/>
    <cellStyle name="계산 2 2 5 7 5" xfId="47318"/>
    <cellStyle name="计算 2 2 5 7 5" xfId="46949"/>
    <cellStyle name="计算 2 2 5 7 6" xfId="49501"/>
    <cellStyle name="계산 2 2 5 8" xfId="36721"/>
    <cellStyle name="计算 2 2 5 8" xfId="14483"/>
    <cellStyle name="계산 2 2 5 8 2" xfId="42626"/>
    <cellStyle name="计算 2 2 5 8 2" xfId="27711"/>
    <cellStyle name="계산 2 2 5 8 3" xfId="49460"/>
    <cellStyle name="计算 2 2 5 8 3" xfId="37190"/>
    <cellStyle name="计算 2 2 5 8 4" xfId="43109"/>
    <cellStyle name="计算 2 2 5 8 5" xfId="47229"/>
    <cellStyle name="计算 2 2 5 8 6" xfId="49943"/>
    <cellStyle name="계산 2 2 5 9" xfId="29206"/>
    <cellStyle name="计算 2 2 5 9" xfId="16398"/>
    <cellStyle name="계산 2 2 6" xfId="9510"/>
    <cellStyle name="计算 2 2 6" xfId="2640"/>
    <cellStyle name="계산 2 2 6 10" xfId="28199"/>
    <cellStyle name="计算 2 2 6 10" xfId="17460"/>
    <cellStyle name="계산 2 2 6 11" xfId="40612"/>
    <cellStyle name="计算 2 2 6 11" xfId="39226"/>
    <cellStyle name="계산 2 2 6 12" xfId="17456"/>
    <cellStyle name="计算 2 2 6 12" xfId="39535"/>
    <cellStyle name="计算 2 2 6 13" xfId="50963"/>
    <cellStyle name="计算 2 2 6 14" xfId="50813"/>
    <cellStyle name="계산 2 2 6 2" xfId="13147"/>
    <cellStyle name="计算 2 2 6 2" xfId="6283"/>
    <cellStyle name="계산 2 2 6 2 2" xfId="26375"/>
    <cellStyle name="计算 2 2 6 2 2" xfId="11017"/>
    <cellStyle name="计算 2 2 6 2 2 2" xfId="24245"/>
    <cellStyle name="计算 2 2 6 2 2 3" xfId="33647"/>
    <cellStyle name="计算 2 2 6 2 2 4" xfId="44781"/>
    <cellStyle name="计算 2 2 6 2 2 5" xfId="17398"/>
    <cellStyle name="계산 2 2 6 2 3" xfId="32627"/>
    <cellStyle name="计算 2 2 6 2 3" xfId="6963"/>
    <cellStyle name="计算 2 2 6 2 3 2" xfId="20191"/>
    <cellStyle name="计算 2 2 6 2 3 3" xfId="36073"/>
    <cellStyle name="计算 2 2 6 2 3 4" xfId="41966"/>
    <cellStyle name="计算 2 2 6 2 3 5" xfId="48800"/>
    <cellStyle name="계산 2 2 6 2 4" xfId="38847"/>
    <cellStyle name="计算 2 2 6 2 4" xfId="19511"/>
    <cellStyle name="计算 2 2 6 2 4 2" xfId="31926"/>
    <cellStyle name="计算 2 2 6 2 4 3" xfId="38148"/>
    <cellStyle name="计算 2 2 6 2 4 4" xfId="47529"/>
    <cellStyle name="계산 2 2 6 2 5" xfId="44110"/>
    <cellStyle name="计算 2 2 6 2 5" xfId="35803"/>
    <cellStyle name="计算 2 2 6 2 5 2" xfId="41687"/>
    <cellStyle name="计算 2 2 6 2 5 3" xfId="48521"/>
    <cellStyle name="계산 2 2 6 2 6" xfId="45776"/>
    <cellStyle name="计算 2 2 6 2 6" xfId="29335"/>
    <cellStyle name="计算 2 2 6 2 7" xfId="16031"/>
    <cellStyle name="计算 2 2 6 2 8" xfId="39876"/>
    <cellStyle name="计算 2 2 6 2 9" xfId="44058"/>
    <cellStyle name="계산 2 2 6 3" xfId="7498"/>
    <cellStyle name="计算 2 2 6 3" xfId="9518"/>
    <cellStyle name="计算 2 2 6 3 10" xfId="39333"/>
    <cellStyle name="计算 2 2 6 3 11" xfId="45292"/>
    <cellStyle name="계산 2 2 6 3 2" xfId="20726"/>
    <cellStyle name="计算 2 2 6 3 2" xfId="13155"/>
    <cellStyle name="计算 2 2 6 3 2 2" xfId="26383"/>
    <cellStyle name="计算 2 2 6 3 2 3" xfId="32635"/>
    <cellStyle name="计算 2 2 6 3 2 4" xfId="38855"/>
    <cellStyle name="计算 2 2 6 3 2 5" xfId="17931"/>
    <cellStyle name="계산 2 2 6 3 3" xfId="35123"/>
    <cellStyle name="计算 2 2 6 3 3" xfId="7537"/>
    <cellStyle name="计算 2 2 6 3 3 2" xfId="20765"/>
    <cellStyle name="计算 2 2 6 3 3 3" xfId="35131"/>
    <cellStyle name="计算 2 2 6 3 3 4" xfId="45921"/>
    <cellStyle name="计算 2 2 6 3 3 5" xfId="47834"/>
    <cellStyle name="계산 2 2 6 3 4" xfId="41107"/>
    <cellStyle name="计算 2 2 6 3 4" xfId="13539"/>
    <cellStyle name="计算 2 2 6 3 4 2" xfId="26767"/>
    <cellStyle name="计算 2 2 6 3 4 3" xfId="31842"/>
    <cellStyle name="计算 2 2 6 3 4 4" xfId="38063"/>
    <cellStyle name="计算 2 2 6 3 4 5" xfId="46294"/>
    <cellStyle name="계산 2 2 6 3 5" xfId="45913"/>
    <cellStyle name="计算 2 2 6 3 5" xfId="8747"/>
    <cellStyle name="计算 2 2 6 3 5 2" xfId="21975"/>
    <cellStyle name="计算 2 2 6 3 5 3" xfId="41570"/>
    <cellStyle name="计算 2 2 6 3 5 4" xfId="48404"/>
    <cellStyle name="계산 2 2 6 3 6" xfId="47826"/>
    <cellStyle name="计算 2 2 6 3 6" xfId="22746"/>
    <cellStyle name="计算 2 2 6 3 6 2" xfId="30292"/>
    <cellStyle name="计算 2 2 6 3 6 3" xfId="16728"/>
    <cellStyle name="计算 2 2 6 3 6 4" xfId="17556"/>
    <cellStyle name="计算 2 2 6 3 7" xfId="31824"/>
    <cellStyle name="计算 2 2 6 3 7 2" xfId="38045"/>
    <cellStyle name="计算 2 2 6 3 7 3" xfId="28091"/>
    <cellStyle name="计算 2 2 6 3 8" xfId="28324"/>
    <cellStyle name="计算 2 2 6 3 9" xfId="33359"/>
    <cellStyle name="계산 2 2 6 4" xfId="14178"/>
    <cellStyle name="计算 2 2 6 4" xfId="7800"/>
    <cellStyle name="계산 2 2 6 4 2" xfId="27406"/>
    <cellStyle name="计算 2 2 6 4 2" xfId="21028"/>
    <cellStyle name="계산 2 2 6 4 3" xfId="29821"/>
    <cellStyle name="计算 2 2 6 4 3" xfId="35556"/>
    <cellStyle name="계산 2 2 6 4 4" xfId="17676"/>
    <cellStyle name="计算 2 2 6 4 4" xfId="41431"/>
    <cellStyle name="계산 2 2 6 4 5" xfId="15742"/>
    <cellStyle name="计算 2 2 6 4 5" xfId="46242"/>
    <cellStyle name="계산 2 2 6 4 6" xfId="45380"/>
    <cellStyle name="计算 2 2 6 4 6" xfId="48265"/>
    <cellStyle name="계산 2 2 6 5" xfId="8519"/>
    <cellStyle name="计算 2 2 6 5" xfId="14097"/>
    <cellStyle name="계산 2 2 6 5 2" xfId="21747"/>
    <cellStyle name="计算 2 2 6 5 2" xfId="27325"/>
    <cellStyle name="계산 2 2 6 5 3" xfId="40930"/>
    <cellStyle name="计算 2 2 6 5 3" xfId="31276"/>
    <cellStyle name="계산 2 2 6 5 4" xfId="47626"/>
    <cellStyle name="计算 2 2 6 5 4" xfId="17128"/>
    <cellStyle name="计算 2 2 6 5 5" xfId="14515"/>
    <cellStyle name="计算 2 2 6 5 6" xfId="45581"/>
    <cellStyle name="계산 2 2 6 6" xfId="22738"/>
    <cellStyle name="计算 2 2 6 6" xfId="7740"/>
    <cellStyle name="계산 2 2 6 6 2" xfId="30240"/>
    <cellStyle name="计算 2 2 6 6 2" xfId="20968"/>
    <cellStyle name="계산 2 2 6 6 3" xfId="16690"/>
    <cellStyle name="计算 2 2 6 6 3" xfId="35893"/>
    <cellStyle name="계산 2 2 6 6 4" xfId="33392"/>
    <cellStyle name="计算 2 2 6 6 4" xfId="41785"/>
    <cellStyle name="계산 2 2 6 6 5" xfId="16518"/>
    <cellStyle name="计算 2 2 6 6 5" xfId="46405"/>
    <cellStyle name="计算 2 2 6 6 6" xfId="48619"/>
    <cellStyle name="계산 2 2 6 7" xfId="30690"/>
    <cellStyle name="计算 2 2 6 7" xfId="12879"/>
    <cellStyle name="계산 2 2 6 7 2" xfId="17838"/>
    <cellStyle name="计算 2 2 6 7 2" xfId="26107"/>
    <cellStyle name="계산 2 2 6 7 3" xfId="15948"/>
    <cellStyle name="计算 2 2 6 7 3" xfId="30261"/>
    <cellStyle name="计算 2 2 6 7 4" xfId="16706"/>
    <cellStyle name="计算 2 2 6 7 5" xfId="14499"/>
    <cellStyle name="计算 2 2 6 7 6" xfId="28150"/>
    <cellStyle name="계산 2 2 6 8" xfId="29741"/>
    <cellStyle name="计算 2 2 6 8" xfId="16399"/>
    <cellStyle name="계산 2 2 6 8 2" xfId="16320"/>
    <cellStyle name="计算 2 2 6 8 2" xfId="43755"/>
    <cellStyle name="계산 2 2 6 8 3" xfId="33329"/>
    <cellStyle name="计算 2 2 6 8 3" xfId="50589"/>
    <cellStyle name="계산 2 2 6 9" xfId="28316"/>
    <cellStyle name="计算 2 2 6 9" xfId="15967"/>
    <cellStyle name="계산 2 2 7" xfId="11738"/>
    <cellStyle name="计算 2 2 7" xfId="2641"/>
    <cellStyle name="계산 2 2 7 10" xfId="45236"/>
    <cellStyle name="计算 2 2 7 10" xfId="29991"/>
    <cellStyle name="계산 2 2 7 11" xfId="38482"/>
    <cellStyle name="计算 2 2 7 11" xfId="34056"/>
    <cellStyle name="计算 2 2 7 12" xfId="17615"/>
    <cellStyle name="计算 2 2 7 13" xfId="50964"/>
    <cellStyle name="计算 2 2 7 14" xfId="50812"/>
    <cellStyle name="계산 2 2 7 2" xfId="12683"/>
    <cellStyle name="计算 2 2 7 2" xfId="6284"/>
    <cellStyle name="계산 2 2 7 2 2" xfId="25911"/>
    <cellStyle name="计算 2 2 7 2 2" xfId="11018"/>
    <cellStyle name="计算 2 2 7 2 2 2" xfId="24246"/>
    <cellStyle name="计算 2 2 7 2 2 3" xfId="33648"/>
    <cellStyle name="计算 2 2 7 2 2 4" xfId="44782"/>
    <cellStyle name="计算 2 2 7 2 2 5" xfId="17466"/>
    <cellStyle name="계산 2 2 7 2 3" xfId="36607"/>
    <cellStyle name="计算 2 2 7 2 3" xfId="12828"/>
    <cellStyle name="计算 2 2 7 2 3 2" xfId="26056"/>
    <cellStyle name="计算 2 2 7 2 3 3" xfId="36074"/>
    <cellStyle name="计算 2 2 7 2 3 4" xfId="41967"/>
    <cellStyle name="计算 2 2 7 2 3 5" xfId="48801"/>
    <cellStyle name="계산 2 2 7 2 4" xfId="42509"/>
    <cellStyle name="计算 2 2 7 2 4" xfId="19512"/>
    <cellStyle name="计算 2 2 7 2 4 2" xfId="37039"/>
    <cellStyle name="计算 2 2 7 2 4 3" xfId="42958"/>
    <cellStyle name="计算 2 2 7 2 4 4" xfId="49792"/>
    <cellStyle name="계산 2 2 7 2 5" xfId="46839"/>
    <cellStyle name="计算 2 2 7 2 5" xfId="31623"/>
    <cellStyle name="计算 2 2 7 2 5 2" xfId="17337"/>
    <cellStyle name="计算 2 2 7 2 5 3" xfId="47514"/>
    <cellStyle name="계산 2 2 7 2 6" xfId="49343"/>
    <cellStyle name="计算 2 2 7 2 6" xfId="29336"/>
    <cellStyle name="计算 2 2 7 2 7" xfId="16032"/>
    <cellStyle name="计算 2 2 7 2 8" xfId="34467"/>
    <cellStyle name="计算 2 2 7 2 9" xfId="34177"/>
    <cellStyle name="계산 2 2 7 3" xfId="14435"/>
    <cellStyle name="计算 2 2 7 3" xfId="9519"/>
    <cellStyle name="计算 2 2 7 3 10" xfId="40397"/>
    <cellStyle name="计算 2 2 7 3 11" xfId="44286"/>
    <cellStyle name="계산 2 2 7 3 2" xfId="27663"/>
    <cellStyle name="计算 2 2 7 3 2" xfId="13156"/>
    <cellStyle name="计算 2 2 7 3 2 2" xfId="26384"/>
    <cellStyle name="计算 2 2 7 3 2 3" xfId="32636"/>
    <cellStyle name="计算 2 2 7 3 2 4" xfId="38856"/>
    <cellStyle name="计算 2 2 7 3 2 5" xfId="47093"/>
    <cellStyle name="계산 2 2 7 3 3" xfId="37095"/>
    <cellStyle name="计算 2 2 7 3 3" xfId="7505"/>
    <cellStyle name="计算 2 2 7 3 3 2" xfId="20733"/>
    <cellStyle name="计算 2 2 7 3 3 3" xfId="35132"/>
    <cellStyle name="计算 2 2 7 3 3 4" xfId="45922"/>
    <cellStyle name="计算 2 2 7 3 3 5" xfId="47835"/>
    <cellStyle name="계산 2 2 7 3 4" xfId="43014"/>
    <cellStyle name="计算 2 2 7 3 4" xfId="14151"/>
    <cellStyle name="计算 2 2 7 3 4 2" xfId="27379"/>
    <cellStyle name="计算 2 2 7 3 4 3" xfId="29823"/>
    <cellStyle name="计算 2 2 7 3 4 4" xfId="28796"/>
    <cellStyle name="计算 2 2 7 3 4 5" xfId="32961"/>
    <cellStyle name="계산 2 2 7 3 5" xfId="47158"/>
    <cellStyle name="计算 2 2 7 3 5" xfId="14335"/>
    <cellStyle name="计算 2 2 7 3 5 2" xfId="27563"/>
    <cellStyle name="计算 2 2 7 3 5 3" xfId="16654"/>
    <cellStyle name="计算 2 2 7 3 5 4" xfId="45422"/>
    <cellStyle name="계산 2 2 7 3 6" xfId="49848"/>
    <cellStyle name="计算 2 2 7 3 6" xfId="22747"/>
    <cellStyle name="计算 2 2 7 3 6 2" xfId="36750"/>
    <cellStyle name="计算 2 2 7 3 6 3" xfId="42657"/>
    <cellStyle name="计算 2 2 7 3 6 4" xfId="49491"/>
    <cellStyle name="计算 2 2 7 3 7" xfId="37414"/>
    <cellStyle name="计算 2 2 7 3 7 2" xfId="43334"/>
    <cellStyle name="计算 2 2 7 3 7 3" xfId="50168"/>
    <cellStyle name="计算 2 2 7 3 8" xfId="28325"/>
    <cellStyle name="计算 2 2 7 3 9" xfId="34526"/>
    <cellStyle name="계산 2 2 7 4" xfId="13563"/>
    <cellStyle name="计算 2 2 7 4" xfId="7801"/>
    <cellStyle name="계산 2 2 7 4 2" xfId="26791"/>
    <cellStyle name="计算 2 2 7 4 2" xfId="21029"/>
    <cellStyle name="계산 2 2 7 4 3" xfId="30524"/>
    <cellStyle name="计算 2 2 7 4 3" xfId="36964"/>
    <cellStyle name="계산 2 2 7 4 4" xfId="16826"/>
    <cellStyle name="计算 2 2 7 4 4" xfId="42882"/>
    <cellStyle name="계산 2 2 7 4 5" xfId="34479"/>
    <cellStyle name="计算 2 2 7 4 5" xfId="47066"/>
    <cellStyle name="계산 2 2 7 4 6" xfId="45791"/>
    <cellStyle name="计算 2 2 7 4 6" xfId="49716"/>
    <cellStyle name="계산 2 2 7 5" xfId="24966"/>
    <cellStyle name="计算 2 2 7 5" xfId="14382"/>
    <cellStyle name="계산 2 2 7 5 2" xfId="29899"/>
    <cellStyle name="计算 2 2 7 5 2" xfId="27610"/>
    <cellStyle name="계산 2 2 7 5 3" xfId="18309"/>
    <cellStyle name="计算 2 2 7 5 3" xfId="37463"/>
    <cellStyle name="계산 2 2 7 5 4" xfId="17458"/>
    <cellStyle name="计算 2 2 7 5 4" xfId="43383"/>
    <cellStyle name="계산 2 2 7 5 5" xfId="39174"/>
    <cellStyle name="计算 2 2 7 5 5" xfId="47382"/>
    <cellStyle name="计算 2 2 7 5 6" xfId="50217"/>
    <cellStyle name="계산 2 2 7 6" xfId="37155"/>
    <cellStyle name="计算 2 2 7 6" xfId="6708"/>
    <cellStyle name="계산 2 2 7 6 2" xfId="43074"/>
    <cellStyle name="计算 2 2 7 6 2" xfId="19936"/>
    <cellStyle name="계산 2 2 7 6 3" xfId="49908"/>
    <cellStyle name="计算 2 2 7 6 3" xfId="37573"/>
    <cellStyle name="计算 2 2 7 6 4" xfId="43494"/>
    <cellStyle name="计算 2 2 7 6 5" xfId="47436"/>
    <cellStyle name="计算 2 2 7 6 6" xfId="50328"/>
    <cellStyle name="계산 2 2 7 7" xfId="37881"/>
    <cellStyle name="计算 2 2 7 7" xfId="16400"/>
    <cellStyle name="계산 2 2 7 7 2" xfId="43806"/>
    <cellStyle name="计算 2 2 7 7 2" xfId="43686"/>
    <cellStyle name="계산 2 2 7 7 3" xfId="50640"/>
    <cellStyle name="计算 2 2 7 7 3" xfId="50520"/>
    <cellStyle name="계산 2 2 7 8" xfId="34202"/>
    <cellStyle name="计算 2 2 7 8" xfId="37396"/>
    <cellStyle name="计算 2 2 7 8 2" xfId="43316"/>
    <cellStyle name="计算 2 2 7 8 3" xfId="50150"/>
    <cellStyle name="계산 2 2 7 9" xfId="40227"/>
    <cellStyle name="计算 2 2 7 9" xfId="15966"/>
    <cellStyle name="계산 2 2 8" xfId="7792"/>
    <cellStyle name="计算 2 2 8" xfId="2642"/>
    <cellStyle name="计算 2 2 8 10" xfId="50811"/>
    <cellStyle name="계산 2 2 8 2" xfId="21020"/>
    <cellStyle name="计算 2 2 8 2" xfId="6285"/>
    <cellStyle name="计算 2 2 8 2 2" xfId="11019"/>
    <cellStyle name="计算 2 2 8 2 2 2" xfId="24247"/>
    <cellStyle name="计算 2 2 8 2 2 3" xfId="33649"/>
    <cellStyle name="计算 2 2 8 2 2 4" xfId="44783"/>
    <cellStyle name="计算 2 2 8 2 2 5" xfId="29983"/>
    <cellStyle name="计算 2 2 8 2 3" xfId="7180"/>
    <cellStyle name="计算 2 2 8 2 3 2" xfId="20408"/>
    <cellStyle name="计算 2 2 8 2 3 3" xfId="36075"/>
    <cellStyle name="计算 2 2 8 2 3 4" xfId="41968"/>
    <cellStyle name="计算 2 2 8 2 3 5" xfId="48802"/>
    <cellStyle name="计算 2 2 8 2 4" xfId="19513"/>
    <cellStyle name="计算 2 2 8 2 4 2" xfId="37325"/>
    <cellStyle name="计算 2 2 8 2 4 3" xfId="43245"/>
    <cellStyle name="计算 2 2 8 2 4 4" xfId="50079"/>
    <cellStyle name="计算 2 2 8 2 5" xfId="29749"/>
    <cellStyle name="计算 2 2 8 2 5 2" xfId="15155"/>
    <cellStyle name="计算 2 2 8 2 5 3" xfId="39269"/>
    <cellStyle name="计算 2 2 8 2 6" xfId="29337"/>
    <cellStyle name="计算 2 2 8 2 7" xfId="16033"/>
    <cellStyle name="计算 2 2 8 2 8" xfId="44459"/>
    <cellStyle name="계산 2 2 8 3" xfId="30896"/>
    <cellStyle name="计算 2 2 8 3" xfId="9520"/>
    <cellStyle name="计算 2 2 8 3 10" xfId="39238"/>
    <cellStyle name="计算 2 2 8 3 2" xfId="13157"/>
    <cellStyle name="计算 2 2 8 3 2 2" xfId="26385"/>
    <cellStyle name="计算 2 2 8 3 2 3" xfId="32637"/>
    <cellStyle name="计算 2 2 8 3 2 4" xfId="38857"/>
    <cellStyle name="计算 2 2 8 3 2 5" xfId="46201"/>
    <cellStyle name="计算 2 2 8 3 3" xfId="12989"/>
    <cellStyle name="计算 2 2 8 3 3 2" xfId="26217"/>
    <cellStyle name="计算 2 2 8 3 3 3" xfId="35133"/>
    <cellStyle name="计算 2 2 8 3 3 4" xfId="45923"/>
    <cellStyle name="计算 2 2 8 3 3 5" xfId="47836"/>
    <cellStyle name="计算 2 2 8 3 4" xfId="13605"/>
    <cellStyle name="计算 2 2 8 3 4 2" xfId="26833"/>
    <cellStyle name="计算 2 2 8 3 4 3" xfId="30961"/>
    <cellStyle name="计算 2 2 8 3 4 4" xfId="17999"/>
    <cellStyle name="计算 2 2 8 3 4 5" xfId="38470"/>
    <cellStyle name="计算 2 2 8 3 5" xfId="7444"/>
    <cellStyle name="计算 2 2 8 3 5 2" xfId="20672"/>
    <cellStyle name="计算 2 2 8 3 5 3" xfId="42465"/>
    <cellStyle name="计算 2 2 8 3 5 4" xfId="49299"/>
    <cellStyle name="计算 2 2 8 3 6" xfId="22748"/>
    <cellStyle name="计算 2 2 8 3 6 2" xfId="37403"/>
    <cellStyle name="计算 2 2 8 3 6 3" xfId="43323"/>
    <cellStyle name="计算 2 2 8 3 6 4" xfId="50157"/>
    <cellStyle name="计算 2 2 8 3 7" xfId="31376"/>
    <cellStyle name="计算 2 2 8 3 7 2" xfId="18472"/>
    <cellStyle name="计算 2 2 8 3 7 3" xfId="45578"/>
    <cellStyle name="计算 2 2 8 3 8" xfId="28326"/>
    <cellStyle name="计算 2 2 8 3 9" xfId="15780"/>
    <cellStyle name="계산 2 2 8 4" xfId="16975"/>
    <cellStyle name="计算 2 2 8 4" xfId="7802"/>
    <cellStyle name="计算 2 2 8 4 2" xfId="21030"/>
    <cellStyle name="계산 2 2 8 5" xfId="15699"/>
    <cellStyle name="计算 2 2 8 5" xfId="15965"/>
    <cellStyle name="계산 2 2 8 6" xfId="29014"/>
    <cellStyle name="计算 2 2 8 6" xfId="34105"/>
    <cellStyle name="计算 2 2 8 7" xfId="39576"/>
    <cellStyle name="计算 2 2 8 8" xfId="39351"/>
    <cellStyle name="计算 2 2 8 9" xfId="50965"/>
    <cellStyle name="계산 2 2 9" xfId="7416"/>
    <cellStyle name="计算 2 2 9" xfId="2643"/>
    <cellStyle name="计算 2 2 9 10" xfId="50810"/>
    <cellStyle name="계산 2 2 9 2" xfId="20644"/>
    <cellStyle name="计算 2 2 9 2" xfId="6286"/>
    <cellStyle name="计算 2 2 9 2 2" xfId="11020"/>
    <cellStyle name="计算 2 2 9 2 2 2" xfId="24248"/>
    <cellStyle name="计算 2 2 9 2 2 3" xfId="33650"/>
    <cellStyle name="计算 2 2 9 2 2 4" xfId="44784"/>
    <cellStyle name="计算 2 2 9 2 2 5" xfId="34097"/>
    <cellStyle name="计算 2 2 9 2 3" xfId="6964"/>
    <cellStyle name="计算 2 2 9 2 3 2" xfId="20192"/>
    <cellStyle name="计算 2 2 9 2 3 3" xfId="36076"/>
    <cellStyle name="计算 2 2 9 2 3 4" xfId="41969"/>
    <cellStyle name="计算 2 2 9 2 3 5" xfId="48803"/>
    <cellStyle name="计算 2 2 9 2 4" xfId="19514"/>
    <cellStyle name="计算 2 2 9 2 4 2" xfId="31731"/>
    <cellStyle name="计算 2 2 9 2 4 3" xfId="37952"/>
    <cellStyle name="计算 2 2 9 2 4 4" xfId="46299"/>
    <cellStyle name="计算 2 2 9 2 5" xfId="37694"/>
    <cellStyle name="计算 2 2 9 2 5 2" xfId="43617"/>
    <cellStyle name="计算 2 2 9 2 5 3" xfId="50451"/>
    <cellStyle name="计算 2 2 9 2 6" xfId="29338"/>
    <cellStyle name="计算 2 2 9 2 7" xfId="16034"/>
    <cellStyle name="计算 2 2 9 2 8" xfId="45445"/>
    <cellStyle name="계산 2 2 9 3" xfId="36930"/>
    <cellStyle name="计算 2 2 9 3" xfId="9521"/>
    <cellStyle name="计算 2 2 9 3 10" xfId="44523"/>
    <cellStyle name="计算 2 2 9 3 2" xfId="13158"/>
    <cellStyle name="计算 2 2 9 3 2 2" xfId="26386"/>
    <cellStyle name="计算 2 2 9 3 2 3" xfId="32638"/>
    <cellStyle name="计算 2 2 9 3 2 4" xfId="38858"/>
    <cellStyle name="计算 2 2 9 3 2 5" xfId="15540"/>
    <cellStyle name="计算 2 2 9 3 3" xfId="8557"/>
    <cellStyle name="计算 2 2 9 3 3 2" xfId="21785"/>
    <cellStyle name="计算 2 2 9 3 3 3" xfId="35134"/>
    <cellStyle name="计算 2 2 9 3 3 4" xfId="45924"/>
    <cellStyle name="计算 2 2 9 3 3 5" xfId="47837"/>
    <cellStyle name="计算 2 2 9 3 4" xfId="14211"/>
    <cellStyle name="计算 2 2 9 3 4 2" xfId="27439"/>
    <cellStyle name="计算 2 2 9 3 4 3" xfId="31843"/>
    <cellStyle name="计算 2 2 9 3 4 4" xfId="38064"/>
    <cellStyle name="计算 2 2 9 3 4 5" xfId="43913"/>
    <cellStyle name="计算 2 2 9 3 5" xfId="12690"/>
    <cellStyle name="计算 2 2 9 3 5 2" xfId="25918"/>
    <cellStyle name="计算 2 2 9 3 5 3" xfId="41041"/>
    <cellStyle name="计算 2 2 9 3 5 4" xfId="47737"/>
    <cellStyle name="计算 2 2 9 3 6" xfId="22749"/>
    <cellStyle name="计算 2 2 9 3 6 2" xfId="34841"/>
    <cellStyle name="计算 2 2 9 3 6 3" xfId="40840"/>
    <cellStyle name="计算 2 2 9 3 6 4" xfId="40618"/>
    <cellStyle name="计算 2 2 9 3 7" xfId="37575"/>
    <cellStyle name="计算 2 2 9 3 7 2" xfId="43496"/>
    <cellStyle name="计算 2 2 9 3 7 3" xfId="50330"/>
    <cellStyle name="计算 2 2 9 3 8" xfId="28327"/>
    <cellStyle name="计算 2 2 9 3 9" xfId="38405"/>
    <cellStyle name="계산 2 2 9 4" xfId="42845"/>
    <cellStyle name="计算 2 2 9 4" xfId="7803"/>
    <cellStyle name="计算 2 2 9 4 2" xfId="21031"/>
    <cellStyle name="계산 2 2 9 5" xfId="47047"/>
    <cellStyle name="计算 2 2 9 5" xfId="15964"/>
    <cellStyle name="계산 2 2 9 6" xfId="49679"/>
    <cellStyle name="计算 2 2 9 6" xfId="32487"/>
    <cellStyle name="计算 2 2 9 7" xfId="40558"/>
    <cellStyle name="计算 2 2 9 8" xfId="34425"/>
    <cellStyle name="计算 2 2 9 9" xfId="50966"/>
    <cellStyle name="계산 2 2_CRM팀 1단계 정보확인 DB 검색코드_110425" xfId="2644"/>
    <cellStyle name="계산 2 20" xfId="2645"/>
    <cellStyle name="计算 2 20" xfId="2646"/>
    <cellStyle name="계산 2 20 10" xfId="7440"/>
    <cellStyle name="计算 2 20 10" xfId="14330"/>
    <cellStyle name="계산 2 20 10 2" xfId="20668"/>
    <cellStyle name="计算 2 20 10 2" xfId="27558"/>
    <cellStyle name="계산 2 20 10 3" xfId="37638"/>
    <cellStyle name="计算 2 20 10 3" xfId="30559"/>
    <cellStyle name="계산 2 20 10 4" xfId="43561"/>
    <cellStyle name="计算 2 20 10 4" xfId="16842"/>
    <cellStyle name="계산 2 20 10 5" xfId="47472"/>
    <cellStyle name="计算 2 20 10 5" xfId="32226"/>
    <cellStyle name="계산 2 20 10 6" xfId="50395"/>
    <cellStyle name="计算 2 20 10 6" xfId="47513"/>
    <cellStyle name="계산 2 20 11" xfId="7318"/>
    <cellStyle name="计算 2 20 11" xfId="14472"/>
    <cellStyle name="계산 2 20 11 2" xfId="20546"/>
    <cellStyle name="计算 2 20 11 2" xfId="27700"/>
    <cellStyle name="계산 2 20 11 3" xfId="37819"/>
    <cellStyle name="计算 2 20 11 3" xfId="35668"/>
    <cellStyle name="계산 2 20 11 4" xfId="43743"/>
    <cellStyle name="计算 2 20 11 4" xfId="41548"/>
    <cellStyle name="계산 2 20 11 5" xfId="47559"/>
    <cellStyle name="计算 2 20 11 5" xfId="46314"/>
    <cellStyle name="계산 2 20 11 6" xfId="50577"/>
    <cellStyle name="计算 2 20 11 6" xfId="48382"/>
    <cellStyle name="계산 2 20 12" xfId="16403"/>
    <cellStyle name="计算 2 20 12" xfId="16404"/>
    <cellStyle name="계산 2 20 12 2" xfId="37965"/>
    <cellStyle name="计算 2 20 12 2" xfId="15205"/>
    <cellStyle name="계산 2 20 12 3" xfId="46376"/>
    <cellStyle name="计算 2 20 12 3" xfId="34421"/>
    <cellStyle name="계산 2 20 13" xfId="15962"/>
    <cellStyle name="计算 2 20 13" xfId="15961"/>
    <cellStyle name="계산 2 20 14" xfId="33144"/>
    <cellStyle name="计算 2 20 14" xfId="34409"/>
    <cellStyle name="계산 2 20 15" xfId="17421"/>
    <cellStyle name="计算 2 20 15" xfId="17563"/>
    <cellStyle name="계산 2 20 16" xfId="15784"/>
    <cellStyle name="计算 2 20 16" xfId="40402"/>
    <cellStyle name="계산 2 20 17" xfId="50967"/>
    <cellStyle name="计算 2 20 17" xfId="50968"/>
    <cellStyle name="계산 2 20 18" xfId="50809"/>
    <cellStyle name="计算 2 20 18" xfId="50808"/>
    <cellStyle name="계산 2 20 2" xfId="6287"/>
    <cellStyle name="计算 2 20 2" xfId="6288"/>
    <cellStyle name="계산 2 20 2 10" xfId="18643"/>
    <cellStyle name="计算 2 20 2 10" xfId="16037"/>
    <cellStyle name="계산 2 20 2 11" xfId="34264"/>
    <cellStyle name="计算 2 20 2 11" xfId="39873"/>
    <cellStyle name="계산 2 20 2 12" xfId="17543"/>
    <cellStyle name="计算 2 20 2 12" xfId="43871"/>
    <cellStyle name="계산 2 20 2 2" xfId="11021"/>
    <cellStyle name="计算 2 20 2 2" xfId="11022"/>
    <cellStyle name="계산 2 20 2 2 2" xfId="24249"/>
    <cellStyle name="计算 2 20 2 2 2" xfId="24250"/>
    <cellStyle name="계산 2 20 2 2 3" xfId="33651"/>
    <cellStyle name="计算 2 20 2 2 3" xfId="33652"/>
    <cellStyle name="계산 2 20 2 2 4" xfId="39805"/>
    <cellStyle name="计算 2 20 2 2 4" xfId="39806"/>
    <cellStyle name="계산 2 20 2 2 5" xfId="44785"/>
    <cellStyle name="计算 2 20 2 2 5" xfId="44786"/>
    <cellStyle name="계산 2 20 2 2 6" xfId="32479"/>
    <cellStyle name="计算 2 20 2 2 6" xfId="28170"/>
    <cellStyle name="계산 2 20 2 3" xfId="13865"/>
    <cellStyle name="计算 2 20 2 3" xfId="13866"/>
    <cellStyle name="계산 2 20 2 3 2" xfId="27093"/>
    <cellStyle name="计算 2 20 2 3 2" xfId="27094"/>
    <cellStyle name="계산 2 20 2 3 3" xfId="36077"/>
    <cellStyle name="计算 2 20 2 3 3" xfId="36078"/>
    <cellStyle name="계산 2 20 2 3 4" xfId="41970"/>
    <cellStyle name="计算 2 20 2 3 4" xfId="41971"/>
    <cellStyle name="계산 2 20 2 3 5" xfId="46548"/>
    <cellStyle name="计算 2 20 2 3 5" xfId="46549"/>
    <cellStyle name="계산 2 20 2 3 6" xfId="48804"/>
    <cellStyle name="计算 2 20 2 3 6" xfId="48805"/>
    <cellStyle name="계산 2 20 2 4" xfId="6783"/>
    <cellStyle name="计算 2 20 2 4" xfId="6784"/>
    <cellStyle name="계산 2 20 2 4 2" xfId="20011"/>
    <cellStyle name="计算 2 20 2 4 2" xfId="20012"/>
    <cellStyle name="계산 2 20 2 4 3" xfId="31893"/>
    <cellStyle name="计算 2 20 2 4 3" xfId="31491"/>
    <cellStyle name="계산 2 20 2 4 4" xfId="38114"/>
    <cellStyle name="计算 2 20 2 4 4" xfId="17278"/>
    <cellStyle name="계산 2 20 2 4 5" xfId="18081"/>
    <cellStyle name="计算 2 20 2 4 5" xfId="27956"/>
    <cellStyle name="계산 2 20 2 4 6" xfId="40556"/>
    <cellStyle name="计算 2 20 2 4 6" xfId="45574"/>
    <cellStyle name="계산 2 20 2 5" xfId="13956"/>
    <cellStyle name="计算 2 20 2 5" xfId="13648"/>
    <cellStyle name="계산 2 20 2 5 2" xfId="27184"/>
    <cellStyle name="计算 2 20 2 5 2" xfId="26876"/>
    <cellStyle name="계산 2 20 2 5 3" xfId="34892"/>
    <cellStyle name="计算 2 20 2 5 3" xfId="34893"/>
    <cellStyle name="계산 2 20 2 5 4" xfId="40890"/>
    <cellStyle name="计算 2 20 2 5 4" xfId="40891"/>
    <cellStyle name="계산 2 20 2 5 5" xfId="45735"/>
    <cellStyle name="计算 2 20 2 5 5" xfId="45736"/>
    <cellStyle name="계산 2 20 2 5 6" xfId="40518"/>
    <cellStyle name="计算 2 20 2 5 6" xfId="33174"/>
    <cellStyle name="계산 2 20 2 6" xfId="8534"/>
    <cellStyle name="计算 2 20 2 6" xfId="13896"/>
    <cellStyle name="계산 2 20 2 6 2" xfId="21762"/>
    <cellStyle name="计算 2 20 2 6 2" xfId="27124"/>
    <cellStyle name="계산 2 20 2 6 3" xfId="29748"/>
    <cellStyle name="计算 2 20 2 6 3" xfId="30787"/>
    <cellStyle name="계산 2 20 2 6 4" xfId="35503"/>
    <cellStyle name="计算 2 20 2 6 4" xfId="14697"/>
    <cellStyle name="계산 2 20 2 6 5" xfId="40020"/>
    <cellStyle name="计算 2 20 2 6 5" xfId="34423"/>
    <cellStyle name="계산 2 20 2 6 6" xfId="34594"/>
    <cellStyle name="计算 2 20 2 6 6" xfId="39294"/>
    <cellStyle name="계산 2 20 2 7" xfId="19515"/>
    <cellStyle name="计算 2 20 2 7" xfId="19516"/>
    <cellStyle name="계산 2 20 2 7 2" xfId="37323"/>
    <cellStyle name="计算 2 20 2 7 2" xfId="30105"/>
    <cellStyle name="계산 2 20 2 7 3" xfId="43243"/>
    <cellStyle name="计算 2 20 2 7 3" xfId="16582"/>
    <cellStyle name="계산 2 20 2 7 4" xfId="47303"/>
    <cellStyle name="计算 2 20 2 7 4" xfId="40006"/>
    <cellStyle name="계산 2 20 2 7 5" xfId="50077"/>
    <cellStyle name="计算 2 20 2 7 5" xfId="33398"/>
    <cellStyle name="계산 2 20 2 8" xfId="32040"/>
    <cellStyle name="计算 2 20 2 8" xfId="36672"/>
    <cellStyle name="계산 2 20 2 8 2" xfId="38263"/>
    <cellStyle name="计算 2 20 2 8 2" xfId="42575"/>
    <cellStyle name="계산 2 20 2 8 3" xfId="45572"/>
    <cellStyle name="计算 2 20 2 8 3" xfId="49409"/>
    <cellStyle name="계산 2 20 2 9" xfId="29339"/>
    <cellStyle name="计算 2 20 2 9" xfId="29340"/>
    <cellStyle name="계산 2 20 3" xfId="6225"/>
    <cellStyle name="计算 2 20 3" xfId="6224"/>
    <cellStyle name="계산 2 20 3 10" xfId="35838"/>
    <cellStyle name="计算 2 20 3 10" xfId="36797"/>
    <cellStyle name="계산 2 20 3 11" xfId="32211"/>
    <cellStyle name="计算 2 20 3 11" xfId="40050"/>
    <cellStyle name="계산 2 20 3 12" xfId="44335"/>
    <cellStyle name="计算 2 20 3 12" xfId="45341"/>
    <cellStyle name="계산 2 20 3 2" xfId="10959"/>
    <cellStyle name="计算 2 20 3 2" xfId="10958"/>
    <cellStyle name="계산 2 20 3 2 2" xfId="24187"/>
    <cellStyle name="计算 2 20 3 2 2" xfId="24186"/>
    <cellStyle name="계산 2 20 3 2 3" xfId="33589"/>
    <cellStyle name="计算 2 20 3 2 3" xfId="33588"/>
    <cellStyle name="계산 2 20 3 2 4" xfId="39751"/>
    <cellStyle name="计算 2 20 3 2 4" xfId="39750"/>
    <cellStyle name="계산 2 20 3 2 5" xfId="44723"/>
    <cellStyle name="计算 2 20 3 2 5" xfId="44722"/>
    <cellStyle name="계산 2 20 3 2 6" xfId="40136"/>
    <cellStyle name="计算 2 20 3 2 6" xfId="16506"/>
    <cellStyle name="계산 2 20 3 3" xfId="13815"/>
    <cellStyle name="计算 2 20 3 3" xfId="13814"/>
    <cellStyle name="계산 2 20 3 3 2" xfId="27043"/>
    <cellStyle name="计算 2 20 3 3 2" xfId="27042"/>
    <cellStyle name="계산 2 20 3 3 3" xfId="36015"/>
    <cellStyle name="计算 2 20 3 3 3" xfId="36014"/>
    <cellStyle name="계산 2 20 3 3 4" xfId="41908"/>
    <cellStyle name="计算 2 20 3 3 4" xfId="41907"/>
    <cellStyle name="계산 2 20 3 3 5" xfId="46490"/>
    <cellStyle name="计算 2 20 3 3 5" xfId="46489"/>
    <cellStyle name="계산 2 20 3 3 6" xfId="48742"/>
    <cellStyle name="计算 2 20 3 3 6" xfId="48741"/>
    <cellStyle name="계산 2 20 3 4" xfId="12838"/>
    <cellStyle name="计算 2 20 3 4" xfId="12733"/>
    <cellStyle name="계산 2 20 3 4 2" xfId="26066"/>
    <cellStyle name="计算 2 20 3 4 2" xfId="25961"/>
    <cellStyle name="계산 2 20 3 4 3" xfId="32420"/>
    <cellStyle name="计算 2 20 3 4 3" xfId="29880"/>
    <cellStyle name="계산 2 20 3 4 4" xfId="38638"/>
    <cellStyle name="计算 2 20 3 4 4" xfId="18102"/>
    <cellStyle name="계산 2 20 3 4 5" xfId="43971"/>
    <cellStyle name="计算 2 20 3 4 5" xfId="29130"/>
    <cellStyle name="계산 2 20 3 4 6" xfId="33101"/>
    <cellStyle name="计算 2 20 3 4 6" xfId="45124"/>
    <cellStyle name="계산 2 20 3 5" xfId="7256"/>
    <cellStyle name="计算 2 20 3 5" xfId="13636"/>
    <cellStyle name="계산 2 20 3 5 2" xfId="20484"/>
    <cellStyle name="计算 2 20 3 5 2" xfId="26864"/>
    <cellStyle name="계산 2 20 3 5 3" xfId="30430"/>
    <cellStyle name="计算 2 20 3 5 3" xfId="30431"/>
    <cellStyle name="계산 2 20 3 5 4" xfId="14887"/>
    <cellStyle name="计算 2 20 3 5 4" xfId="14888"/>
    <cellStyle name="계산 2 20 3 5 5" xfId="28185"/>
    <cellStyle name="计算 2 20 3 5 5" xfId="32496"/>
    <cellStyle name="계산 2 20 3 5 6" xfId="15604"/>
    <cellStyle name="计算 2 20 3 5 6" xfId="46654"/>
    <cellStyle name="계산 2 20 3 6" xfId="7339"/>
    <cellStyle name="计算 2 20 3 6" xfId="14094"/>
    <cellStyle name="계산 2 20 3 6 2" xfId="20567"/>
    <cellStyle name="计算 2 20 3 6 2" xfId="27322"/>
    <cellStyle name="계산 2 20 3 6 3" xfId="30765"/>
    <cellStyle name="计算 2 20 3 6 3" xfId="37197"/>
    <cellStyle name="계산 2 20 3 6 4" xfId="16929"/>
    <cellStyle name="计算 2 20 3 6 4" xfId="43116"/>
    <cellStyle name="계산 2 20 3 6 5" xfId="28771"/>
    <cellStyle name="计算 2 20 3 6 5" xfId="47234"/>
    <cellStyle name="계산 2 20 3 6 6" xfId="40304"/>
    <cellStyle name="计算 2 20 3 6 6" xfId="49950"/>
    <cellStyle name="계산 2 20 3 7" xfId="19453"/>
    <cellStyle name="计算 2 20 3 7" xfId="19452"/>
    <cellStyle name="계산 2 20 3 7 2" xfId="37073"/>
    <cellStyle name="计算 2 20 3 7 2" xfId="37460"/>
    <cellStyle name="계산 2 20 3 7 3" xfId="42992"/>
    <cellStyle name="计算 2 20 3 7 3" xfId="43380"/>
    <cellStyle name="계산 2 20 3 7 4" xfId="47136"/>
    <cellStyle name="计算 2 20 3 7 4" xfId="47379"/>
    <cellStyle name="계산 2 20 3 7 5" xfId="49826"/>
    <cellStyle name="计算 2 20 3 7 5" xfId="50214"/>
    <cellStyle name="계산 2 20 3 8" xfId="36867"/>
    <cellStyle name="计算 2 20 3 8" xfId="30174"/>
    <cellStyle name="계산 2 20 3 8 2" xfId="42779"/>
    <cellStyle name="计算 2 20 3 8 2" xfId="16635"/>
    <cellStyle name="계산 2 20 3 8 3" xfId="49613"/>
    <cellStyle name="计算 2 20 3 8 3" xfId="45537"/>
    <cellStyle name="계산 2 20 3 9" xfId="29277"/>
    <cellStyle name="计算 2 20 3 9" xfId="29276"/>
    <cellStyle name="계산 2 20 4" xfId="6118"/>
    <cellStyle name="计算 2 20 4" xfId="6119"/>
    <cellStyle name="계산 2 20 4 10" xfId="34977"/>
    <cellStyle name="计算 2 20 4 10" xfId="37833"/>
    <cellStyle name="계산 2 20 4 11" xfId="34154"/>
    <cellStyle name="计算 2 20 4 11" xfId="30043"/>
    <cellStyle name="계산 2 20 4 12" xfId="15392"/>
    <cellStyle name="计算 2 20 4 12" xfId="34515"/>
    <cellStyle name="계산 2 20 4 2" xfId="10852"/>
    <cellStyle name="计算 2 20 4 2" xfId="10853"/>
    <cellStyle name="계산 2 20 4 2 2" xfId="24080"/>
    <cellStyle name="计算 2 20 4 2 2" xfId="24081"/>
    <cellStyle name="계산 2 20 4 2 3" xfId="33482"/>
    <cellStyle name="计算 2 20 4 2 3" xfId="33483"/>
    <cellStyle name="계산 2 20 4 2 4" xfId="39667"/>
    <cellStyle name="计算 2 20 4 2 4" xfId="39668"/>
    <cellStyle name="계산 2 20 4 2 5" xfId="44620"/>
    <cellStyle name="计算 2 20 4 2 5" xfId="44621"/>
    <cellStyle name="계산 2 20 4 2 6" xfId="46261"/>
    <cellStyle name="计算 2 20 4 2 6" xfId="44382"/>
    <cellStyle name="계산 2 20 4 3" xfId="13744"/>
    <cellStyle name="计算 2 20 4 3" xfId="13745"/>
    <cellStyle name="계산 2 20 4 3 2" xfId="26972"/>
    <cellStyle name="计算 2 20 4 3 2" xfId="26973"/>
    <cellStyle name="계산 2 20 4 3 3" xfId="35908"/>
    <cellStyle name="计算 2 20 4 3 3" xfId="35909"/>
    <cellStyle name="계산 2 20 4 3 4" xfId="41801"/>
    <cellStyle name="计算 2 20 4 3 4" xfId="41802"/>
    <cellStyle name="계산 2 20 4 3 5" xfId="46414"/>
    <cellStyle name="计算 2 20 4 3 5" xfId="46415"/>
    <cellStyle name="계산 2 20 4 3 6" xfId="48635"/>
    <cellStyle name="计算 2 20 4 3 6" xfId="48636"/>
    <cellStyle name="계산 2 20 4 4" xfId="8008"/>
    <cellStyle name="计算 2 20 4 4" xfId="6689"/>
    <cellStyle name="계산 2 20 4 4 2" xfId="21236"/>
    <cellStyle name="计算 2 20 4 4 2" xfId="19917"/>
    <cellStyle name="계산 2 20 4 4 3" xfId="32387"/>
    <cellStyle name="计算 2 20 4 4 3" xfId="32388"/>
    <cellStyle name="계산 2 20 4 4 4" xfId="38605"/>
    <cellStyle name="计算 2 20 4 4 4" xfId="38606"/>
    <cellStyle name="계산 2 20 4 4 5" xfId="43943"/>
    <cellStyle name="计算 2 20 4 4 5" xfId="43944"/>
    <cellStyle name="계산 2 20 4 4 6" xfId="33426"/>
    <cellStyle name="计算 2 20 4 4 6" xfId="43976"/>
    <cellStyle name="계산 2 20 4 5" xfId="13966"/>
    <cellStyle name="计算 2 20 4 5" xfId="7300"/>
    <cellStyle name="계산 2 20 4 5 2" xfId="27194"/>
    <cellStyle name="计算 2 20 4 5 2" xfId="20528"/>
    <cellStyle name="계산 2 20 4 5 3" xfId="30545"/>
    <cellStyle name="计算 2 20 4 5 3" xfId="30623"/>
    <cellStyle name="계산 2 20 4 5 4" xfId="17830"/>
    <cellStyle name="计算 2 20 4 5 4" xfId="17833"/>
    <cellStyle name="계산 2 20 4 5 5" xfId="34117"/>
    <cellStyle name="计算 2 20 4 5 5" xfId="17448"/>
    <cellStyle name="계산 2 20 4 5 6" xfId="17578"/>
    <cellStyle name="计算 2 20 4 5 6" xfId="47306"/>
    <cellStyle name="계산 2 20 4 6" xfId="13688"/>
    <cellStyle name="计算 2 20 4 6" xfId="12919"/>
    <cellStyle name="계산 2 20 4 6 2" xfId="26916"/>
    <cellStyle name="计算 2 20 4 6 2" xfId="26147"/>
    <cellStyle name="계산 2 20 4 6 3" xfId="31754"/>
    <cellStyle name="计算 2 20 4 6 3" xfId="30759"/>
    <cellStyle name="계산 2 20 4 6 4" xfId="37975"/>
    <cellStyle name="计算 2 20 4 6 4" xfId="15218"/>
    <cellStyle name="계산 2 20 4 6 5" xfId="36849"/>
    <cellStyle name="计算 2 20 4 6 5" xfId="17445"/>
    <cellStyle name="계산 2 20 4 6 6" xfId="47032"/>
    <cellStyle name="计算 2 20 4 6 6" xfId="33175"/>
    <cellStyle name="계산 2 20 4 7" xfId="19346"/>
    <cellStyle name="计算 2 20 4 7" xfId="19347"/>
    <cellStyle name="계산 2 20 4 7 2" xfId="31515"/>
    <cellStyle name="计算 2 20 4 7 2" xfId="36777"/>
    <cellStyle name="계산 2 20 4 7 3" xfId="15257"/>
    <cellStyle name="计算 2 20 4 7 3" xfId="42684"/>
    <cellStyle name="계산 2 20 4 7 4" xfId="17938"/>
    <cellStyle name="计算 2 20 4 7 4" xfId="46961"/>
    <cellStyle name="계산 2 20 4 7 5" xfId="34595"/>
    <cellStyle name="计算 2 20 4 7 5" xfId="49518"/>
    <cellStyle name="계산 2 20 4 8" xfId="31398"/>
    <cellStyle name="计算 2 20 4 8" xfId="30652"/>
    <cellStyle name="계산 2 20 4 8 2" xfId="15243"/>
    <cellStyle name="计算 2 20 4 8 2" xfId="16879"/>
    <cellStyle name="계산 2 20 4 8 3" xfId="34110"/>
    <cellStyle name="计算 2 20 4 8 3" xfId="47097"/>
    <cellStyle name="계산 2 20 4 9" xfId="29170"/>
    <cellStyle name="计算 2 20 4 9" xfId="29171"/>
    <cellStyle name="계산 2 20 5" xfId="9522"/>
    <cellStyle name="计算 2 20 5" xfId="9523"/>
    <cellStyle name="계산 2 20 5 10" xfId="17432"/>
    <cellStyle name="计算 2 20 5 10" xfId="17530"/>
    <cellStyle name="계산 2 20 5 11" xfId="40270"/>
    <cellStyle name="计算 2 20 5 11" xfId="39182"/>
    <cellStyle name="계산 2 20 5 12" xfId="45493"/>
    <cellStyle name="计算 2 20 5 12" xfId="28127"/>
    <cellStyle name="계산 2 20 5 2" xfId="13159"/>
    <cellStyle name="计算 2 20 5 2" xfId="13160"/>
    <cellStyle name="계산 2 20 5 2 2" xfId="26387"/>
    <cellStyle name="计算 2 20 5 2 2" xfId="26388"/>
    <cellStyle name="계산 2 20 5 2 3" xfId="32639"/>
    <cellStyle name="计算 2 20 5 2 3" xfId="32640"/>
    <cellStyle name="계산 2 20 5 2 4" xfId="38859"/>
    <cellStyle name="计算 2 20 5 2 4" xfId="38860"/>
    <cellStyle name="계산 2 20 5 2 5" xfId="44122"/>
    <cellStyle name="计算 2 20 5 2 5" xfId="44123"/>
    <cellStyle name="계산 2 20 5 2 6" xfId="44115"/>
    <cellStyle name="计算 2 20 5 2 6" xfId="45681"/>
    <cellStyle name="계산 2 20 5 3" xfId="7508"/>
    <cellStyle name="计算 2 20 5 3" xfId="6718"/>
    <cellStyle name="계산 2 20 5 3 2" xfId="20736"/>
    <cellStyle name="计算 2 20 5 3 2" xfId="19946"/>
    <cellStyle name="계산 2 20 5 3 3" xfId="35135"/>
    <cellStyle name="计算 2 20 5 3 3" xfId="35136"/>
    <cellStyle name="계산 2 20 5 3 4" xfId="41115"/>
    <cellStyle name="计算 2 20 5 3 4" xfId="41116"/>
    <cellStyle name="계산 2 20 5 3 5" xfId="45925"/>
    <cellStyle name="计算 2 20 5 3 5" xfId="45926"/>
    <cellStyle name="계산 2 20 5 3 6" xfId="47838"/>
    <cellStyle name="计算 2 20 5 3 6" xfId="47839"/>
    <cellStyle name="계산 2 20 5 4" xfId="13068"/>
    <cellStyle name="计算 2 20 5 4" xfId="14071"/>
    <cellStyle name="계산 2 20 5 4 2" xfId="26296"/>
    <cellStyle name="计算 2 20 5 4 2" xfId="27299"/>
    <cellStyle name="계산 2 20 5 4 3" xfId="29824"/>
    <cellStyle name="计算 2 20 5 4 3" xfId="29825"/>
    <cellStyle name="계산 2 20 5 4 4" xfId="29632"/>
    <cellStyle name="计算 2 20 5 4 4" xfId="14768"/>
    <cellStyle name="계산 2 20 5 4 5" xfId="17390"/>
    <cellStyle name="计算 2 20 5 4 5" xfId="27896"/>
    <cellStyle name="계산 2 20 5 4 6" xfId="45326"/>
    <cellStyle name="计算 2 20 5 4 6" xfId="44320"/>
    <cellStyle name="계산 2 20 5 5" xfId="14298"/>
    <cellStyle name="计算 2 20 5 5" xfId="12947"/>
    <cellStyle name="계산 2 20 5 5 2" xfId="27526"/>
    <cellStyle name="计算 2 20 5 5 2" xfId="26175"/>
    <cellStyle name="계산 2 20 5 5 3" xfId="40932"/>
    <cellStyle name="计算 2 20 5 5 3" xfId="40783"/>
    <cellStyle name="계산 2 20 5 5 4" xfId="47628"/>
    <cellStyle name="计算 2 20 5 5 4" xfId="14532"/>
    <cellStyle name="계산 2 20 5 6" xfId="22750"/>
    <cellStyle name="计算 2 20 5 6" xfId="22751"/>
    <cellStyle name="계산 2 20 5 6 2" xfId="35589"/>
    <cellStyle name="计算 2 20 5 6 2" xfId="31871"/>
    <cellStyle name="계산 2 20 5 6 3" xfId="41465"/>
    <cellStyle name="计算 2 20 5 6 3" xfId="38092"/>
    <cellStyle name="계산 2 20 5 6 4" xfId="46265"/>
    <cellStyle name="计算 2 20 5 6 4" xfId="27837"/>
    <cellStyle name="계산 2 20 5 6 5" xfId="48299"/>
    <cellStyle name="计算 2 20 5 6 5" xfId="29053"/>
    <cellStyle name="계산 2 20 5 7" xfId="35050"/>
    <cellStyle name="计算 2 20 5 7" xfId="32278"/>
    <cellStyle name="계산 2 20 5 7 2" xfId="41057"/>
    <cellStyle name="计算 2 20 5 7 2" xfId="38493"/>
    <cellStyle name="계산 2 20 5 7 3" xfId="47753"/>
    <cellStyle name="计算 2 20 5 7 3" xfId="39835"/>
    <cellStyle name="계산 2 20 5 8" xfId="37269"/>
    <cellStyle name="计算 2 20 5 8" xfId="35620"/>
    <cellStyle name="계산 2 20 5 8 2" xfId="43189"/>
    <cellStyle name="计算 2 20 5 8 2" xfId="41497"/>
    <cellStyle name="계산 2 20 5 8 3" xfId="50023"/>
    <cellStyle name="计算 2 20 5 8 3" xfId="48331"/>
    <cellStyle name="계산 2 20 5 9" xfId="28328"/>
    <cellStyle name="计算 2 20 5 9" xfId="28329"/>
    <cellStyle name="계산 2 20 6" xfId="11741"/>
    <cellStyle name="计算 2 20 6" xfId="11742"/>
    <cellStyle name="계산 2 20 6 10" xfId="45239"/>
    <cellStyle name="计算 2 20 6 10" xfId="45240"/>
    <cellStyle name="계산 2 20 6 11" xfId="32464"/>
    <cellStyle name="计算 2 20 6 11" xfId="17629"/>
    <cellStyle name="계산 2 20 6 2" xfId="12680"/>
    <cellStyle name="计算 2 20 6 2" xfId="12804"/>
    <cellStyle name="계산 2 20 6 2 2" xfId="25908"/>
    <cellStyle name="计算 2 20 6 2 2" xfId="26032"/>
    <cellStyle name="계산 2 20 6 2 3" xfId="36610"/>
    <cellStyle name="计算 2 20 6 2 3" xfId="36611"/>
    <cellStyle name="계산 2 20 6 2 4" xfId="42512"/>
    <cellStyle name="计算 2 20 6 2 4" xfId="42513"/>
    <cellStyle name="계산 2 20 6 2 5" xfId="46842"/>
    <cellStyle name="计算 2 20 6 2 5" xfId="46843"/>
    <cellStyle name="계산 2 20 6 2 6" xfId="49346"/>
    <cellStyle name="计算 2 20 6 2 6" xfId="49347"/>
    <cellStyle name="계산 2 20 6 3" xfId="14438"/>
    <cellStyle name="计算 2 20 6 3" xfId="14439"/>
    <cellStyle name="계산 2 20 6 3 2" xfId="27666"/>
    <cellStyle name="计算 2 20 6 3 2" xfId="27667"/>
    <cellStyle name="계산 2 20 6 3 3" xfId="37098"/>
    <cellStyle name="计算 2 20 6 3 3" xfId="37099"/>
    <cellStyle name="계산 2 20 6 3 4" xfId="43017"/>
    <cellStyle name="计算 2 20 6 3 4" xfId="43018"/>
    <cellStyle name="계산 2 20 6 3 5" xfId="47161"/>
    <cellStyle name="计算 2 20 6 3 5" xfId="47162"/>
    <cellStyle name="계산 2 20 6 3 6" xfId="49851"/>
    <cellStyle name="计算 2 20 6 3 6" xfId="49852"/>
    <cellStyle name="계산 2 20 6 4" xfId="13493"/>
    <cellStyle name="计算 2 20 6 4" xfId="12675"/>
    <cellStyle name="계산 2 20 6 4 2" xfId="26721"/>
    <cellStyle name="计算 2 20 6 4 2" xfId="25903"/>
    <cellStyle name="계산 2 20 6 4 3" xfId="30312"/>
    <cellStyle name="计算 2 20 6 4 3" xfId="30311"/>
    <cellStyle name="계산 2 20 6 4 4" xfId="16745"/>
    <cellStyle name="计算 2 20 6 4 4" xfId="14649"/>
    <cellStyle name="계산 2 20 6 4 5" xfId="27832"/>
    <cellStyle name="计算 2 20 6 4 5" xfId="29999"/>
    <cellStyle name="계산 2 20 6 4 6" xfId="15936"/>
    <cellStyle name="计算 2 20 6 4 6" xfId="43982"/>
    <cellStyle name="계산 2 20 6 5" xfId="24969"/>
    <cellStyle name="计算 2 20 6 5" xfId="24970"/>
    <cellStyle name="계산 2 20 6 5 2" xfId="31729"/>
    <cellStyle name="计算 2 20 6 5 2" xfId="36490"/>
    <cellStyle name="계산 2 20 6 5 3" xfId="37950"/>
    <cellStyle name="计算 2 20 6 5 3" xfId="42383"/>
    <cellStyle name="계산 2 20 6 5 4" xfId="35557"/>
    <cellStyle name="计算 2 20 6 5 4" xfId="46759"/>
    <cellStyle name="계산 2 20 6 5 5" xfId="33215"/>
    <cellStyle name="计算 2 20 6 5 5" xfId="49217"/>
    <cellStyle name="계산 2 20 6 6" xfId="35842"/>
    <cellStyle name="计算 2 20 6 6" xfId="37587"/>
    <cellStyle name="계산 2 20 6 6 2" xfId="41731"/>
    <cellStyle name="计算 2 20 6 6 2" xfId="43510"/>
    <cellStyle name="계산 2 20 6 6 3" xfId="48565"/>
    <cellStyle name="计算 2 20 6 6 3" xfId="50344"/>
    <cellStyle name="계산 2 20 6 7" xfId="37884"/>
    <cellStyle name="计算 2 20 6 7" xfId="37885"/>
    <cellStyle name="계산 2 20 6 7 2" xfId="43809"/>
    <cellStyle name="计算 2 20 6 7 2" xfId="43810"/>
    <cellStyle name="계산 2 20 6 7 3" xfId="50643"/>
    <cellStyle name="计算 2 20 6 7 3" xfId="50644"/>
    <cellStyle name="계산 2 20 6 8" xfId="34205"/>
    <cellStyle name="计算 2 20 6 8" xfId="34206"/>
    <cellStyle name="계산 2 20 6 9" xfId="40230"/>
    <cellStyle name="计算 2 20 6 9" xfId="40231"/>
    <cellStyle name="계산 2 20 7" xfId="7804"/>
    <cellStyle name="计算 2 20 7" xfId="7805"/>
    <cellStyle name="계산 2 20 7 2" xfId="21032"/>
    <cellStyle name="计算 2 20 7 2" xfId="21033"/>
    <cellStyle name="계산 2 20 7 3" xfId="30908"/>
    <cellStyle name="计算 2 20 7 3" xfId="30909"/>
    <cellStyle name="계산 2 20 7 4" xfId="16982"/>
    <cellStyle name="计算 2 20 7 4" xfId="17012"/>
    <cellStyle name="계산 2 20 7 5" xfId="15697"/>
    <cellStyle name="计算 2 20 7 5" xfId="15685"/>
    <cellStyle name="계산 2 20 7 6" xfId="15912"/>
    <cellStyle name="计算 2 20 7 6" xfId="40524"/>
    <cellStyle name="계산 2 20 8" xfId="7408"/>
    <cellStyle name="计算 2 20 8" xfId="7407"/>
    <cellStyle name="계산 2 20 8 2" xfId="20636"/>
    <cellStyle name="计算 2 20 8 2" xfId="20635"/>
    <cellStyle name="계산 2 20 8 3" xfId="31696"/>
    <cellStyle name="计算 2 20 8 3" xfId="36509"/>
    <cellStyle name="계산 2 20 8 4" xfId="27992"/>
    <cellStyle name="计算 2 20 8 4" xfId="42402"/>
    <cellStyle name="계산 2 20 8 5" xfId="17929"/>
    <cellStyle name="计算 2 20 8 5" xfId="46771"/>
    <cellStyle name="계산 2 20 8 6" xfId="39546"/>
    <cellStyle name="计算 2 20 8 6" xfId="49236"/>
    <cellStyle name="계산 2 20 9" xfId="14063"/>
    <cellStyle name="计算 2 20 9" xfId="13061"/>
    <cellStyle name="계산 2 20 9 2" xfId="27291"/>
    <cellStyle name="计算 2 20 9 2" xfId="26289"/>
    <cellStyle name="계산 2 20 9 3" xfId="30259"/>
    <cellStyle name="计算 2 20 9 3" xfId="36992"/>
    <cellStyle name="계산 2 20 9 4" xfId="16704"/>
    <cellStyle name="计算 2 20 9 4" xfId="42911"/>
    <cellStyle name="계산 2 20 9 5" xfId="39708"/>
    <cellStyle name="计算 2 20 9 5" xfId="47088"/>
    <cellStyle name="계산 2 20 9 6" xfId="45166"/>
    <cellStyle name="计算 2 20 9 6" xfId="49745"/>
    <cellStyle name="계산 2 21" xfId="2647"/>
    <cellStyle name="计算 2 21" xfId="2648"/>
    <cellStyle name="계산 2 21 10" xfId="8746"/>
    <cellStyle name="计算 2 21 10" xfId="8448"/>
    <cellStyle name="계산 2 21 10 2" xfId="21974"/>
    <cellStyle name="计算 2 21 10 2" xfId="21676"/>
    <cellStyle name="계산 2 21 10 3" xfId="36678"/>
    <cellStyle name="计算 2 21 10 3" xfId="34990"/>
    <cellStyle name="계산 2 21 10 4" xfId="42581"/>
    <cellStyle name="计算 2 21 10 4" xfId="40994"/>
    <cellStyle name="계산 2 21 10 5" xfId="46896"/>
    <cellStyle name="计算 2 21 10 5" xfId="45806"/>
    <cellStyle name="계산 2 21 10 6" xfId="49415"/>
    <cellStyle name="计算 2 21 10 6" xfId="47690"/>
    <cellStyle name="계산 2 21 11" xfId="7313"/>
    <cellStyle name="计算 2 21 11" xfId="14485"/>
    <cellStyle name="계산 2 21 11 2" xfId="20541"/>
    <cellStyle name="计算 2 21 11 2" xfId="27713"/>
    <cellStyle name="계산 2 21 11 3" xfId="30084"/>
    <cellStyle name="计算 2 21 11 3" xfId="37024"/>
    <cellStyle name="계산 2 21 11 4" xfId="16564"/>
    <cellStyle name="计算 2 21 11 4" xfId="42943"/>
    <cellStyle name="계산 2 21 11 5" xfId="28868"/>
    <cellStyle name="计算 2 21 11 5" xfId="47107"/>
    <cellStyle name="계산 2 21 11 6" xfId="40460"/>
    <cellStyle name="计算 2 21 11 6" xfId="49777"/>
    <cellStyle name="계산 2 21 12" xfId="16405"/>
    <cellStyle name="计算 2 21 12" xfId="16406"/>
    <cellStyle name="계산 2 21 12 2" xfId="18532"/>
    <cellStyle name="计算 2 21 12 2" xfId="16851"/>
    <cellStyle name="계산 2 21 12 3" xfId="44220"/>
    <cellStyle name="计算 2 21 12 3" xfId="34081"/>
    <cellStyle name="계산 2 21 13" xfId="14561"/>
    <cellStyle name="计算 2 21 13" xfId="14560"/>
    <cellStyle name="계산 2 21 14" xfId="28844"/>
    <cellStyle name="计算 2 21 14" xfId="32195"/>
    <cellStyle name="계산 2 21 15" xfId="28122"/>
    <cellStyle name="计算 2 21 15" xfId="16503"/>
    <cellStyle name="계산 2 21 16" xfId="39337"/>
    <cellStyle name="计算 2 21 16" xfId="32986"/>
    <cellStyle name="계산 2 21 17" xfId="50969"/>
    <cellStyle name="计算 2 21 17" xfId="50970"/>
    <cellStyle name="계산 2 21 18" xfId="50807"/>
    <cellStyle name="计算 2 21 18" xfId="50806"/>
    <cellStyle name="계산 2 21 2" xfId="6289"/>
    <cellStyle name="计算 2 21 2" xfId="6290"/>
    <cellStyle name="계산 2 21 2 10" xfId="16038"/>
    <cellStyle name="计算 2 21 2 10" xfId="16039"/>
    <cellStyle name="계산 2 21 2 11" xfId="41187"/>
    <cellStyle name="计算 2 21 2 11" xfId="32982"/>
    <cellStyle name="계산 2 21 2 12" xfId="45342"/>
    <cellStyle name="计算 2 21 2 12" xfId="44336"/>
    <cellStyle name="계산 2 21 2 2" xfId="11023"/>
    <cellStyle name="计算 2 21 2 2" xfId="11024"/>
    <cellStyle name="계산 2 21 2 2 2" xfId="24251"/>
    <cellStyle name="计算 2 21 2 2 2" xfId="24252"/>
    <cellStyle name="계산 2 21 2 2 3" xfId="33653"/>
    <cellStyle name="计算 2 21 2 2 3" xfId="33654"/>
    <cellStyle name="계산 2 21 2 2 4" xfId="39807"/>
    <cellStyle name="计算 2 21 2 2 4" xfId="39808"/>
    <cellStyle name="계산 2 21 2 2 5" xfId="44787"/>
    <cellStyle name="计算 2 21 2 2 5" xfId="44788"/>
    <cellStyle name="계산 2 21 2 2 6" xfId="33137"/>
    <cellStyle name="计算 2 21 2 2 6" xfId="34397"/>
    <cellStyle name="계산 2 21 2 3" xfId="13867"/>
    <cellStyle name="计算 2 21 2 3" xfId="13868"/>
    <cellStyle name="계산 2 21 2 3 2" xfId="27095"/>
    <cellStyle name="计算 2 21 2 3 2" xfId="27096"/>
    <cellStyle name="계산 2 21 2 3 3" xfId="36079"/>
    <cellStyle name="计算 2 21 2 3 3" xfId="36080"/>
    <cellStyle name="계산 2 21 2 3 4" xfId="41972"/>
    <cellStyle name="计算 2 21 2 3 4" xfId="41973"/>
    <cellStyle name="계산 2 21 2 3 5" xfId="46550"/>
    <cellStyle name="计算 2 21 2 3 5" xfId="46551"/>
    <cellStyle name="계산 2 21 2 3 6" xfId="48806"/>
    <cellStyle name="计算 2 21 2 3 6" xfId="48807"/>
    <cellStyle name="계산 2 21 2 4" xfId="12776"/>
    <cellStyle name="计算 2 21 2 4" xfId="8058"/>
    <cellStyle name="계산 2 21 2 4 2" xfId="26004"/>
    <cellStyle name="计算 2 21 2 4 2" xfId="21286"/>
    <cellStyle name="계산 2 21 2 4 3" xfId="31490"/>
    <cellStyle name="计算 2 21 2 4 3" xfId="31894"/>
    <cellStyle name="계산 2 21 2 4 4" xfId="17279"/>
    <cellStyle name="计算 2 21 2 4 4" xfId="38115"/>
    <cellStyle name="계산 2 21 2 4 5" xfId="27792"/>
    <cellStyle name="计算 2 21 2 4 5" xfId="17911"/>
    <cellStyle name="계산 2 21 2 4 6" xfId="47072"/>
    <cellStyle name="计算 2 21 2 4 6" xfId="39574"/>
    <cellStyle name="계산 2 21 2 5" xfId="8543"/>
    <cellStyle name="计算 2 21 2 5" xfId="7244"/>
    <cellStyle name="계산 2 21 2 5 2" xfId="21771"/>
    <cellStyle name="计算 2 21 2 5 2" xfId="20472"/>
    <cellStyle name="계산 2 21 2 5 3" xfId="34894"/>
    <cellStyle name="计算 2 21 2 5 3" xfId="31772"/>
    <cellStyle name="계산 2 21 2 5 4" xfId="40892"/>
    <cellStyle name="计算 2 21 2 5 4" xfId="37993"/>
    <cellStyle name="계산 2 21 2 5 5" xfId="45737"/>
    <cellStyle name="计算 2 21 2 5 5" xfId="36520"/>
    <cellStyle name="계산 2 21 2 5 6" xfId="36959"/>
    <cellStyle name="计算 2 21 2 5 6" xfId="29989"/>
    <cellStyle name="계산 2 21 2 6" xfId="13897"/>
    <cellStyle name="计算 2 21 2 6" xfId="14166"/>
    <cellStyle name="계산 2 21 2 6 2" xfId="27125"/>
    <cellStyle name="计算 2 21 2 6 2" xfId="27394"/>
    <cellStyle name="계산 2 21 2 6 3" xfId="34694"/>
    <cellStyle name="计算 2 21 2 6 3" xfId="29752"/>
    <cellStyle name="계산 2 21 2 6 4" xfId="40684"/>
    <cellStyle name="计算 2 21 2 6 4" xfId="35861"/>
    <cellStyle name="계산 2 21 2 6 5" xfId="45611"/>
    <cellStyle name="计算 2 21 2 6 5" xfId="40021"/>
    <cellStyle name="계산 2 21 2 6 6" xfId="14509"/>
    <cellStyle name="计算 2 21 2 6 6" xfId="15350"/>
    <cellStyle name="계산 2 21 2 7" xfId="19517"/>
    <cellStyle name="计算 2 21 2 7" xfId="19518"/>
    <cellStyle name="계산 2 21 2 7 2" xfId="37201"/>
    <cellStyle name="计算 2 21 2 7 2" xfId="32353"/>
    <cellStyle name="계산 2 21 2 7 3" xfId="43120"/>
    <cellStyle name="计算 2 21 2 7 3" xfId="38571"/>
    <cellStyle name="계산 2 21 2 7 4" xfId="47236"/>
    <cellStyle name="计算 2 21 2 7 4" xfId="43919"/>
    <cellStyle name="계산 2 21 2 7 5" xfId="49954"/>
    <cellStyle name="计算 2 21 2 7 5" xfId="45639"/>
    <cellStyle name="계산 2 21 2 8" xfId="36546"/>
    <cellStyle name="计算 2 21 2 8" xfId="37527"/>
    <cellStyle name="계산 2 21 2 8 2" xfId="42444"/>
    <cellStyle name="计算 2 21 2 8 2" xfId="43448"/>
    <cellStyle name="계산 2 21 2 8 3" xfId="49278"/>
    <cellStyle name="计算 2 21 2 8 3" xfId="50282"/>
    <cellStyle name="계산 2 21 2 9" xfId="29341"/>
    <cellStyle name="计算 2 21 2 9" xfId="29342"/>
    <cellStyle name="계산 2 21 3" xfId="6223"/>
    <cellStyle name="计算 2 21 3" xfId="6222"/>
    <cellStyle name="계산 2 21 3 10" xfId="35043"/>
    <cellStyle name="计算 2 21 3 10" xfId="31397"/>
    <cellStyle name="계산 2 21 3 11" xfId="40069"/>
    <cellStyle name="计算 2 21 3 11" xfId="39960"/>
    <cellStyle name="계산 2 21 3 12" xfId="43870"/>
    <cellStyle name="计算 2 21 3 12" xfId="40610"/>
    <cellStyle name="계산 2 21 3 2" xfId="10957"/>
    <cellStyle name="计算 2 21 3 2" xfId="10956"/>
    <cellStyle name="계산 2 21 3 2 2" xfId="24185"/>
    <cellStyle name="计算 2 21 3 2 2" xfId="24184"/>
    <cellStyle name="계산 2 21 3 2 3" xfId="33587"/>
    <cellStyle name="计算 2 21 3 2 3" xfId="33586"/>
    <cellStyle name="계산 2 21 3 2 4" xfId="39749"/>
    <cellStyle name="计算 2 21 3 2 4" xfId="39748"/>
    <cellStyle name="계산 2 21 3 2 5" xfId="44721"/>
    <cellStyle name="计算 2 21 3 2 5" xfId="44720"/>
    <cellStyle name="계산 2 21 3 2 6" xfId="33427"/>
    <cellStyle name="计算 2 21 3 2 6" xfId="17628"/>
    <cellStyle name="계산 2 21 3 3" xfId="13813"/>
    <cellStyle name="计算 2 21 3 3" xfId="13812"/>
    <cellStyle name="계산 2 21 3 3 2" xfId="27041"/>
    <cellStyle name="计算 2 21 3 3 2" xfId="27040"/>
    <cellStyle name="계산 2 21 3 3 3" xfId="36013"/>
    <cellStyle name="计算 2 21 3 3 3" xfId="36012"/>
    <cellStyle name="계산 2 21 3 3 4" xfId="41906"/>
    <cellStyle name="计算 2 21 3 3 4" xfId="41905"/>
    <cellStyle name="계산 2 21 3 3 5" xfId="46488"/>
    <cellStyle name="计算 2 21 3 3 5" xfId="46487"/>
    <cellStyle name="계산 2 21 3 3 6" xfId="48740"/>
    <cellStyle name="计算 2 21 3 3 6" xfId="48739"/>
    <cellStyle name="계산 2 21 3 4" xfId="6935"/>
    <cellStyle name="计算 2 21 3 4" xfId="6934"/>
    <cellStyle name="계산 2 21 3 4 2" xfId="20163"/>
    <cellStyle name="计算 2 21 3 4 2" xfId="20162"/>
    <cellStyle name="계산 2 21 3 4 3" xfId="31444"/>
    <cellStyle name="计算 2 21 3 4 3" xfId="31445"/>
    <cellStyle name="계산 2 21 3 4 4" xfId="17855"/>
    <cellStyle name="计算 2 21 3 4 4" xfId="17260"/>
    <cellStyle name="계산 2 21 3 4 5" xfId="33331"/>
    <cellStyle name="计算 2 21 3 4 5" xfId="34585"/>
    <cellStyle name="계산 2 21 3 4 6" xfId="46724"/>
    <cellStyle name="计算 2 21 3 4 6" xfId="41139"/>
    <cellStyle name="계산 2 21 3 5" xfId="13942"/>
    <cellStyle name="计算 2 21 3 5" xfId="6700"/>
    <cellStyle name="계산 2 21 3 5 2" xfId="27170"/>
    <cellStyle name="计算 2 21 3 5 2" xfId="19928"/>
    <cellStyle name="계산 2 21 3 5 3" xfId="30528"/>
    <cellStyle name="计算 2 21 3 5 3" xfId="31805"/>
    <cellStyle name="계산 2 21 3 5 4" xfId="16827"/>
    <cellStyle name="计算 2 21 3 5 4" xfId="38026"/>
    <cellStyle name="계산 2 21 3 5 5" xfId="34171"/>
    <cellStyle name="计算 2 21 3 5 5" xfId="15548"/>
    <cellStyle name="계산 2 21 3 5 6" xfId="15362"/>
    <cellStyle name="计算 2 21 3 5 6" xfId="32177"/>
    <cellStyle name="계산 2 21 3 6" xfId="8711"/>
    <cellStyle name="计算 2 21 3 6" xfId="13029"/>
    <cellStyle name="계산 2 21 3 6 2" xfId="21939"/>
    <cellStyle name="计算 2 21 3 6 2" xfId="26257"/>
    <cellStyle name="계산 2 21 3 6 3" xfId="34776"/>
    <cellStyle name="计算 2 21 3 6 3" xfId="30102"/>
    <cellStyle name="계산 2 21 3 6 4" xfId="40772"/>
    <cellStyle name="计算 2 21 3 6 4" xfId="16578"/>
    <cellStyle name="계산 2 21 3 6 5" xfId="45664"/>
    <cellStyle name="计算 2 21 3 6 5" xfId="33113"/>
    <cellStyle name="계산 2 21 3 6 6" xfId="39538"/>
    <cellStyle name="计算 2 21 3 6 6" xfId="32519"/>
    <cellStyle name="계산 2 21 3 7" xfId="19451"/>
    <cellStyle name="计算 2 21 3 7" xfId="19450"/>
    <cellStyle name="계산 2 21 3 7 2" xfId="34744"/>
    <cellStyle name="计算 2 21 3 7 2" xfId="30708"/>
    <cellStyle name="계산 2 21 3 7 3" xfId="40736"/>
    <cellStyle name="计算 2 21 3 7 3" xfId="15211"/>
    <cellStyle name="계산 2 21 3 7 4" xfId="45643"/>
    <cellStyle name="计算 2 21 3 7 4" xfId="33179"/>
    <cellStyle name="계산 2 21 3 7 5" xfId="17612"/>
    <cellStyle name="计算 2 21 3 7 5" xfId="40594"/>
    <cellStyle name="계산 2 21 3 8" xfId="37488"/>
    <cellStyle name="计算 2 21 3 8" xfId="30077"/>
    <cellStyle name="계산 2 21 3 8 2" xfId="43408"/>
    <cellStyle name="计算 2 21 3 8 2" xfId="16559"/>
    <cellStyle name="계산 2 21 3 8 3" xfId="50242"/>
    <cellStyle name="计算 2 21 3 8 3" xfId="32975"/>
    <cellStyle name="계산 2 21 3 9" xfId="29275"/>
    <cellStyle name="计算 2 21 3 9" xfId="29274"/>
    <cellStyle name="계산 2 21 4" xfId="6155"/>
    <cellStyle name="计算 2 21 4" xfId="6156"/>
    <cellStyle name="계산 2 21 4 10" xfId="37831"/>
    <cellStyle name="计算 2 21 4 10" xfId="34932"/>
    <cellStyle name="계산 2 21 4 11" xfId="34405"/>
    <cellStyle name="计算 2 21 4 11" xfId="33075"/>
    <cellStyle name="계산 2 21 4 12" xfId="32512"/>
    <cellStyle name="计算 2 21 4 12" xfId="44463"/>
    <cellStyle name="계산 2 21 4 2" xfId="10889"/>
    <cellStyle name="计算 2 21 4 2" xfId="10890"/>
    <cellStyle name="계산 2 21 4 2 2" xfId="24117"/>
    <cellStyle name="计算 2 21 4 2 2" xfId="24118"/>
    <cellStyle name="계산 2 21 4 2 3" xfId="33519"/>
    <cellStyle name="计算 2 21 4 2 3" xfId="33520"/>
    <cellStyle name="계산 2 21 4 2 4" xfId="39700"/>
    <cellStyle name="计算 2 21 4 2 4" xfId="39701"/>
    <cellStyle name="계산 2 21 4 2 5" xfId="44657"/>
    <cellStyle name="计算 2 21 4 2 5" xfId="44658"/>
    <cellStyle name="계산 2 21 4 2 6" xfId="28840"/>
    <cellStyle name="计算 2 21 4 2 6" xfId="32171"/>
    <cellStyle name="계산 2 21 4 3" xfId="13773"/>
    <cellStyle name="计算 2 21 4 3" xfId="13774"/>
    <cellStyle name="계산 2 21 4 3 2" xfId="27001"/>
    <cellStyle name="计算 2 21 4 3 2" xfId="27002"/>
    <cellStyle name="계산 2 21 4 3 3" xfId="35945"/>
    <cellStyle name="计算 2 21 4 3 3" xfId="35946"/>
    <cellStyle name="계산 2 21 4 3 4" xfId="41838"/>
    <cellStyle name="计算 2 21 4 3 4" xfId="41839"/>
    <cellStyle name="계산 2 21 4 3 5" xfId="46451"/>
    <cellStyle name="计算 2 21 4 3 5" xfId="46452"/>
    <cellStyle name="계산 2 21 4 3 6" xfId="48672"/>
    <cellStyle name="计算 2 21 4 3 6" xfId="48673"/>
    <cellStyle name="계산 2 21 4 4" xfId="8047"/>
    <cellStyle name="计算 2 21 4 4" xfId="12749"/>
    <cellStyle name="계산 2 21 4 4 2" xfId="21275"/>
    <cellStyle name="计算 2 21 4 4 2" xfId="25977"/>
    <cellStyle name="계산 2 21 4 4 3" xfId="32412"/>
    <cellStyle name="计算 2 21 4 4 3" xfId="32413"/>
    <cellStyle name="계산 2 21 4 4 4" xfId="38630"/>
    <cellStyle name="计算 2 21 4 4 4" xfId="38631"/>
    <cellStyle name="계산 2 21 4 4 5" xfId="43964"/>
    <cellStyle name="计算 2 21 4 4 5" xfId="43965"/>
    <cellStyle name="계산 2 21 4 4 6" xfId="46763"/>
    <cellStyle name="计算 2 21 4 4 6" xfId="34313"/>
    <cellStyle name="계산 2 21 4 5" xfId="7291"/>
    <cellStyle name="计算 2 21 4 5" xfId="7290"/>
    <cellStyle name="계산 2 21 4 5 2" xfId="20519"/>
    <cellStyle name="计算 2 21 4 5 2" xfId="20518"/>
    <cellStyle name="계산 2 21 4 5 3" xfId="30538"/>
    <cellStyle name="计算 2 21 4 5 3" xfId="30449"/>
    <cellStyle name="계산 2 21 4 5 4" xfId="15193"/>
    <cellStyle name="计算 2 21 4 5 4" xfId="16797"/>
    <cellStyle name="계산 2 21 4 5 5" xfId="34259"/>
    <cellStyle name="计算 2 21 4 5 5" xfId="28244"/>
    <cellStyle name="계산 2 21 4 5 6" xfId="38468"/>
    <cellStyle name="计算 2 21 4 5 6" xfId="46358"/>
    <cellStyle name="계산 2 21 4 6" xfId="13477"/>
    <cellStyle name="计算 2 21 4 6" xfId="14230"/>
    <cellStyle name="계산 2 21 4 6 2" xfId="26705"/>
    <cellStyle name="计算 2 21 4 6 2" xfId="27458"/>
    <cellStyle name="계산 2 21 4 6 3" xfId="30209"/>
    <cellStyle name="计算 2 21 4 6 3" xfId="37013"/>
    <cellStyle name="계산 2 21 4 6 4" xfId="16661"/>
    <cellStyle name="计算 2 21 4 6 4" xfId="42932"/>
    <cellStyle name="계산 2 21 4 6 5" xfId="39717"/>
    <cellStyle name="计算 2 21 4 6 5" xfId="47102"/>
    <cellStyle name="계산 2 21 4 6 6" xfId="40163"/>
    <cellStyle name="计算 2 21 4 6 6" xfId="49766"/>
    <cellStyle name="계산 2 21 4 7" xfId="19383"/>
    <cellStyle name="计算 2 21 4 7" xfId="19384"/>
    <cellStyle name="계산 2 21 4 7 2" xfId="30578"/>
    <cellStyle name="计算 2 21 4 7 2" xfId="31620"/>
    <cellStyle name="계산 2 21 4 7 3" xfId="15197"/>
    <cellStyle name="计算 2 21 4 7 3" xfId="17807"/>
    <cellStyle name="계산 2 21 4 7 4" xfId="32227"/>
    <cellStyle name="计算 2 21 4 7 4" xfId="15579"/>
    <cellStyle name="계산 2 21 4 7 5" xfId="41162"/>
    <cellStyle name="计算 2 21 4 7 5" xfId="43977"/>
    <cellStyle name="계산 2 21 4 8" xfId="37565"/>
    <cellStyle name="计算 2 21 4 8" xfId="31826"/>
    <cellStyle name="계산 2 21 4 8 2" xfId="43486"/>
    <cellStyle name="计算 2 21 4 8 2" xfId="38047"/>
    <cellStyle name="계산 2 21 4 8 3" xfId="50320"/>
    <cellStyle name="计算 2 21 4 8 3" xfId="32956"/>
    <cellStyle name="계산 2 21 4 9" xfId="29207"/>
    <cellStyle name="计算 2 21 4 9" xfId="29208"/>
    <cellStyle name="계산 2 21 5" xfId="9524"/>
    <cellStyle name="计算 2 21 5" xfId="9525"/>
    <cellStyle name="계산 2 21 5 10" xfId="29930"/>
    <cellStyle name="计算 2 21 5 10" xfId="34063"/>
    <cellStyle name="계산 2 21 5 11" xfId="28194"/>
    <cellStyle name="计算 2 21 5 11" xfId="39528"/>
    <cellStyle name="계산 2 21 5 12" xfId="40545"/>
    <cellStyle name="计算 2 21 5 12" xfId="34516"/>
    <cellStyle name="계산 2 21 5 2" xfId="13161"/>
    <cellStyle name="计算 2 21 5 2" xfId="13162"/>
    <cellStyle name="계산 2 21 5 2 2" xfId="26389"/>
    <cellStyle name="计算 2 21 5 2 2" xfId="26390"/>
    <cellStyle name="계산 2 21 5 2 3" xfId="32641"/>
    <cellStyle name="计算 2 21 5 2 3" xfId="32642"/>
    <cellStyle name="계산 2 21 5 2 4" xfId="38861"/>
    <cellStyle name="计算 2 21 5 2 4" xfId="38862"/>
    <cellStyle name="계산 2 21 5 2 5" xfId="44124"/>
    <cellStyle name="计算 2 21 5 2 5" xfId="44125"/>
    <cellStyle name="계산 2 21 5 2 6" xfId="45020"/>
    <cellStyle name="计算 2 21 5 2 6" xfId="46541"/>
    <cellStyle name="계산 2 21 5 3" xfId="8560"/>
    <cellStyle name="计算 2 21 5 3" xfId="6719"/>
    <cellStyle name="계산 2 21 5 3 2" xfId="21788"/>
    <cellStyle name="计算 2 21 5 3 2" xfId="19947"/>
    <cellStyle name="계산 2 21 5 3 3" xfId="35137"/>
    <cellStyle name="计算 2 21 5 3 3" xfId="35138"/>
    <cellStyle name="계산 2 21 5 3 4" xfId="41117"/>
    <cellStyle name="计算 2 21 5 3 4" xfId="41118"/>
    <cellStyle name="계산 2 21 5 3 5" xfId="45927"/>
    <cellStyle name="计算 2 21 5 3 5" xfId="45928"/>
    <cellStyle name="계산 2 21 5 3 6" xfId="47840"/>
    <cellStyle name="计算 2 21 5 3 6" xfId="47841"/>
    <cellStyle name="계산 2 21 5 4" xfId="12895"/>
    <cellStyle name="计算 2 21 5 4" xfId="13666"/>
    <cellStyle name="계산 2 21 5 4 2" xfId="26123"/>
    <cellStyle name="计算 2 21 5 4 2" xfId="26894"/>
    <cellStyle name="계산 2 21 5 4 3" xfId="30962"/>
    <cellStyle name="计算 2 21 5 4 3" xfId="30963"/>
    <cellStyle name="계산 2 21 5 4 4" xfId="17745"/>
    <cellStyle name="计算 2 21 5 4 4" xfId="18001"/>
    <cellStyle name="계산 2 21 5 4 5" xfId="17548"/>
    <cellStyle name="计算 2 21 5 4 5" xfId="31422"/>
    <cellStyle name="계산 2 21 5 4 6" xfId="34398"/>
    <cellStyle name="计算 2 21 5 4 6" xfId="17627"/>
    <cellStyle name="계산 2 21 5 5" xfId="7351"/>
    <cellStyle name="计算 2 21 5 5" xfId="8605"/>
    <cellStyle name="계산 2 21 5 5 2" xfId="20579"/>
    <cellStyle name="计算 2 21 5 5 2" xfId="21833"/>
    <cellStyle name="계산 2 21 5 5 3" xfId="41750"/>
    <cellStyle name="计算 2 21 5 5 3" xfId="42846"/>
    <cellStyle name="계산 2 21 5 5 4" xfId="48584"/>
    <cellStyle name="计算 2 21 5 5 4" xfId="49680"/>
    <cellStyle name="계산 2 21 5 6" xfId="22752"/>
    <cellStyle name="计算 2 21 5 6" xfId="22753"/>
    <cellStyle name="계산 2 21 5 6 2" xfId="37167"/>
    <cellStyle name="计算 2 21 5 6 2" xfId="34654"/>
    <cellStyle name="계산 2 21 5 6 3" xfId="43086"/>
    <cellStyle name="计算 2 21 5 6 3" xfId="40643"/>
    <cellStyle name="계산 2 21 5 6 4" xfId="47217"/>
    <cellStyle name="计算 2 21 5 6 4" xfId="45590"/>
    <cellStyle name="계산 2 21 5 6 5" xfId="49920"/>
    <cellStyle name="计算 2 21 5 6 5" xfId="32218"/>
    <cellStyle name="계산 2 21 5 7" xfId="34971"/>
    <cellStyle name="计算 2 21 5 7" xfId="30333"/>
    <cellStyle name="계산 2 21 5 7 2" xfId="40969"/>
    <cellStyle name="计算 2 21 5 7 2" xfId="16754"/>
    <cellStyle name="계산 2 21 5 7 3" xfId="47665"/>
    <cellStyle name="计算 2 21 5 7 3" xfId="15484"/>
    <cellStyle name="계산 2 21 5 8" xfId="36822"/>
    <cellStyle name="计算 2 21 5 8" xfId="31239"/>
    <cellStyle name="계산 2 21 5 8 2" xfId="42733"/>
    <cellStyle name="计算 2 21 5 8 2" xfId="17140"/>
    <cellStyle name="계산 2 21 5 8 3" xfId="49567"/>
    <cellStyle name="计算 2 21 5 8 3" xfId="46362"/>
    <cellStyle name="계산 2 21 5 9" xfId="28330"/>
    <cellStyle name="计算 2 21 5 9" xfId="28331"/>
    <cellStyle name="계산 2 21 6" xfId="11743"/>
    <cellStyle name="计算 2 21 6" xfId="11744"/>
    <cellStyle name="계산 2 21 6 10" xfId="45241"/>
    <cellStyle name="计算 2 21 6 10" xfId="45242"/>
    <cellStyle name="계산 2 21 6 11" xfId="39192"/>
    <cellStyle name="计算 2 21 6 11" xfId="28152"/>
    <cellStyle name="계산 2 21 6 2" xfId="12681"/>
    <cellStyle name="计算 2 21 6 2" xfId="8398"/>
    <cellStyle name="계산 2 21 6 2 2" xfId="25909"/>
    <cellStyle name="计算 2 21 6 2 2" xfId="21626"/>
    <cellStyle name="계산 2 21 6 2 3" xfId="36612"/>
    <cellStyle name="计算 2 21 6 2 3" xfId="36613"/>
    <cellStyle name="계산 2 21 6 2 4" xfId="42514"/>
    <cellStyle name="计算 2 21 6 2 4" xfId="42515"/>
    <cellStyle name="계산 2 21 6 2 5" xfId="46844"/>
    <cellStyle name="计算 2 21 6 2 5" xfId="46845"/>
    <cellStyle name="계산 2 21 6 2 6" xfId="49348"/>
    <cellStyle name="计算 2 21 6 2 6" xfId="49349"/>
    <cellStyle name="계산 2 21 6 3" xfId="14440"/>
    <cellStyle name="计算 2 21 6 3" xfId="14441"/>
    <cellStyle name="계산 2 21 6 3 2" xfId="27668"/>
    <cellStyle name="计算 2 21 6 3 2" xfId="27669"/>
    <cellStyle name="계산 2 21 6 3 3" xfId="37100"/>
    <cellStyle name="计算 2 21 6 3 3" xfId="37101"/>
    <cellStyle name="계산 2 21 6 3 4" xfId="43019"/>
    <cellStyle name="计算 2 21 6 3 4" xfId="43020"/>
    <cellStyle name="계산 2 21 6 3 5" xfId="47163"/>
    <cellStyle name="计算 2 21 6 3 5" xfId="47164"/>
    <cellStyle name="계산 2 21 6 3 6" xfId="49853"/>
    <cellStyle name="计算 2 21 6 3 6" xfId="49854"/>
    <cellStyle name="계산 2 21 6 4" xfId="7330"/>
    <cellStyle name="计算 2 21 6 4" xfId="13976"/>
    <cellStyle name="계산 2 21 6 4 2" xfId="20558"/>
    <cellStyle name="计算 2 21 6 4 2" xfId="27204"/>
    <cellStyle name="계산 2 21 6 4 3" xfId="30594"/>
    <cellStyle name="计算 2 21 6 4 3" xfId="36807"/>
    <cellStyle name="계산 2 21 6 4 4" xfId="17953"/>
    <cellStyle name="计算 2 21 6 4 4" xfId="42718"/>
    <cellStyle name="계산 2 21 6 4 5" xfId="34555"/>
    <cellStyle name="计算 2 21 6 4 5" xfId="46981"/>
    <cellStyle name="계산 2 21 6 4 6" xfId="28248"/>
    <cellStyle name="计算 2 21 6 4 6" xfId="49552"/>
    <cellStyle name="계산 2 21 6 5" xfId="24971"/>
    <cellStyle name="计算 2 21 6 5" xfId="24972"/>
    <cellStyle name="계산 2 21 6 5 2" xfId="34950"/>
    <cellStyle name="计算 2 21 6 5 2" xfId="37012"/>
    <cellStyle name="계산 2 21 6 5 3" xfId="40948"/>
    <cellStyle name="计算 2 21 6 5 3" xfId="42931"/>
    <cellStyle name="계산 2 21 6 5 4" xfId="45781"/>
    <cellStyle name="计算 2 21 6 5 4" xfId="47101"/>
    <cellStyle name="계산 2 21 6 5 5" xfId="47644"/>
    <cellStyle name="计算 2 21 6 5 5" xfId="49765"/>
    <cellStyle name="계산 2 21 6 6" xfId="37386"/>
    <cellStyle name="计算 2 21 6 6" xfId="31366"/>
    <cellStyle name="계산 2 21 6 6 2" xfId="43306"/>
    <cellStyle name="计算 2 21 6 6 2" xfId="17220"/>
    <cellStyle name="계산 2 21 6 6 3" xfId="50140"/>
    <cellStyle name="计算 2 21 6 6 3" xfId="46251"/>
    <cellStyle name="계산 2 21 6 7" xfId="37886"/>
    <cellStyle name="计算 2 21 6 7" xfId="37887"/>
    <cellStyle name="계산 2 21 6 7 2" xfId="43811"/>
    <cellStyle name="计算 2 21 6 7 2" xfId="43812"/>
    <cellStyle name="계산 2 21 6 7 3" xfId="50645"/>
    <cellStyle name="计算 2 21 6 7 3" xfId="50646"/>
    <cellStyle name="계산 2 21 6 8" xfId="34207"/>
    <cellStyle name="计算 2 21 6 8" xfId="34208"/>
    <cellStyle name="계산 2 21 6 9" xfId="40232"/>
    <cellStyle name="计算 2 21 6 9" xfId="40233"/>
    <cellStyle name="계산 2 21 7" xfId="7806"/>
    <cellStyle name="计算 2 21 7" xfId="7807"/>
    <cellStyle name="계산 2 21 7 2" xfId="21034"/>
    <cellStyle name="计算 2 21 7 2" xfId="21035"/>
    <cellStyle name="계산 2 21 7 3" xfId="30910"/>
    <cellStyle name="计算 2 21 7 3" xfId="30911"/>
    <cellStyle name="계산 2 21 7 4" xfId="27802"/>
    <cellStyle name="计算 2 21 7 4" xfId="16983"/>
    <cellStyle name="계산 2 21 7 5" xfId="34136"/>
    <cellStyle name="计算 2 21 7 5" xfId="31425"/>
    <cellStyle name="계산 2 21 7 6" xfId="39544"/>
    <cellStyle name="计算 2 21 7 6" xfId="34582"/>
    <cellStyle name="계산 2 21 8" xfId="7406"/>
    <cellStyle name="计算 2 21 8" xfId="7405"/>
    <cellStyle name="계산 2 21 8 2" xfId="20634"/>
    <cellStyle name="计算 2 21 8 2" xfId="20633"/>
    <cellStyle name="계산 2 21 8 3" xfId="34968"/>
    <cellStyle name="计算 2 21 8 3" xfId="36778"/>
    <cellStyle name="계산 2 21 8 4" xfId="40966"/>
    <cellStyle name="计算 2 21 8 4" xfId="42685"/>
    <cellStyle name="계산 2 21 8 5" xfId="45794"/>
    <cellStyle name="计算 2 21 8 5" xfId="46962"/>
    <cellStyle name="계산 2 21 8 6" xfId="47662"/>
    <cellStyle name="计算 2 21 8 6" xfId="49519"/>
    <cellStyle name="계산 2 21 9" xfId="14203"/>
    <cellStyle name="计算 2 21 9" xfId="13597"/>
    <cellStyle name="계산 2 21 9 2" xfId="27431"/>
    <cellStyle name="计算 2 21 9 2" xfId="26825"/>
    <cellStyle name="계산 2 21 9 3" xfId="30830"/>
    <cellStyle name="计算 2 21 9 3" xfId="37276"/>
    <cellStyle name="계산 2 21 9 4" xfId="27722"/>
    <cellStyle name="计算 2 21 9 4" xfId="43196"/>
    <cellStyle name="계산 2 21 9 5" xfId="15718"/>
    <cellStyle name="计算 2 21 9 5" xfId="47278"/>
    <cellStyle name="계산 2 21 9 6" xfId="16532"/>
    <cellStyle name="计算 2 21 9 6" xfId="50030"/>
    <cellStyle name="계산 2 22" xfId="2649"/>
    <cellStyle name="计算 2 22" xfId="4654"/>
    <cellStyle name="계산 2 22 10" xfId="7723"/>
    <cellStyle name="计算 2 22 10" xfId="14127"/>
    <cellStyle name="계산 2 22 10 2" xfId="20951"/>
    <cellStyle name="计算 2 22 10 2" xfId="27355"/>
    <cellStyle name="계산 2 22 10 3" xfId="36563"/>
    <cellStyle name="计算 2 22 10 3" xfId="35515"/>
    <cellStyle name="계산 2 22 10 4" xfId="42461"/>
    <cellStyle name="计算 2 22 10 4" xfId="41387"/>
    <cellStyle name="계산 2 22 10 5" xfId="46802"/>
    <cellStyle name="计算 2 22 10 5" xfId="46215"/>
    <cellStyle name="계산 2 22 10 6" xfId="49295"/>
    <cellStyle name="计算 2 22 10 6" xfId="48221"/>
    <cellStyle name="계산 2 22 11" xfId="7309"/>
    <cellStyle name="计算 2 22 11" xfId="14468"/>
    <cellStyle name="계산 2 22 11 2" xfId="20537"/>
    <cellStyle name="计算 2 22 11 2" xfId="27696"/>
    <cellStyle name="계산 2 22 11 3" xfId="31301"/>
    <cellStyle name="计算 2 22 11 3" xfId="35616"/>
    <cellStyle name="계산 2 22 11 4" xfId="18463"/>
    <cellStyle name="计算 2 22 11 4" xfId="41493"/>
    <cellStyle name="계산 2 22 11 5" xfId="28076"/>
    <cellStyle name="计算 2 22 11 5" xfId="46286"/>
    <cellStyle name="계산 2 22 11 6" xfId="44610"/>
    <cellStyle name="计算 2 22 11 6" xfId="48327"/>
    <cellStyle name="계산 2 22 12" xfId="16407"/>
    <cellStyle name="计算 2 22 12" xfId="17982"/>
    <cellStyle name="계산 2 22 12 2" xfId="43460"/>
    <cellStyle name="计算 2 22 12 2" xfId="40874"/>
    <cellStyle name="계산 2 22 12 3" xfId="50294"/>
    <cellStyle name="计算 2 22 12 3" xfId="14617"/>
    <cellStyle name="계산 2 22 13" xfId="14559"/>
    <cellStyle name="计算 2 22 13" xfId="15153"/>
    <cellStyle name="계산 2 22 14" xfId="34254"/>
    <cellStyle name="计算 2 22 14" xfId="28714"/>
    <cellStyle name="계산 2 22 15" xfId="40131"/>
    <cellStyle name="计算 2 22 15" xfId="38692"/>
    <cellStyle name="계산 2 22 16" xfId="38680"/>
    <cellStyle name="计算 2 22 16" xfId="45212"/>
    <cellStyle name="계산 2 22 17" xfId="50971"/>
    <cellStyle name="计算 2 22 17" xfId="50972"/>
    <cellStyle name="계산 2 22 18" xfId="50805"/>
    <cellStyle name="计算 2 22 18" xfId="50804"/>
    <cellStyle name="계산 2 22 2" xfId="6291"/>
    <cellStyle name="计算 2 22 2" xfId="6602"/>
    <cellStyle name="계산 2 22 2 10" xfId="16040"/>
    <cellStyle name="计算 2 22 2 10" xfId="18510"/>
    <cellStyle name="계산 2 22 2 11" xfId="39874"/>
    <cellStyle name="计算 2 22 2 11" xfId="15355"/>
    <cellStyle name="계산 2 22 2 12" xfId="40611"/>
    <cellStyle name="计算 2 22 2 12" xfId="33441"/>
    <cellStyle name="계산 2 22 2 2" xfId="11025"/>
    <cellStyle name="计算 2 22 2 2" xfId="11336"/>
    <cellStyle name="계산 2 22 2 2 2" xfId="24253"/>
    <cellStyle name="计算 2 22 2 2 2" xfId="24564"/>
    <cellStyle name="계산 2 22 2 2 3" xfId="33655"/>
    <cellStyle name="计算 2 22 2 2 3" xfId="33966"/>
    <cellStyle name="계산 2 22 2 2 4" xfId="39809"/>
    <cellStyle name="计算 2 22 2 2 4" xfId="40010"/>
    <cellStyle name="계산 2 22 2 2 5" xfId="44789"/>
    <cellStyle name="计算 2 22 2 2 5" xfId="45031"/>
    <cellStyle name="계산 2 22 2 2 6" xfId="32219"/>
    <cellStyle name="计算 2 22 2 2 6" xfId="14506"/>
    <cellStyle name="계산 2 22 2 3" xfId="13869"/>
    <cellStyle name="计算 2 22 2 3" xfId="13978"/>
    <cellStyle name="계산 2 22 2 3 2" xfId="27097"/>
    <cellStyle name="计算 2 22 2 3 2" xfId="27206"/>
    <cellStyle name="계산 2 22 2 3 3" xfId="36081"/>
    <cellStyle name="计算 2 22 2 3 3" xfId="36391"/>
    <cellStyle name="계산 2 22 2 3 4" xfId="41974"/>
    <cellStyle name="计算 2 22 2 3 4" xfId="42284"/>
    <cellStyle name="계산 2 22 2 3 5" xfId="46552"/>
    <cellStyle name="计算 2 22 2 3 5" xfId="46691"/>
    <cellStyle name="계산 2 22 2 3 6" xfId="48808"/>
    <cellStyle name="计算 2 22 2 3 6" xfId="49118"/>
    <cellStyle name="계산 2 22 2 4" xfId="8060"/>
    <cellStyle name="计算 2 22 2 4" xfId="8277"/>
    <cellStyle name="계산 2 22 2 4 2" xfId="21288"/>
    <cellStyle name="计算 2 22 2 4 2" xfId="21505"/>
    <cellStyle name="계산 2 22 2 4 3" xfId="31492"/>
    <cellStyle name="计算 2 22 2 4 3" xfId="31574"/>
    <cellStyle name="계산 2 22 2 4 4" xfId="14738"/>
    <cellStyle name="计算 2 22 2 4 4" xfId="17313"/>
    <cellStyle name="계산 2 22 2 4 5" xfId="29125"/>
    <cellStyle name="计算 2 22 2 4 5" xfId="15588"/>
    <cellStyle name="계산 2 22 2 4 6" xfId="47120"/>
    <cellStyle name="计算 2 22 2 4 6" xfId="43915"/>
    <cellStyle name="계산 2 22 2 5" xfId="7245"/>
    <cellStyle name="计算 2 22 2 5" xfId="7231"/>
    <cellStyle name="계산 2 22 2 5 2" xfId="20473"/>
    <cellStyle name="计算 2 22 2 5 2" xfId="20459"/>
    <cellStyle name="계산 2 22 2 5 3" xfId="34895"/>
    <cellStyle name="计算 2 22 2 5 3" xfId="31999"/>
    <cellStyle name="계산 2 22 2 5 4" xfId="40893"/>
    <cellStyle name="计算 2 22 2 5 4" xfId="38222"/>
    <cellStyle name="계산 2 22 2 5 5" xfId="45738"/>
    <cellStyle name="计算 2 22 2 5 5" xfId="15510"/>
    <cellStyle name="계산 2 22 2 5 6" xfId="33338"/>
    <cellStyle name="计算 2 22 2 5 6" xfId="46586"/>
    <cellStyle name="계산 2 22 2 6" xfId="14110"/>
    <cellStyle name="计算 2 22 2 6" xfId="13700"/>
    <cellStyle name="계산 2 22 2 6 2" xfId="27338"/>
    <cellStyle name="计算 2 22 2 6 2" xfId="26928"/>
    <cellStyle name="계산 2 22 2 6 3" xfId="34815"/>
    <cellStyle name="计算 2 22 2 6 3" xfId="35487"/>
    <cellStyle name="계산 2 22 2 6 4" xfId="40811"/>
    <cellStyle name="计算 2 22 2 6 4" xfId="41358"/>
    <cellStyle name="계산 2 22 2 6 5" xfId="45684"/>
    <cellStyle name="计算 2 22 2 6 5" xfId="46194"/>
    <cellStyle name="계산 2 22 2 6 6" xfId="29923"/>
    <cellStyle name="计算 2 22 2 6 6" xfId="48192"/>
    <cellStyle name="계산 2 22 2 7" xfId="19519"/>
    <cellStyle name="计算 2 22 2 7" xfId="19830"/>
    <cellStyle name="계산 2 22 2 7 2" xfId="37429"/>
    <cellStyle name="计算 2 22 2 7 2" xfId="31781"/>
    <cellStyle name="계산 2 22 2 7 3" xfId="43349"/>
    <cellStyle name="计算 2 22 2 7 3" xfId="38002"/>
    <cellStyle name="계산 2 22 2 7 4" xfId="47362"/>
    <cellStyle name="计算 2 22 2 7 4" xfId="15537"/>
    <cellStyle name="계산 2 22 2 7 5" xfId="50183"/>
    <cellStyle name="计算 2 22 2 7 5" xfId="46606"/>
    <cellStyle name="계산 2 22 2 8" xfId="31904"/>
    <cellStyle name="计算 2 22 2 8" xfId="37357"/>
    <cellStyle name="계산 2 22 2 8 2" xfId="38125"/>
    <cellStyle name="计算 2 22 2 8 2" xfId="43277"/>
    <cellStyle name="계산 2 22 2 8 3" xfId="41176"/>
    <cellStyle name="计算 2 22 2 8 3" xfId="50111"/>
    <cellStyle name="계산 2 22 2 9" xfId="29343"/>
    <cellStyle name="计算 2 22 2 9" xfId="29654"/>
    <cellStyle name="계산 2 22 3" xfId="6221"/>
    <cellStyle name="计算 2 22 3" xfId="6132"/>
    <cellStyle name="계산 2 22 3 10" xfId="36658"/>
    <cellStyle name="计算 2 22 3 10" xfId="36823"/>
    <cellStyle name="계산 2 22 3 11" xfId="37830"/>
    <cellStyle name="计算 2 22 3 11" xfId="33458"/>
    <cellStyle name="계산 2 22 3 12" xfId="45447"/>
    <cellStyle name="计算 2 22 3 12" xfId="45531"/>
    <cellStyle name="계산 2 22 3 2" xfId="10955"/>
    <cellStyle name="计算 2 22 3 2" xfId="10866"/>
    <cellStyle name="계산 2 22 3 2 2" xfId="24183"/>
    <cellStyle name="计算 2 22 3 2 2" xfId="24094"/>
    <cellStyle name="계산 2 22 3 2 3" xfId="33585"/>
    <cellStyle name="计算 2 22 3 2 3" xfId="33496"/>
    <cellStyle name="계산 2 22 3 2 4" xfId="39747"/>
    <cellStyle name="计算 2 22 3 2 4" xfId="39680"/>
    <cellStyle name="계산 2 22 3 2 5" xfId="44719"/>
    <cellStyle name="计算 2 22 3 2 5" xfId="44634"/>
    <cellStyle name="계산 2 22 3 2 6" xfId="38718"/>
    <cellStyle name="计算 2 22 3 2 6" xfId="28890"/>
    <cellStyle name="계산 2 22 3 3" xfId="13811"/>
    <cellStyle name="计算 2 22 3 3" xfId="13755"/>
    <cellStyle name="계산 2 22 3 3 2" xfId="27039"/>
    <cellStyle name="计算 2 22 3 3 2" xfId="26983"/>
    <cellStyle name="계산 2 22 3 3 3" xfId="36011"/>
    <cellStyle name="计算 2 22 3 3 3" xfId="35922"/>
    <cellStyle name="계산 2 22 3 3 4" xfId="41904"/>
    <cellStyle name="计算 2 22 3 3 4" xfId="41815"/>
    <cellStyle name="계산 2 22 3 3 5" xfId="46486"/>
    <cellStyle name="计算 2 22 3 3 5" xfId="46428"/>
    <cellStyle name="계산 2 22 3 3 6" xfId="48738"/>
    <cellStyle name="计算 2 22 3 3 6" xfId="48649"/>
    <cellStyle name="계산 2 22 3 4" xfId="12780"/>
    <cellStyle name="计算 2 22 3 4" xfId="12756"/>
    <cellStyle name="계산 2 22 3 4 2" xfId="26008"/>
    <cellStyle name="计算 2 22 3 4 2" xfId="25984"/>
    <cellStyle name="계산 2 22 3 4 3" xfId="29918"/>
    <cellStyle name="计算 2 22 3 4 3" xfId="32397"/>
    <cellStyle name="계산 2 22 3 4 4" xfId="17696"/>
    <cellStyle name="计算 2 22 3 4 4" xfId="38615"/>
    <cellStyle name="계산 2 22 3 4 5" xfId="34161"/>
    <cellStyle name="计算 2 22 3 4 5" xfId="43952"/>
    <cellStyle name="계산 2 22 3 4 6" xfId="45324"/>
    <cellStyle name="计算 2 22 3 4 6" xfId="47412"/>
    <cellStyle name="계산 2 22 3 5" xfId="13634"/>
    <cellStyle name="计算 2 22 3 5" xfId="13920"/>
    <cellStyle name="계산 2 22 3 5 2" xfId="26862"/>
    <cellStyle name="计算 2 22 3 5 2" xfId="27148"/>
    <cellStyle name="계산 2 22 3 5 3" xfId="30526"/>
    <cellStyle name="计算 2 22 3 5 3" xfId="30456"/>
    <cellStyle name="계산 2 22 3 5 4" xfId="27773"/>
    <cellStyle name="计算 2 22 3 5 4" xfId="16801"/>
    <cellStyle name="계산 2 22 3 5 5" xfId="28246"/>
    <cellStyle name="计算 2 22 3 5 5" xfId="33391"/>
    <cellStyle name="계산 2 22 3 5 6" xfId="46344"/>
    <cellStyle name="计算 2 22 3 5 6" xfId="47203"/>
    <cellStyle name="계산 2 22 3 6" xfId="7321"/>
    <cellStyle name="计算 2 22 3 6" xfId="14026"/>
    <cellStyle name="계산 2 22 3 6 2" xfId="20549"/>
    <cellStyle name="计算 2 22 3 6 2" xfId="27254"/>
    <cellStyle name="계산 2 22 3 6 3" xfId="30766"/>
    <cellStyle name="计算 2 22 3 6 3" xfId="30587"/>
    <cellStyle name="계산 2 22 3 6 4" xfId="15165"/>
    <cellStyle name="计算 2 22 3 6 4" xfId="16854"/>
    <cellStyle name="계산 2 22 3 6 5" xfId="33074"/>
    <cellStyle name="计算 2 22 3 6 5" xfId="14758"/>
    <cellStyle name="계산 2 22 3 6 6" xfId="38439"/>
    <cellStyle name="计算 2 22 3 6 6" xfId="34082"/>
    <cellStyle name="계산 2 22 3 7" xfId="19449"/>
    <cellStyle name="计算 2 22 3 7" xfId="19360"/>
    <cellStyle name="계산 2 22 3 7 2" xfId="32359"/>
    <cellStyle name="计算 2 22 3 7 2" xfId="36754"/>
    <cellStyle name="계산 2 22 3 7 3" xfId="38577"/>
    <cellStyle name="计算 2 22 3 7 3" xfId="42661"/>
    <cellStyle name="계산 2 22 3 7 4" xfId="43922"/>
    <cellStyle name="计算 2 22 3 7 4" xfId="46945"/>
    <cellStyle name="계산 2 22 3 7 5" xfId="41180"/>
    <cellStyle name="计算 2 22 3 7 5" xfId="49495"/>
    <cellStyle name="계산 2 22 3 8" xfId="35052"/>
    <cellStyle name="计算 2 22 3 8" xfId="37529"/>
    <cellStyle name="계산 2 22 3 8 2" xfId="41059"/>
    <cellStyle name="计算 2 22 3 8 2" xfId="43450"/>
    <cellStyle name="계산 2 22 3 8 3" xfId="47755"/>
    <cellStyle name="计算 2 22 3 8 3" xfId="50284"/>
    <cellStyle name="계산 2 22 3 9" xfId="29273"/>
    <cellStyle name="计算 2 22 3 9" xfId="29184"/>
    <cellStyle name="계산 2 22 4" xfId="6574"/>
    <cellStyle name="计算 2 22 4" xfId="6411"/>
    <cellStyle name="계산 2 22 4 10" xfId="16243"/>
    <cellStyle name="计算 2 22 4 10" xfId="16130"/>
    <cellStyle name="계산 2 22 4 11" xfId="39841"/>
    <cellStyle name="计算 2 22 4 11" xfId="39847"/>
    <cellStyle name="계산 2 22 4 12" xfId="44000"/>
    <cellStyle name="计算 2 22 4 12" xfId="44054"/>
    <cellStyle name="계산 2 22 4 2" xfId="11308"/>
    <cellStyle name="计算 2 22 4 2" xfId="11145"/>
    <cellStyle name="계산 2 22 4 2 2" xfId="24536"/>
    <cellStyle name="计算 2 22 4 2 2" xfId="24373"/>
    <cellStyle name="계산 2 22 4 2 3" xfId="33938"/>
    <cellStyle name="计算 2 22 4 2 3" xfId="33775"/>
    <cellStyle name="계산 2 22 4 2 4" xfId="39995"/>
    <cellStyle name="计算 2 22 4 2 4" xfId="39894"/>
    <cellStyle name="계산 2 22 4 2 5" xfId="45014"/>
    <cellStyle name="计算 2 22 4 2 5" xfId="44909"/>
    <cellStyle name="계산 2 22 4 2 6" xfId="39939"/>
    <cellStyle name="计算 2 22 4 2 6" xfId="29030"/>
    <cellStyle name="계산 2 22 4 3" xfId="13959"/>
    <cellStyle name="计算 2 22 4 3" xfId="13901"/>
    <cellStyle name="계산 2 22 4 3 2" xfId="27187"/>
    <cellStyle name="计算 2 22 4 3 2" xfId="27129"/>
    <cellStyle name="계산 2 22 4 3 3" xfId="36364"/>
    <cellStyle name="计算 2 22 4 3 3" xfId="36201"/>
    <cellStyle name="계산 2 22 4 3 4" xfId="42257"/>
    <cellStyle name="计算 2 22 4 3 4" xfId="42094"/>
    <cellStyle name="계산 2 22 4 3 5" xfId="46679"/>
    <cellStyle name="计算 2 22 4 3 5" xfId="46656"/>
    <cellStyle name="계산 2 22 4 3 6" xfId="49091"/>
    <cellStyle name="计算 2 22 4 3 6" xfId="48928"/>
    <cellStyle name="계산 2 22 4 4" xfId="8260"/>
    <cellStyle name="计算 2 22 4 4" xfId="12965"/>
    <cellStyle name="계산 2 22 4 4 2" xfId="21488"/>
    <cellStyle name="计算 2 22 4 4 2" xfId="26193"/>
    <cellStyle name="계산 2 22 4 4 3" xfId="32025"/>
    <cellStyle name="计算 2 22 4 4 3" xfId="31536"/>
    <cellStyle name="계산 2 22 4 4 4" xfId="38248"/>
    <cellStyle name="计算 2 22 4 4 4" xfId="17292"/>
    <cellStyle name="계산 2 22 4 4 5" xfId="28154"/>
    <cellStyle name="计算 2 22 4 4 5" xfId="15602"/>
    <cellStyle name="계산 2 22 4 4 6" xfId="28887"/>
    <cellStyle name="计算 2 22 4 4 6" xfId="46626"/>
    <cellStyle name="계산 2 22 4 5" xfId="14192"/>
    <cellStyle name="计算 2 22 4 5" xfId="6695"/>
    <cellStyle name="계산 2 22 4 5 2" xfId="27420"/>
    <cellStyle name="计算 2 22 4 5 2" xfId="19923"/>
    <cellStyle name="계산 2 22 4 5 3" xfId="30370"/>
    <cellStyle name="计算 2 22 4 5 3" xfId="30411"/>
    <cellStyle name="계산 2 22 4 5 4" xfId="16782"/>
    <cellStyle name="计算 2 22 4 5 4" xfId="14871"/>
    <cellStyle name="계산 2 22 4 5 5" xfId="15343"/>
    <cellStyle name="计算 2 22 4 5 5" xfId="34169"/>
    <cellStyle name="계산 2 22 4 5 6" xfId="17791"/>
    <cellStyle name="计算 2 22 4 5 6" xfId="46645"/>
    <cellStyle name="계산 2 22 4 6" xfId="12906"/>
    <cellStyle name="计算 2 22 4 6" xfId="7367"/>
    <cellStyle name="계산 2 22 4 6 2" xfId="26134"/>
    <cellStyle name="计算 2 22 4 6 2" xfId="20595"/>
    <cellStyle name="계산 2 22 4 6 3" xfId="31952"/>
    <cellStyle name="计算 2 22 4 6 3" xfId="34725"/>
    <cellStyle name="계산 2 22 4 6 4" xfId="38174"/>
    <cellStyle name="计算 2 22 4 6 4" xfId="40715"/>
    <cellStyle name="계산 2 22 4 6 5" xfId="32992"/>
    <cellStyle name="计算 2 22 4 6 5" xfId="45633"/>
    <cellStyle name="계산 2 22 4 6 6" xfId="33381"/>
    <cellStyle name="计算 2 22 4 6 6" xfId="38457"/>
    <cellStyle name="계산 2 22 4 7" xfId="19802"/>
    <cellStyle name="计算 2 22 4 7" xfId="19639"/>
    <cellStyle name="계산 2 22 4 7 2" xfId="32318"/>
    <cellStyle name="计算 2 22 4 7 2" xfId="30366"/>
    <cellStyle name="계산 2 22 4 7 3" xfId="38536"/>
    <cellStyle name="计算 2 22 4 7 3" xfId="18143"/>
    <cellStyle name="계산 2 22 4 7 4" xfId="43901"/>
    <cellStyle name="计算 2 22 4 7 4" xfId="15334"/>
    <cellStyle name="계산 2 22 4 7 5" xfId="47402"/>
    <cellStyle name="计算 2 22 4 7 5" xfId="39558"/>
    <cellStyle name="계산 2 22 4 8" xfId="35484"/>
    <cellStyle name="计算 2 22 4 8" xfId="37486"/>
    <cellStyle name="계산 2 22 4 8 2" xfId="41355"/>
    <cellStyle name="计算 2 22 4 8 2" xfId="43406"/>
    <cellStyle name="계산 2 22 4 8 3" xfId="48189"/>
    <cellStyle name="计算 2 22 4 8 3" xfId="50240"/>
    <cellStyle name="계산 2 22 4 9" xfId="29626"/>
    <cellStyle name="计算 2 22 4 9" xfId="29463"/>
    <cellStyle name="계산 2 22 5" xfId="9526"/>
    <cellStyle name="计算 2 22 5" xfId="9813"/>
    <cellStyle name="계산 2 22 5 10" xfId="32451"/>
    <cellStyle name="计算 2 22 5 10" xfId="30010"/>
    <cellStyle name="계산 2 22 5 11" xfId="40507"/>
    <cellStyle name="计算 2 22 5 11" xfId="17541"/>
    <cellStyle name="계산 2 22 5 12" xfId="45209"/>
    <cellStyle name="计算 2 22 5 12" xfId="28642"/>
    <cellStyle name="계산 2 22 5 2" xfId="13163"/>
    <cellStyle name="计算 2 22 5 2" xfId="13450"/>
    <cellStyle name="계산 2 22 5 2 2" xfId="26391"/>
    <cellStyle name="计算 2 22 5 2 2" xfId="26678"/>
    <cellStyle name="계산 2 22 5 2 3" xfId="32643"/>
    <cellStyle name="计算 2 22 5 2 3" xfId="32930"/>
    <cellStyle name="계산 2 22 5 2 4" xfId="38863"/>
    <cellStyle name="计算 2 22 5 2 4" xfId="39150"/>
    <cellStyle name="계산 2 22 5 2 5" xfId="44126"/>
    <cellStyle name="计算 2 22 5 2 5" xfId="44247"/>
    <cellStyle name="계산 2 22 5 2 6" xfId="47607"/>
    <cellStyle name="计算 2 22 5 2 6" xfId="46378"/>
    <cellStyle name="계산 2 22 5 3" xfId="7507"/>
    <cellStyle name="计算 2 22 5 3" xfId="7711"/>
    <cellStyle name="계산 2 22 5 3 2" xfId="20735"/>
    <cellStyle name="计算 2 22 5 3 2" xfId="20939"/>
    <cellStyle name="계산 2 22 5 3 3" xfId="35139"/>
    <cellStyle name="计算 2 22 5 3 3" xfId="35426"/>
    <cellStyle name="계산 2 22 5 3 4" xfId="41119"/>
    <cellStyle name="计算 2 22 5 3 4" xfId="41304"/>
    <cellStyle name="계산 2 22 5 3 5" xfId="45929"/>
    <cellStyle name="计算 2 22 5 3 5" xfId="46148"/>
    <cellStyle name="계산 2 22 5 3 6" xfId="47842"/>
    <cellStyle name="计算 2 22 5 3 6" xfId="48129"/>
    <cellStyle name="계산 2 22 5 4" xfId="14235"/>
    <cellStyle name="计算 2 22 5 4" xfId="14242"/>
    <cellStyle name="계산 2 22 5 4 2" xfId="27463"/>
    <cellStyle name="计算 2 22 5 4 2" xfId="27470"/>
    <cellStyle name="계산 2 22 5 4 3" xfId="30964"/>
    <cellStyle name="计算 2 22 5 4 3" xfId="31172"/>
    <cellStyle name="계산 2 22 5 4 4" xfId="18007"/>
    <cellStyle name="计算 2 22 5 4 4" xfId="14721"/>
    <cellStyle name="계산 2 22 5 4 5" xfId="15681"/>
    <cellStyle name="计算 2 22 5 4 5" xfId="17589"/>
    <cellStyle name="계산 2 22 5 4 6" xfId="40421"/>
    <cellStyle name="计算 2 22 5 4 6" xfId="40127"/>
    <cellStyle name="계산 2 22 5 5" xfId="14370"/>
    <cellStyle name="计算 2 22 5 5" xfId="7736"/>
    <cellStyle name="계산 2 22 5 5 2" xfId="27598"/>
    <cellStyle name="计算 2 22 5 5 2" xfId="20964"/>
    <cellStyle name="계산 2 22 5 5 3" xfId="41395"/>
    <cellStyle name="计算 2 22 5 5 3" xfId="41579"/>
    <cellStyle name="계산 2 22 5 5 4" xfId="48229"/>
    <cellStyle name="计算 2 22 5 5 4" xfId="48413"/>
    <cellStyle name="계산 2 22 5 6" xfId="22754"/>
    <cellStyle name="计算 2 22 5 6" xfId="23041"/>
    <cellStyle name="계산 2 22 5 6 2" xfId="37341"/>
    <cellStyle name="计算 2 22 5 6 2" xfId="31202"/>
    <cellStyle name="계산 2 22 5 6 3" xfId="43261"/>
    <cellStyle name="计算 2 22 5 6 3" xfId="17095"/>
    <cellStyle name="계산 2 22 5 6 4" xfId="47315"/>
    <cellStyle name="计算 2 22 5 6 4" xfId="15635"/>
    <cellStyle name="계산 2 22 5 6 5" xfId="50095"/>
    <cellStyle name="计算 2 22 5 6 5" xfId="30053"/>
    <cellStyle name="계산 2 22 5 7" xfId="31730"/>
    <cellStyle name="计算 2 22 5 7" xfId="35045"/>
    <cellStyle name="계산 2 22 5 7 2" xfId="37951"/>
    <cellStyle name="计算 2 22 5 7 2" xfId="41052"/>
    <cellStyle name="계산 2 22 5 7 3" xfId="47461"/>
    <cellStyle name="计算 2 22 5 7 3" xfId="47748"/>
    <cellStyle name="계산 2 22 5 8" xfId="37782"/>
    <cellStyle name="计算 2 22 5 8" xfId="32363"/>
    <cellStyle name="계산 2 22 5 8 2" xfId="43706"/>
    <cellStyle name="计算 2 22 5 8 2" xfId="38581"/>
    <cellStyle name="계산 2 22 5 8 3" xfId="50540"/>
    <cellStyle name="计算 2 22 5 8 3" xfId="15672"/>
    <cellStyle name="계산 2 22 5 9" xfId="28332"/>
    <cellStyle name="计算 2 22 5 9" xfId="28619"/>
    <cellStyle name="계산 2 22 6" xfId="11745"/>
    <cellStyle name="计算 2 22 6" xfId="11769"/>
    <cellStyle name="계산 2 22 6 10" xfId="45243"/>
    <cellStyle name="计算 2 22 6 10" xfId="45267"/>
    <cellStyle name="계산 2 22 6 11" xfId="33120"/>
    <cellStyle name="计算 2 22 6 11" xfId="28769"/>
    <cellStyle name="계산 2 22 6 2" xfId="8399"/>
    <cellStyle name="计算 2 22 6 2" xfId="8412"/>
    <cellStyle name="계산 2 22 6 2 2" xfId="21627"/>
    <cellStyle name="计算 2 22 6 2 2" xfId="21640"/>
    <cellStyle name="계산 2 22 6 2 3" xfId="36614"/>
    <cellStyle name="计算 2 22 6 2 3" xfId="36638"/>
    <cellStyle name="계산 2 22 6 2 4" xfId="42516"/>
    <cellStyle name="计算 2 22 6 2 4" xfId="42540"/>
    <cellStyle name="계산 2 22 6 2 5" xfId="46846"/>
    <cellStyle name="计算 2 22 6 2 5" xfId="46870"/>
    <cellStyle name="계산 2 22 6 2 6" xfId="49350"/>
    <cellStyle name="计算 2 22 6 2 6" xfId="49374"/>
    <cellStyle name="계산 2 22 6 3" xfId="14442"/>
    <cellStyle name="计算 2 22 6 3" xfId="14465"/>
    <cellStyle name="계산 2 22 6 3 2" xfId="27670"/>
    <cellStyle name="计算 2 22 6 3 2" xfId="27693"/>
    <cellStyle name="계산 2 22 6 3 3" xfId="37102"/>
    <cellStyle name="计算 2 22 6 3 3" xfId="37125"/>
    <cellStyle name="계산 2 22 6 3 4" xfId="43021"/>
    <cellStyle name="计算 2 22 6 3 4" xfId="43044"/>
    <cellStyle name="계산 2 22 6 3 5" xfId="47165"/>
    <cellStyle name="计算 2 22 6 3 5" xfId="47188"/>
    <cellStyle name="계산 2 22 6 3 6" xfId="49855"/>
    <cellStyle name="计算 2 22 6 3 6" xfId="49878"/>
    <cellStyle name="계산 2 22 6 4" xfId="14246"/>
    <cellStyle name="计算 2 22 6 4" xfId="12938"/>
    <cellStyle name="계산 2 22 6 4 2" xfId="27474"/>
    <cellStyle name="计算 2 22 6 4 2" xfId="26166"/>
    <cellStyle name="계산 2 22 6 4 3" xfId="31974"/>
    <cellStyle name="计算 2 22 6 4 3" xfId="32095"/>
    <cellStyle name="계산 2 22 6 4 4" xfId="38197"/>
    <cellStyle name="计算 2 22 6 4 4" xfId="38318"/>
    <cellStyle name="계산 2 22 6 4 5" xfId="33390"/>
    <cellStyle name="计算 2 22 6 4 5" xfId="15498"/>
    <cellStyle name="계산 2 22 6 4 6" xfId="44161"/>
    <cellStyle name="计算 2 22 6 4 6" xfId="32297"/>
    <cellStyle name="계산 2 22 6 5" xfId="24973"/>
    <cellStyle name="计算 2 22 6 5" xfId="24997"/>
    <cellStyle name="계산 2 22 6 5 2" xfId="36759"/>
    <cellStyle name="计算 2 22 6 5 2" xfId="31404"/>
    <cellStyle name="계산 2 22 6 5 3" xfId="42666"/>
    <cellStyle name="计算 2 22 6 5 3" xfId="15287"/>
    <cellStyle name="계산 2 22 6 5 4" xfId="46948"/>
    <cellStyle name="计算 2 22 6 5 4" xfId="33124"/>
    <cellStyle name="계산 2 22 6 5 5" xfId="49500"/>
    <cellStyle name="计算 2 22 6 5 5" xfId="47075"/>
    <cellStyle name="계산 2 22 6 6" xfId="37506"/>
    <cellStyle name="计算 2 22 6 6" xfId="36512"/>
    <cellStyle name="계산 2 22 6 6 2" xfId="43426"/>
    <cellStyle name="计算 2 22 6 6 2" xfId="42405"/>
    <cellStyle name="계산 2 22 6 6 3" xfId="50260"/>
    <cellStyle name="计算 2 22 6 6 3" xfId="49239"/>
    <cellStyle name="계산 2 22 6 7" xfId="37888"/>
    <cellStyle name="计算 2 22 6 7" xfId="37912"/>
    <cellStyle name="계산 2 22 6 7 2" xfId="43813"/>
    <cellStyle name="计算 2 22 6 7 2" xfId="43837"/>
    <cellStyle name="계산 2 22 6 7 3" xfId="50647"/>
    <cellStyle name="计算 2 22 6 7 3" xfId="50671"/>
    <cellStyle name="계산 2 22 6 8" xfId="34209"/>
    <cellStyle name="计算 2 22 6 8" xfId="34233"/>
    <cellStyle name="계산 2 22 6 9" xfId="40234"/>
    <cellStyle name="计算 2 22 6 9" xfId="40258"/>
    <cellStyle name="계산 2 22 7" xfId="7808"/>
    <cellStyle name="计算 2 22 7" xfId="8677"/>
    <cellStyle name="계산 2 22 7 2" xfId="21036"/>
    <cellStyle name="计算 2 22 7 2" xfId="21905"/>
    <cellStyle name="계산 2 22 7 3" xfId="30912"/>
    <cellStyle name="计算 2 22 7 3" xfId="32048"/>
    <cellStyle name="계산 2 22 7 4" xfId="16984"/>
    <cellStyle name="计算 2 22 7 4" xfId="38271"/>
    <cellStyle name="계산 2 22 7 5" xfId="15696"/>
    <cellStyle name="计算 2 22 7 5" xfId="15504"/>
    <cellStyle name="계산 2 22 7 6" xfId="39198"/>
    <cellStyle name="计算 2 22 7 6" xfId="41315"/>
    <cellStyle name="계산 2 22 8" xfId="7404"/>
    <cellStyle name="计算 2 22 8" xfId="12789"/>
    <cellStyle name="계산 2 22 8 2" xfId="20632"/>
    <cellStyle name="计算 2 22 8 2" xfId="26017"/>
    <cellStyle name="계산 2 22 8 3" xfId="35617"/>
    <cellStyle name="计算 2 22 8 3" xfId="30582"/>
    <cellStyle name="계산 2 22 8 4" xfId="41494"/>
    <cellStyle name="计算 2 22 8 4" xfId="27763"/>
    <cellStyle name="계산 2 22 8 5" xfId="46287"/>
    <cellStyle name="计算 2 22 8 5" xfId="28188"/>
    <cellStyle name="계산 2 22 8 6" xfId="48328"/>
    <cellStyle name="计算 2 22 8 6" xfId="15650"/>
    <cellStyle name="계산 2 22 9" xfId="14115"/>
    <cellStyle name="计算 2 22 9" xfId="14156"/>
    <cellStyle name="계산 2 22 9 2" xfId="27343"/>
    <cellStyle name="计算 2 22 9 2" xfId="27384"/>
    <cellStyle name="계산 2 22 9 3" xfId="31939"/>
    <cellStyle name="计算 2 22 9 3" xfId="29854"/>
    <cellStyle name="계산 2 22 9 4" xfId="38161"/>
    <cellStyle name="计算 2 22 9 4" xfId="16365"/>
    <cellStyle name="계산 2 22 9 5" xfId="33367"/>
    <cellStyle name="计算 2 22 9 5" xfId="33209"/>
    <cellStyle name="계산 2 22 9 6" xfId="33108"/>
    <cellStyle name="计算 2 22 9 6" xfId="32228"/>
    <cellStyle name="계산 2 23" xfId="2650"/>
    <cellStyle name="计算 2 23" xfId="4656"/>
    <cellStyle name="계산 2 23 10" xfId="14357"/>
    <cellStyle name="计算 2 23 10" xfId="14167"/>
    <cellStyle name="계산 2 23 10 2" xfId="27585"/>
    <cellStyle name="计算 2 23 10 2" xfId="27395"/>
    <cellStyle name="계산 2 23 10 3" xfId="37610"/>
    <cellStyle name="计算 2 23 10 3" xfId="31577"/>
    <cellStyle name="계산 2 23 10 4" xfId="43533"/>
    <cellStyle name="计算 2 23 10 4" xfId="18011"/>
    <cellStyle name="계산 2 23 10 5" xfId="47456"/>
    <cellStyle name="计算 2 23 10 5" xfId="17940"/>
    <cellStyle name="계산 2 23 10 6" xfId="50367"/>
    <cellStyle name="计算 2 23 10 6" xfId="46787"/>
    <cellStyle name="계산 2 23 11" xfId="12891"/>
    <cellStyle name="计算 2 23 11" xfId="14481"/>
    <cellStyle name="계산 2 23 11 2" xfId="26119"/>
    <cellStyle name="计算 2 23 11 2" xfId="27709"/>
    <cellStyle name="계산 2 23 11 3" xfId="31660"/>
    <cellStyle name="计算 2 23 11 3" xfId="29872"/>
    <cellStyle name="계산 2 23 11 4" xfId="17350"/>
    <cellStyle name="计算 2 23 11 4" xfId="17690"/>
    <cellStyle name="계산 2 23 11 5" xfId="15568"/>
    <cellStyle name="计算 2 23 11 5" xfId="32280"/>
    <cellStyle name="계산 2 23 11 6" xfId="15622"/>
    <cellStyle name="计算 2 23 11 6" xfId="44330"/>
    <cellStyle name="계산 2 23 12" xfId="16408"/>
    <cellStyle name="计算 2 23 12" xfId="17984"/>
    <cellStyle name="계산 2 23 12 2" xfId="43449"/>
    <cellStyle name="计算 2 23 12 2" xfId="16590"/>
    <cellStyle name="계산 2 23 12 3" xfId="50283"/>
    <cellStyle name="计算 2 23 12 3" xfId="32456"/>
    <cellStyle name="계산 2 23 13" xfId="15959"/>
    <cellStyle name="计算 2 23 13" xfId="15152"/>
    <cellStyle name="계산 2 23 14" xfId="32976"/>
    <cellStyle name="计算 2 23 14" xfId="34563"/>
    <cellStyle name="계산 2 23 15" xfId="38713"/>
    <cellStyle name="计算 2 23 15" xfId="39347"/>
    <cellStyle name="계산 2 23 16" xfId="40101"/>
    <cellStyle name="计算 2 23 16" xfId="16516"/>
    <cellStyle name="계산 2 23 17" xfId="50973"/>
    <cellStyle name="计算 2 23 17" xfId="50974"/>
    <cellStyle name="계산 2 23 18" xfId="50803"/>
    <cellStyle name="计算 2 23 18" xfId="50802"/>
    <cellStyle name="계산 2 23 2" xfId="6292"/>
    <cellStyle name="计算 2 23 2" xfId="6604"/>
    <cellStyle name="계산 2 23 2 10" xfId="16041"/>
    <cellStyle name="计算 2 23 2 10" xfId="16227"/>
    <cellStyle name="계산 2 23 2 11" xfId="28231"/>
    <cellStyle name="计算 2 23 2 11" xfId="33318"/>
    <cellStyle name="계산 2 23 2 12" xfId="44574"/>
    <cellStyle name="计算 2 23 2 12" xfId="15349"/>
    <cellStyle name="계산 2 23 2 2" xfId="11026"/>
    <cellStyle name="计算 2 23 2 2" xfId="11338"/>
    <cellStyle name="계산 2 23 2 2 2" xfId="24254"/>
    <cellStyle name="计算 2 23 2 2 2" xfId="24566"/>
    <cellStyle name="계산 2 23 2 2 3" xfId="33656"/>
    <cellStyle name="计算 2 23 2 2 3" xfId="33968"/>
    <cellStyle name="계산 2 23 2 2 4" xfId="39810"/>
    <cellStyle name="计算 2 23 2 2 4" xfId="40012"/>
    <cellStyle name="계산 2 23 2 2 5" xfId="44790"/>
    <cellStyle name="计算 2 23 2 2 5" xfId="45033"/>
    <cellStyle name="계산 2 23 2 2 6" xfId="16477"/>
    <cellStyle name="计算 2 23 2 2 6" xfId="14624"/>
    <cellStyle name="계산 2 23 2 3" xfId="13870"/>
    <cellStyle name="计算 2 23 2 3" xfId="13980"/>
    <cellStyle name="계산 2 23 2 3 2" xfId="27098"/>
    <cellStyle name="计算 2 23 2 3 2" xfId="27208"/>
    <cellStyle name="계산 2 23 2 3 3" xfId="36082"/>
    <cellStyle name="计算 2 23 2 3 3" xfId="36393"/>
    <cellStyle name="계산 2 23 2 3 4" xfId="41975"/>
    <cellStyle name="计算 2 23 2 3 4" xfId="42286"/>
    <cellStyle name="계산 2 23 2 3 5" xfId="46553"/>
    <cellStyle name="计算 2 23 2 3 5" xfId="46693"/>
    <cellStyle name="계산 2 23 2 3 6" xfId="48809"/>
    <cellStyle name="计算 2 23 2 3 6" xfId="49120"/>
    <cellStyle name="계산 2 23 2 4" xfId="12717"/>
    <cellStyle name="计算 2 23 2 4" xfId="8684"/>
    <cellStyle name="계산 2 23 2 4 2" xfId="25945"/>
    <cellStyle name="计算 2 23 2 4 2" xfId="21912"/>
    <cellStyle name="계산 2 23 2 4 3" xfId="31493"/>
    <cellStyle name="计算 2 23 2 4 3" xfId="32081"/>
    <cellStyle name="계산 2 23 2 4 4" xfId="17281"/>
    <cellStyle name="计算 2 23 2 4 4" xfId="38304"/>
    <cellStyle name="계산 2 23 2 4 5" xfId="34606"/>
    <cellStyle name="计算 2 23 2 4 5" xfId="18073"/>
    <cellStyle name="계산 2 23 2 4 6" xfId="32554"/>
    <cellStyle name="计算 2 23 2 4 6" xfId="47520"/>
    <cellStyle name="계산 2 23 2 5" xfId="13957"/>
    <cellStyle name="计算 2 23 2 5" xfId="13532"/>
    <cellStyle name="계산 2 23 2 5 2" xfId="27185"/>
    <cellStyle name="计算 2 23 2 5 2" xfId="26760"/>
    <cellStyle name="계산 2 23 2 5 3" xfId="34896"/>
    <cellStyle name="计算 2 23 2 5 3" xfId="32000"/>
    <cellStyle name="계산 2 23 2 5 4" xfId="40894"/>
    <cellStyle name="计算 2 23 2 5 4" xfId="38223"/>
    <cellStyle name="계산 2 23 2 5 5" xfId="45739"/>
    <cellStyle name="计算 2 23 2 5 5" xfId="15509"/>
    <cellStyle name="계산 2 23 2 5 6" xfId="34506"/>
    <cellStyle name="计算 2 23 2 5 6" xfId="29019"/>
    <cellStyle name="계산 2 23 2 6" xfId="6709"/>
    <cellStyle name="计算 2 23 2 6" xfId="8481"/>
    <cellStyle name="계산 2 23 2 6 2" xfId="19937"/>
    <cellStyle name="计算 2 23 2 6 2" xfId="21709"/>
    <cellStyle name="계산 2 23 2 6 3" xfId="30211"/>
    <cellStyle name="计算 2 23 2 6 3" xfId="36890"/>
    <cellStyle name="계산 2 23 2 6 4" xfId="16662"/>
    <cellStyle name="计算 2 23 2 6 4" xfId="42805"/>
    <cellStyle name="계산 2 23 2 6 5" xfId="41073"/>
    <cellStyle name="计算 2 23 2 6 5" xfId="47026"/>
    <cellStyle name="계산 2 23 2 6 6" xfId="45371"/>
    <cellStyle name="计算 2 23 2 6 6" xfId="49639"/>
    <cellStyle name="계산 2 23 2 7" xfId="19520"/>
    <cellStyle name="计算 2 23 2 7" xfId="19832"/>
    <cellStyle name="계산 2 23 2 7 2" xfId="31877"/>
    <cellStyle name="计算 2 23 2 7 2" xfId="30376"/>
    <cellStyle name="계산 2 23 2 7 3" xfId="38098"/>
    <cellStyle name="计算 2 23 2 7 3" xfId="16787"/>
    <cellStyle name="계산 2 23 2 7 4" xfId="17913"/>
    <cellStyle name="计算 2 23 2 7 4" xfId="15333"/>
    <cellStyle name="계산 2 23 2 7 5" xfId="15666"/>
    <cellStyle name="计算 2 23 2 7 5" xfId="29038"/>
    <cellStyle name="계산 2 23 2 8" xfId="30228"/>
    <cellStyle name="计算 2 23 2 8" xfId="35545"/>
    <cellStyle name="계산 2 23 2 8 2" xfId="16678"/>
    <cellStyle name="计算 2 23 2 8 2" xfId="41420"/>
    <cellStyle name="계산 2 23 2 8 3" xfId="33185"/>
    <cellStyle name="计算 2 23 2 8 3" xfId="48254"/>
    <cellStyle name="계산 2 23 2 9" xfId="29344"/>
    <cellStyle name="计算 2 23 2 9" xfId="29656"/>
    <cellStyle name="계산 2 23 3" xfId="6220"/>
    <cellStyle name="计算 2 23 3" xfId="6617"/>
    <cellStyle name="계산 2 23 3 10" xfId="31723"/>
    <cellStyle name="计算 2 23 3 10" xfId="16279"/>
    <cellStyle name="계산 2 23 3 11" xfId="40632"/>
    <cellStyle name="计算 2 23 3 11" xfId="40029"/>
    <cellStyle name="계산 2 23 3 12" xfId="44461"/>
    <cellStyle name="计算 2 23 3 12" xfId="34403"/>
    <cellStyle name="계산 2 23 3 2" xfId="10954"/>
    <cellStyle name="计算 2 23 3 2" xfId="11351"/>
    <cellStyle name="계산 2 23 3 2 2" xfId="24182"/>
    <cellStyle name="计算 2 23 3 2 2" xfId="24579"/>
    <cellStyle name="계산 2 23 3 2 3" xfId="33584"/>
    <cellStyle name="计算 2 23 3 2 3" xfId="33981"/>
    <cellStyle name="계산 2 23 3 2 4" xfId="39746"/>
    <cellStyle name="计算 2 23 3 2 4" xfId="40022"/>
    <cellStyle name="계산 2 23 3 2 5" xfId="44718"/>
    <cellStyle name="计算 2 23 3 2 5" xfId="45046"/>
    <cellStyle name="계산 2 23 3 2 6" xfId="15372"/>
    <cellStyle name="计算 2 23 3 2 6" xfId="33452"/>
    <cellStyle name="계산 2 23 3 3" xfId="13810"/>
    <cellStyle name="计算 2 23 3 3" xfId="13986"/>
    <cellStyle name="계산 2 23 3 3 2" xfId="27038"/>
    <cellStyle name="计算 2 23 3 3 2" xfId="27214"/>
    <cellStyle name="계산 2 23 3 3 3" xfId="36010"/>
    <cellStyle name="计算 2 23 3 3 3" xfId="36406"/>
    <cellStyle name="계산 2 23 3 3 4" xfId="41903"/>
    <cellStyle name="计算 2 23 3 3 4" xfId="42299"/>
    <cellStyle name="계산 2 23 3 3 5" xfId="46485"/>
    <cellStyle name="计算 2 23 3 3 5" xfId="46702"/>
    <cellStyle name="계산 2 23 3 3 6" xfId="48737"/>
    <cellStyle name="计算 2 23 3 3 6" xfId="49133"/>
    <cellStyle name="계산 2 23 3 4" xfId="6933"/>
    <cellStyle name="计算 2 23 3 4" xfId="8281"/>
    <cellStyle name="계산 2 23 3 4 2" xfId="20161"/>
    <cellStyle name="计算 2 23 3 4 2" xfId="21509"/>
    <cellStyle name="계산 2 23 3 4 3" xfId="31442"/>
    <cellStyle name="计算 2 23 3 4 3" xfId="31578"/>
    <cellStyle name="계산 2 23 3 4 4" xfId="15247"/>
    <cellStyle name="计算 2 23 3 4 4" xfId="18052"/>
    <cellStyle name="계산 2 23 3 4 5" xfId="28100"/>
    <cellStyle name="计算 2 23 3 4 5" xfId="15587"/>
    <cellStyle name="계산 2 23 3 4 6" xfId="17972"/>
    <cellStyle name="计算 2 23 3 4 6" xfId="46622"/>
    <cellStyle name="계산 2 23 3 5" xfId="13940"/>
    <cellStyle name="计算 2 23 3 5" xfId="14155"/>
    <cellStyle name="계산 2 23 3 5 2" xfId="27168"/>
    <cellStyle name="计算 2 23 3 5 2" xfId="27383"/>
    <cellStyle name="계산 2 23 3 5 3" xfId="30432"/>
    <cellStyle name="计算 2 23 3 5 3" xfId="30356"/>
    <cellStyle name="계산 2 23 3 5 4" xfId="14889"/>
    <cellStyle name="计算 2 23 3 5 4" xfId="14654"/>
    <cellStyle name="계산 2 23 3 5 5" xfId="34115"/>
    <cellStyle name="计算 2 23 3 5 5" xfId="17452"/>
    <cellStyle name="계산 2 23 3 5 6" xfId="44907"/>
    <cellStyle name="计算 2 23 3 5 6" xfId="45315"/>
    <cellStyle name="계산 2 23 3 6" xfId="7320"/>
    <cellStyle name="计算 2 23 3 6" xfId="13056"/>
    <cellStyle name="계산 2 23 3 6 2" xfId="20548"/>
    <cellStyle name="计算 2 23 3 6 2" xfId="26284"/>
    <cellStyle name="계산 2 23 3 6 3" xfId="29794"/>
    <cellStyle name="计算 2 23 3 6 3" xfId="31557"/>
    <cellStyle name="계산 2 23 3 6 4" xfId="36654"/>
    <cellStyle name="计算 2 23 3 6 4" xfId="17302"/>
    <cellStyle name="계산 2 23 3 6 5" xfId="40015"/>
    <cellStyle name="计算 2 23 3 6 5" xfId="17580"/>
    <cellStyle name="계산 2 23 3 6 6" xfId="38498"/>
    <cellStyle name="计算 2 23 3 6 6" xfId="41309"/>
    <cellStyle name="계산 2 23 3 7" xfId="19448"/>
    <cellStyle name="计算 2 23 3 7" xfId="19845"/>
    <cellStyle name="계산 2 23 3 7 2" xfId="31804"/>
    <cellStyle name="计算 2 23 3 7 2" xfId="30373"/>
    <cellStyle name="계산 2 23 3 7 3" xfId="38025"/>
    <cellStyle name="计算 2 23 3 7 3" xfId="16784"/>
    <cellStyle name="계산 2 23 3 7 4" xfId="17921"/>
    <cellStyle name="计算 2 23 3 7 4" xfId="14753"/>
    <cellStyle name="계산 2 23 3 7 5" xfId="34103"/>
    <cellStyle name="计算 2 23 3 7 5" xfId="38400"/>
    <cellStyle name="계산 2 23 3 8" xfId="29965"/>
    <cellStyle name="计算 2 23 3 8" xfId="37356"/>
    <cellStyle name="계산 2 23 3 8 2" xfId="17700"/>
    <cellStyle name="计算 2 23 3 8 2" xfId="43276"/>
    <cellStyle name="계산 2 23 3 8 3" xfId="44530"/>
    <cellStyle name="计算 2 23 3 8 3" xfId="50110"/>
    <cellStyle name="계산 2 23 3 9" xfId="29272"/>
    <cellStyle name="计算 2 23 3 9" xfId="29669"/>
    <cellStyle name="계산 2 23 4" xfId="6158"/>
    <cellStyle name="计算 2 23 4" xfId="6413"/>
    <cellStyle name="계산 2 23 4 10" xfId="36843"/>
    <cellStyle name="计算 2 23 4 10" xfId="18120"/>
    <cellStyle name="계산 2 23 4 11" xfId="32964"/>
    <cellStyle name="计算 2 23 4 11" xfId="34601"/>
    <cellStyle name="계산 2 23 4 12" xfId="32962"/>
    <cellStyle name="计算 2 23 4 12" xfId="44455"/>
    <cellStyle name="계산 2 23 4 2" xfId="10892"/>
    <cellStyle name="计算 2 23 4 2" xfId="11147"/>
    <cellStyle name="계산 2 23 4 2 2" xfId="24120"/>
    <cellStyle name="计算 2 23 4 2 2" xfId="24375"/>
    <cellStyle name="계산 2 23 4 2 3" xfId="33522"/>
    <cellStyle name="计算 2 23 4 2 3" xfId="33777"/>
    <cellStyle name="계산 2 23 4 2 4" xfId="39703"/>
    <cellStyle name="计算 2 23 4 2 4" xfId="39896"/>
    <cellStyle name="계산 2 23 4 2 5" xfId="44660"/>
    <cellStyle name="计算 2 23 4 2 5" xfId="44911"/>
    <cellStyle name="계산 2 23 4 2 6" xfId="33037"/>
    <cellStyle name="计算 2 23 4 2 6" xfId="39471"/>
    <cellStyle name="계산 2 23 4 3" xfId="13776"/>
    <cellStyle name="计算 2 23 4 3" xfId="13903"/>
    <cellStyle name="계산 2 23 4 3 2" xfId="27004"/>
    <cellStyle name="计算 2 23 4 3 2" xfId="27131"/>
    <cellStyle name="계산 2 23 4 3 3" xfId="35948"/>
    <cellStyle name="计算 2 23 4 3 3" xfId="36203"/>
    <cellStyle name="계산 2 23 4 3 4" xfId="41841"/>
    <cellStyle name="计算 2 23 4 3 4" xfId="42096"/>
    <cellStyle name="계산 2 23 4 3 5" xfId="46454"/>
    <cellStyle name="计算 2 23 4 3 5" xfId="46658"/>
    <cellStyle name="계산 2 23 4 3 6" xfId="48675"/>
    <cellStyle name="计算 2 23 4 3 6" xfId="48930"/>
    <cellStyle name="계산 2 23 4 4" xfId="12750"/>
    <cellStyle name="计算 2 23 4 4" xfId="8103"/>
    <cellStyle name="계산 2 23 4 4 2" xfId="25978"/>
    <cellStyle name="计算 2 23 4 4 2" xfId="21331"/>
    <cellStyle name="계산 2 23 4 4 3" xfId="32415"/>
    <cellStyle name="计算 2 23 4 4 3" xfId="31537"/>
    <cellStyle name="계산 2 23 4 4 4" xfId="38633"/>
    <cellStyle name="计算 2 23 4 4 4" xfId="17293"/>
    <cellStyle name="계산 2 23 4 4 5" xfId="43967"/>
    <cellStyle name="计算 2 23 4 4 5" xfId="15601"/>
    <cellStyle name="계산 2 23 4 4 6" xfId="17587"/>
    <cellStyle name="计算 2 23 4 4 6" xfId="28139"/>
    <cellStyle name="계산 2 23 4 5" xfId="7288"/>
    <cellStyle name="计算 2 23 4 5" xfId="12918"/>
    <cellStyle name="계산 2 23 4 5 2" xfId="20516"/>
    <cellStyle name="计算 2 23 4 5 2" xfId="26146"/>
    <cellStyle name="계산 2 23 4 5 3" xfId="30535"/>
    <cellStyle name="计算 2 23 4 5 3" xfId="30409"/>
    <cellStyle name="계산 2 23 4 5 4" xfId="15158"/>
    <cellStyle name="计算 2 23 4 5 4" xfId="14869"/>
    <cellStyle name="계산 2 23 4 5 5" xfId="33351"/>
    <cellStyle name="计算 2 23 4 5 5" xfId="28243"/>
    <cellStyle name="계산 2 23 4 5 6" xfId="28906"/>
    <cellStyle name="计算 2 23 4 5 6" xfId="41112"/>
    <cellStyle name="계산 2 23 4 6" xfId="14170"/>
    <cellStyle name="计算 2 23 4 6" xfId="7368"/>
    <cellStyle name="계산 2 23 4 6 2" xfId="27398"/>
    <cellStyle name="计算 2 23 4 6 2" xfId="20596"/>
    <cellStyle name="계산 2 23 4 6 3" xfId="35667"/>
    <cellStyle name="计算 2 23 4 6 3" xfId="35011"/>
    <cellStyle name="계산 2 23 4 6 4" xfId="41547"/>
    <cellStyle name="计算 2 23 4 6 4" xfId="41015"/>
    <cellStyle name="계산 2 23 4 6 5" xfId="46313"/>
    <cellStyle name="计算 2 23 4 6 5" xfId="45822"/>
    <cellStyle name="계산 2 23 4 6 6" xfId="48381"/>
    <cellStyle name="计算 2 23 4 6 6" xfId="47711"/>
    <cellStyle name="계산 2 23 4 7" xfId="19386"/>
    <cellStyle name="计算 2 23 4 7" xfId="19641"/>
    <cellStyle name="계산 2 23 4 7 2" xfId="30682"/>
    <cellStyle name="计算 2 23 4 7 2" xfId="31367"/>
    <cellStyle name="계산 2 23 4 7 3" xfId="27747"/>
    <cellStyle name="计算 2 23 4 7 3" xfId="15238"/>
    <cellStyle name="계산 2 23 4 7 4" xfId="32252"/>
    <cellStyle name="计算 2 23 4 7 4" xfId="28088"/>
    <cellStyle name="계산 2 23 4 7 5" xfId="15656"/>
    <cellStyle name="计算 2 23 4 7 5" xfId="15413"/>
    <cellStyle name="계산 2 23 4 8" xfId="30590"/>
    <cellStyle name="计算 2 23 4 8" xfId="37655"/>
    <cellStyle name="계산 2 23 4 8 2" xfId="14680"/>
    <cellStyle name="计算 2 23 4 8 2" xfId="43578"/>
    <cellStyle name="계산 2 23 4 8 3" xfId="44486"/>
    <cellStyle name="计算 2 23 4 8 3" xfId="50412"/>
    <cellStyle name="계산 2 23 4 9" xfId="29210"/>
    <cellStyle name="计算 2 23 4 9" xfId="29465"/>
    <cellStyle name="계산 2 23 5" xfId="9527"/>
    <cellStyle name="计算 2 23 5" xfId="9815"/>
    <cellStyle name="계산 2 23 5 10" xfId="28140"/>
    <cellStyle name="计算 2 23 5 10" xfId="32503"/>
    <cellStyle name="계산 2 23 5 11" xfId="15906"/>
    <cellStyle name="计算 2 23 5 11" xfId="40569"/>
    <cellStyle name="계산 2 23 5 12" xfId="44076"/>
    <cellStyle name="计算 2 23 5 12" xfId="45151"/>
    <cellStyle name="계산 2 23 5 2" xfId="13164"/>
    <cellStyle name="计算 2 23 5 2" xfId="13452"/>
    <cellStyle name="계산 2 23 5 2 2" xfId="26392"/>
    <cellStyle name="计算 2 23 5 2 2" xfId="26680"/>
    <cellStyle name="계산 2 23 5 2 3" xfId="32644"/>
    <cellStyle name="计算 2 23 5 2 3" xfId="32932"/>
    <cellStyle name="계산 2 23 5 2 4" xfId="38864"/>
    <cellStyle name="计算 2 23 5 2 4" xfId="39152"/>
    <cellStyle name="계산 2 23 5 2 5" xfId="44127"/>
    <cellStyle name="计算 2 23 5 2 5" xfId="44249"/>
    <cellStyle name="계산 2 23 5 2 6" xfId="47606"/>
    <cellStyle name="计算 2 23 5 2 6" xfId="44245"/>
    <cellStyle name="계산 2 23 5 3" xfId="6837"/>
    <cellStyle name="计算 2 23 5 3" xfId="13789"/>
    <cellStyle name="계산 2 23 5 3 2" xfId="20065"/>
    <cellStyle name="计算 2 23 5 3 2" xfId="27017"/>
    <cellStyle name="계산 2 23 5 3 3" xfId="35140"/>
    <cellStyle name="计算 2 23 5 3 3" xfId="35428"/>
    <cellStyle name="계산 2 23 5 3 4" xfId="41120"/>
    <cellStyle name="计算 2 23 5 3 4" xfId="41306"/>
    <cellStyle name="계산 2 23 5 3 5" xfId="45930"/>
    <cellStyle name="计算 2 23 5 3 5" xfId="46150"/>
    <cellStyle name="계산 2 23 5 3 6" xfId="47843"/>
    <cellStyle name="计算 2 23 5 3 6" xfId="48131"/>
    <cellStyle name="계산 2 23 5 4" xfId="8707"/>
    <cellStyle name="计算 2 23 5 4" xfId="14107"/>
    <cellStyle name="계산 2 23 5 4 2" xfId="21935"/>
    <cellStyle name="计算 2 23 5 4 2" xfId="27335"/>
    <cellStyle name="계산 2 23 5 4 3" xfId="30965"/>
    <cellStyle name="计算 2 23 5 4 3" xfId="31174"/>
    <cellStyle name="계산 2 23 5 4 4" xfId="18002"/>
    <cellStyle name="计算 2 23 5 4 4" xfId="17090"/>
    <cellStyle name="계산 2 23 5 4 5" xfId="36848"/>
    <cellStyle name="计算 2 23 5 4 5" xfId="33440"/>
    <cellStyle name="계산 2 23 5 4 6" xfId="39360"/>
    <cellStyle name="计算 2 23 5 4 6" xfId="43906"/>
    <cellStyle name="계산 2 23 5 5" xfId="7731"/>
    <cellStyle name="计算 2 23 5 5" xfId="12954"/>
    <cellStyle name="계산 2 23 5 5 2" xfId="20959"/>
    <cellStyle name="计算 2 23 5 5 2" xfId="26182"/>
    <cellStyle name="계산 2 23 5 5 3" xfId="42608"/>
    <cellStyle name="计算 2 23 5 5 3" xfId="41051"/>
    <cellStyle name="계산 2 23 5 5 4" xfId="49442"/>
    <cellStyle name="计算 2 23 5 5 4" xfId="47747"/>
    <cellStyle name="계산 2 23 5 6" xfId="22755"/>
    <cellStyle name="计算 2 23 5 6" xfId="23043"/>
    <cellStyle name="계산 2 23 5 6 2" xfId="30868"/>
    <cellStyle name="计算 2 23 5 6 2" xfId="37147"/>
    <cellStyle name="계산 2 23 5 6 3" xfId="28011"/>
    <cellStyle name="计算 2 23 5 6 3" xfId="43066"/>
    <cellStyle name="계산 2 23 5 6 4" xfId="30192"/>
    <cellStyle name="计算 2 23 5 6 4" xfId="47202"/>
    <cellStyle name="계산 2 23 5 6 5" xfId="39422"/>
    <cellStyle name="计算 2 23 5 6 5" xfId="49900"/>
    <cellStyle name="계산 2 23 5 7" xfId="36813"/>
    <cellStyle name="计算 2 23 5 7" xfId="34985"/>
    <cellStyle name="계산 2 23 5 7 2" xfId="42724"/>
    <cellStyle name="计算 2 23 5 7 2" xfId="40989"/>
    <cellStyle name="계산 2 23 5 7 3" xfId="49558"/>
    <cellStyle name="计算 2 23 5 7 3" xfId="47685"/>
    <cellStyle name="계산 2 23 5 8" xfId="34923"/>
    <cellStyle name="计算 2 23 5 8" xfId="35864"/>
    <cellStyle name="계산 2 23 5 8 2" xfId="40921"/>
    <cellStyle name="计算 2 23 5 8 2" xfId="41754"/>
    <cellStyle name="계산 2 23 5 8 3" xfId="18114"/>
    <cellStyle name="计算 2 23 5 8 3" xfId="48588"/>
    <cellStyle name="계산 2 23 5 9" xfId="28333"/>
    <cellStyle name="计算 2 23 5 9" xfId="28621"/>
    <cellStyle name="계산 2 23 6" xfId="11746"/>
    <cellStyle name="计算 2 23 6" xfId="11771"/>
    <cellStyle name="계산 2 23 6 10" xfId="45244"/>
    <cellStyle name="计算 2 23 6 10" xfId="45269"/>
    <cellStyle name="계산 2 23 6 11" xfId="28818"/>
    <cellStyle name="计算 2 23 6 11" xfId="38752"/>
    <cellStyle name="계산 2 23 6 2" xfId="12803"/>
    <cellStyle name="计算 2 23 6 2" xfId="8413"/>
    <cellStyle name="계산 2 23 6 2 2" xfId="26031"/>
    <cellStyle name="计算 2 23 6 2 2" xfId="21641"/>
    <cellStyle name="계산 2 23 6 2 3" xfId="36615"/>
    <cellStyle name="计算 2 23 6 2 3" xfId="36640"/>
    <cellStyle name="계산 2 23 6 2 4" xfId="42517"/>
    <cellStyle name="计算 2 23 6 2 4" xfId="42542"/>
    <cellStyle name="계산 2 23 6 2 5" xfId="46847"/>
    <cellStyle name="计算 2 23 6 2 5" xfId="46872"/>
    <cellStyle name="계산 2 23 6 2 6" xfId="49351"/>
    <cellStyle name="计算 2 23 6 2 6" xfId="49376"/>
    <cellStyle name="계산 2 23 6 3" xfId="14443"/>
    <cellStyle name="计算 2 23 6 3" xfId="14467"/>
    <cellStyle name="계산 2 23 6 3 2" xfId="27671"/>
    <cellStyle name="计算 2 23 6 3 2" xfId="27695"/>
    <cellStyle name="계산 2 23 6 3 3" xfId="37103"/>
    <cellStyle name="计算 2 23 6 3 3" xfId="37127"/>
    <cellStyle name="계산 2 23 6 3 4" xfId="43022"/>
    <cellStyle name="计算 2 23 6 3 4" xfId="43046"/>
    <cellStyle name="계산 2 23 6 3 5" xfId="47166"/>
    <cellStyle name="计算 2 23 6 3 5" xfId="47190"/>
    <cellStyle name="계산 2 23 6 3 6" xfId="49856"/>
    <cellStyle name="计算 2 23 6 3 6" xfId="49880"/>
    <cellStyle name="계산 2 23 6 4" xfId="13675"/>
    <cellStyle name="计算 2 23 6 4" xfId="14165"/>
    <cellStyle name="계산 2 23 6 4 2" xfId="26903"/>
    <cellStyle name="计算 2 23 6 4 2" xfId="27393"/>
    <cellStyle name="계산 2 23 6 4 3" xfId="32097"/>
    <cellStyle name="计算 2 23 6 4 3" xfId="35450"/>
    <cellStyle name="계산 2 23 6 4 4" xfId="38320"/>
    <cellStyle name="计算 2 23 6 4 4" xfId="41319"/>
    <cellStyle name="계산 2 23 6 4 5" xfId="34275"/>
    <cellStyle name="计算 2 23 6 4 5" xfId="46172"/>
    <cellStyle name="계산 2 23 6 4 6" xfId="28123"/>
    <cellStyle name="计算 2 23 6 4 6" xfId="48153"/>
    <cellStyle name="계산 2 23 6 5" xfId="24974"/>
    <cellStyle name="计算 2 23 6 5" xfId="24999"/>
    <cellStyle name="계산 2 23 6 5 2" xfId="35601"/>
    <cellStyle name="计算 2 23 6 5 2" xfId="32051"/>
    <cellStyle name="계산 2 23 6 5 3" xfId="41477"/>
    <cellStyle name="计算 2 23 6 5 3" xfId="38274"/>
    <cellStyle name="계산 2 23 6 5 4" xfId="46273"/>
    <cellStyle name="计算 2 23 6 5 4" xfId="18074"/>
    <cellStyle name="계산 2 23 6 5 5" xfId="48311"/>
    <cellStyle name="计算 2 23 6 5 5" xfId="46720"/>
    <cellStyle name="계산 2 23 6 6" xfId="31489"/>
    <cellStyle name="计算 2 23 6 6" xfId="29814"/>
    <cellStyle name="계산 2 23 6 6 2" xfId="14737"/>
    <cellStyle name="计算 2 23 6 6 2" xfId="16346"/>
    <cellStyle name="계산 2 23 6 6 3" xfId="47570"/>
    <cellStyle name="计算 2 23 6 6 3" xfId="34146"/>
    <cellStyle name="계산 2 23 6 7" xfId="37889"/>
    <cellStyle name="计算 2 23 6 7" xfId="37914"/>
    <cellStyle name="계산 2 23 6 7 2" xfId="43814"/>
    <cellStyle name="计算 2 23 6 7 2" xfId="43839"/>
    <cellStyle name="계산 2 23 6 7 3" xfId="50648"/>
    <cellStyle name="计算 2 23 6 7 3" xfId="50673"/>
    <cellStyle name="계산 2 23 6 8" xfId="34210"/>
    <cellStyle name="计算 2 23 6 8" xfId="34235"/>
    <cellStyle name="계산 2 23 6 9" xfId="40235"/>
    <cellStyle name="计算 2 23 6 9" xfId="40260"/>
    <cellStyle name="계산 2 23 7" xfId="7809"/>
    <cellStyle name="计算 2 23 7" xfId="8679"/>
    <cellStyle name="계산 2 23 7 2" xfId="21037"/>
    <cellStyle name="计算 2 23 7 2" xfId="21907"/>
    <cellStyle name="계산 2 23 7 3" xfId="30913"/>
    <cellStyle name="计算 2 23 7 3" xfId="32050"/>
    <cellStyle name="계산 2 23 7 4" xfId="16985"/>
    <cellStyle name="计算 2 23 7 4" xfId="38273"/>
    <cellStyle name="계산 2 23 7 5" xfId="35533"/>
    <cellStyle name="计算 2 23 7 5" xfId="17899"/>
    <cellStyle name="계산 2 23 7 6" xfId="40284"/>
    <cellStyle name="计算 2 23 7 6" xfId="45600"/>
    <cellStyle name="계산 2 23 8" xfId="7403"/>
    <cellStyle name="计算 2 23 8" xfId="12791"/>
    <cellStyle name="계산 2 23 8 2" xfId="20631"/>
    <cellStyle name="计算 2 23 8 2" xfId="26019"/>
    <cellStyle name="계산 2 23 8 3" xfId="30522"/>
    <cellStyle name="计算 2 23 8 3" xfId="31802"/>
    <cellStyle name="계산 2 23 8 4" xfId="18018"/>
    <cellStyle name="计算 2 23 8 4" xfId="38023"/>
    <cellStyle name="계산 2 23 8 5" xfId="15322"/>
    <cellStyle name="计算 2 23 8 5" xfId="17920"/>
    <cellStyle name="계산 2 23 8 6" xfId="27870"/>
    <cellStyle name="计算 2 23 8 6" xfId="47115"/>
    <cellStyle name="계산 2 23 9" xfId="13496"/>
    <cellStyle name="计算 2 23 9" xfId="8719"/>
    <cellStyle name="계산 2 23 9 2" xfId="26724"/>
    <cellStyle name="计算 2 23 9 2" xfId="21947"/>
    <cellStyle name="계산 2 23 9 3" xfId="37142"/>
    <cellStyle name="计算 2 23 9 3" xfId="37176"/>
    <cellStyle name="계산 2 23 9 4" xfId="43061"/>
    <cellStyle name="计算 2 23 9 4" xfId="43095"/>
    <cellStyle name="계산 2 23 9 5" xfId="47198"/>
    <cellStyle name="计算 2 23 9 5" xfId="47221"/>
    <cellStyle name="계산 2 23 9 6" xfId="49895"/>
    <cellStyle name="计算 2 23 9 6" xfId="49929"/>
    <cellStyle name="계산 2 24" xfId="2651"/>
    <cellStyle name="计算 2 24" xfId="4655"/>
    <cellStyle name="계산 2 24 10" xfId="7996"/>
    <cellStyle name="计算 2 24 10" xfId="13562"/>
    <cellStyle name="계산 2 24 10 2" xfId="21224"/>
    <cellStyle name="计算 2 24 10 2" xfId="26790"/>
    <cellStyle name="계산 2 24 10 3" xfId="35641"/>
    <cellStyle name="计算 2 24 10 3" xfId="31672"/>
    <cellStyle name="계산 2 24 10 4" xfId="41521"/>
    <cellStyle name="计算 2 24 10 4" xfId="17356"/>
    <cellStyle name="계산 2 24 10 5" xfId="46298"/>
    <cellStyle name="计算 2 24 10 5" xfId="32232"/>
    <cellStyle name="계산 2 24 10 6" xfId="48355"/>
    <cellStyle name="计算 2 24 10 6" xfId="44188"/>
    <cellStyle name="계산 2 24 11" xfId="14245"/>
    <cellStyle name="计算 2 24 11" xfId="14133"/>
    <cellStyle name="계산 2 24 11 2" xfId="27473"/>
    <cellStyle name="计算 2 24 11 2" xfId="27361"/>
    <cellStyle name="계산 2 24 11 3" xfId="32108"/>
    <cellStyle name="计算 2 24 11 3" xfId="34795"/>
    <cellStyle name="계산 2 24 11 4" xfId="38331"/>
    <cellStyle name="计算 2 24 11 4" xfId="40791"/>
    <cellStyle name="계산 2 24 11 5" xfId="15495"/>
    <cellStyle name="计算 2 24 11 5" xfId="45674"/>
    <cellStyle name="계산 2 24 11 6" xfId="27838"/>
    <cellStyle name="计算 2 24 11 6" xfId="28690"/>
    <cellStyle name="계산 2 24 12" xfId="16409"/>
    <cellStyle name="计算 2 24 12" xfId="17983"/>
    <cellStyle name="계산 2 24 12 2" xfId="43751"/>
    <cellStyle name="计算 2 24 12 2" xfId="42734"/>
    <cellStyle name="계산 2 24 12 3" xfId="50585"/>
    <cellStyle name="计算 2 24 12 3" xfId="49568"/>
    <cellStyle name="계산 2 24 13" xfId="15958"/>
    <cellStyle name="计算 2 24 13" xfId="17945"/>
    <cellStyle name="계산 2 24 14" xfId="28668"/>
    <cellStyle name="计算 2 24 14" xfId="33393"/>
    <cellStyle name="계산 2 24 15" xfId="33325"/>
    <cellStyle name="计算 2 24 15" xfId="30019"/>
    <cellStyle name="계산 2 24 16" xfId="16473"/>
    <cellStyle name="计算 2 24 16" xfId="44079"/>
    <cellStyle name="계산 2 24 17" xfId="50975"/>
    <cellStyle name="计算 2 24 17" xfId="50976"/>
    <cellStyle name="계산 2 24 18" xfId="50801"/>
    <cellStyle name="计算 2 24 18" xfId="50800"/>
    <cellStyle name="계산 2 24 2" xfId="6293"/>
    <cellStyle name="计算 2 24 2" xfId="6603"/>
    <cellStyle name="계산 2 24 2 10" xfId="16042"/>
    <cellStyle name="计算 2 24 2 10" xfId="16265"/>
    <cellStyle name="계산 2 24 2 11" xfId="32544"/>
    <cellStyle name="计算 2 24 2 11" xfId="41380"/>
    <cellStyle name="계산 2 24 2 12" xfId="45544"/>
    <cellStyle name="计算 2 24 2 12" xfId="29958"/>
    <cellStyle name="계산 2 24 2 2" xfId="11027"/>
    <cellStyle name="计算 2 24 2 2" xfId="11337"/>
    <cellStyle name="계산 2 24 2 2 2" xfId="24255"/>
    <cellStyle name="计算 2 24 2 2 2" xfId="24565"/>
    <cellStyle name="계산 2 24 2 2 3" xfId="33657"/>
    <cellStyle name="计算 2 24 2 2 3" xfId="33967"/>
    <cellStyle name="계산 2 24 2 2 4" xfId="39811"/>
    <cellStyle name="计算 2 24 2 2 4" xfId="40011"/>
    <cellStyle name="계산 2 24 2 2 5" xfId="44791"/>
    <cellStyle name="计算 2 24 2 2 5" xfId="45032"/>
    <cellStyle name="계산 2 24 2 2 6" xfId="28835"/>
    <cellStyle name="计算 2 24 2 2 6" xfId="39946"/>
    <cellStyle name="계산 2 24 2 3" xfId="13871"/>
    <cellStyle name="计算 2 24 2 3" xfId="13979"/>
    <cellStyle name="계산 2 24 2 3 2" xfId="27099"/>
    <cellStyle name="计算 2 24 2 3 2" xfId="27207"/>
    <cellStyle name="계산 2 24 2 3 3" xfId="36083"/>
    <cellStyle name="计算 2 24 2 3 3" xfId="36392"/>
    <cellStyle name="계산 2 24 2 3 4" xfId="41976"/>
    <cellStyle name="计算 2 24 2 3 4" xfId="42285"/>
    <cellStyle name="계산 2 24 2 3 5" xfId="46554"/>
    <cellStyle name="计算 2 24 2 3 5" xfId="46692"/>
    <cellStyle name="계산 2 24 2 3 6" xfId="48810"/>
    <cellStyle name="计算 2 24 2 3 6" xfId="49119"/>
    <cellStyle name="계산 2 24 2 4" xfId="12827"/>
    <cellStyle name="计算 2 24 2 4" xfId="8240"/>
    <cellStyle name="계산 2 24 2 4 2" xfId="26055"/>
    <cellStyle name="计算 2 24 2 4 2" xfId="21468"/>
    <cellStyle name="계산 2 24 2 4 3" xfId="31494"/>
    <cellStyle name="计算 2 24 2 4 3" xfId="31575"/>
    <cellStyle name="계산 2 24 2 4 4" xfId="15175"/>
    <cellStyle name="计算 2 24 2 4 4" xfId="17314"/>
    <cellStyle name="계산 2 24 2 4 5" xfId="27793"/>
    <cellStyle name="计算 2 24 2 4 5" xfId="17939"/>
    <cellStyle name="계산 2 24 2 4 6" xfId="46422"/>
    <cellStyle name="计算 2 24 2 4 6" xfId="44195"/>
    <cellStyle name="계산 2 24 2 5" xfId="13649"/>
    <cellStyle name="计算 2 24 2 5" xfId="8537"/>
    <cellStyle name="계산 2 24 2 5 2" xfId="26877"/>
    <cellStyle name="计算 2 24 2 5 2" xfId="21765"/>
    <cellStyle name="계산 2 24 2 5 3" xfId="34912"/>
    <cellStyle name="计算 2 24 2 5 3" xfId="32110"/>
    <cellStyle name="계산 2 24 2 5 4" xfId="40910"/>
    <cellStyle name="计算 2 24 2 5 4" xfId="38333"/>
    <cellStyle name="계산 2 24 2 5 5" xfId="45755"/>
    <cellStyle name="计算 2 24 2 5 5" xfId="28885"/>
    <cellStyle name="계산 2 24 2 5 6" xfId="40511"/>
    <cellStyle name="计算 2 24 2 5 6" xfId="40557"/>
    <cellStyle name="계산 2 24 2 6" xfId="14306"/>
    <cellStyle name="计算 2 24 2 6" xfId="12931"/>
    <cellStyle name="계산 2 24 2 6 2" xfId="27534"/>
    <cellStyle name="计算 2 24 2 6 2" xfId="26159"/>
    <cellStyle name="계산 2 24 2 6 3" xfId="32427"/>
    <cellStyle name="计算 2 24 2 6 3" xfId="30070"/>
    <cellStyle name="계산 2 24 2 6 4" xfId="38645"/>
    <cellStyle name="计算 2 24 2 6 4" xfId="16553"/>
    <cellStyle name="계산 2 24 2 6 5" xfId="43974"/>
    <cellStyle name="计算 2 24 2 6 5" xfId="34267"/>
    <cellStyle name="계산 2 24 2 6 6" xfId="47544"/>
    <cellStyle name="计算 2 24 2 6 6" xfId="15441"/>
    <cellStyle name="계산 2 24 2 7" xfId="19521"/>
    <cellStyle name="计算 2 24 2 7" xfId="19831"/>
    <cellStyle name="계산 2 24 2 7 2" xfId="34671"/>
    <cellStyle name="计算 2 24 2 7 2" xfId="37411"/>
    <cellStyle name="계산 2 24 2 7 3" xfId="40660"/>
    <cellStyle name="计算 2 24 2 7 3" xfId="43331"/>
    <cellStyle name="계산 2 24 2 7 4" xfId="45599"/>
    <cellStyle name="计算 2 24 2 7 4" xfId="47351"/>
    <cellStyle name="계산 2 24 2 7 5" xfId="17475"/>
    <cellStyle name="计算 2 24 2 7 5" xfId="50165"/>
    <cellStyle name="계산 2 24 2 8" xfId="37475"/>
    <cellStyle name="计算 2 24 2 8" xfId="35854"/>
    <cellStyle name="계산 2 24 2 8 2" xfId="43395"/>
    <cellStyle name="计算 2 24 2 8 2" xfId="41743"/>
    <cellStyle name="계산 2 24 2 8 3" xfId="50229"/>
    <cellStyle name="计算 2 24 2 8 3" xfId="48577"/>
    <cellStyle name="계산 2 24 2 9" xfId="29345"/>
    <cellStyle name="计算 2 24 2 9" xfId="29655"/>
    <cellStyle name="계산 2 24 3" xfId="6219"/>
    <cellStyle name="计算 2 24 3" xfId="6594"/>
    <cellStyle name="계산 2 24 3 10" xfId="37832"/>
    <cellStyle name="计算 2 24 3 10" xfId="16259"/>
    <cellStyle name="계산 2 24 3 11" xfId="39307"/>
    <cellStyle name="计算 2 24 3 11" xfId="41149"/>
    <cellStyle name="계산 2 24 3 12" xfId="40097"/>
    <cellStyle name="计算 2 24 3 12" xfId="32247"/>
    <cellStyle name="계산 2 24 3 2" xfId="10953"/>
    <cellStyle name="计算 2 24 3 2" xfId="11328"/>
    <cellStyle name="계산 2 24 3 2 2" xfId="24181"/>
    <cellStyle name="计算 2 24 3 2 2" xfId="24556"/>
    <cellStyle name="계산 2 24 3 2 3" xfId="33583"/>
    <cellStyle name="计算 2 24 3 2 3" xfId="33958"/>
    <cellStyle name="계산 2 24 3 2 4" xfId="39745"/>
    <cellStyle name="计算 2 24 3 2 4" xfId="40005"/>
    <cellStyle name="계산 2 24 3 2 5" xfId="44717"/>
    <cellStyle name="计算 2 24 3 2 5" xfId="45023"/>
    <cellStyle name="계산 2 24 3 2 6" xfId="17407"/>
    <cellStyle name="计算 2 24 3 2 6" xfId="34094"/>
    <cellStyle name="계산 2 24 3 3" xfId="13809"/>
    <cellStyle name="计算 2 24 3 3" xfId="13974"/>
    <cellStyle name="계산 2 24 3 3 2" xfId="27037"/>
    <cellStyle name="计算 2 24 3 3 2" xfId="27202"/>
    <cellStyle name="계산 2 24 3 3 3" xfId="36009"/>
    <cellStyle name="计算 2 24 3 3 3" xfId="36383"/>
    <cellStyle name="계산 2 24 3 3 4" xfId="41902"/>
    <cellStyle name="计算 2 24 3 3 4" xfId="42276"/>
    <cellStyle name="계산 2 24 3 3 5" xfId="46484"/>
    <cellStyle name="计算 2 24 3 3 5" xfId="46687"/>
    <cellStyle name="계산 2 24 3 3 6" xfId="48736"/>
    <cellStyle name="计算 2 24 3 3 6" xfId="49110"/>
    <cellStyle name="계산 2 24 3 4" xfId="6932"/>
    <cellStyle name="计算 2 24 3 4" xfId="6826"/>
    <cellStyle name="계산 2 24 3 4 2" xfId="20160"/>
    <cellStyle name="计算 2 24 3 4 2" xfId="20054"/>
    <cellStyle name="계산 2 24 3 4 3" xfId="29879"/>
    <cellStyle name="计算 2 24 3 4 3" xfId="31573"/>
    <cellStyle name="계산 2 24 3 4 4" xfId="18101"/>
    <cellStyle name="计算 2 24 3 4 4" xfId="17312"/>
    <cellStyle name="계산 2 24 3 4 5" xfId="27961"/>
    <cellStyle name="计算 2 24 3 4 5" xfId="17977"/>
    <cellStyle name="계산 2 24 3 4 6" xfId="17388"/>
    <cellStyle name="计算 2 24 3 4 6" xfId="31747"/>
    <cellStyle name="계산 2 24 3 5" xfId="13635"/>
    <cellStyle name="计算 2 24 3 5" xfId="13707"/>
    <cellStyle name="계산 2 24 3 5 2" xfId="26863"/>
    <cellStyle name="计算 2 24 3 5 2" xfId="26935"/>
    <cellStyle name="계산 2 24 3 5 3" xfId="30433"/>
    <cellStyle name="计算 2 24 3 5 3" xfId="32111"/>
    <cellStyle name="계산 2 24 3 5 4" xfId="14890"/>
    <cellStyle name="计算 2 24 3 5 4" xfId="38334"/>
    <cellStyle name="계산 2 24 3 5 5" xfId="30001"/>
    <cellStyle name="计算 2 24 3 5 5" xfId="34449"/>
    <cellStyle name="계산 2 24 3 5 6" xfId="41159"/>
    <cellStyle name="计算 2 24 3 5 6" xfId="15927"/>
    <cellStyle name="계산 2 24 3 6" xfId="8551"/>
    <cellStyle name="计算 2 24 3 6" xfId="12883"/>
    <cellStyle name="계산 2 24 3 6 2" xfId="21779"/>
    <cellStyle name="计算 2 24 3 6 2" xfId="26111"/>
    <cellStyle name="계산 2 24 3 6 3" xfId="37426"/>
    <cellStyle name="计算 2 24 3 6 3" xfId="36818"/>
    <cellStyle name="계산 2 24 3 6 4" xfId="43346"/>
    <cellStyle name="计算 2 24 3 6 4" xfId="42729"/>
    <cellStyle name="계산 2 24 3 6 5" xfId="47359"/>
    <cellStyle name="计算 2 24 3 6 5" xfId="46987"/>
    <cellStyle name="계산 2 24 3 6 6" xfId="50180"/>
    <cellStyle name="计算 2 24 3 6 6" xfId="49563"/>
    <cellStyle name="계산 2 24 3 7" xfId="19447"/>
    <cellStyle name="计算 2 24 3 7" xfId="19822"/>
    <cellStyle name="계산 2 24 3 7 2" xfId="37448"/>
    <cellStyle name="计算 2 24 3 7 2" xfId="29905"/>
    <cellStyle name="계산 2 24 3 7 3" xfId="43368"/>
    <cellStyle name="计算 2 24 3 7 3" xfId="28030"/>
    <cellStyle name="계산 2 24 3 7 4" xfId="47374"/>
    <cellStyle name="计算 2 24 3 7 4" xfId="34551"/>
    <cellStyle name="계산 2 24 3 7 5" xfId="50202"/>
    <cellStyle name="计算 2 24 3 7 5" xfId="45523"/>
    <cellStyle name="계산 2 24 3 8" xfId="30481"/>
    <cellStyle name="计算 2 24 3 8" xfId="34758"/>
    <cellStyle name="계산 2 24 3 8 2" xfId="27780"/>
    <cellStyle name="计算 2 24 3 8 2" xfId="40750"/>
    <cellStyle name="계산 2 24 3 8 3" xfId="44225"/>
    <cellStyle name="计算 2 24 3 8 3" xfId="34571"/>
    <cellStyle name="계산 2 24 3 9" xfId="29271"/>
    <cellStyle name="计算 2 24 3 9" xfId="29646"/>
    <cellStyle name="계산 2 24 4" xfId="6633"/>
    <cellStyle name="计算 2 24 4" xfId="6412"/>
    <cellStyle name="계산 2 24 4 10" xfId="16293"/>
    <cellStyle name="计算 2 24 4 10" xfId="16131"/>
    <cellStyle name="계산 2 24 4 11" xfId="39834"/>
    <cellStyle name="计算 2 24 4 11" xfId="41160"/>
    <cellStyle name="계산 2 24 4 12" xfId="40275"/>
    <cellStyle name="计算 2 24 4 12" xfId="40600"/>
    <cellStyle name="계산 2 24 4 2" xfId="11367"/>
    <cellStyle name="计算 2 24 4 2" xfId="11146"/>
    <cellStyle name="계산 2 24 4 2 2" xfId="24595"/>
    <cellStyle name="计算 2 24 4 2 2" xfId="24374"/>
    <cellStyle name="계산 2 24 4 2 3" xfId="33997"/>
    <cellStyle name="计算 2 24 4 2 3" xfId="33776"/>
    <cellStyle name="계산 2 24 4 2 4" xfId="40035"/>
    <cellStyle name="计算 2 24 4 2 4" xfId="39895"/>
    <cellStyle name="계산 2 24 4 2 5" xfId="45062"/>
    <cellStyle name="计算 2 24 4 2 5" xfId="44910"/>
    <cellStyle name="계산 2 24 4 2 6" xfId="41267"/>
    <cellStyle name="计算 2 24 4 2 6" xfId="15729"/>
    <cellStyle name="계산 2 24 4 3" xfId="13994"/>
    <cellStyle name="计算 2 24 4 3" xfId="13902"/>
    <cellStyle name="계산 2 24 4 3 2" xfId="27222"/>
    <cellStyle name="计算 2 24 4 3 2" xfId="27130"/>
    <cellStyle name="계산 2 24 4 3 3" xfId="36422"/>
    <cellStyle name="计算 2 24 4 3 3" xfId="36202"/>
    <cellStyle name="계산 2 24 4 3 4" xfId="42315"/>
    <cellStyle name="计算 2 24 4 3 4" xfId="42095"/>
    <cellStyle name="계산 2 24 4 3 5" xfId="46713"/>
    <cellStyle name="计算 2 24 4 3 5" xfId="46657"/>
    <cellStyle name="계산 2 24 4 3 6" xfId="49149"/>
    <cellStyle name="计算 2 24 4 3 6" xfId="48929"/>
    <cellStyle name="계산 2 24 4 4" xfId="8293"/>
    <cellStyle name="计算 2 24 4 4" xfId="12964"/>
    <cellStyle name="계산 2 24 4 4 2" xfId="21521"/>
    <cellStyle name="计算 2 24 4 4 2" xfId="26192"/>
    <cellStyle name="계산 2 24 4 4 3" xfId="32064"/>
    <cellStyle name="计算 2 24 4 4 3" xfId="30094"/>
    <cellStyle name="계산 2 24 4 4 4" xfId="38287"/>
    <cellStyle name="计算 2 24 4 4 4" xfId="16569"/>
    <cellStyle name="계산 2 24 4 4 5" xfId="15501"/>
    <cellStyle name="计算 2 24 4 4 5" xfId="40044"/>
    <cellStyle name="계산 2 24 4 4 6" xfId="44603"/>
    <cellStyle name="计算 2 24 4 4 6" xfId="33139"/>
    <cellStyle name="계산 2 24 4 5" xfId="7228"/>
    <cellStyle name="计算 2 24 4 5" xfId="7234"/>
    <cellStyle name="계산 2 24 4 5 2" xfId="20456"/>
    <cellStyle name="计算 2 24 4 5 2" xfId="20462"/>
    <cellStyle name="계산 2 24 4 5 3" xfId="30355"/>
    <cellStyle name="计算 2 24 4 5 3" xfId="32090"/>
    <cellStyle name="계산 2 24 4 5 4" xfId="14653"/>
    <cellStyle name="计算 2 24 4 5 4" xfId="38313"/>
    <cellStyle name="계산 2 24 4 5 5" xfId="30000"/>
    <cellStyle name="计算 2 24 4 5 5" xfId="18072"/>
    <cellStyle name="계산 2 24 4 5 6" xfId="18486"/>
    <cellStyle name="计算 2 24 4 5 6" xfId="40426"/>
    <cellStyle name="계산 2 24 4 6" xfId="13534"/>
    <cellStyle name="计算 2 24 4 6" xfId="8535"/>
    <cellStyle name="계산 2 24 4 6 2" xfId="26762"/>
    <cellStyle name="计算 2 24 4 6 2" xfId="21763"/>
    <cellStyle name="계산 2 24 4 6 3" xfId="31951"/>
    <cellStyle name="计算 2 24 4 6 3" xfId="36547"/>
    <cellStyle name="계산 2 24 4 6 4" xfId="38173"/>
    <cellStyle name="计算 2 24 4 6 4" xfId="42445"/>
    <cellStyle name="계산 2 24 4 6 5" xfId="15518"/>
    <cellStyle name="计算 2 24 4 6 5" xfId="46793"/>
    <cellStyle name="계산 2 24 4 6 6" xfId="46921"/>
    <cellStyle name="计算 2 24 4 6 6" xfId="49279"/>
    <cellStyle name="계산 2 24 4 7" xfId="19861"/>
    <cellStyle name="计算 2 24 4 7" xfId="19640"/>
    <cellStyle name="계산 2 24 4 7 2" xfId="30358"/>
    <cellStyle name="计算 2 24 4 7 2" xfId="30402"/>
    <cellStyle name="계산 2 24 4 7 3" xfId="16776"/>
    <cellStyle name="计算 2 24 4 7 3" xfId="14865"/>
    <cellStyle name="계산 2 24 4 7 4" xfId="27901"/>
    <cellStyle name="计算 2 24 4 7 4" xfId="28702"/>
    <cellStyle name="계산 2 24 4 7 5" xfId="39381"/>
    <cellStyle name="计算 2 24 4 7 5" xfId="30025"/>
    <cellStyle name="계산 2 24 4 8" xfId="37551"/>
    <cellStyle name="计算 2 24 4 8" xfId="30180"/>
    <cellStyle name="계산 2 24 4 8 2" xfId="43472"/>
    <cellStyle name="计算 2 24 4 8 2" xfId="16641"/>
    <cellStyle name="계산 2 24 4 8 3" xfId="50306"/>
    <cellStyle name="计算 2 24 4 8 3" xfId="45118"/>
    <cellStyle name="계산 2 24 4 9" xfId="29685"/>
    <cellStyle name="计算 2 24 4 9" xfId="29464"/>
    <cellStyle name="계산 2 24 5" xfId="9528"/>
    <cellStyle name="计算 2 24 5" xfId="9814"/>
    <cellStyle name="계산 2 24 5 10" xfId="33106"/>
    <cellStyle name="计算 2 24 5 10" xfId="34125"/>
    <cellStyle name="계산 2 24 5 11" xfId="32214"/>
    <cellStyle name="计算 2 24 5 11" xfId="39586"/>
    <cellStyle name="계산 2 24 5 12" xfId="40509"/>
    <cellStyle name="计算 2 24 5 12" xfId="15348"/>
    <cellStyle name="계산 2 24 5 2" xfId="13165"/>
    <cellStyle name="计算 2 24 5 2" xfId="13451"/>
    <cellStyle name="계산 2 24 5 2 2" xfId="26393"/>
    <cellStyle name="计算 2 24 5 2 2" xfId="26679"/>
    <cellStyle name="계산 2 24 5 2 3" xfId="32645"/>
    <cellStyle name="计算 2 24 5 2 3" xfId="32931"/>
    <cellStyle name="계산 2 24 5 2 4" xfId="38865"/>
    <cellStyle name="计算 2 24 5 2 4" xfId="39151"/>
    <cellStyle name="계산 2 24 5 2 5" xfId="44128"/>
    <cellStyle name="计算 2 24 5 2 5" xfId="44248"/>
    <cellStyle name="계산 2 24 5 2 6" xfId="31437"/>
    <cellStyle name="计算 2 24 5 2 6" xfId="15633"/>
    <cellStyle name="계산 2 24 5 3" xfId="7509"/>
    <cellStyle name="计算 2 24 5 3" xfId="7712"/>
    <cellStyle name="계산 2 24 5 3 2" xfId="20737"/>
    <cellStyle name="计算 2 24 5 3 2" xfId="20940"/>
    <cellStyle name="계산 2 24 5 3 3" xfId="35141"/>
    <cellStyle name="计算 2 24 5 3 3" xfId="35427"/>
    <cellStyle name="계산 2 24 5 3 4" xfId="41121"/>
    <cellStyle name="计算 2 24 5 3 4" xfId="41305"/>
    <cellStyle name="계산 2 24 5 3 5" xfId="45931"/>
    <cellStyle name="计算 2 24 5 3 5" xfId="46149"/>
    <cellStyle name="계산 2 24 5 3 6" xfId="47844"/>
    <cellStyle name="计算 2 24 5 3 6" xfId="48130"/>
    <cellStyle name="계산 2 24 5 4" xfId="12897"/>
    <cellStyle name="计算 2 24 5 4" xfId="13490"/>
    <cellStyle name="계산 2 24 5 4 2" xfId="26125"/>
    <cellStyle name="计算 2 24 5 4 2" xfId="26718"/>
    <cellStyle name="계산 2 24 5 4 3" xfId="30966"/>
    <cellStyle name="计算 2 24 5 4 3" xfId="31173"/>
    <cellStyle name="계산 2 24 5 4 4" xfId="18006"/>
    <cellStyle name="计算 2 24 5 4 4" xfId="17091"/>
    <cellStyle name="계산 2 24 5 4 5" xfId="14519"/>
    <cellStyle name="计算 2 24 5 4 5" xfId="15631"/>
    <cellStyle name="계산 2 24 5 4 6" xfId="28143"/>
    <cellStyle name="计算 2 24 5 4 6" xfId="33183"/>
    <cellStyle name="계산 2 24 5 5" xfId="12763"/>
    <cellStyle name="计算 2 24 5 5" xfId="7279"/>
    <cellStyle name="계산 2 24 5 5 2" xfId="25991"/>
    <cellStyle name="计算 2 24 5 5 2" xfId="20507"/>
    <cellStyle name="계산 2 24 5 5 3" xfId="41502"/>
    <cellStyle name="计算 2 24 5 5 3" xfId="42763"/>
    <cellStyle name="계산 2 24 5 5 4" xfId="48336"/>
    <cellStyle name="计算 2 24 5 5 4" xfId="49597"/>
    <cellStyle name="계산 2 24 5 6" xfId="22756"/>
    <cellStyle name="计算 2 24 5 6" xfId="23042"/>
    <cellStyle name="계산 2 24 5 6 2" xfId="37056"/>
    <cellStyle name="计算 2 24 5 6 2" xfId="31901"/>
    <cellStyle name="계산 2 24 5 6 3" xfId="42975"/>
    <cellStyle name="计算 2 24 5 6 3" xfId="38122"/>
    <cellStyle name="계산 2 24 5 6 4" xfId="47128"/>
    <cellStyle name="计算 2 24 5 6 4" xfId="15524"/>
    <cellStyle name="계산 2 24 5 6 5" xfId="49809"/>
    <cellStyle name="计算 2 24 5 6 5" xfId="47428"/>
    <cellStyle name="계산 2 24 5 7" xfId="31283"/>
    <cellStyle name="计算 2 24 5 7" xfId="32436"/>
    <cellStyle name="계산 2 24 5 7 2" xfId="17173"/>
    <cellStyle name="计算 2 24 5 7 2" xfId="38654"/>
    <cellStyle name="계산 2 24 5 7 3" xfId="46748"/>
    <cellStyle name="计算 2 24 5 7 3" xfId="44257"/>
    <cellStyle name="계산 2 24 5 8" xfId="35480"/>
    <cellStyle name="计算 2 24 5 8" xfId="36644"/>
    <cellStyle name="계산 2 24 5 8 2" xfId="41351"/>
    <cellStyle name="计算 2 24 5 8 2" xfId="42546"/>
    <cellStyle name="계산 2 24 5 8 3" xfId="48185"/>
    <cellStyle name="计算 2 24 5 8 3" xfId="49380"/>
    <cellStyle name="계산 2 24 5 9" xfId="28334"/>
    <cellStyle name="计算 2 24 5 9" xfId="28620"/>
    <cellStyle name="계산 2 24 6" xfId="11747"/>
    <cellStyle name="计算 2 24 6" xfId="11770"/>
    <cellStyle name="계산 2 24 6 10" xfId="45245"/>
    <cellStyle name="计算 2 24 6 10" xfId="45268"/>
    <cellStyle name="계산 2 24 6 11" xfId="34347"/>
    <cellStyle name="计算 2 24 6 11" xfId="39405"/>
    <cellStyle name="계산 2 24 6 2" xfId="7183"/>
    <cellStyle name="计算 2 24 6 2" xfId="12764"/>
    <cellStyle name="계산 2 24 6 2 2" xfId="20411"/>
    <cellStyle name="计算 2 24 6 2 2" xfId="25992"/>
    <cellStyle name="계산 2 24 6 2 3" xfId="36616"/>
    <cellStyle name="计算 2 24 6 2 3" xfId="36639"/>
    <cellStyle name="계산 2 24 6 2 4" xfId="42518"/>
    <cellStyle name="计算 2 24 6 2 4" xfId="42541"/>
    <cellStyle name="계산 2 24 6 2 5" xfId="46848"/>
    <cellStyle name="计算 2 24 6 2 5" xfId="46871"/>
    <cellStyle name="계산 2 24 6 2 6" xfId="49352"/>
    <cellStyle name="计算 2 24 6 2 6" xfId="49375"/>
    <cellStyle name="계산 2 24 6 3" xfId="14444"/>
    <cellStyle name="计算 2 24 6 3" xfId="14466"/>
    <cellStyle name="계산 2 24 6 3 2" xfId="27672"/>
    <cellStyle name="计算 2 24 6 3 2" xfId="27694"/>
    <cellStyle name="계산 2 24 6 3 3" xfId="37104"/>
    <cellStyle name="计算 2 24 6 3 3" xfId="37126"/>
    <cellStyle name="계산 2 24 6 3 4" xfId="43023"/>
    <cellStyle name="计算 2 24 6 3 4" xfId="43045"/>
    <cellStyle name="계산 2 24 6 3 5" xfId="47167"/>
    <cellStyle name="计算 2 24 6 3 5" xfId="47189"/>
    <cellStyle name="계산 2 24 6 3 6" xfId="49857"/>
    <cellStyle name="计算 2 24 6 3 6" xfId="49879"/>
    <cellStyle name="계산 2 24 6 4" xfId="13564"/>
    <cellStyle name="计算 2 24 6 4" xfId="13521"/>
    <cellStyle name="계산 2 24 6 4 2" xfId="26792"/>
    <cellStyle name="计算 2 24 6 4 2" xfId="26749"/>
    <cellStyle name="계산 2 24 6 4 3" xfId="31975"/>
    <cellStyle name="计算 2 24 6 4 3" xfId="31973"/>
    <cellStyle name="계산 2 24 6 4 4" xfId="38198"/>
    <cellStyle name="计算 2 24 6 4 4" xfId="38196"/>
    <cellStyle name="계산 2 24 6 4 5" xfId="33180"/>
    <cellStyle name="计算 2 24 6 4 5" xfId="28213"/>
    <cellStyle name="계산 2 24 6 4 6" xfId="47012"/>
    <cellStyle name="计算 2 24 6 4 6" xfId="31412"/>
    <cellStyle name="계산 2 24 6 5" xfId="24975"/>
    <cellStyle name="计算 2 24 6 5" xfId="24998"/>
    <cellStyle name="계산 2 24 6 5 2" xfId="37150"/>
    <cellStyle name="计算 2 24 6 5 2" xfId="31949"/>
    <cellStyle name="계산 2 24 6 5 3" xfId="43069"/>
    <cellStyle name="计算 2 24 6 5 3" xfId="38171"/>
    <cellStyle name="계산 2 24 6 5 4" xfId="47205"/>
    <cellStyle name="计算 2 24 6 5 4" xfId="27971"/>
    <cellStyle name="계산 2 24 6 5 5" xfId="49903"/>
    <cellStyle name="计算 2 24 6 5 5" xfId="28823"/>
    <cellStyle name="계산 2 24 6 6" xfId="30667"/>
    <cellStyle name="计算 2 24 6 6" xfId="36880"/>
    <cellStyle name="계산 2 24 6 6 2" xfId="16885"/>
    <cellStyle name="计算 2 24 6 6 2" xfId="42795"/>
    <cellStyle name="계산 2 24 6 6 3" xfId="46642"/>
    <cellStyle name="计算 2 24 6 6 3" xfId="49629"/>
    <cellStyle name="계산 2 24 6 7" xfId="37890"/>
    <cellStyle name="计算 2 24 6 7" xfId="37913"/>
    <cellStyle name="계산 2 24 6 7 2" xfId="43815"/>
    <cellStyle name="计算 2 24 6 7 2" xfId="43838"/>
    <cellStyle name="계산 2 24 6 7 3" xfId="50649"/>
    <cellStyle name="计算 2 24 6 7 3" xfId="50672"/>
    <cellStyle name="계산 2 24 6 8" xfId="34211"/>
    <cellStyle name="计算 2 24 6 8" xfId="34234"/>
    <cellStyle name="계산 2 24 6 9" xfId="40236"/>
    <cellStyle name="计算 2 24 6 9" xfId="40259"/>
    <cellStyle name="계산 2 24 7" xfId="7810"/>
    <cellStyle name="计算 2 24 7" xfId="8678"/>
    <cellStyle name="계산 2 24 7 2" xfId="21038"/>
    <cellStyle name="计算 2 24 7 2" xfId="21906"/>
    <cellStyle name="계산 2 24 7 3" xfId="30914"/>
    <cellStyle name="计算 2 24 7 3" xfId="32049"/>
    <cellStyle name="계산 2 24 7 4" xfId="16986"/>
    <cellStyle name="计算 2 24 7 4" xfId="38272"/>
    <cellStyle name="계산 2 24 7 5" xfId="15695"/>
    <cellStyle name="计算 2 24 7 5" xfId="15503"/>
    <cellStyle name="계산 2 24 7 6" xfId="15383"/>
    <cellStyle name="计算 2 24 7 6" xfId="28724"/>
    <cellStyle name="계산 2 24 8" xfId="7402"/>
    <cellStyle name="计算 2 24 8" xfId="12790"/>
    <cellStyle name="계산 2 24 8 2" xfId="20630"/>
    <cellStyle name="计算 2 24 8 2" xfId="26018"/>
    <cellStyle name="계산 2 24 8 3" xfId="36653"/>
    <cellStyle name="计算 2 24 8 3" xfId="30581"/>
    <cellStyle name="계산 2 24 8 4" xfId="42555"/>
    <cellStyle name="计算 2 24 8 4" xfId="14678"/>
    <cellStyle name="계산 2 24 8 5" xfId="46881"/>
    <cellStyle name="计算 2 24 8 5" xfId="33153"/>
    <cellStyle name="계산 2 24 8 6" xfId="49389"/>
    <cellStyle name="计算 2 24 8 6" xfId="15614"/>
    <cellStyle name="계산 2 24 9" xfId="14250"/>
    <cellStyle name="计算 2 24 9" xfId="13550"/>
    <cellStyle name="계산 2 24 9 2" xfId="27478"/>
    <cellStyle name="计算 2 24 9 2" xfId="26778"/>
    <cellStyle name="계산 2 24 9 3" xfId="31199"/>
    <cellStyle name="计算 2 24 9 3" xfId="35608"/>
    <cellStyle name="계산 2 24 9 4" xfId="17110"/>
    <cellStyle name="计算 2 24 9 4" xfId="41484"/>
    <cellStyle name="계산 2 24 9 5" xfId="28071"/>
    <cellStyle name="计算 2 24 9 5" xfId="46280"/>
    <cellStyle name="계산 2 24 9 6" xfId="46206"/>
    <cellStyle name="计算 2 24 9 6" xfId="48318"/>
    <cellStyle name="계산 2 25" xfId="2652"/>
    <cellStyle name="计算 2 25" xfId="4371"/>
    <cellStyle name="계산 2 25 10" xfId="7341"/>
    <cellStyle name="计算 2 25 10" xfId="7203"/>
    <cellStyle name="계산 2 25 10 2" xfId="20569"/>
    <cellStyle name="计算 2 25 10 2" xfId="20431"/>
    <cellStyle name="계산 2 25 10 3" xfId="37492"/>
    <cellStyle name="计算 2 25 10 3" xfId="31715"/>
    <cellStyle name="계산 2 25 10 4" xfId="43412"/>
    <cellStyle name="计算 2 25 10 4" xfId="37936"/>
    <cellStyle name="계산 2 25 10 5" xfId="47393"/>
    <cellStyle name="计算 2 25 10 5" xfId="15301"/>
    <cellStyle name="계산 2 25 10 6" xfId="50246"/>
    <cellStyle name="计算 2 25 10 6" xfId="46612"/>
    <cellStyle name="계산 2 25 11" xfId="14090"/>
    <cellStyle name="计算 2 25 11" xfId="8661"/>
    <cellStyle name="계산 2 25 11 2" xfId="27318"/>
    <cellStyle name="计算 2 25 11 2" xfId="21889"/>
    <cellStyle name="계산 2 25 11 3" xfId="37741"/>
    <cellStyle name="计算 2 25 11 3" xfId="37815"/>
    <cellStyle name="계산 2 25 11 4" xfId="43665"/>
    <cellStyle name="计算 2 25 11 4" xfId="43739"/>
    <cellStyle name="계산 2 25 11 5" xfId="47525"/>
    <cellStyle name="计算 2 25 11 5" xfId="47556"/>
    <cellStyle name="계산 2 25 11 6" xfId="50499"/>
    <cellStyle name="计算 2 25 11 6" xfId="50573"/>
    <cellStyle name="계산 2 25 12" xfId="16410"/>
    <cellStyle name="计算 2 25 12" xfId="17772"/>
    <cellStyle name="계산 2 25 12 2" xfId="41528"/>
    <cellStyle name="计算 2 25 12 2" xfId="42399"/>
    <cellStyle name="계산 2 25 12 3" xfId="48362"/>
    <cellStyle name="计算 2 25 12 3" xfId="49233"/>
    <cellStyle name="계산 2 25 13" xfId="18502"/>
    <cellStyle name="计算 2 25 13" xfId="17877"/>
    <cellStyle name="계산 2 25 14" xfId="33345"/>
    <cellStyle name="计算 2 25 14" xfId="17409"/>
    <cellStyle name="계산 2 25 15" xfId="39367"/>
    <cellStyle name="计算 2 25 15" xfId="38467"/>
    <cellStyle name="계산 2 25 16" xfId="32229"/>
    <cellStyle name="计算 2 25 16" xfId="39284"/>
    <cellStyle name="계산 2 25 17" xfId="50977"/>
    <cellStyle name="计算 2 25 17" xfId="50978"/>
    <cellStyle name="계산 2 25 18" xfId="50799"/>
    <cellStyle name="计算 2 25 18" xfId="50798"/>
    <cellStyle name="계산 2 25 2" xfId="6294"/>
    <cellStyle name="计算 2 25 2" xfId="6593"/>
    <cellStyle name="계산 2 25 2 10" xfId="16043"/>
    <cellStyle name="计算 2 25 2 10" xfId="16260"/>
    <cellStyle name="계산 2 25 2 11" xfId="41184"/>
    <cellStyle name="计算 2 25 2 11" xfId="33429"/>
    <cellStyle name="계산 2 25 2 12" xfId="32562"/>
    <cellStyle name="计算 2 25 2 12" xfId="38721"/>
    <cellStyle name="계산 2 25 2 2" xfId="11028"/>
    <cellStyle name="计算 2 25 2 2" xfId="11327"/>
    <cellStyle name="계산 2 25 2 2 2" xfId="24256"/>
    <cellStyle name="计算 2 25 2 2 2" xfId="24555"/>
    <cellStyle name="계산 2 25 2 2 3" xfId="33658"/>
    <cellStyle name="计算 2 25 2 2 3" xfId="33957"/>
    <cellStyle name="계산 2 25 2 2 4" xfId="39812"/>
    <cellStyle name="计算 2 25 2 2 4" xfId="40004"/>
    <cellStyle name="계산 2 25 2 2 5" xfId="44792"/>
    <cellStyle name="计算 2 25 2 2 5" xfId="45022"/>
    <cellStyle name="계산 2 25 2 2 6" xfId="32191"/>
    <cellStyle name="计算 2 25 2 2 6" xfId="41253"/>
    <cellStyle name="계산 2 25 2 3" xfId="13872"/>
    <cellStyle name="计算 2 25 2 3" xfId="13973"/>
    <cellStyle name="계산 2 25 2 3 2" xfId="27100"/>
    <cellStyle name="计算 2 25 2 3 2" xfId="27201"/>
    <cellStyle name="계산 2 25 2 3 3" xfId="36084"/>
    <cellStyle name="计算 2 25 2 3 3" xfId="36382"/>
    <cellStyle name="계산 2 25 2 3 4" xfId="41977"/>
    <cellStyle name="计算 2 25 2 3 4" xfId="42275"/>
    <cellStyle name="계산 2 25 2 3 5" xfId="46555"/>
    <cellStyle name="计算 2 25 2 3 5" xfId="46686"/>
    <cellStyle name="계산 2 25 2 3 6" xfId="48811"/>
    <cellStyle name="计算 2 25 2 3 6" xfId="49109"/>
    <cellStyle name="계산 2 25 2 4" xfId="12718"/>
    <cellStyle name="计算 2 25 2 4" xfId="8271"/>
    <cellStyle name="계산 2 25 2 4 2" xfId="25946"/>
    <cellStyle name="计算 2 25 2 4 2" xfId="21499"/>
    <cellStyle name="계산 2 25 2 4 3" xfId="31495"/>
    <cellStyle name="计算 2 25 2 4 3" xfId="30150"/>
    <cellStyle name="계산 2 25 2 4 4" xfId="17280"/>
    <cellStyle name="计算 2 25 2 4 4" xfId="16612"/>
    <cellStyle name="계산 2 25 2 4 5" xfId="33437"/>
    <cellStyle name="计算 2 25 2 4 5" xfId="40003"/>
    <cellStyle name="계산 2 25 2 4 6" xfId="28756"/>
    <cellStyle name="计算 2 25 2 4 6" xfId="28808"/>
    <cellStyle name="계산 2 25 2 5" xfId="8542"/>
    <cellStyle name="计算 2 25 2 5" xfId="7229"/>
    <cellStyle name="계산 2 25 2 5 2" xfId="21770"/>
    <cellStyle name="计算 2 25 2 5 2" xfId="20457"/>
    <cellStyle name="계산 2 25 2 5 3" xfId="30640"/>
    <cellStyle name="计算 2 25 2 5 3" xfId="30362"/>
    <cellStyle name="계산 2 25 2 5 4" xfId="18033"/>
    <cellStyle name="计算 2 25 2 5 4" xfId="16778"/>
    <cellStyle name="계산 2 25 2 5 5" xfId="27964"/>
    <cellStyle name="计算 2 25 2 5 5" xfId="28701"/>
    <cellStyle name="계산 2 25 2 5 6" xfId="39851"/>
    <cellStyle name="计算 2 25 2 5 6" xfId="39279"/>
    <cellStyle name="계산 2 25 2 6" xfId="13032"/>
    <cellStyle name="计算 2 25 2 6" xfId="14058"/>
    <cellStyle name="계산 2 25 2 6 2" xfId="26260"/>
    <cellStyle name="计算 2 25 2 6 2" xfId="27286"/>
    <cellStyle name="계산 2 25 2 6 3" xfId="30776"/>
    <cellStyle name="计算 2 25 2 6 3" xfId="30069"/>
    <cellStyle name="계산 2 25 2 6 4" xfId="15219"/>
    <cellStyle name="计算 2 25 2 6 4" xfId="16552"/>
    <cellStyle name="계산 2 25 2 6 5" xfId="34176"/>
    <cellStyle name="计算 2 25 2 6 5" xfId="41082"/>
    <cellStyle name="계산 2 25 2 6 6" xfId="30789"/>
    <cellStyle name="计算 2 25 2 6 6" xfId="45426"/>
    <cellStyle name="계산 2 25 2 7" xfId="19522"/>
    <cellStyle name="计算 2 25 2 7" xfId="19821"/>
    <cellStyle name="계산 2 25 2 7 2" xfId="34771"/>
    <cellStyle name="计算 2 25 2 7 2" xfId="31918"/>
    <cellStyle name="계산 2 25 2 7 3" xfId="40766"/>
    <cellStyle name="计算 2 25 2 7 3" xfId="38140"/>
    <cellStyle name="계산 2 25 2 7 4" xfId="45661"/>
    <cellStyle name="计算 2 25 2 7 4" xfId="34619"/>
    <cellStyle name="계산 2 25 2 7 5" xfId="27921"/>
    <cellStyle name="计算 2 25 2 7 5" xfId="33353"/>
    <cellStyle name="계산 2 25 2 8" xfId="35491"/>
    <cellStyle name="计算 2 25 2 8" xfId="30494"/>
    <cellStyle name="계산 2 25 2 8 2" xfId="41362"/>
    <cellStyle name="计算 2 25 2 8 2" xfId="15186"/>
    <cellStyle name="계산 2 25 2 8 3" xfId="48196"/>
    <cellStyle name="计算 2 25 2 8 3" xfId="44906"/>
    <cellStyle name="계산 2 25 2 9" xfId="29346"/>
    <cellStyle name="计算 2 25 2 9" xfId="29645"/>
    <cellStyle name="계산 2 25 3" xfId="6218"/>
    <cellStyle name="计算 2 25 3" xfId="6618"/>
    <cellStyle name="계산 2 25 3 10" xfId="35816"/>
    <cellStyle name="计算 2 25 3 10" xfId="16280"/>
    <cellStyle name="계산 2 25 3 11" xfId="33379"/>
    <cellStyle name="计算 2 25 3 11" xfId="34376"/>
    <cellStyle name="계산 2 25 3 12" xfId="44060"/>
    <cellStyle name="计算 2 25 3 12" xfId="36716"/>
    <cellStyle name="계산 2 25 3 2" xfId="10952"/>
    <cellStyle name="计算 2 25 3 2" xfId="11352"/>
    <cellStyle name="계산 2 25 3 2 2" xfId="24180"/>
    <cellStyle name="计算 2 25 3 2 2" xfId="24580"/>
    <cellStyle name="계산 2 25 3 2 3" xfId="33582"/>
    <cellStyle name="计算 2 25 3 2 3" xfId="33982"/>
    <cellStyle name="계산 2 25 3 2 4" xfId="39744"/>
    <cellStyle name="计算 2 25 3 2 4" xfId="40023"/>
    <cellStyle name="계산 2 25 3 2 5" xfId="44716"/>
    <cellStyle name="计算 2 25 3 2 5" xfId="45047"/>
    <cellStyle name="계산 2 25 3 2 6" xfId="40433"/>
    <cellStyle name="计算 2 25 3 2 6" xfId="32538"/>
    <cellStyle name="계산 2 25 3 3" xfId="13808"/>
    <cellStyle name="计算 2 25 3 3" xfId="13987"/>
    <cellStyle name="계산 2 25 3 3 2" xfId="27036"/>
    <cellStyle name="计算 2 25 3 3 2" xfId="27215"/>
    <cellStyle name="계산 2 25 3 3 3" xfId="36008"/>
    <cellStyle name="计算 2 25 3 3 3" xfId="36407"/>
    <cellStyle name="계산 2 25 3 3 4" xfId="41901"/>
    <cellStyle name="计算 2 25 3 3 4" xfId="42300"/>
    <cellStyle name="계산 2 25 3 3 5" xfId="46483"/>
    <cellStyle name="计算 2 25 3 3 5" xfId="46703"/>
    <cellStyle name="계산 2 25 3 3 6" xfId="48735"/>
    <cellStyle name="计算 2 25 3 3 6" xfId="49134"/>
    <cellStyle name="계산 2 25 3 4" xfId="6931"/>
    <cellStyle name="计算 2 25 3 4" xfId="8282"/>
    <cellStyle name="계산 2 25 3 4 2" xfId="20159"/>
    <cellStyle name="计算 2 25 3 4 2" xfId="21510"/>
    <cellStyle name="계산 2 25 3 4 3" xfId="31891"/>
    <cellStyle name="计算 2 25 3 4 3" xfId="31579"/>
    <cellStyle name="계산 2 25 3 4 4" xfId="38112"/>
    <cellStyle name="计算 2 25 3 4 4" xfId="17315"/>
    <cellStyle name="계산 2 25 3 4 5" xfId="15527"/>
    <cellStyle name="计算 2 25 3 4 5" xfId="15586"/>
    <cellStyle name="계산 2 25 3 4 6" xfId="46596"/>
    <cellStyle name="计算 2 25 3 4 6" xfId="41167"/>
    <cellStyle name="계산 2 25 3 5" xfId="13941"/>
    <cellStyle name="计算 2 25 3 5" xfId="14264"/>
    <cellStyle name="계산 2 25 3 5 2" xfId="27169"/>
    <cellStyle name="计算 2 25 3 5 2" xfId="27492"/>
    <cellStyle name="계산 2 25 3 5 3" xfId="31799"/>
    <cellStyle name="计算 2 25 3 5 3" xfId="31916"/>
    <cellStyle name="계산 2 25 3 5 4" xfId="38020"/>
    <cellStyle name="计算 2 25 3 5 4" xfId="38138"/>
    <cellStyle name="계산 2 25 3 5 5" xfId="17973"/>
    <cellStyle name="计算 2 25 3 5 5" xfId="15521"/>
    <cellStyle name="계산 2 25 3 5 6" xfId="34560"/>
    <cellStyle name="计算 2 25 3 5 6" xfId="47134"/>
    <cellStyle name="계산 2 25 3 6" xfId="14308"/>
    <cellStyle name="计算 2 25 3 6" xfId="14197"/>
    <cellStyle name="계산 2 25 3 6 2" xfId="27536"/>
    <cellStyle name="计算 2 25 3 6 2" xfId="27425"/>
    <cellStyle name="계산 2 25 3 6 3" xfId="30210"/>
    <cellStyle name="计算 2 25 3 6 3" xfId="36762"/>
    <cellStyle name="계산 2 25 3 6 4" xfId="16623"/>
    <cellStyle name="计算 2 25 3 6 4" xfId="42669"/>
    <cellStyle name="계산 2 25 3 6 5" xfId="33149"/>
    <cellStyle name="计算 2 25 3 6 5" xfId="46951"/>
    <cellStyle name="계산 2 25 3 6 6" xfId="44387"/>
    <cellStyle name="计算 2 25 3 6 6" xfId="49503"/>
    <cellStyle name="계산 2 25 3 7" xfId="19446"/>
    <cellStyle name="计算 2 25 3 7" xfId="19846"/>
    <cellStyle name="계산 2 25 3 7 2" xfId="31265"/>
    <cellStyle name="计算 2 25 3 7 2" xfId="31784"/>
    <cellStyle name="계산 2 25 3 7 3" xfId="17161"/>
    <cellStyle name="计算 2 25 3 7 3" xfId="38005"/>
    <cellStyle name="계산 2 25 3 7 4" xfId="28685"/>
    <cellStyle name="计算 2 25 3 7 4" xfId="17879"/>
    <cellStyle name="계산 2 25 3 7 5" xfId="33046"/>
    <cellStyle name="计算 2 25 3 7 5" xfId="39364"/>
    <cellStyle name="계산 2 25 3 8" xfId="31779"/>
    <cellStyle name="计算 2 25 3 8" xfId="30515"/>
    <cellStyle name="계산 2 25 3 8 2" xfId="38000"/>
    <cellStyle name="计算 2 25 3 8 2" xfId="18148"/>
    <cellStyle name="계산 2 25 3 8 3" xfId="46318"/>
    <cellStyle name="计算 2 25 3 8 3" xfId="44904"/>
    <cellStyle name="계산 2 25 3 9" xfId="29270"/>
    <cellStyle name="计算 2 25 3 9" xfId="29670"/>
    <cellStyle name="계산 2 25 4" xfId="6159"/>
    <cellStyle name="计算 2 25 4" xfId="6631"/>
    <cellStyle name="계산 2 25 4 10" xfId="34933"/>
    <cellStyle name="计算 2 25 4 10" xfId="16291"/>
    <cellStyle name="계산 2 25 4 11" xfId="28175"/>
    <cellStyle name="计算 2 25 4 11" xfId="41145"/>
    <cellStyle name="계산 2 25 4 12" xfId="17888"/>
    <cellStyle name="计算 2 25 4 12" xfId="45503"/>
    <cellStyle name="계산 2 25 4 2" xfId="10893"/>
    <cellStyle name="计算 2 25 4 2" xfId="11365"/>
    <cellStyle name="계산 2 25 4 2 2" xfId="24121"/>
    <cellStyle name="计算 2 25 4 2 2" xfId="24593"/>
    <cellStyle name="계산 2 25 4 2 3" xfId="33523"/>
    <cellStyle name="计算 2 25 4 2 3" xfId="33995"/>
    <cellStyle name="계산 2 25 4 2 4" xfId="39704"/>
    <cellStyle name="计算 2 25 4 2 4" xfId="40033"/>
    <cellStyle name="계산 2 25 4 2 5" xfId="44661"/>
    <cellStyle name="计算 2 25 4 2 5" xfId="45060"/>
    <cellStyle name="계산 2 25 4 2 6" xfId="40314"/>
    <cellStyle name="计算 2 25 4 2 6" xfId="39950"/>
    <cellStyle name="계산 2 25 4 3" xfId="13777"/>
    <cellStyle name="计算 2 25 4 3" xfId="13992"/>
    <cellStyle name="계산 2 25 4 3 2" xfId="27005"/>
    <cellStyle name="计算 2 25 4 3 2" xfId="27220"/>
    <cellStyle name="계산 2 25 4 3 3" xfId="35949"/>
    <cellStyle name="计算 2 25 4 3 3" xfId="36420"/>
    <cellStyle name="계산 2 25 4 3 4" xfId="41842"/>
    <cellStyle name="计算 2 25 4 3 4" xfId="42313"/>
    <cellStyle name="계산 2 25 4 3 5" xfId="46455"/>
    <cellStyle name="计算 2 25 4 3 5" xfId="46712"/>
    <cellStyle name="계산 2 25 4 3 6" xfId="48676"/>
    <cellStyle name="计算 2 25 4 3 6" xfId="49147"/>
    <cellStyle name="계산 2 25 4 4" xfId="8046"/>
    <cellStyle name="计算 2 25 4 4" xfId="8622"/>
    <cellStyle name="계산 2 25 4 4 2" xfId="21274"/>
    <cellStyle name="计算 2 25 4 4 2" xfId="21850"/>
    <cellStyle name="계산 2 25 4 4 3" xfId="32416"/>
    <cellStyle name="计算 2 25 4 4 3" xfId="31584"/>
    <cellStyle name="계산 2 25 4 4 4" xfId="38634"/>
    <cellStyle name="计算 2 25 4 4 4" xfId="17317"/>
    <cellStyle name="계산 2 25 4 4 5" xfId="43968"/>
    <cellStyle name="计算 2 25 4 4 5" xfId="34528"/>
    <cellStyle name="계산 2 25 4 4 6" xfId="44259"/>
    <cellStyle name="计算 2 25 4 4 6" xfId="15536"/>
    <cellStyle name="계산 2 25 4 5" xfId="7287"/>
    <cellStyle name="计算 2 25 4 5" xfId="14013"/>
    <cellStyle name="계산 2 25 4 5 2" xfId="20515"/>
    <cellStyle name="计算 2 25 4 5 2" xfId="27241"/>
    <cellStyle name="계산 2 25 4 5 3" xfId="32142"/>
    <cellStyle name="计算 2 25 4 5 3" xfId="32107"/>
    <cellStyle name="계산 2 25 4 5 4" xfId="38367"/>
    <cellStyle name="计算 2 25 4 5 4" xfId="38330"/>
    <cellStyle name="계산 2 25 4 5 5" xfId="34573"/>
    <cellStyle name="计算 2 25 4 5 5" xfId="17969"/>
    <cellStyle name="계산 2 25 4 5 6" xfId="15470"/>
    <cellStyle name="计算 2 25 4 5 6" xfId="27882"/>
    <cellStyle name="계산 2 25 4 6" xfId="6729"/>
    <cellStyle name="计算 2 25 4 6" xfId="14092"/>
    <cellStyle name="계산 2 25 4 6 2" xfId="19957"/>
    <cellStyle name="计算 2 25 4 6 2" xfId="27320"/>
    <cellStyle name="계산 2 25 4 6 3" xfId="36829"/>
    <cellStyle name="计算 2 25 4 6 3" xfId="32061"/>
    <cellStyle name="계산 2 25 4 6 4" xfId="42740"/>
    <cellStyle name="计算 2 25 4 6 4" xfId="38284"/>
    <cellStyle name="계산 2 25 4 6 5" xfId="46992"/>
    <cellStyle name="计算 2 25 4 6 5" xfId="17514"/>
    <cellStyle name="계산 2 25 4 6 6" xfId="49574"/>
    <cellStyle name="计算 2 25 4 6 6" xfId="46282"/>
    <cellStyle name="계산 2 25 4 7" xfId="19387"/>
    <cellStyle name="计算 2 25 4 7" xfId="19859"/>
    <cellStyle name="계산 2 25 4 7 2" xfId="30097"/>
    <cellStyle name="计算 2 25 4 7 2" xfId="29851"/>
    <cellStyle name="계산 2 25 4 7 3" xfId="16576"/>
    <cellStyle name="计算 2 25 4 7 3" xfId="16361"/>
    <cellStyle name="계산 2 25 4 7 4" xfId="40626"/>
    <cellStyle name="计算 2 25 4 7 4" xfId="28723"/>
    <cellStyle name="계산 2 25 4 7 5" xfId="45171"/>
    <cellStyle name="计算 2 25 4 7 5" xfId="17697"/>
    <cellStyle name="계산 2 25 4 8" xfId="31601"/>
    <cellStyle name="计算 2 25 4 8" xfId="36481"/>
    <cellStyle name="계산 2 25 4 8 2" xfId="17326"/>
    <cellStyle name="计算 2 25 4 8 2" xfId="42374"/>
    <cellStyle name="계산 2 25 4 8 3" xfId="46193"/>
    <cellStyle name="计算 2 25 4 8 3" xfId="49208"/>
    <cellStyle name="계산 2 25 4 9" xfId="29211"/>
    <cellStyle name="计算 2 25 4 9" xfId="29683"/>
    <cellStyle name="계산 2 25 5" xfId="9529"/>
    <cellStyle name="计算 2 25 5" xfId="9808"/>
    <cellStyle name="계산 2 25 5 10" xfId="34359"/>
    <cellStyle name="计算 2 25 5 10" xfId="28643"/>
    <cellStyle name="계산 2 25 5 11" xfId="18132"/>
    <cellStyle name="计算 2 25 5 11" xfId="40388"/>
    <cellStyle name="계산 2 25 5 12" xfId="44477"/>
    <cellStyle name="计算 2 25 5 12" xfId="44599"/>
    <cellStyle name="계산 2 25 5 2" xfId="13166"/>
    <cellStyle name="计算 2 25 5 2" xfId="13445"/>
    <cellStyle name="계산 2 25 5 2 2" xfId="26394"/>
    <cellStyle name="计算 2 25 5 2 2" xfId="26673"/>
    <cellStyle name="계산 2 25 5 2 3" xfId="32646"/>
    <cellStyle name="计算 2 25 5 2 3" xfId="32925"/>
    <cellStyle name="계산 2 25 5 2 4" xfId="38866"/>
    <cellStyle name="计算 2 25 5 2 4" xfId="39145"/>
    <cellStyle name="계산 2 25 5 2 5" xfId="44129"/>
    <cellStyle name="计算 2 25 5 2 5" xfId="44244"/>
    <cellStyle name="계산 2 25 5 2 6" xfId="17809"/>
    <cellStyle name="计算 2 25 5 2 6" xfId="46694"/>
    <cellStyle name="계산 2 25 5 3" xfId="7510"/>
    <cellStyle name="计算 2 25 5 3" xfId="9153"/>
    <cellStyle name="계산 2 25 5 3 2" xfId="20738"/>
    <cellStyle name="计算 2 25 5 3 2" xfId="22381"/>
    <cellStyle name="계산 2 25 5 3 3" xfId="35142"/>
    <cellStyle name="计算 2 25 5 3 3" xfId="35421"/>
    <cellStyle name="계산 2 25 5 3 4" xfId="41122"/>
    <cellStyle name="计算 2 25 5 3 4" xfId="41302"/>
    <cellStyle name="계산 2 25 5 3 5" xfId="45932"/>
    <cellStyle name="计算 2 25 5 3 5" xfId="46143"/>
    <cellStyle name="계산 2 25 5 3 6" xfId="47845"/>
    <cellStyle name="计算 2 25 5 3 6" xfId="48124"/>
    <cellStyle name="계산 2 25 5 4" xfId="13572"/>
    <cellStyle name="计算 2 25 5 4" xfId="14223"/>
    <cellStyle name="계산 2 25 5 4 2" xfId="26800"/>
    <cellStyle name="计算 2 25 5 4 2" xfId="27451"/>
    <cellStyle name="계산 2 25 5 4 3" xfId="30967"/>
    <cellStyle name="计算 2 25 5 4 3" xfId="31167"/>
    <cellStyle name="계산 2 25 5 4 4" xfId="18098"/>
    <cellStyle name="计算 2 25 5 4 4" xfId="14720"/>
    <cellStyle name="계산 2 25 5 4 5" xfId="31421"/>
    <cellStyle name="计算 2 25 5 4 5" xfId="15634"/>
    <cellStyle name="계산 2 25 5 4 6" xfId="16508"/>
    <cellStyle name="计算 2 25 5 4 6" xfId="46631"/>
    <cellStyle name="계산 2 25 5 5" xfId="7759"/>
    <cellStyle name="计算 2 25 5 5" xfId="7276"/>
    <cellStyle name="계산 2 25 5 5 2" xfId="20987"/>
    <cellStyle name="计算 2 25 5 5 2" xfId="20504"/>
    <cellStyle name="계산 2 25 5 5 3" xfId="42693"/>
    <cellStyle name="计算 2 25 5 5 3" xfId="40760"/>
    <cellStyle name="계산 2 25 5 5 4" xfId="49527"/>
    <cellStyle name="计算 2 25 5 5 4" xfId="27879"/>
    <cellStyle name="계산 2 25 5 6" xfId="22757"/>
    <cellStyle name="计算 2 25 5 6" xfId="23036"/>
    <cellStyle name="계산 2 25 5 6 2" xfId="34773"/>
    <cellStyle name="计算 2 25 5 6 2" xfId="30534"/>
    <cellStyle name="계산 2 25 5 6 3" xfId="40768"/>
    <cellStyle name="计算 2 25 5 6 3" xfId="16830"/>
    <cellStyle name="계산 2 25 5 6 4" xfId="45662"/>
    <cellStyle name="计算 2 25 5 6 4" xfId="34520"/>
    <cellStyle name="계산 2 25 5 6 5" xfId="30036"/>
    <cellStyle name="计算 2 25 5 6 5" xfId="44905"/>
    <cellStyle name="계산 2 25 5 7" xfId="30471"/>
    <cellStyle name="计算 2 25 5 7" xfId="35594"/>
    <cellStyle name="계산 2 25 5 7 2" xfId="15183"/>
    <cellStyle name="计算 2 25 5 7 2" xfId="41470"/>
    <cellStyle name="계산 2 25 5 7 3" xfId="33155"/>
    <cellStyle name="计算 2 25 5 7 3" xfId="48304"/>
    <cellStyle name="계산 2 25 5 8" xfId="35704"/>
    <cellStyle name="计算 2 25 5 8" xfId="36699"/>
    <cellStyle name="계산 2 25 5 8 2" xfId="41588"/>
    <cellStyle name="计算 2 25 5 8 2" xfId="42603"/>
    <cellStyle name="계산 2 25 5 8 3" xfId="48422"/>
    <cellStyle name="计算 2 25 5 8 3" xfId="49437"/>
    <cellStyle name="계산 2 25 5 9" xfId="28335"/>
    <cellStyle name="计算 2 25 5 9" xfId="28614"/>
    <cellStyle name="계산 2 25 6" xfId="11748"/>
    <cellStyle name="计算 2 25 6" xfId="11768"/>
    <cellStyle name="계산 2 25 6 10" xfId="45246"/>
    <cellStyle name="计算 2 25 6 10" xfId="45266"/>
    <cellStyle name="계산 2 25 6 11" xfId="34497"/>
    <cellStyle name="计算 2 25 6 11" xfId="33072"/>
    <cellStyle name="계산 2 25 6 2" xfId="8400"/>
    <cellStyle name="计算 2 25 6 2" xfId="8411"/>
    <cellStyle name="계산 2 25 6 2 2" xfId="21628"/>
    <cellStyle name="计算 2 25 6 2 2" xfId="21639"/>
    <cellStyle name="계산 2 25 6 2 3" xfId="36617"/>
    <cellStyle name="计算 2 25 6 2 3" xfId="36637"/>
    <cellStyle name="계산 2 25 6 2 4" xfId="42519"/>
    <cellStyle name="计算 2 25 6 2 4" xfId="42539"/>
    <cellStyle name="계산 2 25 6 2 5" xfId="46849"/>
    <cellStyle name="计算 2 25 6 2 5" xfId="46869"/>
    <cellStyle name="계산 2 25 6 2 6" xfId="49353"/>
    <cellStyle name="计算 2 25 6 2 6" xfId="49373"/>
    <cellStyle name="계산 2 25 6 3" xfId="14445"/>
    <cellStyle name="计算 2 25 6 3" xfId="14464"/>
    <cellStyle name="계산 2 25 6 3 2" xfId="27673"/>
    <cellStyle name="计算 2 25 6 3 2" xfId="27692"/>
    <cellStyle name="계산 2 25 6 3 3" xfId="37105"/>
    <cellStyle name="计算 2 25 6 3 3" xfId="37124"/>
    <cellStyle name="계산 2 25 6 3 4" xfId="43024"/>
    <cellStyle name="计算 2 25 6 3 4" xfId="43043"/>
    <cellStyle name="계산 2 25 6 3 5" xfId="47168"/>
    <cellStyle name="计算 2 25 6 3 5" xfId="47187"/>
    <cellStyle name="계산 2 25 6 3 6" xfId="49858"/>
    <cellStyle name="计算 2 25 6 3 6" xfId="49877"/>
    <cellStyle name="계산 2 25 6 4" xfId="14366"/>
    <cellStyle name="计算 2 25 6 4" xfId="13708"/>
    <cellStyle name="계산 2 25 6 4 2" xfId="27594"/>
    <cellStyle name="计算 2 25 6 4 2" xfId="26936"/>
    <cellStyle name="계산 2 25 6 4 3" xfId="30310"/>
    <cellStyle name="计算 2 25 6 4 3" xfId="34714"/>
    <cellStyle name="계산 2 25 6 4 4" xfId="16742"/>
    <cellStyle name="计算 2 25 6 4 4" xfId="40704"/>
    <cellStyle name="계산 2 25 6 4 5" xfId="34112"/>
    <cellStyle name="计算 2 25 6 4 5" xfId="45626"/>
    <cellStyle name="계산 2 25 6 4 6" xfId="45114"/>
    <cellStyle name="计算 2 25 6 4 6" xfId="40566"/>
    <cellStyle name="계산 2 25 6 5" xfId="24976"/>
    <cellStyle name="计算 2 25 6 5" xfId="24996"/>
    <cellStyle name="계산 2 25 6 5 2" xfId="34960"/>
    <cellStyle name="计算 2 25 6 5 2" xfId="36727"/>
    <cellStyle name="계산 2 25 6 5 3" xfId="40958"/>
    <cellStyle name="计算 2 25 6 5 3" xfId="42632"/>
    <cellStyle name="계산 2 25 6 5 4" xfId="45786"/>
    <cellStyle name="计算 2 25 6 5 4" xfId="46927"/>
    <cellStyle name="계산 2 25 6 5 5" xfId="47654"/>
    <cellStyle name="计算 2 25 6 5 5" xfId="49466"/>
    <cellStyle name="계산 2 25 6 6" xfId="34988"/>
    <cellStyle name="计算 2 25 6 6" xfId="31971"/>
    <cellStyle name="계산 2 25 6 6 2" xfId="40992"/>
    <cellStyle name="计算 2 25 6 6 2" xfId="38194"/>
    <cellStyle name="계산 2 25 6 6 3" xfId="47688"/>
    <cellStyle name="计算 2 25 6 6 3" xfId="17897"/>
    <cellStyle name="계산 2 25 6 7" xfId="37891"/>
    <cellStyle name="计算 2 25 6 7" xfId="37911"/>
    <cellStyle name="계산 2 25 6 7 2" xfId="43816"/>
    <cellStyle name="计算 2 25 6 7 2" xfId="43836"/>
    <cellStyle name="계산 2 25 6 7 3" xfId="50650"/>
    <cellStyle name="计算 2 25 6 7 3" xfId="50670"/>
    <cellStyle name="계산 2 25 6 8" xfId="34212"/>
    <cellStyle name="计算 2 25 6 8" xfId="34232"/>
    <cellStyle name="계산 2 25 6 9" xfId="40237"/>
    <cellStyle name="计算 2 25 6 9" xfId="40257"/>
    <cellStyle name="계산 2 25 7" xfId="7811"/>
    <cellStyle name="计算 2 25 7" xfId="8639"/>
    <cellStyle name="계산 2 25 7 2" xfId="21039"/>
    <cellStyle name="计算 2 25 7 2" xfId="21867"/>
    <cellStyle name="계산 2 25 7 3" xfId="30915"/>
    <cellStyle name="计算 2 25 7 3" xfId="31898"/>
    <cellStyle name="계산 2 25 7 4" xfId="16987"/>
    <cellStyle name="计算 2 25 7 4" xfId="38119"/>
    <cellStyle name="계산 2 25 7 5" xfId="37071"/>
    <cellStyle name="计算 2 25 7 5" xfId="18080"/>
    <cellStyle name="계산 2 25 7 6" xfId="39359"/>
    <cellStyle name="计算 2 25 7 6" xfId="45839"/>
    <cellStyle name="계산 2 25 8" xfId="7401"/>
    <cellStyle name="计算 2 25 8" xfId="7185"/>
    <cellStyle name="계산 2 25 8 2" xfId="20629"/>
    <cellStyle name="计算 2 25 8 2" xfId="20413"/>
    <cellStyle name="계산 2 25 8 3" xfId="35470"/>
    <cellStyle name="计算 2 25 8 3" xfId="35881"/>
    <cellStyle name="계산 2 25 8 4" xfId="41339"/>
    <cellStyle name="计算 2 25 8 4" xfId="41773"/>
    <cellStyle name="계산 2 25 8 5" xfId="46184"/>
    <cellStyle name="计算 2 25 8 5" xfId="46397"/>
    <cellStyle name="계산 2 25 8 6" xfId="48173"/>
    <cellStyle name="计算 2 25 8 6" xfId="48607"/>
    <cellStyle name="계산 2 25 9" xfId="13679"/>
    <cellStyle name="计算 2 25 9" xfId="14018"/>
    <cellStyle name="계산 2 25 9 2" xfId="26907"/>
    <cellStyle name="计算 2 25 9 2" xfId="27246"/>
    <cellStyle name="계산 2 25 9 3" xfId="37370"/>
    <cellStyle name="计算 2 25 9 3" xfId="30848"/>
    <cellStyle name="계산 2 25 9 4" xfId="43290"/>
    <cellStyle name="计算 2 25 9 4" xfId="15285"/>
    <cellStyle name="계산 2 25 9 5" xfId="47327"/>
    <cellStyle name="计算 2 25 9 5" xfId="28068"/>
    <cellStyle name="계산 2 25 9 6" xfId="50124"/>
    <cellStyle name="计算 2 25 9 6" xfId="40418"/>
    <cellStyle name="계산 2 26" xfId="2653"/>
    <cellStyle name="计算 2 26" xfId="6254"/>
    <cellStyle name="计算 2 26 2" xfId="10988"/>
    <cellStyle name="计算 2 26 2 2" xfId="24216"/>
    <cellStyle name="计算 2 26 2 3" xfId="33618"/>
    <cellStyle name="计算 2 26 2 4" xfId="44752"/>
    <cellStyle name="计算 2 26 2 5" xfId="39250"/>
    <cellStyle name="计算 2 26 3" xfId="6948"/>
    <cellStyle name="计算 2 26 3 2" xfId="20176"/>
    <cellStyle name="计算 2 26 3 3" xfId="36044"/>
    <cellStyle name="计算 2 26 3 4" xfId="41937"/>
    <cellStyle name="计算 2 26 3 5" xfId="48771"/>
    <cellStyle name="计算 2 26 4" xfId="19482"/>
    <cellStyle name="计算 2 26 4 2" xfId="32125"/>
    <cellStyle name="计算 2 26 4 3" xfId="38348"/>
    <cellStyle name="计算 2 26 4 4" xfId="38774"/>
    <cellStyle name="计算 2 26 5" xfId="37656"/>
    <cellStyle name="计算 2 26 5 2" xfId="43579"/>
    <cellStyle name="计算 2 26 5 3" xfId="50413"/>
    <cellStyle name="计算 2 26 6" xfId="29306"/>
    <cellStyle name="计算 2 26 7" xfId="16006"/>
    <cellStyle name="计算 2 26 8" xfId="45446"/>
    <cellStyle name="계산 2 27" xfId="4854"/>
    <cellStyle name="计算 2 27" xfId="6248"/>
    <cellStyle name="계산 2 27 2" xfId="50979"/>
    <cellStyle name="计算 2 27 2" xfId="10982"/>
    <cellStyle name="计算 2 27 2 2" xfId="24210"/>
    <cellStyle name="计算 2 27 2 3" xfId="33612"/>
    <cellStyle name="计算 2 27 2 4" xfId="44746"/>
    <cellStyle name="计算 2 27 2 5" xfId="16544"/>
    <cellStyle name="계산 2 27 3" xfId="50797"/>
    <cellStyle name="计算 2 27 3" xfId="12728"/>
    <cellStyle name="计算 2 27 3 2" xfId="25956"/>
    <cellStyle name="计算 2 27 3 3" xfId="36038"/>
    <cellStyle name="计算 2 27 3 4" xfId="41931"/>
    <cellStyle name="计算 2 27 3 5" xfId="48765"/>
    <cellStyle name="计算 2 27 4" xfId="19476"/>
    <cellStyle name="计算 2 27 4 2" xfId="30455"/>
    <cellStyle name="计算 2 27 4 3" xfId="18017"/>
    <cellStyle name="计算 2 27 4 4" xfId="39593"/>
    <cellStyle name="计算 2 27 5" xfId="37601"/>
    <cellStyle name="计算 2 27 5 2" xfId="43524"/>
    <cellStyle name="计算 2 27 5 3" xfId="50358"/>
    <cellStyle name="计算 2 27 6" xfId="29300"/>
    <cellStyle name="计算 2 27 7" xfId="16002"/>
    <cellStyle name="计算 2 27 8" xfId="39402"/>
    <cellStyle name="계산 2 28" xfId="2610"/>
    <cellStyle name="计算 2 28" xfId="6137"/>
    <cellStyle name="계산 2 28 10" xfId="16369"/>
    <cellStyle name="计算 2 28 10" xfId="37528"/>
    <cellStyle name="계산 2 28 10 2" xfId="43747"/>
    <cellStyle name="계산 2 28 10 3" xfId="50581"/>
    <cellStyle name="계산 2 28 11" xfId="15993"/>
    <cellStyle name="计算 2 28 11" xfId="40636"/>
    <cellStyle name="계산 2 28 12" xfId="34106"/>
    <cellStyle name="计算 2 28 12" xfId="29041"/>
    <cellStyle name="계산 2 28 13" xfId="39577"/>
    <cellStyle name="계산 2 28 14" xfId="40115"/>
    <cellStyle name="계산 2 28 15" xfId="50980"/>
    <cellStyle name="계산 2 28 16" xfId="50796"/>
    <cellStyle name="계산 2 28 2" xfId="6253"/>
    <cellStyle name="计算 2 28 2" xfId="10871"/>
    <cellStyle name="계산 2 28 2 10" xfId="17644"/>
    <cellStyle name="계산 2 28 2 11" xfId="28204"/>
    <cellStyle name="계산 2 28 2 12" xfId="44460"/>
    <cellStyle name="계산 2 28 2 2" xfId="10987"/>
    <cellStyle name="计算 2 28 2 2" xfId="24099"/>
    <cellStyle name="계산 2 28 2 2 2" xfId="24215"/>
    <cellStyle name="계산 2 28 2 2 3" xfId="33617"/>
    <cellStyle name="계산 2 28 2 2 4" xfId="39776"/>
    <cellStyle name="계산 2 28 2 2 5" xfId="44751"/>
    <cellStyle name="계산 2 28 2 2 6" xfId="29080"/>
    <cellStyle name="계산 2 28 2 3" xfId="13840"/>
    <cellStyle name="计算 2 28 2 3" xfId="33501"/>
    <cellStyle name="계산 2 28 2 3 2" xfId="27068"/>
    <cellStyle name="계산 2 28 2 3 3" xfId="36043"/>
    <cellStyle name="계산 2 28 2 3 4" xfId="41936"/>
    <cellStyle name="계산 2 28 2 3 5" xfId="46515"/>
    <cellStyle name="계산 2 28 2 3 6" xfId="48770"/>
    <cellStyle name="계산 2 28 2 4" xfId="6947"/>
    <cellStyle name="计算 2 28 2 4" xfId="39683"/>
    <cellStyle name="계산 2 28 2 4 2" xfId="20175"/>
    <cellStyle name="계산 2 28 2 4 3" xfId="31467"/>
    <cellStyle name="계산 2 28 2 4 4" xfId="17858"/>
    <cellStyle name="계산 2 28 2 4 5" xfId="34312"/>
    <cellStyle name="계산 2 28 2 4 6" xfId="18087"/>
    <cellStyle name="계산 2 28 2 5" xfId="13656"/>
    <cellStyle name="计算 2 28 2 5" xfId="44639"/>
    <cellStyle name="계산 2 28 2 5 2" xfId="26884"/>
    <cellStyle name="계산 2 28 2 5 3" xfId="30421"/>
    <cellStyle name="계산 2 28 2 5 4" xfId="14878"/>
    <cellStyle name="계산 2 28 2 5 5" xfId="45706"/>
    <cellStyle name="계산 2 28 2 6" xfId="8731"/>
    <cellStyle name="计算 2 28 2 6" xfId="39578"/>
    <cellStyle name="계산 2 28 2 6 2" xfId="21959"/>
    <cellStyle name="계산 2 28 2 6 3" xfId="36770"/>
    <cellStyle name="계산 2 28 2 6 4" xfId="42677"/>
    <cellStyle name="계산 2 28 2 6 5" xfId="49511"/>
    <cellStyle name="계산 2 28 2 7" xfId="19481"/>
    <cellStyle name="계산 2 28 2 7 2" xfId="30566"/>
    <cellStyle name="계산 2 28 2 7 3" xfId="27766"/>
    <cellStyle name="계산 2 28 2 7 4" xfId="46944"/>
    <cellStyle name="계산 2 28 2 8" xfId="35840"/>
    <cellStyle name="계산 2 28 2 8 2" xfId="41729"/>
    <cellStyle name="계산 2 28 2 8 3" xfId="48563"/>
    <cellStyle name="계산 2 28 2 9" xfId="29305"/>
    <cellStyle name="계산 2 28 3" xfId="9488"/>
    <cellStyle name="计算 2 28 3" xfId="13757"/>
    <cellStyle name="계산 2 28 3 10" xfId="29050"/>
    <cellStyle name="계산 2 28 3 11" xfId="39257"/>
    <cellStyle name="계산 2 28 3 12" xfId="29921"/>
    <cellStyle name="계산 2 28 3 2" xfId="13125"/>
    <cellStyle name="计算 2 28 3 2" xfId="26985"/>
    <cellStyle name="계산 2 28 3 2 2" xfId="26353"/>
    <cellStyle name="계산 2 28 3 2 3" xfId="32605"/>
    <cellStyle name="계산 2 28 3 2 4" xfId="38825"/>
    <cellStyle name="계산 2 28 3 2 5" xfId="44089"/>
    <cellStyle name="계산 2 28 3 2 6" xfId="34273"/>
    <cellStyle name="계산 2 28 3 3" xfId="7480"/>
    <cellStyle name="计算 2 28 3 3" xfId="35927"/>
    <cellStyle name="계산 2 28 3 3 2" xfId="20708"/>
    <cellStyle name="계산 2 28 3 3 3" xfId="35101"/>
    <cellStyle name="계산 2 28 3 3 4" xfId="41085"/>
    <cellStyle name="계산 2 28 3 3 5" xfId="45891"/>
    <cellStyle name="계산 2 28 3 3 6" xfId="47804"/>
    <cellStyle name="계산 2 28 3 4" xfId="8471"/>
    <cellStyle name="计算 2 28 3 4" xfId="41820"/>
    <cellStyle name="계산 2 28 3 4 2" xfId="21699"/>
    <cellStyle name="계산 2 28 3 4 3" xfId="30943"/>
    <cellStyle name="계산 2 28 3 4 4" xfId="17010"/>
    <cellStyle name="계산 2 28 3 4 5" xfId="31801"/>
    <cellStyle name="계산 2 28 3 4 6" xfId="39220"/>
    <cellStyle name="계산 2 28 3 5" xfId="8604"/>
    <cellStyle name="计算 2 28 3 5" xfId="46433"/>
    <cellStyle name="계산 2 28 3 5 2" xfId="21832"/>
    <cellStyle name="계산 2 28 3 5 3" xfId="42816"/>
    <cellStyle name="계산 2 28 3 5 4" xfId="49650"/>
    <cellStyle name="계산 2 28 3 6" xfId="22716"/>
    <cellStyle name="计算 2 28 3 6" xfId="48654"/>
    <cellStyle name="계산 2 28 3 6 2" xfId="31932"/>
    <cellStyle name="계산 2 28 3 6 3" xfId="38154"/>
    <cellStyle name="계산 2 28 3 6 4" xfId="45631"/>
    <cellStyle name="계산 2 28 3 7" xfId="36853"/>
    <cellStyle name="계산 2 28 3 7 2" xfId="42765"/>
    <cellStyle name="계산 2 28 3 7 3" xfId="49599"/>
    <cellStyle name="계산 2 28 3 8" xfId="37501"/>
    <cellStyle name="계산 2 28 3 8 2" xfId="43421"/>
    <cellStyle name="계산 2 28 3 8 3" xfId="50255"/>
    <cellStyle name="계산 2 28 3 9" xfId="28294"/>
    <cellStyle name="계산 2 28 4" xfId="11716"/>
    <cellStyle name="计算 2 28 4" xfId="8037"/>
    <cellStyle name="계산 2 28 4 10" xfId="39607"/>
    <cellStyle name="계산 2 28 4 2" xfId="6833"/>
    <cellStyle name="计算 2 28 4 2" xfId="21265"/>
    <cellStyle name="계산 2 28 4 2 2" xfId="20061"/>
    <cellStyle name="계산 2 28 4 2 3" xfId="36585"/>
    <cellStyle name="계산 2 28 4 2 4" xfId="42487"/>
    <cellStyle name="계산 2 28 4 2 5" xfId="46818"/>
    <cellStyle name="계산 2 28 4 2 6" xfId="49321"/>
    <cellStyle name="계산 2 28 4 3" xfId="14414"/>
    <cellStyle name="计算 2 28 4 3" xfId="29876"/>
    <cellStyle name="계산 2 28 4 3 2" xfId="27642"/>
    <cellStyle name="계산 2 28 4 3 3" xfId="31670"/>
    <cellStyle name="계산 2 28 4 3 4" xfId="17355"/>
    <cellStyle name="계산 2 28 4 3 5" xfId="34763"/>
    <cellStyle name="계산 2 28 4 3 6" xfId="45689"/>
    <cellStyle name="계산 2 28 4 4" xfId="14273"/>
    <cellStyle name="计算 2 28 4 4" xfId="18096"/>
    <cellStyle name="계산 2 28 4 4 2" xfId="27501"/>
    <cellStyle name="계산 2 28 4 4 3" xfId="29802"/>
    <cellStyle name="계산 2 28 4 4 4" xfId="18653"/>
    <cellStyle name="계산 2 28 4 4 5" xfId="40016"/>
    <cellStyle name="계산 2 28 4 4 6" xfId="38740"/>
    <cellStyle name="계산 2 28 4 5" xfId="24944"/>
    <cellStyle name="计算 2 28 4 5" xfId="32548"/>
    <cellStyle name="계산 2 28 4 5 2" xfId="29968"/>
    <cellStyle name="계산 2 28 4 5 3" xfId="17701"/>
    <cellStyle name="계산 2 28 4 5 4" xfId="34366"/>
    <cellStyle name="계산 2 28 4 6" xfId="37859"/>
    <cellStyle name="计算 2 28 4 6" xfId="29986"/>
    <cellStyle name="계산 2 28 4 6 2" xfId="43784"/>
    <cellStyle name="계산 2 28 4 6 3" xfId="50618"/>
    <cellStyle name="계산 2 28 4 7" xfId="34180"/>
    <cellStyle name="계산 2 28 4 8" xfId="40205"/>
    <cellStyle name="계산 2 28 4 9" xfId="45215"/>
    <cellStyle name="계산 2 28 5" xfId="7770"/>
    <cellStyle name="计算 2 28 5" xfId="13921"/>
    <cellStyle name="계산 2 28 5 2" xfId="20998"/>
    <cellStyle name="计算 2 28 5 2" xfId="27149"/>
    <cellStyle name="계산 2 28 5 3" xfId="30874"/>
    <cellStyle name="计算 2 28 5 3" xfId="30618"/>
    <cellStyle name="계산 2 28 5 4" xfId="28007"/>
    <cellStyle name="计算 2 28 5 4" xfId="14685"/>
    <cellStyle name="계산 2 28 5 5" xfId="35629"/>
    <cellStyle name="计算 2 28 5 5" xfId="33154"/>
    <cellStyle name="계산 2 28 5 6" xfId="15911"/>
    <cellStyle name="计算 2 28 5 6" xfId="39848"/>
    <cellStyle name="계산 2 28 6" xfId="6710"/>
    <cellStyle name="计算 2 28 6" xfId="8479"/>
    <cellStyle name="계산 2 28 6 2" xfId="19938"/>
    <cellStyle name="计算 2 28 6 2" xfId="21707"/>
    <cellStyle name="계산 2 28 6 3" xfId="36734"/>
    <cellStyle name="计算 2 28 6 3" xfId="30208"/>
    <cellStyle name="계산 2 28 6 4" xfId="42639"/>
    <cellStyle name="计算 2 28 6 4" xfId="18529"/>
    <cellStyle name="계산 2 28 6 5" xfId="46930"/>
    <cellStyle name="计算 2 28 6 5" xfId="32453"/>
    <cellStyle name="계산 2 28 6 6" xfId="49473"/>
    <cellStyle name="计算 2 28 6 6" xfId="43985"/>
    <cellStyle name="계산 2 28 7" xfId="14113"/>
    <cellStyle name="计算 2 28 7" xfId="19365"/>
    <cellStyle name="계산 2 28 7 2" xfId="27341"/>
    <cellStyle name="计算 2 28 7 2" xfId="31510"/>
    <cellStyle name="계산 2 28 7 3" xfId="37223"/>
    <cellStyle name="计算 2 28 7 3" xfId="15255"/>
    <cellStyle name="계산 2 28 7 4" xfId="43142"/>
    <cellStyle name="计算 2 28 7 4" xfId="27907"/>
    <cellStyle name="계산 2 28 7 5" xfId="47250"/>
    <cellStyle name="计算 2 28 7 5" xfId="15308"/>
    <cellStyle name="계산 2 28 7 6" xfId="49976"/>
    <cellStyle name="계산 2 28 8" xfId="14374"/>
    <cellStyle name="计算 2 28 8" xfId="34774"/>
    <cellStyle name="계산 2 28 8 2" xfId="27602"/>
    <cellStyle name="计算 2 28 8 2" xfId="40770"/>
    <cellStyle name="계산 2 28 8 3" xfId="36941"/>
    <cellStyle name="计算 2 28 8 3" xfId="34354"/>
    <cellStyle name="계산 2 28 8 4" xfId="42857"/>
    <cellStyle name="계산 2 28 8 5" xfId="47053"/>
    <cellStyle name="계산 2 28 8 6" xfId="49691"/>
    <cellStyle name="계산 2 28 9" xfId="8643"/>
    <cellStyle name="计算 2 28 9" xfId="29189"/>
    <cellStyle name="계산 2 28 9 2" xfId="21871"/>
    <cellStyle name="계산 2 28 9 3" xfId="37239"/>
    <cellStyle name="계산 2 28 9 4" xfId="43158"/>
    <cellStyle name="계산 2 28 9 5" xfId="47255"/>
    <cellStyle name="계산 2 28 9 6" xfId="49992"/>
    <cellStyle name="계산 2 29" xfId="50981"/>
    <cellStyle name="计算 2 29" xfId="9489"/>
    <cellStyle name="计算 2 29 10" xfId="44524"/>
    <cellStyle name="计算 2 29 2" xfId="13126"/>
    <cellStyle name="计算 2 29 2 2" xfId="26354"/>
    <cellStyle name="计算 2 29 2 3" xfId="32606"/>
    <cellStyle name="计算 2 29 2 4" xfId="38826"/>
    <cellStyle name="计算 2 29 2 5" xfId="30005"/>
    <cellStyle name="计算 2 29 3" xfId="7481"/>
    <cellStyle name="计算 2 29 3 2" xfId="20709"/>
    <cellStyle name="计算 2 29 3 3" xfId="35102"/>
    <cellStyle name="计算 2 29 3 4" xfId="45892"/>
    <cellStyle name="计算 2 29 3 5" xfId="47805"/>
    <cellStyle name="计算 2 29 4" xfId="8501"/>
    <cellStyle name="计算 2 29 4 2" xfId="21729"/>
    <cellStyle name="计算 2 29 4 3" xfId="32132"/>
    <cellStyle name="计算 2 29 4 4" xfId="38355"/>
    <cellStyle name="计算 2 29 4 5" xfId="34522"/>
    <cellStyle name="计算 2 29 5" xfId="14361"/>
    <cellStyle name="计算 2 29 5 2" xfId="27589"/>
    <cellStyle name="计算 2 29 5 3" xfId="41368"/>
    <cellStyle name="计算 2 29 5 4" xfId="48202"/>
    <cellStyle name="计算 2 29 6" xfId="22717"/>
    <cellStyle name="计算 2 29 6 2" xfId="37280"/>
    <cellStyle name="计算 2 29 6 3" xfId="43200"/>
    <cellStyle name="计算 2 29 6 4" xfId="50034"/>
    <cellStyle name="计算 2 29 7" xfId="29800"/>
    <cellStyle name="计算 2 29 7 2" xfId="35814"/>
    <cellStyle name="计算 2 29 7 3" xfId="45177"/>
    <cellStyle name="计算 2 29 8" xfId="28295"/>
    <cellStyle name="计算 2 29 9" xfId="33100"/>
    <cellStyle name="계산 2 3" xfId="2654"/>
    <cellStyle name="计算 2 3" xfId="2655"/>
    <cellStyle name="계산 2 3 10" xfId="7207"/>
    <cellStyle name="计算 2 3 10" xfId="8626"/>
    <cellStyle name="계산 2 3 10 2" xfId="20435"/>
    <cellStyle name="计算 2 3 10 2" xfId="21854"/>
    <cellStyle name="계산 2 3 10 3" xfId="37664"/>
    <cellStyle name="计算 2 3 10 3" xfId="30483"/>
    <cellStyle name="계산 2 3 10 4" xfId="43587"/>
    <cellStyle name="计算 2 3 10 4" xfId="16812"/>
    <cellStyle name="계산 2 3 10 5" xfId="47485"/>
    <cellStyle name="计算 2 3 10 5" xfId="32305"/>
    <cellStyle name="계산 2 3 10 6" xfId="50421"/>
    <cellStyle name="计算 2 3 10 6" xfId="28087"/>
    <cellStyle name="계산 2 3 11" xfId="14207"/>
    <cellStyle name="计算 2 3 11" xfId="14475"/>
    <cellStyle name="계산 2 3 11 2" xfId="27435"/>
    <cellStyle name="计算 2 3 11 2" xfId="27703"/>
    <cellStyle name="계산 2 3 11 3" xfId="37427"/>
    <cellStyle name="计算 2 3 11 3" xfId="32028"/>
    <cellStyle name="계산 2 3 11 4" xfId="43347"/>
    <cellStyle name="计算 2 3 11 4" xfId="38251"/>
    <cellStyle name="계산 2 3 11 5" xfId="47360"/>
    <cellStyle name="计算 2 3 11 5" xfId="17904"/>
    <cellStyle name="계산 2 3 11 6" xfId="50181"/>
    <cellStyle name="计算 2 3 11 6" xfId="34561"/>
    <cellStyle name="계산 2 3 12" xfId="16412"/>
    <cellStyle name="计算 2 3 12" xfId="16413"/>
    <cellStyle name="계산 2 3 12 2" xfId="27755"/>
    <cellStyle name="计算 2 3 12 2" xfId="43757"/>
    <cellStyle name="계산 2 3 12 3" xfId="45702"/>
    <cellStyle name="计算 2 3 12 3" xfId="50591"/>
    <cellStyle name="계산 2 3 13" xfId="18500"/>
    <cellStyle name="计算 2 3 13" xfId="18499"/>
    <cellStyle name="계산 2 3 14" xfId="29039"/>
    <cellStyle name="计算 2 3 14" xfId="27863"/>
    <cellStyle name="계산 2 3 15" xfId="15806"/>
    <cellStyle name="计算 2 3 15" xfId="38422"/>
    <cellStyle name="계산 2 3 16" xfId="28815"/>
    <cellStyle name="计算 2 3 16" xfId="36845"/>
    <cellStyle name="계산 2 3 17" xfId="50982"/>
    <cellStyle name="计算 2 3 17" xfId="50983"/>
    <cellStyle name="계산 2 3 18" xfId="50795"/>
    <cellStyle name="计算 2 3 18" xfId="50794"/>
    <cellStyle name="계산 2 3 2" xfId="6295"/>
    <cellStyle name="计算 2 3 2" xfId="6296"/>
    <cellStyle name="계산 2 3 2 10" xfId="16044"/>
    <cellStyle name="计算 2 3 2 10" xfId="16045"/>
    <cellStyle name="계산 2 3 2 11" xfId="28865"/>
    <cellStyle name="计算 2 3 2 11" xfId="39871"/>
    <cellStyle name="계산 2 3 2 12" xfId="34068"/>
    <cellStyle name="计算 2 3 2 12" xfId="39375"/>
    <cellStyle name="계산 2 3 2 2" xfId="11029"/>
    <cellStyle name="计算 2 3 2 2" xfId="11030"/>
    <cellStyle name="계산 2 3 2 2 2" xfId="24257"/>
    <cellStyle name="计算 2 3 2 2 2" xfId="24258"/>
    <cellStyle name="계산 2 3 2 2 3" xfId="33659"/>
    <cellStyle name="计算 2 3 2 2 3" xfId="33660"/>
    <cellStyle name="계산 2 3 2 2 4" xfId="39813"/>
    <cellStyle name="计算 2 3 2 2 4" xfId="39814"/>
    <cellStyle name="계산 2 3 2 2 5" xfId="44793"/>
    <cellStyle name="计算 2 3 2 2 5" xfId="44794"/>
    <cellStyle name="계산 2 3 2 2 6" xfId="34252"/>
    <cellStyle name="计算 2 3 2 2 6" xfId="34532"/>
    <cellStyle name="계산 2 3 2 3" xfId="13873"/>
    <cellStyle name="计算 2 3 2 3" xfId="13874"/>
    <cellStyle name="계산 2 3 2 3 2" xfId="27101"/>
    <cellStyle name="计算 2 3 2 3 2" xfId="27102"/>
    <cellStyle name="계산 2 3 2 3 3" xfId="36085"/>
    <cellStyle name="计算 2 3 2 3 3" xfId="36086"/>
    <cellStyle name="계산 2 3 2 3 4" xfId="41978"/>
    <cellStyle name="计算 2 3 2 3 4" xfId="41979"/>
    <cellStyle name="계산 2 3 2 3 5" xfId="46556"/>
    <cellStyle name="计算 2 3 2 3 5" xfId="46557"/>
    <cellStyle name="계산 2 3 2 3 6" xfId="48812"/>
    <cellStyle name="计算 2 3 2 3 6" xfId="48813"/>
    <cellStyle name="계산 2 3 2 4" xfId="8059"/>
    <cellStyle name="计算 2 3 2 4" xfId="8754"/>
    <cellStyle name="계산 2 3 2 4 2" xfId="21287"/>
    <cellStyle name="计算 2 3 2 4 2" xfId="21982"/>
    <cellStyle name="계산 2 3 2 4 3" xfId="32168"/>
    <cellStyle name="计算 2 3 2 4 3" xfId="31478"/>
    <cellStyle name="계산 2 3 2 4 4" xfId="38393"/>
    <cellStyle name="计算 2 3 2 4 4" xfId="15130"/>
    <cellStyle name="계산 2 3 2 4 5" xfId="17894"/>
    <cellStyle name="计算 2 3 2 4 5" xfId="28115"/>
    <cellStyle name="계산 2 3 2 4 6" xfId="45654"/>
    <cellStyle name="计算 2 3 2 4 6" xfId="17975"/>
    <cellStyle name="계산 2 3 2 5" xfId="14005"/>
    <cellStyle name="计算 2 3 2 5" xfId="14011"/>
    <cellStyle name="계산 2 3 2 5 2" xfId="27233"/>
    <cellStyle name="计算 2 3 2 5 2" xfId="27239"/>
    <cellStyle name="계산 2 3 2 5 3" xfId="30415"/>
    <cellStyle name="计算 2 3 2 5 3" xfId="34897"/>
    <cellStyle name="계산 2 3 2 5 4" xfId="18161"/>
    <cellStyle name="计算 2 3 2 5 4" xfId="40895"/>
    <cellStyle name="계산 2 3 2 5 5" xfId="34519"/>
    <cellStyle name="计算 2 3 2 5 5" xfId="45740"/>
    <cellStyle name="계산 2 3 2 5 6" xfId="15535"/>
    <cellStyle name="计算 2 3 2 5 6" xfId="27785"/>
    <cellStyle name="계산 2 3 2 6" xfId="7755"/>
    <cellStyle name="计算 2 3 2 6" xfId="7363"/>
    <cellStyle name="계산 2 3 2 6 2" xfId="20983"/>
    <cellStyle name="计算 2 3 2 6 2" xfId="20591"/>
    <cellStyle name="계산 2 3 2 6 3" xfId="36552"/>
    <cellStyle name="计算 2 3 2 6 3" xfId="35014"/>
    <cellStyle name="계산 2 3 2 6 4" xfId="42450"/>
    <cellStyle name="计算 2 3 2 6 4" xfId="41018"/>
    <cellStyle name="계산 2 3 2 6 5" xfId="46794"/>
    <cellStyle name="计算 2 3 2 6 5" xfId="45825"/>
    <cellStyle name="계산 2 3 2 6 6" xfId="49284"/>
    <cellStyle name="计算 2 3 2 6 6" xfId="47714"/>
    <cellStyle name="계산 2 3 2 7" xfId="19523"/>
    <cellStyle name="计算 2 3 2 7" xfId="19524"/>
    <cellStyle name="계산 2 3 2 7 2" xfId="34866"/>
    <cellStyle name="计算 2 3 2 7 2" xfId="32322"/>
    <cellStyle name="계산 2 3 2 7 3" xfId="40865"/>
    <cellStyle name="计算 2 3 2 7 3" xfId="38540"/>
    <cellStyle name="계산 2 3 2 7 4" xfId="45717"/>
    <cellStyle name="计算 2 3 2 7 4" xfId="43904"/>
    <cellStyle name="계산 2 3 2 7 5" xfId="17509"/>
    <cellStyle name="计算 2 3 2 7 5" xfId="31417"/>
    <cellStyle name="계산 2 3 2 8" xfId="35665"/>
    <cellStyle name="计算 2 3 2 8" xfId="36944"/>
    <cellStyle name="계산 2 3 2 8 2" xfId="41545"/>
    <cellStyle name="计算 2 3 2 8 2" xfId="42862"/>
    <cellStyle name="계산 2 3 2 8 3" xfId="48379"/>
    <cellStyle name="计算 2 3 2 8 3" xfId="49696"/>
    <cellStyle name="계산 2 3 2 9" xfId="29347"/>
    <cellStyle name="计算 2 3 2 9" xfId="29348"/>
    <cellStyle name="계산 2 3 3" xfId="6217"/>
    <cellStyle name="计算 2 3 3" xfId="6216"/>
    <cellStyle name="계산 2 3 3 10" xfId="15149"/>
    <cellStyle name="计算 2 3 3 10" xfId="36879"/>
    <cellStyle name="계산 2 3 3 11" xfId="34548"/>
    <cellStyle name="计算 2 3 3 11" xfId="28817"/>
    <cellStyle name="계산 2 3 3 12" xfId="45193"/>
    <cellStyle name="计算 2 3 3 12" xfId="28131"/>
    <cellStyle name="계산 2 3 3 2" xfId="10951"/>
    <cellStyle name="计算 2 3 3 2" xfId="10950"/>
    <cellStyle name="계산 2 3 3 2 2" xfId="24179"/>
    <cellStyle name="计算 2 3 3 2 2" xfId="24178"/>
    <cellStyle name="계산 2 3 3 2 3" xfId="33581"/>
    <cellStyle name="计算 2 3 3 2 3" xfId="33580"/>
    <cellStyle name="계산 2 3 3 2 4" xfId="39743"/>
    <cellStyle name="计算 2 3 3 2 4" xfId="39742"/>
    <cellStyle name="계산 2 3 3 2 5" xfId="44715"/>
    <cellStyle name="计算 2 3 3 2 5" xfId="44714"/>
    <cellStyle name="계산 2 3 3 2 6" xfId="15812"/>
    <cellStyle name="计算 2 3 3 2 6" xfId="38425"/>
    <cellStyle name="계산 2 3 3 3" xfId="13807"/>
    <cellStyle name="计算 2 3 3 3" xfId="13806"/>
    <cellStyle name="계산 2 3 3 3 2" xfId="27035"/>
    <cellStyle name="计算 2 3 3 3 2" xfId="27034"/>
    <cellStyle name="계산 2 3 3 3 3" xfId="36007"/>
    <cellStyle name="计算 2 3 3 3 3" xfId="36006"/>
    <cellStyle name="계산 2 3 3 3 4" xfId="41900"/>
    <cellStyle name="计算 2 3 3 3 4" xfId="41899"/>
    <cellStyle name="계산 2 3 3 3 5" xfId="46482"/>
    <cellStyle name="计算 2 3 3 3 5" xfId="46481"/>
    <cellStyle name="계산 2 3 3 3 6" xfId="48734"/>
    <cellStyle name="计算 2 3 3 3 6" xfId="48733"/>
    <cellStyle name="계산 2 3 3 4" xfId="9066"/>
    <cellStyle name="计算 2 3 3 4" xfId="12839"/>
    <cellStyle name="계산 2 3 3 4 2" xfId="22294"/>
    <cellStyle name="计算 2 3 3 4 2" xfId="26067"/>
    <cellStyle name="계산 2 3 3 4 3" xfId="29878"/>
    <cellStyle name="计算 2 3 3 4 3" xfId="31443"/>
    <cellStyle name="계산 2 3 3 4 4" xfId="18100"/>
    <cellStyle name="计算 2 3 3 4 4" xfId="15126"/>
    <cellStyle name="계산 2 3 3 4 5" xfId="30048"/>
    <cellStyle name="计算 2 3 3 4 5" xfId="14755"/>
    <cellStyle name="계산 2 3 3 4 6" xfId="32994"/>
    <cellStyle name="计算 2 3 3 4 6" xfId="28205"/>
    <cellStyle name="계산 2 3 3 5" xfId="7258"/>
    <cellStyle name="计算 2 3 3 5" xfId="7235"/>
    <cellStyle name="계산 2 3 3 5 2" xfId="20486"/>
    <cellStyle name="计算 2 3 3 5 2" xfId="20463"/>
    <cellStyle name="계산 2 3 3 5 3" xfId="30434"/>
    <cellStyle name="计算 2 3 3 5 3" xfId="30435"/>
    <cellStyle name="계산 2 3 3 5 4" xfId="14891"/>
    <cellStyle name="计算 2 3 3 5 4" xfId="14892"/>
    <cellStyle name="계산 2 3 3 5 5" xfId="17451"/>
    <cellStyle name="计算 2 3 3 5 5" xfId="17383"/>
    <cellStyle name="계산 2 3 3 5 6" xfId="15533"/>
    <cellStyle name="计算 2 3 3 5 6" xfId="47200"/>
    <cellStyle name="계산 2 3 3 6" xfId="14061"/>
    <cellStyle name="计算 2 3 3 6" xfId="8666"/>
    <cellStyle name="계산 2 3 3 6 2" xfId="27289"/>
    <cellStyle name="计算 2 3 3 6 2" xfId="21894"/>
    <cellStyle name="계산 2 3 3 6 3" xfId="29916"/>
    <cellStyle name="计算 2 3 3 6 3" xfId="30764"/>
    <cellStyle name="계산 2 3 3 6 4" xfId="16450"/>
    <cellStyle name="计算 2 3 3 6 4" xfId="14693"/>
    <cellStyle name="계산 2 3 3 6 5" xfId="28235"/>
    <cellStyle name="计算 2 3 3 6 5" xfId="33457"/>
    <cellStyle name="계산 2 3 3 6 6" xfId="32294"/>
    <cellStyle name="计算 2 3 3 6 6" xfId="39217"/>
    <cellStyle name="계산 2 3 3 7" xfId="19445"/>
    <cellStyle name="计算 2 3 3 7" xfId="19444"/>
    <cellStyle name="계산 2 3 3 7 2" xfId="34713"/>
    <cellStyle name="计算 2 3 3 7 2" xfId="35530"/>
    <cellStyle name="계산 2 3 3 7 3" xfId="40703"/>
    <cellStyle name="计算 2 3 3 7 3" xfId="41403"/>
    <cellStyle name="계산 2 3 3 7 4" xfId="45625"/>
    <cellStyle name="计算 2 3 3 7 4" xfId="46224"/>
    <cellStyle name="계산 2 3 3 7 5" xfId="15946"/>
    <cellStyle name="计算 2 3 3 7 5" xfId="48237"/>
    <cellStyle name="계산 2 3 3 8" xfId="37183"/>
    <cellStyle name="计算 2 3 3 8" xfId="37683"/>
    <cellStyle name="계산 2 3 3 8 2" xfId="43102"/>
    <cellStyle name="计算 2 3 3 8 2" xfId="43606"/>
    <cellStyle name="계산 2 3 3 8 3" xfId="49936"/>
    <cellStyle name="计算 2 3 3 8 3" xfId="50440"/>
    <cellStyle name="계산 2 3 3 9" xfId="29269"/>
    <cellStyle name="计算 2 3 3 9" xfId="29268"/>
    <cellStyle name="계산 2 3 4" xfId="6634"/>
    <cellStyle name="计算 2 3 4" xfId="6635"/>
    <cellStyle name="계산 2 3 4 10" xfId="16294"/>
    <cellStyle name="计算 2 3 4 10" xfId="16295"/>
    <cellStyle name="계산 2 3 4 11" xfId="28843"/>
    <cellStyle name="计算 2 3 4 11" xfId="41144"/>
    <cellStyle name="계산 2 3 4 12" xfId="34609"/>
    <cellStyle name="计算 2 3 4 12" xfId="34088"/>
    <cellStyle name="계산 2 3 4 2" xfId="11368"/>
    <cellStyle name="计算 2 3 4 2" xfId="11369"/>
    <cellStyle name="계산 2 3 4 2 2" xfId="24596"/>
    <cellStyle name="计算 2 3 4 2 2" xfId="24597"/>
    <cellStyle name="계산 2 3 4 2 3" xfId="33998"/>
    <cellStyle name="计算 2 3 4 2 3" xfId="33999"/>
    <cellStyle name="계산 2 3 4 2 4" xfId="40036"/>
    <cellStyle name="计算 2 3 4 2 4" xfId="40037"/>
    <cellStyle name="계산 2 3 4 2 5" xfId="45063"/>
    <cellStyle name="计算 2 3 4 2 5" xfId="45064"/>
    <cellStyle name="계산 2 3 4 2 6" xfId="39562"/>
    <cellStyle name="计算 2 3 4 2 6" xfId="41260"/>
    <cellStyle name="계산 2 3 4 3" xfId="13995"/>
    <cellStyle name="计算 2 3 4 3" xfId="13996"/>
    <cellStyle name="계산 2 3 4 3 2" xfId="27223"/>
    <cellStyle name="计算 2 3 4 3 2" xfId="27224"/>
    <cellStyle name="계산 2 3 4 3 3" xfId="36423"/>
    <cellStyle name="计算 2 3 4 3 3" xfId="36424"/>
    <cellStyle name="계산 2 3 4 3 4" xfId="42316"/>
    <cellStyle name="计算 2 3 4 3 4" xfId="42317"/>
    <cellStyle name="계산 2 3 4 3 5" xfId="46714"/>
    <cellStyle name="计算 2 3 4 3 5" xfId="46715"/>
    <cellStyle name="계산 2 3 4 3 6" xfId="49150"/>
    <cellStyle name="计算 2 3 4 3 6" xfId="49151"/>
    <cellStyle name="계산 2 3 4 4" xfId="8623"/>
    <cellStyle name="计算 2 3 4 4" xfId="8296"/>
    <cellStyle name="계산 2 3 4 4 2" xfId="21851"/>
    <cellStyle name="计算 2 3 4 4 2" xfId="21524"/>
    <cellStyle name="계산 2 3 4 4 3" xfId="30137"/>
    <cellStyle name="计算 2 3 4 4 3" xfId="31585"/>
    <cellStyle name="계산 2 3 4 4 4" xfId="16602"/>
    <cellStyle name="计算 2 3 4 4 4" xfId="17318"/>
    <cellStyle name="계산 2 3 4 4 5" xfId="28240"/>
    <cellStyle name="计算 2 3 4 4 5" xfId="17881"/>
    <cellStyle name="계산 2 3 4 4 6" xfId="15917"/>
    <cellStyle name="计算 2 3 4 4 6" xfId="44196"/>
    <cellStyle name="계산 2 3 4 5" xfId="7227"/>
    <cellStyle name="计算 2 3 4 5" xfId="8522"/>
    <cellStyle name="계산 2 3 4 5 2" xfId="20455"/>
    <cellStyle name="计算 2 3 4 5 2" xfId="21750"/>
    <cellStyle name="계산 2 3 4 5 3" xfId="31762"/>
    <cellStyle name="计算 2 3 4 5 3" xfId="31915"/>
    <cellStyle name="계산 2 3 4 5 4" xfId="37983"/>
    <cellStyle name="计算 2 3 4 5 4" xfId="38137"/>
    <cellStyle name="계산 2 3 4 5 5" xfId="30188"/>
    <cellStyle name="计算 2 3 4 5 5" xfId="17794"/>
    <cellStyle name="계산 2 3 4 5 6" xfId="15803"/>
    <cellStyle name="计算 2 3 4 5 6" xfId="39224"/>
    <cellStyle name="계산 2 3 4 6" xfId="14227"/>
    <cellStyle name="计算 2 3 4 6" xfId="13474"/>
    <cellStyle name="계산 2 3 4 6 2" xfId="27455"/>
    <cellStyle name="计算 2 3 4 6 2" xfId="26702"/>
    <cellStyle name="계산 2 3 4 6 3" xfId="35007"/>
    <cellStyle name="计算 2 3 4 6 3" xfId="31559"/>
    <cellStyle name="계산 2 3 4 6 4" xfId="41011"/>
    <cellStyle name="计算 2 3 4 6 4" xfId="17304"/>
    <cellStyle name="계산 2 3 4 6 5" xfId="45820"/>
    <cellStyle name="计算 2 3 4 6 5" xfId="15594"/>
    <cellStyle name="계산 2 3 4 6 6" xfId="47707"/>
    <cellStyle name="计算 2 3 4 6 6" xfId="39854"/>
    <cellStyle name="계산 2 3 4 7" xfId="19862"/>
    <cellStyle name="计算 2 3 4 7" xfId="19863"/>
    <cellStyle name="계산 2 3 4 7 2" xfId="32428"/>
    <cellStyle name="计算 2 3 4 7 2" xfId="35799"/>
    <cellStyle name="계산 2 3 4 7 3" xfId="38646"/>
    <cellStyle name="计算 2 3 4 7 3" xfId="41683"/>
    <cellStyle name="계산 2 3 4 7 4" xfId="43975"/>
    <cellStyle name="计算 2 3 4 7 4" xfId="46355"/>
    <cellStyle name="계산 2 3 4 7 5" xfId="29948"/>
    <cellStyle name="计算 2 3 4 7 5" xfId="48517"/>
    <cellStyle name="계산 2 3 4 8" xfId="35002"/>
    <cellStyle name="计算 2 3 4 8" xfId="30589"/>
    <cellStyle name="계산 2 3 4 8 2" xfId="41006"/>
    <cellStyle name="计算 2 3 4 8 2" xfId="17817"/>
    <cellStyle name="계산 2 3 4 8 3" xfId="47702"/>
    <cellStyle name="计算 2 3 4 8 3" xfId="46339"/>
    <cellStyle name="계산 2 3 4 9" xfId="29686"/>
    <cellStyle name="计算 2 3 4 9" xfId="29687"/>
    <cellStyle name="계산 2 3 5" xfId="9530"/>
    <cellStyle name="计算 2 3 5" xfId="9531"/>
    <cellStyle name="계산 2 3 5 10" xfId="28803"/>
    <cellStyle name="计算 2 3 5 10" xfId="32240"/>
    <cellStyle name="계산 2 3 5 11" xfId="40157"/>
    <cellStyle name="计算 2 3 5 11" xfId="38736"/>
    <cellStyle name="계산 2 3 5 12" xfId="45463"/>
    <cellStyle name="计算 2 3 5 12" xfId="40382"/>
    <cellStyle name="계산 2 3 5 2" xfId="13167"/>
    <cellStyle name="计算 2 3 5 2" xfId="13168"/>
    <cellStyle name="계산 2 3 5 2 2" xfId="26395"/>
    <cellStyle name="计算 2 3 5 2 2" xfId="26396"/>
    <cellStyle name="계산 2 3 5 2 3" xfId="32647"/>
    <cellStyle name="计算 2 3 5 2 3" xfId="32648"/>
    <cellStyle name="계산 2 3 5 2 4" xfId="38867"/>
    <cellStyle name="计算 2 3 5 2 4" xfId="38868"/>
    <cellStyle name="계산 2 3 5 2 5" xfId="44130"/>
    <cellStyle name="计算 2 3 5 2 5" xfId="44131"/>
    <cellStyle name="계산 2 3 5 2 6" xfId="46241"/>
    <cellStyle name="计算 2 3 5 2 6" xfId="34587"/>
    <cellStyle name="계산 2 3 5 3" xfId="8562"/>
    <cellStyle name="计算 2 3 5 3" xfId="7512"/>
    <cellStyle name="계산 2 3 5 3 2" xfId="21790"/>
    <cellStyle name="计算 2 3 5 3 2" xfId="20740"/>
    <cellStyle name="계산 2 3 5 3 3" xfId="35143"/>
    <cellStyle name="计算 2 3 5 3 3" xfId="35144"/>
    <cellStyle name="계산 2 3 5 3 4" xfId="41123"/>
    <cellStyle name="计算 2 3 5 3 4" xfId="41124"/>
    <cellStyle name="계산 2 3 5 3 5" xfId="45933"/>
    <cellStyle name="计算 2 3 5 3 5" xfId="45934"/>
    <cellStyle name="계산 2 3 5 3 6" xfId="47846"/>
    <cellStyle name="计算 2 3 5 3 6" xfId="47847"/>
    <cellStyle name="계산 2 3 5 4" xfId="13899"/>
    <cellStyle name="计算 2 3 5 4" xfId="8647"/>
    <cellStyle name="계산 2 3 5 4 2" xfId="27127"/>
    <cellStyle name="计算 2 3 5 4 2" xfId="21875"/>
    <cellStyle name="계산 2 3 5 4 3" xfId="30989"/>
    <cellStyle name="计算 2 3 5 4 3" xfId="34689"/>
    <cellStyle name="계산 2 3 5 4 4" xfId="17035"/>
    <cellStyle name="计算 2 3 5 4 4" xfId="40679"/>
    <cellStyle name="계산 2 3 5 4 5" xfId="15687"/>
    <cellStyle name="计算 2 3 5 4 5" xfId="45609"/>
    <cellStyle name="계산 2 3 5 4 6" xfId="15951"/>
    <cellStyle name="计算 2 3 5 4 6" xfId="29942"/>
    <cellStyle name="계산 2 3 5 5" xfId="14316"/>
    <cellStyle name="计算 2 3 5 5" xfId="13984"/>
    <cellStyle name="계산 2 3 5 5 2" xfId="27544"/>
    <cellStyle name="计算 2 3 5 5 2" xfId="27212"/>
    <cellStyle name="계산 2 3 5 5 3" xfId="40975"/>
    <cellStyle name="计算 2 3 5 5 3" xfId="42411"/>
    <cellStyle name="계산 2 3 5 5 4" xfId="47671"/>
    <cellStyle name="计算 2 3 5 5 4" xfId="49245"/>
    <cellStyle name="계산 2 3 5 6" xfId="22758"/>
    <cellStyle name="计算 2 3 5 6" xfId="22759"/>
    <cellStyle name="계산 2 3 5 6 2" xfId="31384"/>
    <cellStyle name="计算 2 3 5 6 2" xfId="37372"/>
    <cellStyle name="계산 2 3 5 6 3" xfId="17228"/>
    <cellStyle name="计算 2 3 5 6 3" xfId="43292"/>
    <cellStyle name="계산 2 3 5 6 4" xfId="28093"/>
    <cellStyle name="计算 2 3 5 6 4" xfId="47328"/>
    <cellStyle name="계산 2 3 5 6 5" xfId="40026"/>
    <cellStyle name="计算 2 3 5 6 5" xfId="50126"/>
    <cellStyle name="계산 2 3 5 7" xfId="37700"/>
    <cellStyle name="计算 2 3 5 7" xfId="35817"/>
    <cellStyle name="계산 2 3 5 7 2" xfId="43623"/>
    <cellStyle name="计算 2 3 5 7 2" xfId="41704"/>
    <cellStyle name="계산 2 3 5 7 3" xfId="50457"/>
    <cellStyle name="计算 2 3 5 7 3" xfId="48538"/>
    <cellStyle name="계산 2 3 5 8" xfId="37128"/>
    <cellStyle name="计算 2 3 5 8" xfId="35879"/>
    <cellStyle name="계산 2 3 5 8 2" xfId="43047"/>
    <cellStyle name="计算 2 3 5 8 2" xfId="41771"/>
    <cellStyle name="계산 2 3 5 8 3" xfId="49881"/>
    <cellStyle name="计算 2 3 5 8 3" xfId="48605"/>
    <cellStyle name="계산 2 3 5 9" xfId="28336"/>
    <cellStyle name="计算 2 3 5 9" xfId="28337"/>
    <cellStyle name="계산 2 3 6" xfId="11749"/>
    <cellStyle name="计算 2 3 6" xfId="11750"/>
    <cellStyle name="계산 2 3 6 10" xfId="45247"/>
    <cellStyle name="计算 2 3 6 10" xfId="45248"/>
    <cellStyle name="계산 2 3 6 11" xfId="39262"/>
    <cellStyle name="计算 2 3 6 11" xfId="32963"/>
    <cellStyle name="계산 2 3 6 2" xfId="8401"/>
    <cellStyle name="计算 2 3 6 2" xfId="12765"/>
    <cellStyle name="계산 2 3 6 2 2" xfId="21629"/>
    <cellStyle name="计算 2 3 6 2 2" xfId="25993"/>
    <cellStyle name="계산 2 3 6 2 3" xfId="36618"/>
    <cellStyle name="计算 2 3 6 2 3" xfId="36619"/>
    <cellStyle name="계산 2 3 6 2 4" xfId="42520"/>
    <cellStyle name="计算 2 3 6 2 4" xfId="42521"/>
    <cellStyle name="계산 2 3 6 2 5" xfId="46850"/>
    <cellStyle name="计算 2 3 6 2 5" xfId="46851"/>
    <cellStyle name="계산 2 3 6 2 6" xfId="49354"/>
    <cellStyle name="计算 2 3 6 2 6" xfId="49355"/>
    <cellStyle name="계산 2 3 6 3" xfId="14446"/>
    <cellStyle name="计算 2 3 6 3" xfId="14447"/>
    <cellStyle name="계산 2 3 6 3 2" xfId="27674"/>
    <cellStyle name="计算 2 3 6 3 2" xfId="27675"/>
    <cellStyle name="계산 2 3 6 3 3" xfId="37106"/>
    <cellStyle name="计算 2 3 6 3 3" xfId="37107"/>
    <cellStyle name="계산 2 3 6 3 4" xfId="43025"/>
    <cellStyle name="计算 2 3 6 3 4" xfId="43026"/>
    <cellStyle name="계산 2 3 6 3 5" xfId="47169"/>
    <cellStyle name="计算 2 3 6 3 5" xfId="47170"/>
    <cellStyle name="계산 2 3 6 3 6" xfId="49859"/>
    <cellStyle name="计算 2 3 6 3 6" xfId="49860"/>
    <cellStyle name="계산 2 3 6 4" xfId="12905"/>
    <cellStyle name="计算 2 3 6 4" xfId="8483"/>
    <cellStyle name="계산 2 3 6 4 2" xfId="26133"/>
    <cellStyle name="计算 2 3 6 4 2" xfId="21711"/>
    <cellStyle name="계산 2 3 6 4 3" xfId="30309"/>
    <cellStyle name="计算 2 3 6 4 3" xfId="30560"/>
    <cellStyle name="계산 2 3 6 4 4" xfId="16743"/>
    <cellStyle name="计算 2 3 6 4 4" xfId="18149"/>
    <cellStyle name="계산 2 3 6 4 5" xfId="32494"/>
    <cellStyle name="计算 2 3 6 4 5" xfId="15320"/>
    <cellStyle name="계산 2 3 6 4 6" xfId="34577"/>
    <cellStyle name="计算 2 3 6 4 6" xfId="45715"/>
    <cellStyle name="계산 2 3 6 5" xfId="24977"/>
    <cellStyle name="计算 2 3 6 5" xfId="24978"/>
    <cellStyle name="계산 2 3 6 5 2" xfId="31207"/>
    <cellStyle name="计算 2 3 6 5 2" xfId="36730"/>
    <cellStyle name="계산 2 3 6 5 3" xfId="17117"/>
    <cellStyle name="计算 2 3 6 5 3" xfId="42635"/>
    <cellStyle name="계산 2 3 6 5 4" xfId="17808"/>
    <cellStyle name="计算 2 3 6 5 4" xfId="46928"/>
    <cellStyle name="계산 2 3 6 5 5" xfId="30739"/>
    <cellStyle name="计算 2 3 6 5 5" xfId="49469"/>
    <cellStyle name="계산 2 3 6 6" xfId="30247"/>
    <cellStyle name="计算 2 3 6 6" xfId="31957"/>
    <cellStyle name="계산 2 3 6 6 2" xfId="16696"/>
    <cellStyle name="计算 2 3 6 6 2" xfId="38180"/>
    <cellStyle name="계산 2 3 6 6 3" xfId="44386"/>
    <cellStyle name="计算 2 3 6 6 3" xfId="14539"/>
    <cellStyle name="계산 2 3 6 7" xfId="37892"/>
    <cellStyle name="计算 2 3 6 7" xfId="37893"/>
    <cellStyle name="계산 2 3 6 7 2" xfId="43817"/>
    <cellStyle name="计算 2 3 6 7 2" xfId="43818"/>
    <cellStyle name="계산 2 3 6 7 3" xfId="50651"/>
    <cellStyle name="计算 2 3 6 7 3" xfId="50652"/>
    <cellStyle name="계산 2 3 6 8" xfId="34213"/>
    <cellStyle name="计算 2 3 6 8" xfId="34214"/>
    <cellStyle name="계산 2 3 6 9" xfId="40238"/>
    <cellStyle name="计算 2 3 6 9" xfId="40239"/>
    <cellStyle name="계산 2 3 7" xfId="7812"/>
    <cellStyle name="计算 2 3 7" xfId="7813"/>
    <cellStyle name="계산 2 3 7 2" xfId="21040"/>
    <cellStyle name="计算 2 3 7 2" xfId="21041"/>
    <cellStyle name="계산 2 3 7 3" xfId="30917"/>
    <cellStyle name="计算 2 3 7 3" xfId="30918"/>
    <cellStyle name="계산 2 3 7 4" xfId="16989"/>
    <cellStyle name="计算 2 3 7 4" xfId="16990"/>
    <cellStyle name="계산 2 3 7 5" xfId="31881"/>
    <cellStyle name="计算 2 3 7 5" xfId="15694"/>
    <cellStyle name="계산 2 3 7 6" xfId="15798"/>
    <cellStyle name="计算 2 3 7 6" xfId="40420"/>
    <cellStyle name="계산 2 3 8" xfId="7400"/>
    <cellStyle name="计算 2 3 8" xfId="7399"/>
    <cellStyle name="계산 2 3 8 2" xfId="20628"/>
    <cellStyle name="计算 2 3 8 2" xfId="20627"/>
    <cellStyle name="계산 2 3 8 3" xfId="35812"/>
    <cellStyle name="计算 2 3 8 3" xfId="34734"/>
    <cellStyle name="계산 2 3 8 4" xfId="41696"/>
    <cellStyle name="计算 2 3 8 4" xfId="40724"/>
    <cellStyle name="계산 2 3 8 5" xfId="46364"/>
    <cellStyle name="计算 2 3 8 5" xfId="45637"/>
    <cellStyle name="계산 2 3 8 6" xfId="48530"/>
    <cellStyle name="计算 2 3 8 6" xfId="15748"/>
    <cellStyle name="계산 2 3 9" xfId="6834"/>
    <cellStyle name="计算 2 3 9" xfId="8766"/>
    <cellStyle name="계산 2 3 9 2" xfId="20062"/>
    <cellStyle name="计算 2 3 9 2" xfId="21994"/>
    <cellStyle name="계산 2 3 9 3" xfId="30666"/>
    <cellStyle name="计算 2 3 9 3" xfId="37049"/>
    <cellStyle name="계산 2 3 9 4" xfId="15206"/>
    <cellStyle name="计算 2 3 9 4" xfId="42968"/>
    <cellStyle name="계산 2 3 9 5" xfId="33223"/>
    <cellStyle name="计算 2 3 9 5" xfId="47123"/>
    <cellStyle name="계산 2 3 9 6" xfId="18633"/>
    <cellStyle name="计算 2 3 9 6" xfId="49802"/>
    <cellStyle name="계산 2 30" xfId="50933"/>
    <cellStyle name="计算 2 30" xfId="11717"/>
    <cellStyle name="计算 2 30 2" xfId="9146"/>
    <cellStyle name="计算 2 30 2 2" xfId="22374"/>
    <cellStyle name="计算 2 30 2 3" xfId="36586"/>
    <cellStyle name="计算 2 30 2 4" xfId="42488"/>
    <cellStyle name="计算 2 30 2 5" xfId="49322"/>
    <cellStyle name="计算 2 30 3" xfId="24945"/>
    <cellStyle name="计算 2 30 3 2" xfId="37130"/>
    <cellStyle name="计算 2 30 3 3" xfId="43049"/>
    <cellStyle name="计算 2 30 3 4" xfId="49883"/>
    <cellStyle name="计算 2 30 4" xfId="37860"/>
    <cellStyle name="计算 2 30 4 2" xfId="43785"/>
    <cellStyle name="计算 2 30 4 3" xfId="50619"/>
    <cellStyle name="计算 2 30 5" xfId="34181"/>
    <cellStyle name="计算 2 30 6" xfId="32511"/>
    <cellStyle name="계산 2 31" xfId="50848"/>
    <cellStyle name="计算 2 31" xfId="7771"/>
    <cellStyle name="计算 2 31 2" xfId="20999"/>
    <cellStyle name="计算 2 31 3" xfId="28006"/>
    <cellStyle name="计算 2 31 4" xfId="40523"/>
    <cellStyle name="计算 2 32" xfId="7435"/>
    <cellStyle name="计算 2 32 2" xfId="20663"/>
    <cellStyle name="计算 2 32 3" xfId="35547"/>
    <cellStyle name="计算 2 32 4" xfId="41422"/>
    <cellStyle name="计算 2 32 5" xfId="48256"/>
    <cellStyle name="计算 2 33" xfId="13495"/>
    <cellStyle name="计算 2 33 2" xfId="26723"/>
    <cellStyle name="计算 2 33 3" xfId="31268"/>
    <cellStyle name="计算 2 33 4" xfId="17163"/>
    <cellStyle name="计算 2 33 5" xfId="47308"/>
    <cellStyle name="计算 2 34" xfId="12787"/>
    <cellStyle name="计算 2 34 2" xfId="26015"/>
    <cellStyle name="计算 2 34 3" xfId="37609"/>
    <cellStyle name="计算 2 34 4" xfId="43532"/>
    <cellStyle name="计算 2 34 5" xfId="50366"/>
    <cellStyle name="计算 2 35" xfId="14027"/>
    <cellStyle name="计算 2 35 2" xfId="27255"/>
    <cellStyle name="计算 2 35 3" xfId="30152"/>
    <cellStyle name="计算 2 35 4" xfId="16614"/>
    <cellStyle name="计算 2 35 5" xfId="45373"/>
    <cellStyle name="计算 2 36" xfId="16370"/>
    <cellStyle name="计算 2 36 2" xfId="43545"/>
    <cellStyle name="计算 2 36 3" xfId="50379"/>
    <cellStyle name="计算 2 37" xfId="15992"/>
    <cellStyle name="计算 2 38" xfId="32488"/>
    <cellStyle name="计算 2 39" xfId="40559"/>
    <cellStyle name="계산 2 4" xfId="2656"/>
    <cellStyle name="计算 2 4" xfId="2657"/>
    <cellStyle name="계산 2 4 10" xfId="8556"/>
    <cellStyle name="计算 2 4 10" xfId="14310"/>
    <cellStyle name="계산 2 4 10 2" xfId="21784"/>
    <cellStyle name="计算 2 4 10 2" xfId="27538"/>
    <cellStyle name="계산 2 4 10 3" xfId="35809"/>
    <cellStyle name="计算 2 4 10 3" xfId="36866"/>
    <cellStyle name="계산 2 4 10 4" xfId="41693"/>
    <cellStyle name="计算 2 4 10 4" xfId="42778"/>
    <cellStyle name="계산 2 4 10 5" xfId="46361"/>
    <cellStyle name="计算 2 4 10 5" xfId="47010"/>
    <cellStyle name="계산 2 4 10 6" xfId="48527"/>
    <cellStyle name="计算 2 4 10 6" xfId="49612"/>
    <cellStyle name="계산 2 4 11" xfId="7310"/>
    <cellStyle name="计算 2 4 11" xfId="14469"/>
    <cellStyle name="계산 2 4 11 2" xfId="20538"/>
    <cellStyle name="计算 2 4 11 2" xfId="27697"/>
    <cellStyle name="계산 2 4 11 3" xfId="37781"/>
    <cellStyle name="计算 2 4 11 3" xfId="36895"/>
    <cellStyle name="계산 2 4 11 4" xfId="43705"/>
    <cellStyle name="计算 2 4 11 4" xfId="42810"/>
    <cellStyle name="계산 2 4 11 5" xfId="47541"/>
    <cellStyle name="计算 2 4 11 5" xfId="47028"/>
    <cellStyle name="계산 2 4 11 6" xfId="50539"/>
    <cellStyle name="计算 2 4 11 6" xfId="49644"/>
    <cellStyle name="계산 2 4 12" xfId="16414"/>
    <cellStyle name="计算 2 4 12" xfId="16415"/>
    <cellStyle name="계산 2 4 12 2" xfId="41582"/>
    <cellStyle name="计算 2 4 12 2" xfId="17338"/>
    <cellStyle name="계산 2 4 12 3" xfId="48416"/>
    <cellStyle name="计算 2 4 12 3" xfId="47063"/>
    <cellStyle name="계산 2 4 13" xfId="18498"/>
    <cellStyle name="计算 2 4 13" xfId="18497"/>
    <cellStyle name="계산 2 4 14" xfId="30046"/>
    <cellStyle name="计算 2 4 14" xfId="34157"/>
    <cellStyle name="계산 2 4 15" xfId="40287"/>
    <cellStyle name="计算 2 4 15" xfId="39201"/>
    <cellStyle name="계산 2 4 16" xfId="40542"/>
    <cellStyle name="计算 2 4 16" xfId="39559"/>
    <cellStyle name="계산 2 4 17" xfId="50984"/>
    <cellStyle name="计算 2 4 17" xfId="50985"/>
    <cellStyle name="계산 2 4 18" xfId="50793"/>
    <cellStyle name="计算 2 4 18" xfId="50792"/>
    <cellStyle name="계산 2 4 2" xfId="6297"/>
    <cellStyle name="计算 2 4 2" xfId="6298"/>
    <cellStyle name="계산 2 4 2 10" xfId="16046"/>
    <cellStyle name="计算 2 4 2 10" xfId="16047"/>
    <cellStyle name="계산 2 4 2 11" xfId="41185"/>
    <cellStyle name="计算 2 4 2 11" xfId="32206"/>
    <cellStyle name="계산 2 4 2 12" xfId="34344"/>
    <cellStyle name="计算 2 4 2 12" xfId="27899"/>
    <cellStyle name="계산 2 4 2 2" xfId="11031"/>
    <cellStyle name="计算 2 4 2 2" xfId="11032"/>
    <cellStyle name="계산 2 4 2 2 2" xfId="24259"/>
    <cellStyle name="计算 2 4 2 2 2" xfId="24260"/>
    <cellStyle name="계산 2 4 2 2 3" xfId="33661"/>
    <cellStyle name="计算 2 4 2 2 3" xfId="33662"/>
    <cellStyle name="계산 2 4 2 2 4" xfId="39815"/>
    <cellStyle name="计算 2 4 2 2 4" xfId="39816"/>
    <cellStyle name="계산 2 4 2 2 5" xfId="44795"/>
    <cellStyle name="计算 2 4 2 2 5" xfId="44796"/>
    <cellStyle name="계산 2 4 2 2 6" xfId="34463"/>
    <cellStyle name="计算 2 4 2 2 6" xfId="32973"/>
    <cellStyle name="계산 2 4 2 3" xfId="13875"/>
    <cellStyle name="计算 2 4 2 3" xfId="13876"/>
    <cellStyle name="계산 2 4 2 3 2" xfId="27103"/>
    <cellStyle name="计算 2 4 2 3 2" xfId="27104"/>
    <cellStyle name="계산 2 4 2 3 3" xfId="36087"/>
    <cellStyle name="计算 2 4 2 3 3" xfId="36088"/>
    <cellStyle name="계산 2 4 2 3 4" xfId="41980"/>
    <cellStyle name="计算 2 4 2 3 4" xfId="41981"/>
    <cellStyle name="계산 2 4 2 3 5" xfId="46558"/>
    <cellStyle name="计算 2 4 2 3 5" xfId="46559"/>
    <cellStyle name="계산 2 4 2 3 6" xfId="48814"/>
    <cellStyle name="计算 2 4 2 3 6" xfId="48815"/>
    <cellStyle name="계산 2 4 2 4" xfId="12715"/>
    <cellStyle name="计算 2 4 2 4" xfId="12826"/>
    <cellStyle name="계산 2 4 2 4 2" xfId="25943"/>
    <cellStyle name="计算 2 4 2 4 2" xfId="26054"/>
    <cellStyle name="계산 2 4 2 4 3" xfId="31496"/>
    <cellStyle name="计算 2 4 2 4 3" xfId="31497"/>
    <cellStyle name="계산 2 4 2 4 4" xfId="14739"/>
    <cellStyle name="计算 2 4 2 4 4" xfId="17859"/>
    <cellStyle name="계산 2 4 2 4 5" xfId="28753"/>
    <cellStyle name="计算 2 4 2 4 5" xfId="33056"/>
    <cellStyle name="계산 2 4 2 4 6" xfId="46767"/>
    <cellStyle name="计算 2 4 2 4 6" xfId="43896"/>
    <cellStyle name="계산 2 4 2 5" xfId="14012"/>
    <cellStyle name="计算 2 4 2 5" xfId="13548"/>
    <cellStyle name="계산 2 4 2 5 2" xfId="27240"/>
    <cellStyle name="计算 2 4 2 5 2" xfId="26776"/>
    <cellStyle name="계산 2 4 2 5 3" xfId="34898"/>
    <cellStyle name="计算 2 4 2 5 3" xfId="34899"/>
    <cellStyle name="계산 2 4 2 5 4" xfId="40896"/>
    <cellStyle name="计算 2 4 2 5 4" xfId="40897"/>
    <cellStyle name="계산 2 4 2 5 5" xfId="45741"/>
    <cellStyle name="计算 2 4 2 5 5" xfId="45742"/>
    <cellStyle name="계산 2 4 2 5 6" xfId="40328"/>
    <cellStyle name="计算 2 4 2 5 6" xfId="29032"/>
    <cellStyle name="계산 2 4 2 6" xfId="13894"/>
    <cellStyle name="计算 2 4 2 6" xfId="9144"/>
    <cellStyle name="계산 2 4 2 6 2" xfId="27122"/>
    <cellStyle name="计算 2 4 2 6 2" xfId="22372"/>
    <cellStyle name="계산 2 4 2 6 3" xfId="30777"/>
    <cellStyle name="计算 2 4 2 6 3" xfId="30778"/>
    <cellStyle name="계산 2 4 2 6 4" xfId="14695"/>
    <cellStyle name="计算 2 4 2 6 4" xfId="16933"/>
    <cellStyle name="계산 2 4 2 6 5" xfId="30061"/>
    <cellStyle name="计算 2 4 2 6 5" xfId="27925"/>
    <cellStyle name="계산 2 4 2 6 6" xfId="34529"/>
    <cellStyle name="计算 2 4 2 6 6" xfId="33008"/>
    <cellStyle name="계산 2 4 2 7" xfId="19525"/>
    <cellStyle name="计算 2 4 2 7" xfId="19526"/>
    <cellStyle name="계산 2 4 2 7 2" xfId="36747"/>
    <cellStyle name="计算 2 4 2 7 2" xfId="31607"/>
    <cellStyle name="계산 2 4 2 7 3" xfId="42654"/>
    <cellStyle name="计算 2 4 2 7 3" xfId="18024"/>
    <cellStyle name="계산 2 4 2 7 4" xfId="46940"/>
    <cellStyle name="计算 2 4 2 7 4" xfId="15581"/>
    <cellStyle name="계산 2 4 2 7 5" xfId="49488"/>
    <cellStyle name="计算 2 4 2 7 5" xfId="15596"/>
    <cellStyle name="계산 2 4 2 8" xfId="35458"/>
    <cellStyle name="计算 2 4 2 8" xfId="36821"/>
    <cellStyle name="계산 2 4 2 8 2" xfId="41327"/>
    <cellStyle name="计算 2 4 2 8 2" xfId="42732"/>
    <cellStyle name="계산 2 4 2 8 3" xfId="48161"/>
    <cellStyle name="计算 2 4 2 8 3" xfId="49566"/>
    <cellStyle name="계산 2 4 2 9" xfId="29349"/>
    <cellStyle name="计算 2 4 2 9" xfId="29350"/>
    <cellStyle name="계산 2 4 3" xfId="6215"/>
    <cellStyle name="计算 2 4 3" xfId="6214"/>
    <cellStyle name="계산 2 4 3 10" xfId="18016"/>
    <cellStyle name="计算 2 4 3 10" xfId="34739"/>
    <cellStyle name="계산 2 4 3 11" xfId="28696"/>
    <cellStyle name="计算 2 4 3 11" xfId="39881"/>
    <cellStyle name="계산 2 4 3 12" xfId="17374"/>
    <cellStyle name="计算 2 4 3 12" xfId="32999"/>
    <cellStyle name="계산 2 4 3 2" xfId="10949"/>
    <cellStyle name="计算 2 4 3 2" xfId="10948"/>
    <cellStyle name="계산 2 4 3 2 2" xfId="24177"/>
    <cellStyle name="计算 2 4 3 2 2" xfId="24176"/>
    <cellStyle name="계산 2 4 3 2 3" xfId="33579"/>
    <cellStyle name="计算 2 4 3 2 3" xfId="33578"/>
    <cellStyle name="계산 2 4 3 2 4" xfId="39741"/>
    <cellStyle name="计算 2 4 3 2 4" xfId="39740"/>
    <cellStyle name="계산 2 4 3 2 5" xfId="44713"/>
    <cellStyle name="计算 2 4 3 2 5" xfId="44712"/>
    <cellStyle name="계산 2 4 3 2 6" xfId="40290"/>
    <cellStyle name="计算 2 4 3 2 6" xfId="39204"/>
    <cellStyle name="계산 2 4 3 3" xfId="13805"/>
    <cellStyle name="计算 2 4 3 3" xfId="13804"/>
    <cellStyle name="계산 2 4 3 3 2" xfId="27033"/>
    <cellStyle name="计算 2 4 3 3 2" xfId="27032"/>
    <cellStyle name="계산 2 4 3 3 3" xfId="36005"/>
    <cellStyle name="计算 2 4 3 3 3" xfId="36004"/>
    <cellStyle name="계산 2 4 3 3 4" xfId="41898"/>
    <cellStyle name="计算 2 4 3 3 4" xfId="41897"/>
    <cellStyle name="계산 2 4 3 3 5" xfId="46480"/>
    <cellStyle name="计算 2 4 3 3 5" xfId="46479"/>
    <cellStyle name="계산 2 4 3 3 6" xfId="48732"/>
    <cellStyle name="计算 2 4 3 3 6" xfId="48731"/>
    <cellStyle name="계산 2 4 3 4" xfId="6930"/>
    <cellStyle name="计算 2 4 3 4" xfId="8057"/>
    <cellStyle name="계산 2 4 3 4 2" xfId="20158"/>
    <cellStyle name="计算 2 4 3 4 2" xfId="21285"/>
    <cellStyle name="계산 2 4 3 4 3" xfId="31890"/>
    <cellStyle name="计算 2 4 3 4 3" xfId="31441"/>
    <cellStyle name="계산 2 4 3 4 4" xfId="38111"/>
    <cellStyle name="计算 2 4 3 4 4" xfId="17259"/>
    <cellStyle name="계산 2 4 3 4 5" xfId="15528"/>
    <cellStyle name="计算 2 4 3 4 5" xfId="27852"/>
    <cellStyle name="계산 2 4 3 4 6" xfId="15739"/>
    <cellStyle name="计算 2 4 3 4 6" xfId="41314"/>
    <cellStyle name="계산 2 4 3 5" xfId="13633"/>
    <cellStyle name="计算 2 4 3 5" xfId="13939"/>
    <cellStyle name="계산 2 4 3 5 2" xfId="26861"/>
    <cellStyle name="计算 2 4 3 5 2" xfId="27167"/>
    <cellStyle name="계산 2 4 3 5 3" xfId="35853"/>
    <cellStyle name="计算 2 4 3 5 3" xfId="30612"/>
    <cellStyle name="계산 2 4 3 5 4" xfId="41742"/>
    <cellStyle name="计算 2 4 3 5 4" xfId="15201"/>
    <cellStyle name="계산 2 4 3 5 5" xfId="46387"/>
    <cellStyle name="计算 2 4 3 5 5" xfId="33027"/>
    <cellStyle name="계산 2 4 3 5 6" xfId="48576"/>
    <cellStyle name="计算 2 4 3 5 6" xfId="46972"/>
    <cellStyle name="계산 2 4 3 6" xfId="14014"/>
    <cellStyle name="计算 2 4 3 6" xfId="8512"/>
    <cellStyle name="계산 2 4 3 6 2" xfId="27242"/>
    <cellStyle name="计算 2 4 3 6 2" xfId="21740"/>
    <cellStyle name="계산 2 4 3 6 3" xfId="30763"/>
    <cellStyle name="计算 2 4 3 6 3" xfId="37011"/>
    <cellStyle name="계산 2 4 3 6 4" xfId="15284"/>
    <cellStyle name="计算 2 4 3 6 4" xfId="42930"/>
    <cellStyle name="계산 2 4 3 6 5" xfId="34625"/>
    <cellStyle name="计算 2 4 3 6 5" xfId="47100"/>
    <cellStyle name="계산 2 4 3 6 6" xfId="29046"/>
    <cellStyle name="计算 2 4 3 6 6" xfId="49764"/>
    <cellStyle name="계산 2 4 3 7" xfId="19443"/>
    <cellStyle name="计算 2 4 3 7" xfId="19442"/>
    <cellStyle name="계산 2 4 3 7 2" xfId="37222"/>
    <cellStyle name="计算 2 4 3 7 2" xfId="29855"/>
    <cellStyle name="계산 2 4 3 7 3" xfId="43141"/>
    <cellStyle name="计算 2 4 3 7 3" xfId="17994"/>
    <cellStyle name="계산 2 4 3 7 4" xfId="47249"/>
    <cellStyle name="计算 2 4 3 7 4" xfId="15741"/>
    <cellStyle name="계산 2 4 3 7 5" xfId="49975"/>
    <cellStyle name="计算 2 4 3 7 5" xfId="45276"/>
    <cellStyle name="계산 2 4 3 8" xfId="30625"/>
    <cellStyle name="计算 2 4 3 8" xfId="31240"/>
    <cellStyle name="계산 2 4 3 8 2" xfId="18032"/>
    <cellStyle name="计算 2 4 3 8 2" xfId="17141"/>
    <cellStyle name="계산 2 4 3 8 3" xfId="40627"/>
    <cellStyle name="计算 2 4 3 8 3" xfId="46182"/>
    <cellStyle name="계산 2 4 3 9" xfId="29267"/>
    <cellStyle name="计算 2 4 3 9" xfId="29266"/>
    <cellStyle name="계산 2 4 4" xfId="6636"/>
    <cellStyle name="计算 2 4 4" xfId="6637"/>
    <cellStyle name="계산 2 4 4 10" xfId="14599"/>
    <cellStyle name="计算 2 4 4 10" xfId="16297"/>
    <cellStyle name="계산 2 4 4 11" xfId="29049"/>
    <cellStyle name="计算 2 4 4 11" xfId="39833"/>
    <cellStyle name="계산 2 4 4 12" xfId="33382"/>
    <cellStyle name="计算 2 4 4 12" xfId="45130"/>
    <cellStyle name="계산 2 4 4 2" xfId="11370"/>
    <cellStyle name="计算 2 4 4 2" xfId="11371"/>
    <cellStyle name="계산 2 4 4 2 2" xfId="24598"/>
    <cellStyle name="计算 2 4 4 2 2" xfId="24599"/>
    <cellStyle name="계산 2 4 4 2 3" xfId="34000"/>
    <cellStyle name="计算 2 4 4 2 3" xfId="34001"/>
    <cellStyle name="계산 2 4 4 2 4" xfId="40038"/>
    <cellStyle name="计算 2 4 4 2 4" xfId="40039"/>
    <cellStyle name="계산 2 4 4 2 5" xfId="45065"/>
    <cellStyle name="计算 2 4 4 2 5" xfId="45066"/>
    <cellStyle name="계산 2 4 4 2 6" xfId="32971"/>
    <cellStyle name="计算 2 4 4 2 6" xfId="39951"/>
    <cellStyle name="계산 2 4 4 3" xfId="13997"/>
    <cellStyle name="计算 2 4 4 3" xfId="13998"/>
    <cellStyle name="계산 2 4 4 3 2" xfId="27225"/>
    <cellStyle name="计算 2 4 4 3 2" xfId="27226"/>
    <cellStyle name="계산 2 4 4 3 3" xfId="36425"/>
    <cellStyle name="计算 2 4 4 3 3" xfId="36426"/>
    <cellStyle name="계산 2 4 4 3 4" xfId="42318"/>
    <cellStyle name="计算 2 4 4 3 4" xfId="42319"/>
    <cellStyle name="계산 2 4 4 3 5" xfId="46716"/>
    <cellStyle name="计算 2 4 4 3 5" xfId="46717"/>
    <cellStyle name="계산 2 4 4 3 6" xfId="49152"/>
    <cellStyle name="计算 2 4 4 3 6" xfId="49153"/>
    <cellStyle name="계산 2 4 4 4" xfId="8295"/>
    <cellStyle name="计算 2 4 4 4" xfId="8624"/>
    <cellStyle name="계산 2 4 4 4 2" xfId="21523"/>
    <cellStyle name="计算 2 4 4 4 2" xfId="21852"/>
    <cellStyle name="계산 2 4 4 4 3" xfId="31586"/>
    <cellStyle name="计算 2 4 4 4 3" xfId="31906"/>
    <cellStyle name="계산 2 4 4 4 4" xfId="15139"/>
    <cellStyle name="计算 2 4 4 4 4" xfId="38127"/>
    <cellStyle name="계산 2 4 4 4 5" xfId="17979"/>
    <cellStyle name="计算 2 4 4 4 5" xfId="18079"/>
    <cellStyle name="계산 2 4 4 4 6" xfId="45666"/>
    <cellStyle name="计算 2 4 4 4 6" xfId="46334"/>
    <cellStyle name="계산 2 4 4 5" xfId="13514"/>
    <cellStyle name="计算 2 4 4 5" xfId="7226"/>
    <cellStyle name="계산 2 4 4 5 2" xfId="26742"/>
    <cellStyle name="计算 2 4 4 5 2" xfId="20454"/>
    <cellStyle name="계산 2 4 4 5 3" xfId="30353"/>
    <cellStyle name="计算 2 4 4 5 3" xfId="30352"/>
    <cellStyle name="계산 2 4 4 5 4" xfId="16772"/>
    <cellStyle name="计算 2 4 4 5 4" xfId="16771"/>
    <cellStyle name="계산 2 4 4 5 5" xfId="32495"/>
    <cellStyle name="计算 2 4 4 5 5" xfId="28184"/>
    <cellStyle name="계산 2 4 4 5 6" xfId="40142"/>
    <cellStyle name="计算 2 4 4 5 6" xfId="45367"/>
    <cellStyle name="계산 2 4 4 6" xfId="14284"/>
    <cellStyle name="计算 2 4 4 6" xfId="12886"/>
    <cellStyle name="계산 2 4 4 6 2" xfId="27512"/>
    <cellStyle name="计算 2 4 4 6 2" xfId="26114"/>
    <cellStyle name="계산 2 4 4 6 3" xfId="36749"/>
    <cellStyle name="计算 2 4 4 6 3" xfId="35553"/>
    <cellStyle name="계산 2 4 4 6 4" xfId="42656"/>
    <cellStyle name="计算 2 4 4 6 4" xfId="41428"/>
    <cellStyle name="계산 2 4 4 6 5" xfId="46941"/>
    <cellStyle name="计算 2 4 4 6 5" xfId="46240"/>
    <cellStyle name="계산 2 4 4 6 6" xfId="49490"/>
    <cellStyle name="计算 2 4 4 6 6" xfId="48262"/>
    <cellStyle name="계산 2 4 4 7" xfId="19864"/>
    <cellStyle name="计算 2 4 4 7" xfId="19865"/>
    <cellStyle name="계산 2 4 4 7 2" xfId="32056"/>
    <cellStyle name="计算 2 4 4 7 2" xfId="37428"/>
    <cellStyle name="계산 2 4 4 7 3" xfId="38279"/>
    <cellStyle name="计算 2 4 4 7 3" xfId="43348"/>
    <cellStyle name="계산 2 4 4 7 4" xfId="34083"/>
    <cellStyle name="计算 2 4 4 7 4" xfId="47361"/>
    <cellStyle name="계산 2 4 4 7 5" xfId="17912"/>
    <cellStyle name="计算 2 4 4 7 5" xfId="50182"/>
    <cellStyle name="계산 2 4 4 8" xfId="31355"/>
    <cellStyle name="计算 2 4 4 8" xfId="34740"/>
    <cellStyle name="계산 2 4 4 8 2" xfId="17213"/>
    <cellStyle name="计算 2 4 4 8 2" xfId="40732"/>
    <cellStyle name="계산 2 4 4 8 3" xfId="29055"/>
    <cellStyle name="计算 2 4 4 8 3" xfId="17506"/>
    <cellStyle name="계산 2 4 4 9" xfId="29688"/>
    <cellStyle name="计算 2 4 4 9" xfId="29689"/>
    <cellStyle name="계산 2 4 5" xfId="9532"/>
    <cellStyle name="计算 2 4 5" xfId="9533"/>
    <cellStyle name="계산 2 4 5 10" xfId="34300"/>
    <cellStyle name="计算 2 4 5 10" xfId="33020"/>
    <cellStyle name="계산 2 4 5 11" xfId="34583"/>
    <cellStyle name="计算 2 4 5 11" xfId="39393"/>
    <cellStyle name="계산 2 4 5 12" xfId="28687"/>
    <cellStyle name="计算 2 4 5 12" xfId="45313"/>
    <cellStyle name="계산 2 4 5 2" xfId="13169"/>
    <cellStyle name="计算 2 4 5 2" xfId="13170"/>
    <cellStyle name="계산 2 4 5 2 2" xfId="26397"/>
    <cellStyle name="计算 2 4 5 2 2" xfId="26398"/>
    <cellStyle name="계산 2 4 5 2 3" xfId="32649"/>
    <cellStyle name="计算 2 4 5 2 3" xfId="32650"/>
    <cellStyle name="계산 2 4 5 2 4" xfId="38869"/>
    <cellStyle name="计算 2 4 5 2 4" xfId="38870"/>
    <cellStyle name="계산 2 4 5 2 5" xfId="44132"/>
    <cellStyle name="计算 2 4 5 2 5" xfId="44133"/>
    <cellStyle name="계산 2 4 5 2 6" xfId="40019"/>
    <cellStyle name="计算 2 4 5 2 6" xfId="47039"/>
    <cellStyle name="계산 2 4 5 3" xfId="6720"/>
    <cellStyle name="计算 2 4 5 3" xfId="8563"/>
    <cellStyle name="계산 2 4 5 3 2" xfId="19948"/>
    <cellStyle name="计算 2 4 5 3 2" xfId="21791"/>
    <cellStyle name="계산 2 4 5 3 3" xfId="35145"/>
    <cellStyle name="计算 2 4 5 3 3" xfId="35146"/>
    <cellStyle name="계산 2 4 5 3 4" xfId="41125"/>
    <cellStyle name="计算 2 4 5 3 4" xfId="41126"/>
    <cellStyle name="계산 2 4 5 3 5" xfId="45935"/>
    <cellStyle name="计算 2 4 5 3 5" xfId="45936"/>
    <cellStyle name="계산 2 4 5 3 6" xfId="47848"/>
    <cellStyle name="计算 2 4 5 3 6" xfId="47849"/>
    <cellStyle name="계산 2 4 5 4" xfId="13040"/>
    <cellStyle name="计算 2 4 5 4" xfId="14179"/>
    <cellStyle name="계산 2 4 5 4 2" xfId="26268"/>
    <cellStyle name="计算 2 4 5 4 2" xfId="27407"/>
    <cellStyle name="계산 2 4 5 4 3" xfId="30968"/>
    <cellStyle name="计算 2 4 5 4 3" xfId="30969"/>
    <cellStyle name="계산 2 4 5 4 4" xfId="18099"/>
    <cellStyle name="计算 2 4 5 4 4" xfId="18105"/>
    <cellStyle name="계산 2 4 5 4 5" xfId="15679"/>
    <cellStyle name="计算 2 4 5 4 5" xfId="15678"/>
    <cellStyle name="계산 2 4 5 4 6" xfId="38705"/>
    <cellStyle name="计算 2 4 5 4 6" xfId="40124"/>
    <cellStyle name="계산 2 4 5 5" xfId="8317"/>
    <cellStyle name="计算 2 4 5 5" xfId="6691"/>
    <cellStyle name="계산 2 4 5 5 2" xfId="21545"/>
    <cellStyle name="计算 2 4 5 5 2" xfId="19919"/>
    <cellStyle name="계산 2 4 5 5 3" xfId="16875"/>
    <cellStyle name="计算 2 4 5 5 3" xfId="42410"/>
    <cellStyle name="계산 2 4 5 5 4" xfId="15653"/>
    <cellStyle name="计算 2 4 5 5 4" xfId="49244"/>
    <cellStyle name="계산 2 4 5 6" xfId="22760"/>
    <cellStyle name="计算 2 4 5 6" xfId="22761"/>
    <cellStyle name="계산 2 4 5 6 2" xfId="30646"/>
    <cellStyle name="计算 2 4 5 6 2" xfId="37421"/>
    <cellStyle name="계산 2 4 5 6 3" xfId="17835"/>
    <cellStyle name="计算 2 4 5 6 3" xfId="43341"/>
    <cellStyle name="계산 2 4 5 6 4" xfId="32291"/>
    <cellStyle name="计算 2 4 5 6 4" xfId="47357"/>
    <cellStyle name="계산 2 4 5 6 5" xfId="29071"/>
    <cellStyle name="计算 2 4 5 6 5" xfId="50175"/>
    <cellStyle name="계산 2 4 5 7" xfId="34769"/>
    <cellStyle name="计算 2 4 5 7" xfId="31383"/>
    <cellStyle name="계산 2 4 5 7 2" xfId="40764"/>
    <cellStyle name="计算 2 4 5 7 2" xfId="17227"/>
    <cellStyle name="계산 2 4 5 7 3" xfId="34574"/>
    <cellStyle name="计算 2 4 5 7 3" xfId="46745"/>
    <cellStyle name="계산 2 4 5 8" xfId="37173"/>
    <cellStyle name="计算 2 4 5 8" xfId="37182"/>
    <cellStyle name="계산 2 4 5 8 2" xfId="43092"/>
    <cellStyle name="计算 2 4 5 8 2" xfId="43101"/>
    <cellStyle name="계산 2 4 5 8 3" xfId="49926"/>
    <cellStyle name="计算 2 4 5 8 3" xfId="49935"/>
    <cellStyle name="계산 2 4 5 9" xfId="28338"/>
    <cellStyle name="计算 2 4 5 9" xfId="28339"/>
    <cellStyle name="계산 2 4 6" xfId="11751"/>
    <cellStyle name="计算 2 4 6" xfId="11752"/>
    <cellStyle name="계산 2 4 6 10" xfId="45249"/>
    <cellStyle name="计算 2 4 6 10" xfId="45250"/>
    <cellStyle name="계산 2 4 6 11" xfId="15384"/>
    <cellStyle name="计算 2 4 6 11" xfId="27830"/>
    <cellStyle name="계산 2 4 6 2" xfId="8402"/>
    <cellStyle name="计算 2 4 6 2" xfId="8403"/>
    <cellStyle name="계산 2 4 6 2 2" xfId="21630"/>
    <cellStyle name="计算 2 4 6 2 2" xfId="21631"/>
    <cellStyle name="계산 2 4 6 2 3" xfId="36620"/>
    <cellStyle name="计算 2 4 6 2 3" xfId="36621"/>
    <cellStyle name="계산 2 4 6 2 4" xfId="42522"/>
    <cellStyle name="计算 2 4 6 2 4" xfId="42523"/>
    <cellStyle name="계산 2 4 6 2 5" xfId="46852"/>
    <cellStyle name="计算 2 4 6 2 5" xfId="46853"/>
    <cellStyle name="계산 2 4 6 2 6" xfId="49356"/>
    <cellStyle name="计算 2 4 6 2 6" xfId="49357"/>
    <cellStyle name="계산 2 4 6 3" xfId="14448"/>
    <cellStyle name="计算 2 4 6 3" xfId="14449"/>
    <cellStyle name="계산 2 4 6 3 2" xfId="27676"/>
    <cellStyle name="计算 2 4 6 3 2" xfId="27677"/>
    <cellStyle name="계산 2 4 6 3 3" xfId="37108"/>
    <cellStyle name="计算 2 4 6 3 3" xfId="37109"/>
    <cellStyle name="계산 2 4 6 3 4" xfId="43027"/>
    <cellStyle name="计算 2 4 6 3 4" xfId="43028"/>
    <cellStyle name="계산 2 4 6 3 5" xfId="47171"/>
    <cellStyle name="计算 2 4 6 3 5" xfId="47172"/>
    <cellStyle name="계산 2 4 6 3 6" xfId="49861"/>
    <cellStyle name="计算 2 4 6 3 6" xfId="49862"/>
    <cellStyle name="계산 2 4 6 4" xfId="12932"/>
    <cellStyle name="计算 2 4 6 4" xfId="8518"/>
    <cellStyle name="계산 2 4 6 4 2" xfId="26160"/>
    <cellStyle name="计算 2 4 6 4 2" xfId="21746"/>
    <cellStyle name="계산 2 4 6 4 3" xfId="32096"/>
    <cellStyle name="计算 2 4 6 4 3" xfId="31909"/>
    <cellStyle name="계산 2 4 6 4 4" xfId="38319"/>
    <cellStyle name="计算 2 4 6 4 4" xfId="38131"/>
    <cellStyle name="계산 2 4 6 4 5" xfId="15497"/>
    <cellStyle name="计算 2 4 6 4 5" xfId="17909"/>
    <cellStyle name="계산 2 4 6 4 6" xfId="34342"/>
    <cellStyle name="计算 2 4 6 4 6" xfId="44167"/>
    <cellStyle name="계산 2 4 6 5" xfId="24979"/>
    <cellStyle name="计算 2 4 6 5" xfId="24980"/>
    <cellStyle name="계산 2 4 6 5 2" xfId="35543"/>
    <cellStyle name="计算 2 4 6 5 2" xfId="37299"/>
    <cellStyle name="계산 2 4 6 5 3" xfId="41418"/>
    <cellStyle name="计算 2 4 6 5 3" xfId="43219"/>
    <cellStyle name="계산 2 4 6 5 4" xfId="46232"/>
    <cellStyle name="计算 2 4 6 5 4" xfId="47290"/>
    <cellStyle name="계산 2 4 6 5 5" xfId="48252"/>
    <cellStyle name="计算 2 4 6 5 5" xfId="50053"/>
    <cellStyle name="계산 2 4 6 6" xfId="31827"/>
    <cellStyle name="计算 2 4 6 6" xfId="37690"/>
    <cellStyle name="계산 2 4 6 6 2" xfId="38048"/>
    <cellStyle name="计算 2 4 6 6 2" xfId="43613"/>
    <cellStyle name="계산 2 4 6 6 3" xfId="40128"/>
    <cellStyle name="计算 2 4 6 6 3" xfId="50447"/>
    <cellStyle name="계산 2 4 6 7" xfId="37894"/>
    <cellStyle name="计算 2 4 6 7" xfId="37895"/>
    <cellStyle name="계산 2 4 6 7 2" xfId="43819"/>
    <cellStyle name="计算 2 4 6 7 2" xfId="43820"/>
    <cellStyle name="계산 2 4 6 7 3" xfId="50653"/>
    <cellStyle name="计算 2 4 6 7 3" xfId="50654"/>
    <cellStyle name="계산 2 4 6 8" xfId="34215"/>
    <cellStyle name="计算 2 4 6 8" xfId="34216"/>
    <cellStyle name="계산 2 4 6 9" xfId="40240"/>
    <cellStyle name="计算 2 4 6 9" xfId="40241"/>
    <cellStyle name="계산 2 4 7" xfId="7814"/>
    <cellStyle name="计算 2 4 7" xfId="7815"/>
    <cellStyle name="계산 2 4 7 2" xfId="21042"/>
    <cellStyle name="计算 2 4 7 2" xfId="21043"/>
    <cellStyle name="계산 2 4 7 3" xfId="30919"/>
    <cellStyle name="计算 2 4 7 3" xfId="30920"/>
    <cellStyle name="계산 2 4 7 4" xfId="16991"/>
    <cellStyle name="计算 2 4 7 4" xfId="16992"/>
    <cellStyle name="계산 2 4 7 5" xfId="17602"/>
    <cellStyle name="计算 2 4 7 5" xfId="15692"/>
    <cellStyle name="계산 2 4 7 6" xfId="14508"/>
    <cellStyle name="计算 2 4 7 6" xfId="40345"/>
    <cellStyle name="계산 2 4 8" xfId="7398"/>
    <cellStyle name="计算 2 4 8" xfId="7397"/>
    <cellStyle name="계산 2 4 8 2" xfId="20626"/>
    <cellStyle name="计算 2 4 8 2" xfId="20625"/>
    <cellStyle name="계산 2 4 8 3" xfId="36557"/>
    <cellStyle name="计算 2 4 8 3" xfId="35026"/>
    <cellStyle name="계산 2 4 8 4" xfId="42455"/>
    <cellStyle name="计算 2 4 8 4" xfId="41030"/>
    <cellStyle name="계산 2 4 8 5" xfId="46797"/>
    <cellStyle name="计算 2 4 8 5" xfId="45832"/>
    <cellStyle name="계산 2 4 8 6" xfId="49289"/>
    <cellStyle name="计算 2 4 8 6" xfId="47726"/>
    <cellStyle name="계산 2 4 9" xfId="14030"/>
    <cellStyle name="计算 2 4 9" xfId="13034"/>
    <cellStyle name="계산 2 4 9 2" xfId="27258"/>
    <cellStyle name="计算 2 4 9 2" xfId="26262"/>
    <cellStyle name="계산 2 4 9 3" xfId="30865"/>
    <cellStyle name="计算 2 4 9 3" xfId="37333"/>
    <cellStyle name="계산 2 4 9 4" xfId="14701"/>
    <cellStyle name="计算 2 4 9 4" xfId="43253"/>
    <cellStyle name="계산 2 4 9 5" xfId="15709"/>
    <cellStyle name="计算 2 4 9 5" xfId="47309"/>
    <cellStyle name="계산 2 4 9 6" xfId="38441"/>
    <cellStyle name="计算 2 4 9 6" xfId="50087"/>
    <cellStyle name="计算 2 40" xfId="40519"/>
    <cellStyle name="计算 2 41" xfId="50934"/>
    <cellStyle name="计算 2 42" xfId="50847"/>
    <cellStyle name="계산 2 5" xfId="2658"/>
    <cellStyle name="计算 2 5" xfId="2659"/>
    <cellStyle name="계산 2 5 10" xfId="7757"/>
    <cellStyle name="计算 2 5 10" xfId="8452"/>
    <cellStyle name="계산 2 5 10 2" xfId="20985"/>
    <cellStyle name="计算 2 5 10 2" xfId="21680"/>
    <cellStyle name="계산 2 5 10 3" xfId="36538"/>
    <cellStyle name="计算 2 5 10 3" xfId="34939"/>
    <cellStyle name="계산 2 5 10 4" xfId="42436"/>
    <cellStyle name="计算 2 5 10 4" xfId="40937"/>
    <cellStyle name="계산 2 5 10 5" xfId="46789"/>
    <cellStyle name="计算 2 5 10 5" xfId="45774"/>
    <cellStyle name="계산 2 5 10 6" xfId="49270"/>
    <cellStyle name="计算 2 5 10 6" xfId="47633"/>
    <cellStyle name="계산 2 5 11" xfId="8547"/>
    <cellStyle name="计算 2 5 11" xfId="14482"/>
    <cellStyle name="계산 2 5 11 2" xfId="21775"/>
    <cellStyle name="计算 2 5 11 2" xfId="27710"/>
    <cellStyle name="계산 2 5 11 3" xfId="37043"/>
    <cellStyle name="计算 2 5 11 3" xfId="31206"/>
    <cellStyle name="계산 2 5 11 4" xfId="42962"/>
    <cellStyle name="计算 2 5 11 4" xfId="17116"/>
    <cellStyle name="계산 2 5 11 5" xfId="47119"/>
    <cellStyle name="计算 2 5 11 5" xfId="28821"/>
    <cellStyle name="계산 2 5 11 6" xfId="49796"/>
    <cellStyle name="计算 2 5 11 6" xfId="15555"/>
    <cellStyle name="계산 2 5 12" xfId="16416"/>
    <cellStyle name="计算 2 5 12" xfId="16417"/>
    <cellStyle name="계산 2 5 12 2" xfId="16900"/>
    <cellStyle name="计算 2 5 12 2" xfId="41434"/>
    <cellStyle name="계산 2 5 12 3" xfId="33384"/>
    <cellStyle name="计算 2 5 12 3" xfId="48268"/>
    <cellStyle name="계산 2 5 13" xfId="18496"/>
    <cellStyle name="计算 2 5 13" xfId="15957"/>
    <cellStyle name="계산 2 5 14" xfId="32546"/>
    <cellStyle name="计算 2 5 14" xfId="28232"/>
    <cellStyle name="계산 2 5 15" xfId="17438"/>
    <cellStyle name="计算 2 5 15" xfId="39547"/>
    <cellStyle name="계산 2 5 16" xfId="27874"/>
    <cellStyle name="计算 2 5 16" xfId="39211"/>
    <cellStyle name="계산 2 5 17" xfId="50986"/>
    <cellStyle name="计算 2 5 17" xfId="50987"/>
    <cellStyle name="계산 2 5 18" xfId="50791"/>
    <cellStyle name="计算 2 5 18" xfId="50790"/>
    <cellStyle name="계산 2 5 2" xfId="6299"/>
    <cellStyle name="计算 2 5 2" xfId="6300"/>
    <cellStyle name="계산 2 5 2 10" xfId="16087"/>
    <cellStyle name="计算 2 5 2 10" xfId="16048"/>
    <cellStyle name="계산 2 5 2 11" xfId="39872"/>
    <cellStyle name="计算 2 5 2 11" xfId="34155"/>
    <cellStyle name="계산 2 5 2 12" xfId="45140"/>
    <cellStyle name="计算 2 5 2 12" xfId="44008"/>
    <cellStyle name="계산 2 5 2 2" xfId="11033"/>
    <cellStyle name="计算 2 5 2 2" xfId="11034"/>
    <cellStyle name="계산 2 5 2 2 2" xfId="24261"/>
    <cellStyle name="计算 2 5 2 2 2" xfId="24262"/>
    <cellStyle name="계산 2 5 2 2 3" xfId="33663"/>
    <cellStyle name="计算 2 5 2 2 3" xfId="33664"/>
    <cellStyle name="계산 2 5 2 2 4" xfId="39817"/>
    <cellStyle name="计算 2 5 2 2 4" xfId="39818"/>
    <cellStyle name="계산 2 5 2 2 5" xfId="44797"/>
    <cellStyle name="计算 2 5 2 2 5" xfId="44798"/>
    <cellStyle name="계산 2 5 2 2 6" xfId="28662"/>
    <cellStyle name="计算 2 5 2 2 6" xfId="33342"/>
    <cellStyle name="계산 2 5 2 3" xfId="13877"/>
    <cellStyle name="计算 2 5 2 3" xfId="13878"/>
    <cellStyle name="계산 2 5 2 3 2" xfId="27105"/>
    <cellStyle name="计算 2 5 2 3 2" xfId="27106"/>
    <cellStyle name="계산 2 5 2 3 3" xfId="36089"/>
    <cellStyle name="计算 2 5 2 3 3" xfId="36090"/>
    <cellStyle name="계산 2 5 2 3 4" xfId="41982"/>
    <cellStyle name="计算 2 5 2 3 4" xfId="41983"/>
    <cellStyle name="계산 2 5 2 3 5" xfId="46560"/>
    <cellStyle name="计算 2 5 2 3 5" xfId="46561"/>
    <cellStyle name="계산 2 5 2 3 6" xfId="48816"/>
    <cellStyle name="计算 2 5 2 3 6" xfId="48817"/>
    <cellStyle name="계산 2 5 2 4" xfId="12716"/>
    <cellStyle name="计算 2 5 2 4" xfId="6785"/>
    <cellStyle name="계산 2 5 2 4 2" xfId="25944"/>
    <cellStyle name="计算 2 5 2 4 2" xfId="20013"/>
    <cellStyle name="계산 2 5 2 4 3" xfId="31498"/>
    <cellStyle name="计算 2 5 2 4 3" xfId="31499"/>
    <cellStyle name="계산 2 5 2 4 4" xfId="18009"/>
    <cellStyle name="计算 2 5 2 4 4" xfId="18049"/>
    <cellStyle name="계산 2 5 2 4 5" xfId="27795"/>
    <cellStyle name="计算 2 5 2 4 5" xfId="34333"/>
    <cellStyle name="계산 2 5 2 4 6" xfId="46741"/>
    <cellStyle name="计算 2 5 2 4 6" xfId="40027"/>
    <cellStyle name="계산 2 5 2 5" xfId="7243"/>
    <cellStyle name="计算 2 5 2 5" xfId="13958"/>
    <cellStyle name="계산 2 5 2 5 2" xfId="20471"/>
    <cellStyle name="计算 2 5 2 5 2" xfId="27186"/>
    <cellStyle name="계산 2 5 2 5 3" xfId="34900"/>
    <cellStyle name="计算 2 5 2 5 3" xfId="34901"/>
    <cellStyle name="계산 2 5 2 5 4" xfId="40898"/>
    <cellStyle name="计算 2 5 2 5 4" xfId="40899"/>
    <cellStyle name="계산 2 5 2 5 5" xfId="45743"/>
    <cellStyle name="计算 2 5 2 5 5" xfId="45744"/>
    <cellStyle name="계산 2 5 2 5 6" xfId="27856"/>
    <cellStyle name="计算 2 5 2 5 6" xfId="30034"/>
    <cellStyle name="계산 2 5 2 6" xfId="14169"/>
    <cellStyle name="计算 2 5 2 6" xfId="7375"/>
    <cellStyle name="계산 2 5 2 6 2" xfId="27397"/>
    <cellStyle name="计算 2 5 2 6 2" xfId="20603"/>
    <cellStyle name="계산 2 5 2 6 3" xfId="30779"/>
    <cellStyle name="计算 2 5 2 6 3" xfId="37217"/>
    <cellStyle name="계산 2 5 2 6 4" xfId="27730"/>
    <cellStyle name="计算 2 5 2 6 4" xfId="43136"/>
    <cellStyle name="계산 2 5 2 6 5" xfId="29095"/>
    <cellStyle name="计算 2 5 2 6 5" xfId="47247"/>
    <cellStyle name="계산 2 5 2 6 6" xfId="40624"/>
    <cellStyle name="计算 2 5 2 6 6" xfId="49970"/>
    <cellStyle name="계산 2 5 2 7" xfId="19527"/>
    <cellStyle name="计算 2 5 2 7" xfId="19528"/>
    <cellStyle name="계산 2 5 2 7 2" xfId="29805"/>
    <cellStyle name="计算 2 5 2 7 2" xfId="37261"/>
    <cellStyle name="계산 2 5 2 7 3" xfId="14605"/>
    <cellStyle name="计算 2 5 2 7 3" xfId="43181"/>
    <cellStyle name="계산 2 5 2 7 4" xfId="34306"/>
    <cellStyle name="计算 2 5 2 7 4" xfId="47269"/>
    <cellStyle name="계산 2 5 2 7 5" xfId="40501"/>
    <cellStyle name="计算 2 5 2 7 5" xfId="50015"/>
    <cellStyle name="계산 2 5 2 8" xfId="37070"/>
    <cellStyle name="计算 2 5 2 8" xfId="31521"/>
    <cellStyle name="계산 2 5 2 8 2" xfId="42989"/>
    <cellStyle name="计算 2 5 2 8 2" xfId="15291"/>
    <cellStyle name="계산 2 5 2 8 3" xfId="49823"/>
    <cellStyle name="计算 2 5 2 8 3" xfId="44202"/>
    <cellStyle name="계산 2 5 2 9" xfId="29351"/>
    <cellStyle name="计算 2 5 2 9" xfId="29352"/>
    <cellStyle name="계산 2 5 3" xfId="6213"/>
    <cellStyle name="计算 2 5 3" xfId="6212"/>
    <cellStyle name="계산 2 5 3 10" xfId="15148"/>
    <cellStyle name="计算 2 5 3 10" xfId="35475"/>
    <cellStyle name="계산 2 5 3 11" xfId="17531"/>
    <cellStyle name="计算 2 5 3 11" xfId="41194"/>
    <cellStyle name="계산 2 5 3 12" xfId="45529"/>
    <cellStyle name="计算 2 5 3 12" xfId="44559"/>
    <cellStyle name="계산 2 5 3 2" xfId="10947"/>
    <cellStyle name="计算 2 5 3 2" xfId="10946"/>
    <cellStyle name="계산 2 5 3 2 2" xfId="24175"/>
    <cellStyle name="计算 2 5 3 2 2" xfId="24174"/>
    <cellStyle name="계산 2 5 3 2 3" xfId="33577"/>
    <cellStyle name="计算 2 5 3 2 3" xfId="33576"/>
    <cellStyle name="계산 2 5 3 2 4" xfId="39739"/>
    <cellStyle name="计算 2 5 3 2 4" xfId="39738"/>
    <cellStyle name="계산 2 5 3 2 5" xfId="44711"/>
    <cellStyle name="计算 2 5 3 2 5" xfId="44710"/>
    <cellStyle name="계산 2 5 3 2 6" xfId="34330"/>
    <cellStyle name="计算 2 5 3 2 6" xfId="39550"/>
    <cellStyle name="계산 2 5 3 3" xfId="13803"/>
    <cellStyle name="计算 2 5 3 3" xfId="13802"/>
    <cellStyle name="계산 2 5 3 3 2" xfId="27031"/>
    <cellStyle name="计算 2 5 3 3 2" xfId="27030"/>
    <cellStyle name="계산 2 5 3 3 3" xfId="36003"/>
    <cellStyle name="计算 2 5 3 3 3" xfId="36002"/>
    <cellStyle name="계산 2 5 3 3 4" xfId="41896"/>
    <cellStyle name="计算 2 5 3 3 4" xfId="41895"/>
    <cellStyle name="계산 2 5 3 3 5" xfId="46478"/>
    <cellStyle name="计算 2 5 3 3 5" xfId="46477"/>
    <cellStyle name="계산 2 5 3 3 6" xfId="48730"/>
    <cellStyle name="计算 2 5 3 3 6" xfId="48729"/>
    <cellStyle name="계산 2 5 3 4" xfId="12736"/>
    <cellStyle name="计算 2 5 3 4" xfId="12840"/>
    <cellStyle name="계산 2 5 3 4 2" xfId="25964"/>
    <cellStyle name="计算 2 5 3 4 2" xfId="26068"/>
    <cellStyle name="계산 2 5 3 4 3" xfId="31440"/>
    <cellStyle name="计算 2 5 3 4 3" xfId="31889"/>
    <cellStyle name="계산 2 5 3 4 4" xfId="17258"/>
    <cellStyle name="计算 2 5 3 4 4" xfId="38110"/>
    <cellStyle name="계산 2 5 3 4 5" xfId="29100"/>
    <cellStyle name="计算 2 5 3 4 5" xfId="17971"/>
    <cellStyle name="계산 2 5 3 4 6" xfId="46743"/>
    <cellStyle name="计算 2 5 3 4 6" xfId="45821"/>
    <cellStyle name="계산 2 5 3 5" xfId="7322"/>
    <cellStyle name="计算 2 5 3 5" xfId="13949"/>
    <cellStyle name="계산 2 5 3 5 2" xfId="20550"/>
    <cellStyle name="计算 2 5 3 5 2" xfId="27177"/>
    <cellStyle name="계산 2 5 3 5 3" xfId="30436"/>
    <cellStyle name="计算 2 5 3 5 3" xfId="30437"/>
    <cellStyle name="계산 2 5 3 5 4" xfId="14893"/>
    <cellStyle name="计算 2 5 3 5 4" xfId="14894"/>
    <cellStyle name="계산 2 5 3 5 5" xfId="27941"/>
    <cellStyle name="计算 2 5 3 5 5" xfId="29112"/>
    <cellStyle name="계산 2 5 3 5 6" xfId="29116"/>
    <cellStyle name="计算 2 5 3 5 6" xfId="15644"/>
    <cellStyle name="계산 2 5 3 6" xfId="12952"/>
    <cellStyle name="计算 2 5 3 6" xfId="7206"/>
    <cellStyle name="계산 2 5 3 6 2" xfId="26180"/>
    <cellStyle name="计算 2 5 3 6 2" xfId="20434"/>
    <cellStyle name="계산 2 5 3 6 3" xfId="30762"/>
    <cellStyle name="计算 2 5 3 6 3" xfId="36920"/>
    <cellStyle name="계산 2 5 3 6 4" xfId="27733"/>
    <cellStyle name="计算 2 5 3 6 4" xfId="42835"/>
    <cellStyle name="계산 2 5 3 6 5" xfId="29144"/>
    <cellStyle name="计算 2 5 3 6 5" xfId="47043"/>
    <cellStyle name="계산 2 5 3 6 6" xfId="39567"/>
    <cellStyle name="计算 2 5 3 6 6" xfId="49669"/>
    <cellStyle name="계산 2 5 3 7" xfId="19441"/>
    <cellStyle name="计算 2 5 3 7" xfId="19440"/>
    <cellStyle name="계산 2 5 3 7 2" xfId="36795"/>
    <cellStyle name="计算 2 5 3 7 2" xfId="35874"/>
    <cellStyle name="계산 2 5 3 7 3" xfId="42706"/>
    <cellStyle name="计算 2 5 3 7 3" xfId="41766"/>
    <cellStyle name="계산 2 5 3 7 4" xfId="46974"/>
    <cellStyle name="计算 2 5 3 7 4" xfId="46396"/>
    <cellStyle name="계산 2 5 3 7 5" xfId="49540"/>
    <cellStyle name="计算 2 5 3 7 5" xfId="48600"/>
    <cellStyle name="계산 2 5 3 8" xfId="37514"/>
    <cellStyle name="计算 2 5 3 8" xfId="36522"/>
    <cellStyle name="계산 2 5 3 8 2" xfId="43434"/>
    <cellStyle name="计算 2 5 3 8 2" xfId="42420"/>
    <cellStyle name="계산 2 5 3 8 3" xfId="50268"/>
    <cellStyle name="计算 2 5 3 8 3" xfId="49254"/>
    <cellStyle name="계산 2 5 3 9" xfId="29265"/>
    <cellStyle name="计算 2 5 3 9" xfId="29264"/>
    <cellStyle name="계산 2 5 4" xfId="6638"/>
    <cellStyle name="计算 2 5 4" xfId="6639"/>
    <cellStyle name="계산 2 5 4 10" xfId="16296"/>
    <cellStyle name="计算 2 5 4 10" xfId="14600"/>
    <cellStyle name="계산 2 5 4 11" xfId="34408"/>
    <cellStyle name="计算 2 5 4 11" xfId="41143"/>
    <cellStyle name="계산 2 5 4 12" xfId="43998"/>
    <cellStyle name="计算 2 5 4 12" xfId="40401"/>
    <cellStyle name="계산 2 5 4 2" xfId="11372"/>
    <cellStyle name="计算 2 5 4 2" xfId="11373"/>
    <cellStyle name="계산 2 5 4 2 2" xfId="24600"/>
    <cellStyle name="计算 2 5 4 2 2" xfId="24601"/>
    <cellStyle name="계산 2 5 4 2 3" xfId="34002"/>
    <cellStyle name="计算 2 5 4 2 3" xfId="34003"/>
    <cellStyle name="계산 2 5 4 2 4" xfId="40040"/>
    <cellStyle name="计算 2 5 4 2 4" xfId="40041"/>
    <cellStyle name="계산 2 5 4 2 5" xfId="45067"/>
    <cellStyle name="计算 2 5 4 2 5" xfId="45068"/>
    <cellStyle name="계산 2 5 4 2 6" xfId="27967"/>
    <cellStyle name="计算 2 5 4 2 6" xfId="41261"/>
    <cellStyle name="계산 2 5 4 3" xfId="13999"/>
    <cellStyle name="计算 2 5 4 3" xfId="14000"/>
    <cellStyle name="계산 2 5 4 3 2" xfId="27227"/>
    <cellStyle name="计算 2 5 4 3 2" xfId="27228"/>
    <cellStyle name="계산 2 5 4 3 3" xfId="36427"/>
    <cellStyle name="计算 2 5 4 3 3" xfId="36428"/>
    <cellStyle name="계산 2 5 4 3 4" xfId="42320"/>
    <cellStyle name="计算 2 5 4 3 4" xfId="42321"/>
    <cellStyle name="계산 2 5 4 3 5" xfId="46718"/>
    <cellStyle name="计算 2 5 4 3 5" xfId="46719"/>
    <cellStyle name="계산 2 5 4 3 6" xfId="49154"/>
    <cellStyle name="计算 2 5 4 3 6" xfId="49155"/>
    <cellStyle name="계산 2 5 4 4" xfId="8298"/>
    <cellStyle name="计算 2 5 4 4" xfId="8297"/>
    <cellStyle name="계산 2 5 4 4 2" xfId="21526"/>
    <cellStyle name="计算 2 5 4 4 2" xfId="21525"/>
    <cellStyle name="계산 2 5 4 4 3" xfId="31925"/>
    <cellStyle name="计算 2 5 4 4 3" xfId="30139"/>
    <cellStyle name="계산 2 5 4 4 4" xfId="38147"/>
    <cellStyle name="计算 2 5 4 4 4" xfId="16604"/>
    <cellStyle name="계산 2 5 4 4 5" xfId="17908"/>
    <cellStyle name="计算 2 5 4 4 5" xfId="41067"/>
    <cellStyle name="계산 2 5 4 4 6" xfId="28646"/>
    <cellStyle name="计算 2 5 4 4 6" xfId="45562"/>
    <cellStyle name="계산 2 5 4 5" xfId="7225"/>
    <cellStyle name="计算 2 5 4 5" xfId="13551"/>
    <cellStyle name="계산 2 5 4 5 2" xfId="20453"/>
    <cellStyle name="计算 2 5 4 5 2" xfId="26779"/>
    <cellStyle name="계산 2 5 4 5 3" xfId="32103"/>
    <cellStyle name="计算 2 5 4 5 3" xfId="29779"/>
    <cellStyle name="계산 2 5 4 5 4" xfId="38326"/>
    <cellStyle name="计算 2 5 4 5 4" xfId="16335"/>
    <cellStyle name="계산 2 5 4 5 5" xfId="15496"/>
    <cellStyle name="计算 2 5 4 5 5" xfId="17391"/>
    <cellStyle name="계산 2 5 4 5 6" xfId="28766"/>
    <cellStyle name="计算 2 5 4 5 6" xfId="45540"/>
    <cellStyle name="계산 2 5 4 6" xfId="13659"/>
    <cellStyle name="计算 2 5 4 6" xfId="13712"/>
    <cellStyle name="계산 2 5 4 6 2" xfId="26887"/>
    <cellStyle name="计算 2 5 4 6 2" xfId="26940"/>
    <cellStyle name="계산 2 5 4 6 3" xfId="35662"/>
    <cellStyle name="计算 2 5 4 6 3" xfId="31935"/>
    <cellStyle name="계산 2 5 4 6 4" xfId="41542"/>
    <cellStyle name="计算 2 5 4 6 4" xfId="38157"/>
    <cellStyle name="계산 2 5 4 6 5" xfId="46311"/>
    <cellStyle name="计算 2 5 4 6 5" xfId="32518"/>
    <cellStyle name="계산 2 5 4 6 6" xfId="48376"/>
    <cellStyle name="计算 2 5 4 6 6" xfId="39862"/>
    <cellStyle name="계산 2 5 4 7" xfId="19866"/>
    <cellStyle name="计算 2 5 4 7" xfId="19867"/>
    <cellStyle name="계산 2 5 4 7 2" xfId="32329"/>
    <cellStyle name="计算 2 5 4 7 2" xfId="29767"/>
    <cellStyle name="계산 2 5 4 7 3" xfId="38547"/>
    <cellStyle name="计算 2 5 4 7 3" xfId="16329"/>
    <cellStyle name="계산 2 5 4 7 4" xfId="43907"/>
    <cellStyle name="计算 2 5 4 7 4" xfId="41114"/>
    <cellStyle name="계산 2 5 4 7 5" xfId="39534"/>
    <cellStyle name="计算 2 5 4 7 5" xfId="17386"/>
    <cellStyle name="계산 2 5 4 8" xfId="30304"/>
    <cellStyle name="计算 2 5 4 8" xfId="37760"/>
    <cellStyle name="계산 2 5 4 8 2" xfId="16738"/>
    <cellStyle name="计算 2 5 4 8 2" xfId="43684"/>
    <cellStyle name="계산 2 5 4 8 3" xfId="45522"/>
    <cellStyle name="计算 2 5 4 8 3" xfId="50518"/>
    <cellStyle name="계산 2 5 4 9" xfId="29690"/>
    <cellStyle name="计算 2 5 4 9" xfId="29691"/>
    <cellStyle name="계산 2 5 5" xfId="9534"/>
    <cellStyle name="计算 2 5 5" xfId="9535"/>
    <cellStyle name="계산 2 5 5 10" xfId="28718"/>
    <cellStyle name="计算 2 5 5 10" xfId="33397"/>
    <cellStyle name="계산 2 5 5 11" xfId="40455"/>
    <cellStyle name="计算 2 5 5 11" xfId="15830"/>
    <cellStyle name="계산 2 5 5 12" xfId="44307"/>
    <cellStyle name="计算 2 5 5 12" xfId="19340"/>
    <cellStyle name="계산 2 5 5 2" xfId="13171"/>
    <cellStyle name="计算 2 5 5 2" xfId="13172"/>
    <cellStyle name="계산 2 5 5 2 2" xfId="26399"/>
    <cellStyle name="计算 2 5 5 2 2" xfId="26400"/>
    <cellStyle name="계산 2 5 5 2 3" xfId="32651"/>
    <cellStyle name="计算 2 5 5 2 3" xfId="32652"/>
    <cellStyle name="계산 2 5 5 2 4" xfId="38871"/>
    <cellStyle name="计算 2 5 5 2 4" xfId="38872"/>
    <cellStyle name="계산 2 5 5 2 5" xfId="44134"/>
    <cellStyle name="计算 2 5 5 2 5" xfId="44135"/>
    <cellStyle name="계산 2 5 5 2 6" xfId="46901"/>
    <cellStyle name="计算 2 5 5 2 6" xfId="41074"/>
    <cellStyle name="계산 2 5 5 3" xfId="7511"/>
    <cellStyle name="计算 2 5 5 3" xfId="6721"/>
    <cellStyle name="계산 2 5 5 3 2" xfId="20739"/>
    <cellStyle name="计算 2 5 5 3 2" xfId="19949"/>
    <cellStyle name="계산 2 5 5 3 3" xfId="35147"/>
    <cellStyle name="计算 2 5 5 3 3" xfId="35148"/>
    <cellStyle name="계산 2 5 5 3 4" xfId="41127"/>
    <cellStyle name="计算 2 5 5 3 4" xfId="41128"/>
    <cellStyle name="계산 2 5 5 3 5" xfId="45937"/>
    <cellStyle name="计算 2 5 5 3 5" xfId="45938"/>
    <cellStyle name="계산 2 5 5 3 6" xfId="47850"/>
    <cellStyle name="计算 2 5 5 3 6" xfId="47851"/>
    <cellStyle name="계산 2 5 5 4" xfId="7197"/>
    <cellStyle name="计算 2 5 5 4" xfId="12880"/>
    <cellStyle name="계산 2 5 5 4 2" xfId="20425"/>
    <cellStyle name="计算 2 5 5 4 2" xfId="26108"/>
    <cellStyle name="계산 2 5 5 4 3" xfId="30970"/>
    <cellStyle name="计算 2 5 5 4 3" xfId="30971"/>
    <cellStyle name="계산 2 5 5 4 4" xfId="14712"/>
    <cellStyle name="计算 2 5 5 4 4" xfId="17019"/>
    <cellStyle name="계산 2 5 5 4 5" xfId="31420"/>
    <cellStyle name="计算 2 5 5 4 5" xfId="35041"/>
    <cellStyle name="계산 2 5 5 4 6" xfId="16497"/>
    <cellStyle name="计算 2 5 5 4 6" xfId="17562"/>
    <cellStyle name="계산 2 5 5 5" xfId="7343"/>
    <cellStyle name="计算 2 5 5 5" xfId="6844"/>
    <cellStyle name="계산 2 5 5 5 2" xfId="20571"/>
    <cellStyle name="计算 2 5 5 5 2" xfId="20072"/>
    <cellStyle name="계산 2 5 5 5 3" xfId="17365"/>
    <cellStyle name="计算 2 5 5 5 3" xfId="17806"/>
    <cellStyle name="계산 2 5 5 5 4" xfId="15550"/>
    <cellStyle name="计算 2 5 5 5 4" xfId="39720"/>
    <cellStyle name="계산 2 5 5 6" xfId="22762"/>
    <cellStyle name="计算 2 5 5 6" xfId="22763"/>
    <cellStyle name="계산 2 5 5 6 2" xfId="31246"/>
    <cellStyle name="计算 2 5 5 6 2" xfId="37192"/>
    <cellStyle name="계산 2 5 5 6 3" xfId="17147"/>
    <cellStyle name="计算 2 5 5 6 3" xfId="43111"/>
    <cellStyle name="계산 2 5 5 6 4" xfId="14518"/>
    <cellStyle name="计算 2 5 5 6 4" xfId="47231"/>
    <cellStyle name="계산 2 5 5 6 5" xfId="47080"/>
    <cellStyle name="计算 2 5 5 6 5" xfId="49945"/>
    <cellStyle name="계산 2 5 5 7" xfId="37530"/>
    <cellStyle name="计算 2 5 5 7" xfId="34743"/>
    <cellStyle name="계산 2 5 5 7 2" xfId="43451"/>
    <cellStyle name="计算 2 5 5 7 2" xfId="40735"/>
    <cellStyle name="계산 2 5 5 7 3" xfId="50285"/>
    <cellStyle name="计算 2 5 5 7 3" xfId="39410"/>
    <cellStyle name="계산 2 5 5 8" xfId="31834"/>
    <cellStyle name="计算 2 5 5 8" xfId="37639"/>
    <cellStyle name="계산 2 5 5 8 2" xfId="38055"/>
    <cellStyle name="计算 2 5 5 8 2" xfId="43562"/>
    <cellStyle name="계산 2 5 5 8 3" xfId="44172"/>
    <cellStyle name="计算 2 5 5 8 3" xfId="50396"/>
    <cellStyle name="계산 2 5 5 9" xfId="28340"/>
    <cellStyle name="计算 2 5 5 9" xfId="28341"/>
    <cellStyle name="계산 2 5 6" xfId="11753"/>
    <cellStyle name="计算 2 5 6" xfId="11754"/>
    <cellStyle name="계산 2 5 6 10" xfId="45251"/>
    <cellStyle name="计算 2 5 6 10" xfId="45252"/>
    <cellStyle name="계산 2 5 6 11" xfId="40468"/>
    <cellStyle name="计算 2 5 6 11" xfId="39635"/>
    <cellStyle name="계산 2 5 6 2" xfId="12678"/>
    <cellStyle name="计算 2 5 6 2" xfId="12802"/>
    <cellStyle name="계산 2 5 6 2 2" xfId="25906"/>
    <cellStyle name="计算 2 5 6 2 2" xfId="26030"/>
    <cellStyle name="계산 2 5 6 2 3" xfId="36622"/>
    <cellStyle name="计算 2 5 6 2 3" xfId="36623"/>
    <cellStyle name="계산 2 5 6 2 4" xfId="42524"/>
    <cellStyle name="计算 2 5 6 2 4" xfId="42525"/>
    <cellStyle name="계산 2 5 6 2 5" xfId="46854"/>
    <cellStyle name="计算 2 5 6 2 5" xfId="46855"/>
    <cellStyle name="계산 2 5 6 2 6" xfId="49358"/>
    <cellStyle name="计算 2 5 6 2 6" xfId="49359"/>
    <cellStyle name="계산 2 5 6 3" xfId="14450"/>
    <cellStyle name="计算 2 5 6 3" xfId="14451"/>
    <cellStyle name="계산 2 5 6 3 2" xfId="27678"/>
    <cellStyle name="计算 2 5 6 3 2" xfId="27679"/>
    <cellStyle name="계산 2 5 6 3 3" xfId="37110"/>
    <cellStyle name="计算 2 5 6 3 3" xfId="37111"/>
    <cellStyle name="계산 2 5 6 3 4" xfId="43029"/>
    <cellStyle name="计算 2 5 6 3 4" xfId="43030"/>
    <cellStyle name="계산 2 5 6 3 5" xfId="47173"/>
    <cellStyle name="计算 2 5 6 3 5" xfId="47174"/>
    <cellStyle name="계산 2 5 6 3 6" xfId="49863"/>
    <cellStyle name="计算 2 5 6 3 6" xfId="49864"/>
    <cellStyle name="계산 2 5 6 4" xfId="14020"/>
    <cellStyle name="计算 2 5 6 4" xfId="12869"/>
    <cellStyle name="계산 2 5 6 4 2" xfId="27248"/>
    <cellStyle name="计算 2 5 6 4 2" xfId="26097"/>
    <cellStyle name="계산 2 5 6 4 3" xfId="36805"/>
    <cellStyle name="计算 2 5 6 4 3" xfId="30593"/>
    <cellStyle name="계산 2 5 6 4 4" xfId="42716"/>
    <cellStyle name="计算 2 5 6 4 4" xfId="27762"/>
    <cellStyle name="계산 2 5 6 4 5" xfId="46979"/>
    <cellStyle name="计算 2 5 6 4 5" xfId="29073"/>
    <cellStyle name="계산 2 5 6 4 6" xfId="49550"/>
    <cellStyle name="计算 2 5 6 4 6" xfId="47191"/>
    <cellStyle name="계산 2 5 6 5" xfId="24981"/>
    <cellStyle name="计算 2 5 6 5" xfId="24982"/>
    <cellStyle name="계산 2 5 6 5 2" xfId="30066"/>
    <cellStyle name="计算 2 5 6 5 2" xfId="34659"/>
    <cellStyle name="계산 2 5 6 5 3" xfId="16549"/>
    <cellStyle name="计算 2 5 6 5 3" xfId="40648"/>
    <cellStyle name="계산 2 5 6 5 4" xfId="34414"/>
    <cellStyle name="计算 2 5 6 5 4" xfId="45593"/>
    <cellStyle name="계산 2 5 6 5 5" xfId="44039"/>
    <cellStyle name="计算 2 5 6 5 5" xfId="40409"/>
    <cellStyle name="계산 2 5 6 6" xfId="37250"/>
    <cellStyle name="计算 2 5 6 6" xfId="29967"/>
    <cellStyle name="계산 2 5 6 6 2" xfId="43170"/>
    <cellStyle name="计算 2 5 6 6 2" xfId="16482"/>
    <cellStyle name="계산 2 5 6 6 3" xfId="50004"/>
    <cellStyle name="计算 2 5 6 6 3" xfId="34401"/>
    <cellStyle name="계산 2 5 6 7" xfId="37896"/>
    <cellStyle name="计算 2 5 6 7" xfId="37897"/>
    <cellStyle name="계산 2 5 6 7 2" xfId="43821"/>
    <cellStyle name="计算 2 5 6 7 2" xfId="43822"/>
    <cellStyle name="계산 2 5 6 7 3" xfId="50655"/>
    <cellStyle name="计算 2 5 6 7 3" xfId="50656"/>
    <cellStyle name="계산 2 5 6 8" xfId="34217"/>
    <cellStyle name="计算 2 5 6 8" xfId="34218"/>
    <cellStyle name="계산 2 5 6 9" xfId="40242"/>
    <cellStyle name="计算 2 5 6 9" xfId="40243"/>
    <cellStyle name="계산 2 5 7" xfId="7816"/>
    <cellStyle name="计算 2 5 7" xfId="7817"/>
    <cellStyle name="계산 2 5 7 2" xfId="21044"/>
    <cellStyle name="计算 2 5 7 2" xfId="21045"/>
    <cellStyle name="계산 2 5 7 3" xfId="30921"/>
    <cellStyle name="计算 2 5 7 3" xfId="30922"/>
    <cellStyle name="계산 2 5 7 4" xfId="16993"/>
    <cellStyle name="计算 2 5 7 4" xfId="16994"/>
    <cellStyle name="계산 2 5 7 5" xfId="15693"/>
    <cellStyle name="计算 2 5 7 5" xfId="31424"/>
    <cellStyle name="계산 2 5 7 6" xfId="32455"/>
    <cellStyle name="计算 2 5 7 6" xfId="38704"/>
    <cellStyle name="계산 2 5 8" xfId="7396"/>
    <cellStyle name="计算 2 5 8" xfId="7395"/>
    <cellStyle name="계산 2 5 8 2" xfId="20624"/>
    <cellStyle name="计算 2 5 8 2" xfId="20623"/>
    <cellStyle name="계산 2 5 8 3" xfId="36834"/>
    <cellStyle name="计算 2 5 8 3" xfId="35680"/>
    <cellStyle name="계산 2 5 8 4" xfId="42745"/>
    <cellStyle name="计算 2 5 8 4" xfId="41560"/>
    <cellStyle name="계산 2 5 8 5" xfId="46994"/>
    <cellStyle name="计算 2 5 8 5" xfId="46322"/>
    <cellStyle name="계산 2 5 8 6" xfId="49579"/>
    <cellStyle name="计算 2 5 8 6" xfId="48394"/>
    <cellStyle name="계산 2 5 9" xfId="14172"/>
    <cellStyle name="计算 2 5 9" xfId="13567"/>
    <cellStyle name="계산 2 5 9 2" xfId="27400"/>
    <cellStyle name="计算 2 5 9 2" xfId="26795"/>
    <cellStyle name="계산 2 5 9 3" xfId="31311"/>
    <cellStyle name="计算 2 5 9 3" xfId="37207"/>
    <cellStyle name="계산 2 5 9 4" xfId="17191"/>
    <cellStyle name="计算 2 5 9 4" xfId="43126"/>
    <cellStyle name="계산 2 5 9 5" xfId="28212"/>
    <cellStyle name="计算 2 5 9 5" xfId="47241"/>
    <cellStyle name="계산 2 5 9 6" xfId="47478"/>
    <cellStyle name="计算 2 5 9 6" xfId="49960"/>
    <cellStyle name="계산 2 6" xfId="2660"/>
    <cellStyle name="计算 2 6" xfId="2661"/>
    <cellStyle name="계산 2 6 10" xfId="9090"/>
    <cellStyle name="计算 2 6 10" xfId="14368"/>
    <cellStyle name="계산 2 6 10 2" xfId="22318"/>
    <cellStyle name="计算 2 6 10 2" xfId="27596"/>
    <cellStyle name="계산 2 6 10 3" xfId="34826"/>
    <cellStyle name="计算 2 6 10 3" xfId="37572"/>
    <cellStyle name="계산 2 6 10 4" xfId="40824"/>
    <cellStyle name="计算 2 6 10 4" xfId="43493"/>
    <cellStyle name="계산 2 6 10 5" xfId="45692"/>
    <cellStyle name="计算 2 6 10 5" xfId="47435"/>
    <cellStyle name="계산 2 6 10 6" xfId="40276"/>
    <cellStyle name="计算 2 6 10 6" xfId="50327"/>
    <cellStyle name="계산 2 6 11" xfId="13533"/>
    <cellStyle name="计算 2 6 11" xfId="12759"/>
    <cellStyle name="계산 2 6 11 2" xfId="26761"/>
    <cellStyle name="计算 2 6 11 2" xfId="25987"/>
    <cellStyle name="계산 2 6 11 3" xfId="36994"/>
    <cellStyle name="计算 2 6 11 3" xfId="37761"/>
    <cellStyle name="계산 2 6 11 4" xfId="42913"/>
    <cellStyle name="计算 2 6 11 4" xfId="43685"/>
    <cellStyle name="계산 2 6 11 5" xfId="47090"/>
    <cellStyle name="计算 2 6 11 5" xfId="47533"/>
    <cellStyle name="계산 2 6 11 6" xfId="49747"/>
    <cellStyle name="计算 2 6 11 6" xfId="50519"/>
    <cellStyle name="계산 2 6 12" xfId="16418"/>
    <cellStyle name="计算 2 6 12" xfId="16419"/>
    <cellStyle name="계산 2 6 12 2" xfId="43754"/>
    <cellStyle name="计算 2 6 12 2" xfId="16794"/>
    <cellStyle name="계산 2 6 12 3" xfId="50588"/>
    <cellStyle name="计算 2 6 12 3" xfId="47055"/>
    <cellStyle name="계산 2 6 13" xfId="18495"/>
    <cellStyle name="计算 2 6 13" xfId="15956"/>
    <cellStyle name="계산 2 6 14" xfId="33207"/>
    <cellStyle name="计算 2 6 14" xfId="34470"/>
    <cellStyle name="계산 2 6 15" xfId="40527"/>
    <cellStyle name="计算 2 6 15" xfId="15913"/>
    <cellStyle name="계산 2 6 16" xfId="40297"/>
    <cellStyle name="计算 2 6 16" xfId="38431"/>
    <cellStyle name="계산 2 6 17" xfId="50988"/>
    <cellStyle name="计算 2 6 17" xfId="50989"/>
    <cellStyle name="계산 2 6 18" xfId="50789"/>
    <cellStyle name="计算 2 6 18" xfId="50788"/>
    <cellStyle name="계산 2 6 2" xfId="6301"/>
    <cellStyle name="计算 2 6 2" xfId="6302"/>
    <cellStyle name="계산 2 6 2 10" xfId="28048"/>
    <cellStyle name="计算 2 6 2 10" xfId="18644"/>
    <cellStyle name="계산 2 6 2 11" xfId="30044"/>
    <cellStyle name="计算 2 6 2 11" xfId="41182"/>
    <cellStyle name="계산 2 6 2 12" xfId="18133"/>
    <cellStyle name="计算 2 6 2 12" xfId="44410"/>
    <cellStyle name="계산 2 6 2 2" xfId="11035"/>
    <cellStyle name="计算 2 6 2 2" xfId="11036"/>
    <cellStyle name="계산 2 6 2 2 2" xfId="24263"/>
    <cellStyle name="计算 2 6 2 2 2" xfId="24264"/>
    <cellStyle name="계산 2 6 2 2 3" xfId="33665"/>
    <cellStyle name="计算 2 6 2 2 3" xfId="33666"/>
    <cellStyle name="계산 2 6 2 2 4" xfId="39819"/>
    <cellStyle name="计算 2 6 2 2 4" xfId="39820"/>
    <cellStyle name="계산 2 6 2 2 5" xfId="44799"/>
    <cellStyle name="计算 2 6 2 2 5" xfId="44800"/>
    <cellStyle name="계산 2 6 2 2 6" xfId="34510"/>
    <cellStyle name="计算 2 6 2 2 6" xfId="29036"/>
    <cellStyle name="계산 2 6 2 3" xfId="13879"/>
    <cellStyle name="计算 2 6 2 3" xfId="13880"/>
    <cellStyle name="계산 2 6 2 3 2" xfId="27107"/>
    <cellStyle name="计算 2 6 2 3 2" xfId="27108"/>
    <cellStyle name="계산 2 6 2 3 3" xfId="36091"/>
    <cellStyle name="计算 2 6 2 3 3" xfId="36092"/>
    <cellStyle name="계산 2 6 2 3 4" xfId="41984"/>
    <cellStyle name="计算 2 6 2 3 4" xfId="41985"/>
    <cellStyle name="계산 2 6 2 3 5" xfId="46562"/>
    <cellStyle name="计算 2 6 2 3 5" xfId="46563"/>
    <cellStyle name="계산 2 6 2 3 6" xfId="48818"/>
    <cellStyle name="计算 2 6 2 3 6" xfId="48819"/>
    <cellStyle name="계산 2 6 2 4" xfId="8062"/>
    <cellStyle name="计算 2 6 2 4" xfId="12825"/>
    <cellStyle name="계산 2 6 2 4 2" xfId="21290"/>
    <cellStyle name="计算 2 6 2 4 2" xfId="26053"/>
    <cellStyle name="계산 2 6 2 4 3" xfId="31500"/>
    <cellStyle name="计算 2 6 2 4 3" xfId="31501"/>
    <cellStyle name="계산 2 6 2 4 4" xfId="17283"/>
    <cellStyle name="计算 2 6 2 4 4" xfId="17282"/>
    <cellStyle name="계산 2 6 2 4 5" xfId="32284"/>
    <cellStyle name="计算 2 6 2 4 5" xfId="28812"/>
    <cellStyle name="계산 2 6 2 4 6" xfId="45766"/>
    <cellStyle name="计算 2 6 2 4 6" xfId="28186"/>
    <cellStyle name="계산 2 6 2 5" xfId="13650"/>
    <cellStyle name="计算 2 6 2 5" xfId="7269"/>
    <cellStyle name="계산 2 6 2 5 2" xfId="26878"/>
    <cellStyle name="计算 2 6 2 5 2" xfId="20497"/>
    <cellStyle name="계산 2 6 2 5 3" xfId="34902"/>
    <cellStyle name="计算 2 6 2 5 3" xfId="34903"/>
    <cellStyle name="계산 2 6 2 5 4" xfId="40900"/>
    <cellStyle name="计算 2 6 2 5 4" xfId="40901"/>
    <cellStyle name="계산 2 6 2 5 5" xfId="45745"/>
    <cellStyle name="计算 2 6 2 5 5" xfId="45746"/>
    <cellStyle name="계산 2 6 2 5 6" xfId="34147"/>
    <cellStyle name="计算 2 6 2 5 6" xfId="15388"/>
    <cellStyle name="계산 2 6 2 6" xfId="13895"/>
    <cellStyle name="计算 2 6 2 6" xfId="7364"/>
    <cellStyle name="계산 2 6 2 6 2" xfId="27123"/>
    <cellStyle name="计算 2 6 2 6 2" xfId="20592"/>
    <cellStyle name="계산 2 6 2 6 3" xfId="30780"/>
    <cellStyle name="计算 2 6 2 6 3" xfId="30781"/>
    <cellStyle name="계산 2 6 2 6 4" xfId="17874"/>
    <cellStyle name="计算 2 6 2 6 4" xfId="16932"/>
    <cellStyle name="계산 2 6 2 6 5" xfId="34581"/>
    <cellStyle name="计算 2 6 2 6 5" xfId="33408"/>
    <cellStyle name="계산 2 6 2 6 6" xfId="40619"/>
    <cellStyle name="计算 2 6 2 6 6" xfId="18015"/>
    <cellStyle name="계산 2 6 2 7" xfId="19529"/>
    <cellStyle name="计算 2 6 2 7" xfId="19530"/>
    <cellStyle name="계산 2 6 2 7 2" xfId="29978"/>
    <cellStyle name="计算 2 6 2 7 2" xfId="37135"/>
    <cellStyle name="계산 2 6 2 7 3" xfId="16490"/>
    <cellStyle name="计算 2 6 2 7 3" xfId="43054"/>
    <cellStyle name="계산 2 6 2 7 4" xfId="34412"/>
    <cellStyle name="计算 2 6 2 7 4" xfId="47193"/>
    <cellStyle name="계산 2 6 2 7 5" xfId="15490"/>
    <cellStyle name="计算 2 6 2 7 5" xfId="49888"/>
    <cellStyle name="계산 2 6 2 8" xfId="30227"/>
    <cellStyle name="计算 2 6 2 8" xfId="36915"/>
    <cellStyle name="계산 2 6 2 8 2" xfId="16677"/>
    <cellStyle name="计算 2 6 2 8 2" xfId="42830"/>
    <cellStyle name="계산 2 6 2 8 3" xfId="15364"/>
    <cellStyle name="计算 2 6 2 8 3" xfId="49664"/>
    <cellStyle name="계산 2 6 2 9" xfId="29353"/>
    <cellStyle name="计算 2 6 2 9" xfId="29354"/>
    <cellStyle name="계산 2 6 3" xfId="6211"/>
    <cellStyle name="计算 2 6 3" xfId="6210"/>
    <cellStyle name="계산 2 6 3 10" xfId="17810"/>
    <cellStyle name="计算 2 6 3 10" xfId="36572"/>
    <cellStyle name="계산 2 6 3 11" xfId="34269"/>
    <cellStyle name="计算 2 6 3 11" xfId="40051"/>
    <cellStyle name="계산 2 6 3 12" xfId="40264"/>
    <cellStyle name="计算 2 6 3 12" xfId="44321"/>
    <cellStyle name="계산 2 6 3 2" xfId="10945"/>
    <cellStyle name="计算 2 6 3 2" xfId="10944"/>
    <cellStyle name="계산 2 6 3 2 2" xfId="24173"/>
    <cellStyle name="计算 2 6 3 2 2" xfId="24172"/>
    <cellStyle name="계산 2 6 3 2 3" xfId="33575"/>
    <cellStyle name="计算 2 6 3 2 3" xfId="33574"/>
    <cellStyle name="계산 2 6 3 2 4" xfId="39737"/>
    <cellStyle name="计算 2 6 3 2 4" xfId="39736"/>
    <cellStyle name="계산 2 6 3 2 5" xfId="44709"/>
    <cellStyle name="计算 2 6 3 2 5" xfId="44708"/>
    <cellStyle name="계산 2 6 3 2 6" xfId="40530"/>
    <cellStyle name="计算 2 6 3 2 6" xfId="36789"/>
    <cellStyle name="계산 2 6 3 3" xfId="13801"/>
    <cellStyle name="计算 2 6 3 3" xfId="13800"/>
    <cellStyle name="계산 2 6 3 3 2" xfId="27029"/>
    <cellStyle name="计算 2 6 3 3 2" xfId="27028"/>
    <cellStyle name="계산 2 6 3 3 3" xfId="36001"/>
    <cellStyle name="计算 2 6 3 3 3" xfId="36000"/>
    <cellStyle name="계산 2 6 3 3 4" xfId="41894"/>
    <cellStyle name="计算 2 6 3 3 4" xfId="41893"/>
    <cellStyle name="계산 2 6 3 3 5" xfId="46476"/>
    <cellStyle name="计算 2 6 3 3 5" xfId="46475"/>
    <cellStyle name="계산 2 6 3 3 6" xfId="48728"/>
    <cellStyle name="计算 2 6 3 3 6" xfId="48727"/>
    <cellStyle name="계산 2 6 3 4" xfId="12735"/>
    <cellStyle name="计算 2 6 3 4" xfId="6848"/>
    <cellStyle name="계산 2 6 3 4 2" xfId="25963"/>
    <cellStyle name="计算 2 6 3 4 2" xfId="20076"/>
    <cellStyle name="계산 2 6 3 4 3" xfId="31438"/>
    <cellStyle name="计算 2 6 3 4 3" xfId="29877"/>
    <cellStyle name="계산 2 6 3 4 4" xfId="17257"/>
    <cellStyle name="计算 2 6 3 4 4" xfId="18097"/>
    <cellStyle name="계산 2 6 3 4 5" xfId="28099"/>
    <cellStyle name="计算 2 6 3 4 5" xfId="34160"/>
    <cellStyle name="계산 2 6 3 4 6" xfId="46773"/>
    <cellStyle name="计算 2 6 3 4 6" xfId="40588"/>
    <cellStyle name="계산 2 6 3 5" xfId="6701"/>
    <cellStyle name="计算 2 6 3 5" xfId="13632"/>
    <cellStyle name="계산 2 6 3 5 2" xfId="19929"/>
    <cellStyle name="计算 2 6 3 5 2" xfId="26860"/>
    <cellStyle name="계산 2 6 3 5 3" xfId="30527"/>
    <cellStyle name="计算 2 6 3 5 3" xfId="30608"/>
    <cellStyle name="계산 2 6 3 5 4" xfId="15190"/>
    <cellStyle name="计算 2 6 3 5 4" xfId="16859"/>
    <cellStyle name="계산 2 6 3 5 5" xfId="32556"/>
    <cellStyle name="计算 2 6 3 5 5" xfId="29094"/>
    <cellStyle name="계산 2 6 3 5 6" xfId="44491"/>
    <cellStyle name="计算 2 6 3 5 6" xfId="29111"/>
    <cellStyle name="계산 2 6 3 6" xfId="14089"/>
    <cellStyle name="计算 2 6 3 6" xfId="8521"/>
    <cellStyle name="계산 2 6 3 6 2" xfId="27317"/>
    <cellStyle name="计算 2 6 3 6 2" xfId="21749"/>
    <cellStyle name="계산 2 6 3 6 3" xfId="32331"/>
    <cellStyle name="计算 2 6 3 6 3" xfId="35830"/>
    <cellStyle name="계산 2 6 3 6 4" xfId="38549"/>
    <cellStyle name="计算 2 6 3 6 4" xfId="41717"/>
    <cellStyle name="계산 2 6 3 6 5" xfId="43909"/>
    <cellStyle name="计算 2 6 3 6 5" xfId="46372"/>
    <cellStyle name="계산 2 6 3 6 6" xfId="34535"/>
    <cellStyle name="计算 2 6 3 6 6" xfId="48551"/>
    <cellStyle name="계산 2 6 3 7" xfId="19439"/>
    <cellStyle name="计算 2 6 3 7" xfId="19438"/>
    <cellStyle name="계산 2 6 3 7 2" xfId="37546"/>
    <cellStyle name="计算 2 6 3 7 2" xfId="37263"/>
    <cellStyle name="계산 2 6 3 7 3" xfId="43467"/>
    <cellStyle name="计算 2 6 3 7 3" xfId="43183"/>
    <cellStyle name="계산 2 6 3 7 4" xfId="47422"/>
    <cellStyle name="计算 2 6 3 7 4" xfId="47271"/>
    <cellStyle name="계산 2 6 3 7 5" xfId="50301"/>
    <cellStyle name="计算 2 6 3 7 5" xfId="50017"/>
    <cellStyle name="계산 2 6 3 8" xfId="37415"/>
    <cellStyle name="计算 2 6 3 8" xfId="37563"/>
    <cellStyle name="계산 2 6 3 8 2" xfId="43335"/>
    <cellStyle name="计算 2 6 3 8 2" xfId="43484"/>
    <cellStyle name="계산 2 6 3 8 3" xfId="50169"/>
    <cellStyle name="计算 2 6 3 8 3" xfId="50318"/>
    <cellStyle name="계산 2 6 3 9" xfId="29263"/>
    <cellStyle name="计算 2 6 3 9" xfId="29262"/>
    <cellStyle name="계산 2 6 4" xfId="6160"/>
    <cellStyle name="计算 2 6 4" xfId="6129"/>
    <cellStyle name="계산 2 6 4 10" xfId="35500"/>
    <cellStyle name="计算 2 6 4 10" xfId="35648"/>
    <cellStyle name="계산 2 6 4 11" xfId="34351"/>
    <cellStyle name="计算 2 6 4 11" xfId="34626"/>
    <cellStyle name="계산 2 6 4 12" xfId="45308"/>
    <cellStyle name="计算 2 6 4 12" xfId="44323"/>
    <cellStyle name="계산 2 6 4 2" xfId="10894"/>
    <cellStyle name="计算 2 6 4 2" xfId="10863"/>
    <cellStyle name="계산 2 6 4 2 2" xfId="24122"/>
    <cellStyle name="计算 2 6 4 2 2" xfId="24091"/>
    <cellStyle name="계산 2 6 4 2 3" xfId="33524"/>
    <cellStyle name="计算 2 6 4 2 3" xfId="33493"/>
    <cellStyle name="계산 2 6 4 2 4" xfId="39705"/>
    <cellStyle name="计算 2 6 4 2 4" xfId="39677"/>
    <cellStyle name="계산 2 6 4 2 5" xfId="44662"/>
    <cellStyle name="计算 2 6 4 2 5" xfId="44631"/>
    <cellStyle name="계산 2 6 4 2 6" xfId="38449"/>
    <cellStyle name="计算 2 6 4 2 6" xfId="18641"/>
    <cellStyle name="계산 2 6 4 3" xfId="13778"/>
    <cellStyle name="计算 2 6 4 3" xfId="13754"/>
    <cellStyle name="계산 2 6 4 3 2" xfId="27006"/>
    <cellStyle name="计算 2 6 4 3 2" xfId="26982"/>
    <cellStyle name="계산 2 6 4 3 3" xfId="35950"/>
    <cellStyle name="计算 2 6 4 3 3" xfId="35919"/>
    <cellStyle name="계산 2 6 4 3 4" xfId="41843"/>
    <cellStyle name="计算 2 6 4 3 4" xfId="41812"/>
    <cellStyle name="계산 2 6 4 3 5" xfId="46456"/>
    <cellStyle name="计算 2 6 4 3 5" xfId="46425"/>
    <cellStyle name="계산 2 6 4 3 6" xfId="48677"/>
    <cellStyle name="计算 2 6 4 3 6" xfId="48646"/>
    <cellStyle name="계산 2 6 4 4" xfId="8048"/>
    <cellStyle name="计算 2 6 4 4" xfId="8038"/>
    <cellStyle name="계산 2 6 4 4 2" xfId="21276"/>
    <cellStyle name="计算 2 6 4 4 2" xfId="21266"/>
    <cellStyle name="계산 2 6 4 4 3" xfId="32417"/>
    <cellStyle name="计算 2 6 4 4 3" xfId="32396"/>
    <cellStyle name="계산 2 6 4 4 4" xfId="38635"/>
    <cellStyle name="计算 2 6 4 4 4" xfId="38614"/>
    <cellStyle name="계산 2 6 4 4 5" xfId="43969"/>
    <cellStyle name="计算 2 6 4 4 5" xfId="43951"/>
    <cellStyle name="계산 2 6 4 4 6" xfId="45705"/>
    <cellStyle name="计算 2 6 4 4 6" xfId="44261"/>
    <cellStyle name="계산 2 6 4 5" xfId="7286"/>
    <cellStyle name="计算 2 6 4 5" xfId="13919"/>
    <cellStyle name="계산 2 6 4 5 2" xfId="20514"/>
    <cellStyle name="计算 2 6 4 5 2" xfId="27147"/>
    <cellStyle name="계산 2 6 4 5 3" xfId="30536"/>
    <cellStyle name="计算 2 6 4 5 3" xfId="36806"/>
    <cellStyle name="계산 2 6 4 5 4" xfId="16831"/>
    <cellStyle name="计算 2 6 4 5 4" xfId="42717"/>
    <cellStyle name="계산 2 6 4 5 5" xfId="28674"/>
    <cellStyle name="计算 2 6 4 5 5" xfId="46980"/>
    <cellStyle name="계산 2 6 4 5 6" xfId="39245"/>
    <cellStyle name="计算 2 6 4 5 6" xfId="49551"/>
    <cellStyle name="계산 2 6 4 6" xfId="13662"/>
    <cellStyle name="计算 2 6 4 6" xfId="13494"/>
    <cellStyle name="계산 2 6 4 6 2" xfId="26890"/>
    <cellStyle name="计算 2 6 4 6 2" xfId="26722"/>
    <cellStyle name="계산 2 6 4 6 3" xfId="31186"/>
    <cellStyle name="计算 2 6 4 6 3" xfId="30584"/>
    <cellStyle name="계산 2 6 4 6 4" xfId="27798"/>
    <cellStyle name="计算 2 6 4 6 4" xfId="16852"/>
    <cellStyle name="계산 2 6 4 6 5" xfId="15628"/>
    <cellStyle name="计算 2 6 4 6 5" xfId="34118"/>
    <cellStyle name="계산 2 6 4 6 6" xfId="47621"/>
    <cellStyle name="计算 2 6 4 6 6" xfId="44219"/>
    <cellStyle name="계산 2 6 4 7" xfId="19388"/>
    <cellStyle name="计算 2 6 4 7" xfId="19357"/>
    <cellStyle name="계산 2 6 4 7 2" xfId="31681"/>
    <cellStyle name="计算 2 6 4 7 2" xfId="36507"/>
    <cellStyle name="계산 2 6 4 7 3" xfId="18056"/>
    <cellStyle name="计算 2 6 4 7 3" xfId="42400"/>
    <cellStyle name="계산 2 6 4 7 4" xfId="18092"/>
    <cellStyle name="计算 2 6 4 7 4" xfId="46769"/>
    <cellStyle name="계산 2 6 4 7 5" xfId="45840"/>
    <cellStyle name="计算 2 6 4 7 5" xfId="49234"/>
    <cellStyle name="계산 2 6 4 8" xfId="31798"/>
    <cellStyle name="计算 2 6 4 8" xfId="34786"/>
    <cellStyle name="계산 2 6 4 8 2" xfId="38019"/>
    <cellStyle name="计算 2 6 4 8 2" xfId="40782"/>
    <cellStyle name="계산 2 6 4 8 3" xfId="32135"/>
    <cellStyle name="计算 2 6 4 8 3" xfId="32217"/>
    <cellStyle name="계산 2 6 4 9" xfId="29212"/>
    <cellStyle name="计算 2 6 4 9" xfId="29181"/>
    <cellStyle name="계산 2 6 5" xfId="9536"/>
    <cellStyle name="计算 2 6 5" xfId="9537"/>
    <cellStyle name="계산 2 6 5 10" xfId="34568"/>
    <cellStyle name="计算 2 6 5 10" xfId="29085"/>
    <cellStyle name="계산 2 6 5 11" xfId="38430"/>
    <cellStyle name="计算 2 6 5 11" xfId="40296"/>
    <cellStyle name="계산 2 6 5 12" xfId="44545"/>
    <cellStyle name="计算 2 6 5 12" xfId="45515"/>
    <cellStyle name="계산 2 6 5 2" xfId="13173"/>
    <cellStyle name="计算 2 6 5 2" xfId="13174"/>
    <cellStyle name="계산 2 6 5 2 2" xfId="26401"/>
    <cellStyle name="计算 2 6 5 2 2" xfId="26402"/>
    <cellStyle name="계산 2 6 5 2 3" xfId="32653"/>
    <cellStyle name="计算 2 6 5 2 3" xfId="32654"/>
    <cellStyle name="계산 2 6 5 2 4" xfId="38873"/>
    <cellStyle name="计算 2 6 5 2 4" xfId="38874"/>
    <cellStyle name="계산 2 6 5 2 5" xfId="44136"/>
    <cellStyle name="计算 2 6 5 2 5" xfId="44137"/>
    <cellStyle name="계산 2 6 5 2 6" xfId="31683"/>
    <cellStyle name="计算 2 6 5 2 6" xfId="43898"/>
    <cellStyle name="계산 2 6 5 3" xfId="9076"/>
    <cellStyle name="计算 2 6 5 3" xfId="7513"/>
    <cellStyle name="계산 2 6 5 3 2" xfId="22304"/>
    <cellStyle name="计算 2 6 5 3 2" xfId="20741"/>
    <cellStyle name="계산 2 6 5 3 3" xfId="35149"/>
    <cellStyle name="计算 2 6 5 3 3" xfId="35150"/>
    <cellStyle name="계산 2 6 5 3 4" xfId="41129"/>
    <cellStyle name="计算 2 6 5 3 4" xfId="41130"/>
    <cellStyle name="계산 2 6 5 3 5" xfId="45939"/>
    <cellStyle name="计算 2 6 5 3 5" xfId="45940"/>
    <cellStyle name="계산 2 6 5 3 6" xfId="47852"/>
    <cellStyle name="计算 2 6 5 3 6" xfId="47853"/>
    <cellStyle name="계산 2 6 5 4" xfId="14037"/>
    <cellStyle name="计算 2 6 5 4" xfId="8709"/>
    <cellStyle name="계산 2 6 5 4 2" xfId="27265"/>
    <cellStyle name="计算 2 6 5 4 2" xfId="21937"/>
    <cellStyle name="계산 2 6 5 4 3" xfId="30972"/>
    <cellStyle name="计算 2 6 5 4 3" xfId="29826"/>
    <cellStyle name="계산 2 6 5 4 4" xfId="17020"/>
    <cellStyle name="计算 2 6 5 4 4" xfId="17678"/>
    <cellStyle name="계산 2 6 5 4 5" xfId="15677"/>
    <cellStyle name="计算 2 6 5 4 5" xfId="29068"/>
    <cellStyle name="계산 2 6 5 4 6" xfId="27906"/>
    <cellStyle name="计算 2 6 5 4 6" xfId="38398"/>
    <cellStyle name="계산 2 6 5 5" xfId="14359"/>
    <cellStyle name="计算 2 6 5 5" xfId="8583"/>
    <cellStyle name="계산 2 6 5 5 2" xfId="27587"/>
    <cellStyle name="计算 2 6 5 5 2" xfId="21811"/>
    <cellStyle name="계산 2 6 5 5 3" xfId="40796"/>
    <cellStyle name="计算 2 6 5 5 3" xfId="41762"/>
    <cellStyle name="계산 2 6 5 5 4" xfId="29061"/>
    <cellStyle name="计算 2 6 5 5 4" xfId="48596"/>
    <cellStyle name="계산 2 6 5 6" xfId="22764"/>
    <cellStyle name="计算 2 6 5 6" xfId="22765"/>
    <cellStyle name="계산 2 6 5 6 2" xfId="29858"/>
    <cellStyle name="计算 2 6 5 6 2" xfId="37282"/>
    <cellStyle name="계산 2 6 5 6 3" xfId="17995"/>
    <cellStyle name="计算 2 6 5 6 3" xfId="43202"/>
    <cellStyle name="계산 2 6 5 6 4" xfId="33146"/>
    <cellStyle name="计算 2 6 5 6 4" xfId="47282"/>
    <cellStyle name="계산 2 6 5 6 5" xfId="44506"/>
    <cellStyle name="计算 2 6 5 6 5" xfId="50036"/>
    <cellStyle name="계산 2 6 5 7" xfId="37615"/>
    <cellStyle name="计算 2 6 5 7" xfId="35498"/>
    <cellStyle name="계산 2 6 5 7 2" xfId="43538"/>
    <cellStyle name="计算 2 6 5 7 2" xfId="41369"/>
    <cellStyle name="계산 2 6 5 7 3" xfId="50372"/>
    <cellStyle name="计算 2 6 5 7 3" xfId="48203"/>
    <cellStyle name="계산 2 6 5 8" xfId="37746"/>
    <cellStyle name="计算 2 6 5 8" xfId="34878"/>
    <cellStyle name="계산 2 6 5 8 2" xfId="43670"/>
    <cellStyle name="计算 2 6 5 8 2" xfId="40876"/>
    <cellStyle name="계산 2 6 5 8 3" xfId="50504"/>
    <cellStyle name="计算 2 6 5 8 3" xfId="34149"/>
    <cellStyle name="계산 2 6 5 9" xfId="28342"/>
    <cellStyle name="计算 2 6 5 9" xfId="28343"/>
    <cellStyle name="계산 2 6 6" xfId="11755"/>
    <cellStyle name="计算 2 6 6" xfId="11756"/>
    <cellStyle name="계산 2 6 6 10" xfId="45253"/>
    <cellStyle name="计算 2 6 6 10" xfId="45254"/>
    <cellStyle name="계산 2 6 6 11" xfId="28223"/>
    <cellStyle name="计算 2 6 6 11" xfId="33195"/>
    <cellStyle name="계산 2 6 6 2" xfId="12679"/>
    <cellStyle name="计算 2 6 6 2" xfId="8404"/>
    <cellStyle name="계산 2 6 6 2 2" xfId="25907"/>
    <cellStyle name="计算 2 6 6 2 2" xfId="21632"/>
    <cellStyle name="계산 2 6 6 2 3" xfId="36624"/>
    <cellStyle name="计算 2 6 6 2 3" xfId="36625"/>
    <cellStyle name="계산 2 6 6 2 4" xfId="42526"/>
    <cellStyle name="计算 2 6 6 2 4" xfId="42527"/>
    <cellStyle name="계산 2 6 6 2 5" xfId="46856"/>
    <cellStyle name="计算 2 6 6 2 5" xfId="46857"/>
    <cellStyle name="계산 2 6 6 2 6" xfId="49360"/>
    <cellStyle name="计算 2 6 6 2 6" xfId="49361"/>
    <cellStyle name="계산 2 6 6 3" xfId="14452"/>
    <cellStyle name="计算 2 6 6 3" xfId="14453"/>
    <cellStyle name="계산 2 6 6 3 2" xfId="27680"/>
    <cellStyle name="计算 2 6 6 3 2" xfId="27681"/>
    <cellStyle name="계산 2 6 6 3 3" xfId="37112"/>
    <cellStyle name="计算 2 6 6 3 3" xfId="37113"/>
    <cellStyle name="계산 2 6 6 3 4" xfId="43031"/>
    <cellStyle name="计算 2 6 6 3 4" xfId="43032"/>
    <cellStyle name="계산 2 6 6 3 5" xfId="47175"/>
    <cellStyle name="计算 2 6 6 3 5" xfId="47176"/>
    <cellStyle name="계산 2 6 6 3 6" xfId="49865"/>
    <cellStyle name="计算 2 6 6 3 6" xfId="49866"/>
    <cellStyle name="계산 2 6 6 4" xfId="14095"/>
    <cellStyle name="计算 2 6 6 4" xfId="8514"/>
    <cellStyle name="계산 2 6 6 4 2" xfId="27323"/>
    <cellStyle name="计算 2 6 6 4 2" xfId="21742"/>
    <cellStyle name="계산 2 6 6 4 3" xfId="35643"/>
    <cellStyle name="计算 2 6 6 4 3" xfId="30308"/>
    <cellStyle name="계산 2 6 6 4 4" xfId="41523"/>
    <cellStyle name="计算 2 6 6 4 4" xfId="14648"/>
    <cellStyle name="계산 2 6 6 4 5" xfId="46300"/>
    <cellStyle name="计算 2 6 6 4 5" xfId="28183"/>
    <cellStyle name="계산 2 6 6 4 6" xfId="48357"/>
    <cellStyle name="计算 2 6 6 4 6" xfId="33394"/>
    <cellStyle name="계산 2 6 6 5" xfId="24983"/>
    <cellStyle name="计算 2 6 6 5" xfId="24984"/>
    <cellStyle name="계산 2 6 6 5 2" xfId="36955"/>
    <cellStyle name="计算 2 6 6 5 2" xfId="35883"/>
    <cellStyle name="계산 2 6 6 5 3" xfId="42873"/>
    <cellStyle name="计算 2 6 6 5 3" xfId="41775"/>
    <cellStyle name="계산 2 6 6 5 4" xfId="47058"/>
    <cellStyle name="计算 2 6 6 5 4" xfId="46398"/>
    <cellStyle name="계산 2 6 6 5 5" xfId="49707"/>
    <cellStyle name="计算 2 6 6 5 5" xfId="48609"/>
    <cellStyle name="계산 2 6 6 6" xfId="34731"/>
    <cellStyle name="计算 2 6 6 6" xfId="36664"/>
    <cellStyle name="계산 2 6 6 6 2" xfId="40721"/>
    <cellStyle name="计算 2 6 6 6 2" xfId="42567"/>
    <cellStyle name="계산 2 6 6 6 3" xfId="33434"/>
    <cellStyle name="计算 2 6 6 6 3" xfId="49401"/>
    <cellStyle name="계산 2 6 6 7" xfId="37898"/>
    <cellStyle name="计算 2 6 6 7" xfId="37899"/>
    <cellStyle name="계산 2 6 6 7 2" xfId="43823"/>
    <cellStyle name="计算 2 6 6 7 2" xfId="43824"/>
    <cellStyle name="계산 2 6 6 7 3" xfId="50657"/>
    <cellStyle name="计算 2 6 6 7 3" xfId="50658"/>
    <cellStyle name="계산 2 6 6 8" xfId="34219"/>
    <cellStyle name="计算 2 6 6 8" xfId="34220"/>
    <cellStyle name="계산 2 6 6 9" xfId="40244"/>
    <cellStyle name="计算 2 6 6 9" xfId="40245"/>
    <cellStyle name="계산 2 6 7" xfId="7818"/>
    <cellStyle name="计算 2 6 7" xfId="7819"/>
    <cellStyle name="계산 2 6 7 2" xfId="21046"/>
    <cellStyle name="计算 2 6 7 2" xfId="21047"/>
    <cellStyle name="계산 2 6 7 3" xfId="30923"/>
    <cellStyle name="计算 2 6 7 3" xfId="30924"/>
    <cellStyle name="계산 2 6 7 4" xfId="16995"/>
    <cellStyle name="计算 2 6 7 4" xfId="16996"/>
    <cellStyle name="계산 2 6 7 5" xfId="17601"/>
    <cellStyle name="计算 2 6 7 5" xfId="15690"/>
    <cellStyle name="계산 2 6 7 6" xfId="40123"/>
    <cellStyle name="计算 2 6 7 6" xfId="16498"/>
    <cellStyle name="계산 2 6 8" xfId="7394"/>
    <cellStyle name="计算 2 6 8" xfId="7393"/>
    <cellStyle name="계산 2 6 8 2" xfId="20622"/>
    <cellStyle name="计算 2 6 8 2" xfId="20621"/>
    <cellStyle name="계산 2 6 8 3" xfId="36698"/>
    <cellStyle name="计算 2 6 8 3" xfId="35514"/>
    <cellStyle name="계산 2 6 8 4" xfId="42602"/>
    <cellStyle name="计算 2 6 8 4" xfId="41386"/>
    <cellStyle name="계산 2 6 8 5" xfId="46909"/>
    <cellStyle name="计算 2 6 8 5" xfId="46214"/>
    <cellStyle name="계산 2 6 8 6" xfId="49436"/>
    <cellStyle name="计算 2 6 8 6" xfId="48220"/>
    <cellStyle name="계산 2 6 9" xfId="14096"/>
    <cellStyle name="计算 2 6 9" xfId="13480"/>
    <cellStyle name="계산 2 6 9 2" xfId="27324"/>
    <cellStyle name="计算 2 6 9 2" xfId="26708"/>
    <cellStyle name="계산 2 6 9 3" xfId="31254"/>
    <cellStyle name="计算 2 6 9 3" xfId="37433"/>
    <cellStyle name="계산 2 6 9 4" xfId="17181"/>
    <cellStyle name="计算 2 6 9 4" xfId="43353"/>
    <cellStyle name="계산 2 6 9 5" xfId="15621"/>
    <cellStyle name="计算 2 6 9 5" xfId="47366"/>
    <cellStyle name="계산 2 6 9 6" xfId="46749"/>
    <cellStyle name="计算 2 6 9 6" xfId="50187"/>
    <cellStyle name="계산 2 7" xfId="2662"/>
    <cellStyle name="计算 2 7" xfId="2663"/>
    <cellStyle name="계산 2 7 10" xfId="8005"/>
    <cellStyle name="计算 2 7 10" xfId="7349"/>
    <cellStyle name="계산 2 7 10 2" xfId="21233"/>
    <cellStyle name="计算 2 7 10 2" xfId="20577"/>
    <cellStyle name="계산 2 7 10 3" xfId="35511"/>
    <cellStyle name="计算 2 7 10 3" xfId="31970"/>
    <cellStyle name="계산 2 7 10 4" xfId="41383"/>
    <cellStyle name="计算 2 7 10 4" xfId="38193"/>
    <cellStyle name="계산 2 7 10 5" xfId="46211"/>
    <cellStyle name="计算 2 7 10 5" xfId="28884"/>
    <cellStyle name="계산 2 7 10 6" xfId="48217"/>
    <cellStyle name="计算 2 7 10 6" xfId="47460"/>
    <cellStyle name="계산 2 7 11" xfId="14410"/>
    <cellStyle name="计算 2 7 11" xfId="13516"/>
    <cellStyle name="계산 2 7 11 2" xfId="27638"/>
    <cellStyle name="计算 2 7 11 2" xfId="26744"/>
    <cellStyle name="계산 2 7 11 3" xfId="34993"/>
    <cellStyle name="计算 2 7 11 3" xfId="37726"/>
    <cellStyle name="계산 2 7 11 4" xfId="40997"/>
    <cellStyle name="计算 2 7 11 4" xfId="43649"/>
    <cellStyle name="계산 2 7 11 5" xfId="45809"/>
    <cellStyle name="计算 2 7 11 5" xfId="47516"/>
    <cellStyle name="계산 2 7 11 6" xfId="47693"/>
    <cellStyle name="计算 2 7 11 6" xfId="50483"/>
    <cellStyle name="계산 2 7 12" xfId="16420"/>
    <cellStyle name="计算 2 7 12" xfId="16421"/>
    <cellStyle name="계산 2 7 12 2" xfId="43750"/>
    <cellStyle name="计算 2 7 12 2" xfId="42371"/>
    <cellStyle name="계산 2 7 12 3" xfId="50584"/>
    <cellStyle name="计算 2 7 12 3" xfId="49205"/>
    <cellStyle name="계산 2 7 13" xfId="15955"/>
    <cellStyle name="计算 2 7 13" xfId="15954"/>
    <cellStyle name="계산 2 7 14" xfId="28907"/>
    <cellStyle name="计算 2 7 14" xfId="32222"/>
    <cellStyle name="계산 2 7 15" xfId="34373"/>
    <cellStyle name="计算 2 7 15" xfId="16542"/>
    <cellStyle name="계산 2 7 16" xfId="15837"/>
    <cellStyle name="计算 2 7 16" xfId="33129"/>
    <cellStyle name="계산 2 7 17" xfId="50990"/>
    <cellStyle name="计算 2 7 17" xfId="50991"/>
    <cellStyle name="계산 2 7 18" xfId="50787"/>
    <cellStyle name="计算 2 7 18" xfId="50786"/>
    <cellStyle name="계산 2 7 2" xfId="6303"/>
    <cellStyle name="计算 2 7 2" xfId="6304"/>
    <cellStyle name="계산 2 7 2 10" xfId="16050"/>
    <cellStyle name="计算 2 7 2 10" xfId="16049"/>
    <cellStyle name="계산 2 7 2 11" xfId="33166"/>
    <cellStyle name="计算 2 7 2 11" xfId="39869"/>
    <cellStyle name="계산 2 7 2 12" xfId="45394"/>
    <cellStyle name="计算 2 7 2 12" xfId="40438"/>
    <cellStyle name="계산 2 7 2 2" xfId="11037"/>
    <cellStyle name="计算 2 7 2 2" xfId="11038"/>
    <cellStyle name="계산 2 7 2 2 2" xfId="24265"/>
    <cellStyle name="计算 2 7 2 2 2" xfId="24266"/>
    <cellStyle name="계산 2 7 2 2 3" xfId="33667"/>
    <cellStyle name="计算 2 7 2 2 3" xfId="33668"/>
    <cellStyle name="계산 2 7 2 2 4" xfId="39821"/>
    <cellStyle name="计算 2 7 2 2 4" xfId="39822"/>
    <cellStyle name="계산 2 7 2 2 5" xfId="44801"/>
    <cellStyle name="计算 2 7 2 2 5" xfId="44802"/>
    <cellStyle name="계산 2 7 2 2 6" xfId="27860"/>
    <cellStyle name="计算 2 7 2 2 6" xfId="30040"/>
    <cellStyle name="계산 2 7 2 3" xfId="13881"/>
    <cellStyle name="计算 2 7 2 3" xfId="13882"/>
    <cellStyle name="계산 2 7 2 3 2" xfId="27109"/>
    <cellStyle name="计算 2 7 2 3 2" xfId="27110"/>
    <cellStyle name="계산 2 7 2 3 3" xfId="36093"/>
    <cellStyle name="计算 2 7 2 3 3" xfId="36094"/>
    <cellStyle name="계산 2 7 2 3 4" xfId="41986"/>
    <cellStyle name="计算 2 7 2 3 4" xfId="41987"/>
    <cellStyle name="계산 2 7 2 3 5" xfId="46564"/>
    <cellStyle name="计算 2 7 2 3 5" xfId="46565"/>
    <cellStyle name="계산 2 7 2 3 6" xfId="48820"/>
    <cellStyle name="计算 2 7 2 3 6" xfId="48821"/>
    <cellStyle name="계산 2 7 2 4" xfId="9069"/>
    <cellStyle name="计算 2 7 2 4" xfId="8061"/>
    <cellStyle name="계산 2 7 2 4 2" xfId="22297"/>
    <cellStyle name="计算 2 7 2 4 2" xfId="21289"/>
    <cellStyle name="계산 2 7 2 4 3" xfId="31502"/>
    <cellStyle name="计算 2 7 2 4 3" xfId="31503"/>
    <cellStyle name="계산 2 7 2 4 4" xfId="15254"/>
    <cellStyle name="计算 2 7 2 4 4" xfId="17800"/>
    <cellStyle name="계산 2 7 2 4 5" xfId="15659"/>
    <cellStyle name="计算 2 7 2 4 5" xfId="34369"/>
    <cellStyle name="계산 2 7 2 4 6" xfId="46722"/>
    <cellStyle name="计算 2 7 2 4 6" xfId="32486"/>
    <cellStyle name="계산 2 7 2 5" xfId="13928"/>
    <cellStyle name="计算 2 7 2 5" xfId="13622"/>
    <cellStyle name="계산 2 7 2 5 2" xfId="27156"/>
    <cellStyle name="计算 2 7 2 5 2" xfId="26850"/>
    <cellStyle name="계산 2 7 2 5 3" xfId="34904"/>
    <cellStyle name="计算 2 7 2 5 3" xfId="34905"/>
    <cellStyle name="계산 2 7 2 5 4" xfId="40902"/>
    <cellStyle name="计算 2 7 2 5 4" xfId="40903"/>
    <cellStyle name="계산 2 7 2 5 5" xfId="45747"/>
    <cellStyle name="计算 2 7 2 5 5" xfId="45748"/>
    <cellStyle name="계산 2 7 2 5 6" xfId="29124"/>
    <cellStyle name="计算 2 7 2 5 6" xfId="38747"/>
    <cellStyle name="계산 2 7 2 6" xfId="13565"/>
    <cellStyle name="计算 2 7 2 6" xfId="8658"/>
    <cellStyle name="계산 2 7 2 6 2" xfId="26793"/>
    <cellStyle name="计算 2 7 2 6 2" xfId="21886"/>
    <cellStyle name="계산 2 7 2 6 3" xfId="29791"/>
    <cellStyle name="计算 2 7 2 6 3" xfId="35017"/>
    <cellStyle name="계산 2 7 2 6 4" xfId="16339"/>
    <cellStyle name="计算 2 7 2 6 4" xfId="41021"/>
    <cellStyle name="계산 2 7 2 6 5" xfId="15354"/>
    <cellStyle name="计算 2 7 2 6 5" xfId="45827"/>
    <cellStyle name="계산 2 7 2 6 6" xfId="43882"/>
    <cellStyle name="计算 2 7 2 6 6" xfId="47717"/>
    <cellStyle name="계산 2 7 2 7" xfId="19531"/>
    <cellStyle name="计算 2 7 2 7" xfId="19532"/>
    <cellStyle name="계산 2 7 2 7 2" xfId="31193"/>
    <cellStyle name="计算 2 7 2 7 2" xfId="37364"/>
    <cellStyle name="계산 2 7 2 7 3" xfId="17104"/>
    <cellStyle name="计算 2 7 2 7 3" xfId="43284"/>
    <cellStyle name="계산 2 7 2 7 4" xfId="34377"/>
    <cellStyle name="计算 2 7 2 7 4" xfId="47325"/>
    <cellStyle name="계산 2 7 2 7 5" xfId="29146"/>
    <cellStyle name="计算 2 7 2 7 5" xfId="50118"/>
    <cellStyle name="계산 2 7 2 8" xfId="35835"/>
    <cellStyle name="计算 2 7 2 8" xfId="35029"/>
    <cellStyle name="계산 2 7 2 8 2" xfId="41722"/>
    <cellStyle name="计算 2 7 2 8 2" xfId="41033"/>
    <cellStyle name="계산 2 7 2 8 3" xfId="48556"/>
    <cellStyle name="计算 2 7 2 8 3" xfId="47729"/>
    <cellStyle name="계산 2 7 2 9" xfId="29355"/>
    <cellStyle name="计算 2 7 2 9" xfId="29356"/>
    <cellStyle name="계산 2 7 3" xfId="6209"/>
    <cellStyle name="计算 2 7 3" xfId="6208"/>
    <cellStyle name="계산 2 7 3 10" xfId="27708"/>
    <cellStyle name="计算 2 7 3 10" xfId="37835"/>
    <cellStyle name="계산 2 7 3 11" xfId="40070"/>
    <cellStyle name="计算 2 7 3 11" xfId="39679"/>
    <cellStyle name="계산 2 7 3 12" xfId="45327"/>
    <cellStyle name="计算 2 7 3 12" xfId="34244"/>
    <cellStyle name="계산 2 7 3 2" xfId="10943"/>
    <cellStyle name="计算 2 7 3 2" xfId="10942"/>
    <cellStyle name="계산 2 7 3 2 2" xfId="24171"/>
    <cellStyle name="计算 2 7 3 2 2" xfId="24170"/>
    <cellStyle name="계산 2 7 3 2 3" xfId="33573"/>
    <cellStyle name="计算 2 7 3 2 3" xfId="33572"/>
    <cellStyle name="계산 2 7 3 2 4" xfId="39735"/>
    <cellStyle name="计算 2 7 3 2 4" xfId="39734"/>
    <cellStyle name="계산 2 7 3 2 5" xfId="44707"/>
    <cellStyle name="计算 2 7 3 2 5" xfId="44706"/>
    <cellStyle name="계산 2 7 3 2 6" xfId="30023"/>
    <cellStyle name="计算 2 7 3 2 6" xfId="16545"/>
    <cellStyle name="계산 2 7 3 3" xfId="13799"/>
    <cellStyle name="计算 2 7 3 3" xfId="13798"/>
    <cellStyle name="계산 2 7 3 3 2" xfId="27027"/>
    <cellStyle name="计算 2 7 3 3 2" xfId="27026"/>
    <cellStyle name="계산 2 7 3 3 3" xfId="35999"/>
    <cellStyle name="计算 2 7 3 3 3" xfId="35998"/>
    <cellStyle name="계산 2 7 3 3 4" xfId="41892"/>
    <cellStyle name="计算 2 7 3 3 4" xfId="41891"/>
    <cellStyle name="계산 2 7 3 3 5" xfId="46474"/>
    <cellStyle name="计算 2 7 3 3 5" xfId="46473"/>
    <cellStyle name="계산 2 7 3 3 6" xfId="48726"/>
    <cellStyle name="计算 2 7 3 3 6" xfId="48725"/>
    <cellStyle name="계산 2 7 3 4" xfId="8056"/>
    <cellStyle name="计算 2 7 3 4" xfId="12738"/>
    <cellStyle name="계산 2 7 3 4 2" xfId="21284"/>
    <cellStyle name="计算 2 7 3 4 2" xfId="25966"/>
    <cellStyle name="계산 2 7 3 4 3" xfId="31888"/>
    <cellStyle name="计算 2 7 3 4 3" xfId="34837"/>
    <cellStyle name="계산 2 7 3 4 4" xfId="38109"/>
    <cellStyle name="计算 2 7 3 4 4" xfId="40836"/>
    <cellStyle name="계산 2 7 3 4 5" xfId="15529"/>
    <cellStyle name="计算 2 7 3 4 5" xfId="45699"/>
    <cellStyle name="계산 2 7 3 4 6" xfId="44169"/>
    <cellStyle name="计算 2 7 3 4 6" xfId="32534"/>
    <cellStyle name="계산 2 7 3 5" xfId="13938"/>
    <cellStyle name="计算 2 7 3 5" xfId="7259"/>
    <cellStyle name="계산 2 7 3 5 2" xfId="27166"/>
    <cellStyle name="计算 2 7 3 5 2" xfId="20487"/>
    <cellStyle name="계산 2 7 3 5 3" xfId="34703"/>
    <cellStyle name="计算 2 7 3 5 3" xfId="30438"/>
    <cellStyle name="계산 2 7 3 5 4" xfId="40693"/>
    <cellStyle name="计算 2 7 3 5 4" xfId="14895"/>
    <cellStyle name="계산 2 7 3 5 5" xfId="45618"/>
    <cellStyle name="计算 2 7 3 5 5" xfId="32236"/>
    <cellStyle name="계산 2 7 3 5 6" xfId="38757"/>
    <cellStyle name="计算 2 7 3 5 6" xfId="46046"/>
    <cellStyle name="계산 2 7 3 6" xfId="13018"/>
    <cellStyle name="计算 2 7 3 6" xfId="13536"/>
    <cellStyle name="계산 2 7 3 6 2" xfId="26246"/>
    <cellStyle name="计算 2 7 3 6 2" xfId="26764"/>
    <cellStyle name="계산 2 7 3 6 3" xfId="32356"/>
    <cellStyle name="计算 2 7 3 6 3" xfId="30761"/>
    <cellStyle name="계산 2 7 3 6 4" xfId="38574"/>
    <cellStyle name="计算 2 7 3 6 4" xfId="16926"/>
    <cellStyle name="계산 2 7 3 6 5" xfId="43920"/>
    <cellStyle name="计算 2 7 3 6 5" xfId="27978"/>
    <cellStyle name="계산 2 7 3 6 6" xfId="17970"/>
    <cellStyle name="计算 2 7 3 6 6" xfId="40549"/>
    <cellStyle name="계산 2 7 3 7" xfId="19437"/>
    <cellStyle name="计算 2 7 3 7" xfId="19436"/>
    <cellStyle name="계산 2 7 3 7 2" xfId="30817"/>
    <cellStyle name="计算 2 7 3 7 2" xfId="36523"/>
    <cellStyle name="계산 2 7 3 7 3" xfId="15166"/>
    <cellStyle name="计算 2 7 3 7 3" xfId="42421"/>
    <cellStyle name="계산 2 7 3 7 4" xfId="14523"/>
    <cellStyle name="计算 2 7 3 7 4" xfId="46778"/>
    <cellStyle name="계산 2 7 3 7 5" xfId="33068"/>
    <cellStyle name="计算 2 7 3 7 5" xfId="49255"/>
    <cellStyle name="계산 2 7 3 8" xfId="35843"/>
    <cellStyle name="计算 2 7 3 8" xfId="31378"/>
    <cellStyle name="계산 2 7 3 8 2" xfId="41732"/>
    <cellStyle name="计算 2 7 3 8 2" xfId="17225"/>
    <cellStyle name="계산 2 7 3 8 3" xfId="48566"/>
    <cellStyle name="计算 2 7 3 8 3" xfId="15506"/>
    <cellStyle name="계산 2 7 3 9" xfId="29261"/>
    <cellStyle name="计算 2 7 3 9" xfId="29260"/>
    <cellStyle name="계산 2 7 4" xfId="6578"/>
    <cellStyle name="计算 2 7 4" xfId="6579"/>
    <cellStyle name="계산 2 7 4 10" xfId="16247"/>
    <cellStyle name="计算 2 7 4 10" xfId="16248"/>
    <cellStyle name="계산 2 7 4 11" xfId="39840"/>
    <cellStyle name="计算 2 7 4 11" xfId="34156"/>
    <cellStyle name="계산 2 7 4 12" xfId="40502"/>
    <cellStyle name="计算 2 7 4 12" xfId="18069"/>
    <cellStyle name="계산 2 7 4 2" xfId="11312"/>
    <cellStyle name="计算 2 7 4 2" xfId="11313"/>
    <cellStyle name="계산 2 7 4 2 2" xfId="24540"/>
    <cellStyle name="计算 2 7 4 2 2" xfId="24541"/>
    <cellStyle name="계산 2 7 4 2 3" xfId="33942"/>
    <cellStyle name="计算 2 7 4 2 3" xfId="33943"/>
    <cellStyle name="계산 2 7 4 2 4" xfId="39999"/>
    <cellStyle name="计算 2 7 4 2 4" xfId="40000"/>
    <cellStyle name="계산 2 7 4 2 5" xfId="45018"/>
    <cellStyle name="计算 2 7 4 2 5" xfId="45019"/>
    <cellStyle name="계산 2 7 4 2 6" xfId="27935"/>
    <cellStyle name="计算 2 7 4 2 6" xfId="39941"/>
    <cellStyle name="계산 2 7 4 3" xfId="13963"/>
    <cellStyle name="计算 2 7 4 3" xfId="13964"/>
    <cellStyle name="계산 2 7 4 3 2" xfId="27191"/>
    <cellStyle name="计算 2 7 4 3 2" xfId="27192"/>
    <cellStyle name="계산 2 7 4 3 3" xfId="36368"/>
    <cellStyle name="计算 2 7 4 3 3" xfId="36369"/>
    <cellStyle name="계산 2 7 4 3 4" xfId="42261"/>
    <cellStyle name="计算 2 7 4 3 4" xfId="42262"/>
    <cellStyle name="계산 2 7 4 3 5" xfId="46683"/>
    <cellStyle name="计算 2 7 4 3 5" xfId="46684"/>
    <cellStyle name="계산 2 7 4 3 6" xfId="49095"/>
    <cellStyle name="计算 2 7 4 3 6" xfId="49096"/>
    <cellStyle name="계산 2 7 4 4" xfId="8262"/>
    <cellStyle name="计算 2 7 4 4" xfId="8263"/>
    <cellStyle name="계산 2 7 4 4 2" xfId="21490"/>
    <cellStyle name="计算 2 7 4 4 2" xfId="21491"/>
    <cellStyle name="계산 2 7 4 4 3" xfId="31570"/>
    <cellStyle name="计算 2 7 4 4 3" xfId="31938"/>
    <cellStyle name="계산 2 7 4 4 4" xfId="17864"/>
    <cellStyle name="计算 2 7 4 4 4" xfId="38160"/>
    <cellStyle name="계산 2 7 4 4 5" xfId="17579"/>
    <cellStyle name="计算 2 7 4 4 5" xfId="18077"/>
    <cellStyle name="계산 2 7 4 4 6" xfId="39223"/>
    <cellStyle name="计算 2 7 4 4 6" xfId="47390"/>
    <cellStyle name="계산 2 7 4 5" xfId="7232"/>
    <cellStyle name="计算 2 7 4 5" xfId="14052"/>
    <cellStyle name="계산 2 7 4 5 2" xfId="20460"/>
    <cellStyle name="计算 2 7 4 5 2" xfId="27280"/>
    <cellStyle name="계산 2 7 4 5 3" xfId="32006"/>
    <cellStyle name="计算 2 7 4 5 3" xfId="30368"/>
    <cellStyle name="계산 2 7 4 5 4" xfId="38229"/>
    <cellStyle name="计算 2 7 4 5 4" xfId="16780"/>
    <cellStyle name="계산 2 7 4 5 5" xfId="33332"/>
    <cellStyle name="计算 2 7 4 5 5" xfId="33216"/>
    <cellStyle name="계산 2 7 4 5 6" xfId="46775"/>
    <cellStyle name="计算 2 7 4 5 6" xfId="45417"/>
    <cellStyle name="계산 2 7 4 6" xfId="13025"/>
    <cellStyle name="计算 2 7 4 6" xfId="14161"/>
    <cellStyle name="계산 2 7 4 6 2" xfId="26253"/>
    <cellStyle name="计算 2 7 4 6 2" xfId="27389"/>
    <cellStyle name="계산 2 7 4 6 3" xfId="32079"/>
    <cellStyle name="计算 2 7 4 6 3" xfId="36645"/>
    <cellStyle name="계산 2 7 4 6 4" xfId="38302"/>
    <cellStyle name="计算 2 7 4 6 4" xfId="42547"/>
    <cellStyle name="계산 2 7 4 6 5" xfId="33368"/>
    <cellStyle name="计算 2 7 4 6 5" xfId="46876"/>
    <cellStyle name="계산 2 7 4 6 6" xfId="46721"/>
    <cellStyle name="计算 2 7 4 6 6" xfId="49381"/>
    <cellStyle name="계산 2 7 4 7" xfId="19806"/>
    <cellStyle name="计算 2 7 4 7" xfId="19807"/>
    <cellStyle name="계산 2 7 4 7 2" xfId="32009"/>
    <cellStyle name="计算 2 7 4 7 2" xfId="30509"/>
    <cellStyle name="계산 2 7 4 7 3" xfId="38232"/>
    <cellStyle name="计算 2 7 4 7 3" xfId="14674"/>
    <cellStyle name="계산 2 7 4 7 4" xfId="17968"/>
    <cellStyle name="计算 2 7 4 7 4" xfId="17382"/>
    <cellStyle name="계산 2 7 4 7 5" xfId="15552"/>
    <cellStyle name="计算 2 7 4 7 5" xfId="15363"/>
    <cellStyle name="계산 2 7 4 8" xfId="31641"/>
    <cellStyle name="计算 2 7 4 8" xfId="32398"/>
    <cellStyle name="계산 2 7 4 8 2" xfId="17868"/>
    <cellStyle name="计算 2 7 4 8 2" xfId="38616"/>
    <cellStyle name="계산 2 7 4 8 3" xfId="47552"/>
    <cellStyle name="计算 2 7 4 8 3" xfId="17603"/>
    <cellStyle name="계산 2 7 4 9" xfId="29630"/>
    <cellStyle name="计算 2 7 4 9" xfId="29631"/>
    <cellStyle name="계산 2 7 5" xfId="9538"/>
    <cellStyle name="计算 2 7 5" xfId="9539"/>
    <cellStyle name="계산 2 7 5 10" xfId="27916"/>
    <cellStyle name="计算 2 7 5 10" xfId="30014"/>
    <cellStyle name="계산 2 7 5 11" xfId="39210"/>
    <cellStyle name="计算 2 7 5 11" xfId="34263"/>
    <cellStyle name="계산 2 7 5 12" xfId="15358"/>
    <cellStyle name="计算 2 7 5 12" xfId="33111"/>
    <cellStyle name="계산 2 7 5 2" xfId="13175"/>
    <cellStyle name="计算 2 7 5 2" xfId="13176"/>
    <cellStyle name="계산 2 7 5 2 2" xfId="26403"/>
    <cellStyle name="计算 2 7 5 2 2" xfId="26404"/>
    <cellStyle name="계산 2 7 5 2 3" xfId="32655"/>
    <cellStyle name="计算 2 7 5 2 3" xfId="32656"/>
    <cellStyle name="계산 2 7 5 2 4" xfId="38875"/>
    <cellStyle name="计算 2 7 5 2 4" xfId="38876"/>
    <cellStyle name="계산 2 7 5 2 5" xfId="44138"/>
    <cellStyle name="计算 2 7 5 2 5" xfId="44139"/>
    <cellStyle name="계산 2 7 5 2 6" xfId="47482"/>
    <cellStyle name="计算 2 7 5 2 6" xfId="45659"/>
    <cellStyle name="계산 2 7 5 3" xfId="7475"/>
    <cellStyle name="计算 2 7 5 3" xfId="6722"/>
    <cellStyle name="계산 2 7 5 3 2" xfId="20703"/>
    <cellStyle name="计算 2 7 5 3 2" xfId="19950"/>
    <cellStyle name="계산 2 7 5 3 3" xfId="35151"/>
    <cellStyle name="计算 2 7 5 3 3" xfId="35152"/>
    <cellStyle name="계산 2 7 5 3 4" xfId="41131"/>
    <cellStyle name="计算 2 7 5 3 4" xfId="41132"/>
    <cellStyle name="계산 2 7 5 3 5" xfId="45941"/>
    <cellStyle name="计算 2 7 5 3 5" xfId="45942"/>
    <cellStyle name="계산 2 7 5 3 6" xfId="47854"/>
    <cellStyle name="计算 2 7 5 3 6" xfId="47855"/>
    <cellStyle name="계산 2 7 5 4" xfId="8499"/>
    <cellStyle name="计算 2 7 5 4" xfId="8550"/>
    <cellStyle name="계산 2 7 5 4 2" xfId="21727"/>
    <cellStyle name="计算 2 7 5 4 2" xfId="21778"/>
    <cellStyle name="계산 2 7 5 4 3" xfId="30975"/>
    <cellStyle name="计算 2 7 5 4 3" xfId="30976"/>
    <cellStyle name="계산 2 7 5 4 4" xfId="17023"/>
    <cellStyle name="计算 2 7 5 4 4" xfId="17024"/>
    <cellStyle name="계산 2 7 5 4 5" xfId="15675"/>
    <cellStyle name="计算 2 7 5 4 5" xfId="31419"/>
    <cellStyle name="계산 2 7 5 4 6" xfId="40601"/>
    <cellStyle name="计算 2 7 5 4 6" xfId="39619"/>
    <cellStyle name="계산 2 7 5 5" xfId="12670"/>
    <cellStyle name="计算 2 7 5 5" xfId="6765"/>
    <cellStyle name="계산 2 7 5 5 2" xfId="25898"/>
    <cellStyle name="计算 2 7 5 5 2" xfId="19993"/>
    <cellStyle name="계산 2 7 5 5 3" xfId="42859"/>
    <cellStyle name="计算 2 7 5 5 3" xfId="41405"/>
    <cellStyle name="계산 2 7 5 5 4" xfId="49693"/>
    <cellStyle name="计算 2 7 5 5 4" xfId="48239"/>
    <cellStyle name="계산 2 7 5 6" xfId="22766"/>
    <cellStyle name="计算 2 7 5 6" xfId="22767"/>
    <cellStyle name="계산 2 7 5 6 2" xfId="30834"/>
    <cellStyle name="计算 2 7 5 6 2" xfId="36999"/>
    <cellStyle name="계산 2 7 5 6 3" xfId="15167"/>
    <cellStyle name="计算 2 7 5 6 3" xfId="42918"/>
    <cellStyle name="계산 2 7 5 6 4" xfId="15715"/>
    <cellStyle name="计算 2 7 5 6 4" xfId="47094"/>
    <cellStyle name="계산 2 7 5 6 5" xfId="38524"/>
    <cellStyle name="计算 2 7 5 6 5" xfId="49752"/>
    <cellStyle name="계산 2 7 5 7" xfId="34700"/>
    <cellStyle name="计算 2 7 5 7" xfId="30065"/>
    <cellStyle name="계산 2 7 5 7 2" xfId="40690"/>
    <cellStyle name="计算 2 7 5 7 2" xfId="16548"/>
    <cellStyle name="계산 2 7 5 7 3" xfId="17489"/>
    <cellStyle name="计算 2 7 5 7 3" xfId="45172"/>
    <cellStyle name="계산 2 7 5 8" xfId="34889"/>
    <cellStyle name="计算 2 7 5 8" xfId="36555"/>
    <cellStyle name="계산 2 7 5 8 2" xfId="40887"/>
    <cellStyle name="计算 2 7 5 8 2" xfId="42453"/>
    <cellStyle name="계산 2 7 5 8 3" xfId="16523"/>
    <cellStyle name="计算 2 7 5 8 3" xfId="49287"/>
    <cellStyle name="계산 2 7 5 9" xfId="28344"/>
    <cellStyle name="计算 2 7 5 9" xfId="28345"/>
    <cellStyle name="계산 2 7 6" xfId="11757"/>
    <cellStyle name="计算 2 7 6" xfId="11758"/>
    <cellStyle name="계산 2 7 6 10" xfId="45255"/>
    <cellStyle name="计算 2 7 6 10" xfId="45256"/>
    <cellStyle name="계산 2 7 6 11" xfId="40372"/>
    <cellStyle name="计算 2 7 6 11" xfId="39406"/>
    <cellStyle name="계산 2 7 6 2" xfId="8405"/>
    <cellStyle name="计算 2 7 6 2" xfId="12676"/>
    <cellStyle name="계산 2 7 6 2 2" xfId="21633"/>
    <cellStyle name="计算 2 7 6 2 2" xfId="25904"/>
    <cellStyle name="계산 2 7 6 2 3" xfId="36626"/>
    <cellStyle name="计算 2 7 6 2 3" xfId="36627"/>
    <cellStyle name="계산 2 7 6 2 4" xfId="42528"/>
    <cellStyle name="计算 2 7 6 2 4" xfId="42529"/>
    <cellStyle name="계산 2 7 6 2 5" xfId="46858"/>
    <cellStyle name="计算 2 7 6 2 5" xfId="46859"/>
    <cellStyle name="계산 2 7 6 2 6" xfId="49362"/>
    <cellStyle name="计算 2 7 6 2 6" xfId="49363"/>
    <cellStyle name="계산 2 7 6 3" xfId="14454"/>
    <cellStyle name="计算 2 7 6 3" xfId="14455"/>
    <cellStyle name="계산 2 7 6 3 2" xfId="27682"/>
    <cellStyle name="计算 2 7 6 3 2" xfId="27683"/>
    <cellStyle name="계산 2 7 6 3 3" xfId="37114"/>
    <cellStyle name="计算 2 7 6 3 3" xfId="37115"/>
    <cellStyle name="계산 2 7 6 3 4" xfId="43033"/>
    <cellStyle name="计算 2 7 6 3 4" xfId="43034"/>
    <cellStyle name="계산 2 7 6 3 5" xfId="47177"/>
    <cellStyle name="计算 2 7 6 3 5" xfId="47178"/>
    <cellStyle name="계산 2 7 6 3 6" xfId="49867"/>
    <cellStyle name="计算 2 7 6 3 6" xfId="49868"/>
    <cellStyle name="계산 2 7 6 4" xfId="13023"/>
    <cellStyle name="计算 2 7 6 4" xfId="14160"/>
    <cellStyle name="계산 2 7 6 4 2" xfId="26251"/>
    <cellStyle name="计算 2 7 6 4 2" xfId="27388"/>
    <cellStyle name="계산 2 7 6 4 3" xfId="30307"/>
    <cellStyle name="计算 2 7 6 4 3" xfId="36529"/>
    <cellStyle name="계산 2 7 6 4 4" xfId="16741"/>
    <cellStyle name="计算 2 7 6 4 4" xfId="42427"/>
    <cellStyle name="계산 2 7 6 4 5" xfId="33150"/>
    <cellStyle name="计算 2 7 6 4 5" xfId="46783"/>
    <cellStyle name="계산 2 7 6 4 6" xfId="27889"/>
    <cellStyle name="计算 2 7 6 4 6" xfId="49261"/>
    <cellStyle name="계산 2 7 6 5" xfId="24985"/>
    <cellStyle name="计算 2 7 6 5" xfId="24986"/>
    <cellStyle name="계산 2 7 6 5 2" xfId="32078"/>
    <cellStyle name="计算 2 7 6 5 2" xfId="30274"/>
    <cellStyle name="계산 2 7 6 5 3" xfId="38301"/>
    <cellStyle name="计算 2 7 6 5 3" xfId="16673"/>
    <cellStyle name="계산 2 7 6 5 4" xfId="17898"/>
    <cellStyle name="计算 2 7 6 5 4" xfId="34602"/>
    <cellStyle name="계산 2 7 6 5 5" xfId="28819"/>
    <cellStyle name="计算 2 7 6 5 5" xfId="29060"/>
    <cellStyle name="계산 2 7 6 6" xfId="29774"/>
    <cellStyle name="计算 2 7 6 6" xfId="37129"/>
    <cellStyle name="계산 2 7 6 6 2" xfId="30742"/>
    <cellStyle name="计算 2 7 6 6 2" xfId="43048"/>
    <cellStyle name="계산 2 7 6 6 3" xfId="43867"/>
    <cellStyle name="计算 2 7 6 6 3" xfId="49882"/>
    <cellStyle name="계산 2 7 6 7" xfId="37900"/>
    <cellStyle name="计算 2 7 6 7" xfId="37901"/>
    <cellStyle name="계산 2 7 6 7 2" xfId="43825"/>
    <cellStyle name="计算 2 7 6 7 2" xfId="43826"/>
    <cellStyle name="계산 2 7 6 7 3" xfId="50659"/>
    <cellStyle name="计算 2 7 6 7 3" xfId="50660"/>
    <cellStyle name="계산 2 7 6 8" xfId="34221"/>
    <cellStyle name="计算 2 7 6 8" xfId="34222"/>
    <cellStyle name="계산 2 7 6 9" xfId="40246"/>
    <cellStyle name="计算 2 7 6 9" xfId="40247"/>
    <cellStyle name="계산 2 7 7" xfId="7820"/>
    <cellStyle name="计算 2 7 7" xfId="7821"/>
    <cellStyle name="계산 2 7 7 2" xfId="21048"/>
    <cellStyle name="计算 2 7 7 2" xfId="21049"/>
    <cellStyle name="계산 2 7 7 3" xfId="30925"/>
    <cellStyle name="计算 2 7 7 3" xfId="30926"/>
    <cellStyle name="계산 2 7 7 4" xfId="16997"/>
    <cellStyle name="计算 2 7 7 4" xfId="16998"/>
    <cellStyle name="계산 2 7 7 5" xfId="15691"/>
    <cellStyle name="计算 2 7 7 5" xfId="36719"/>
    <cellStyle name="계산 2 7 7 6" xfId="27855"/>
    <cellStyle name="计算 2 7 7 6" xfId="29031"/>
    <cellStyle name="계산 2 7 8" xfId="7392"/>
    <cellStyle name="计算 2 7 8" xfId="7391"/>
    <cellStyle name="계산 2 7 8 2" xfId="20620"/>
    <cellStyle name="计算 2 7 8 2" xfId="20619"/>
    <cellStyle name="계산 2 7 8 3" xfId="36921"/>
    <cellStyle name="计算 2 7 8 3" xfId="35850"/>
    <cellStyle name="계산 2 7 8 4" xfId="42836"/>
    <cellStyle name="计算 2 7 8 4" xfId="41739"/>
    <cellStyle name="계산 2 7 8 5" xfId="47044"/>
    <cellStyle name="计算 2 7 8 5" xfId="46385"/>
    <cellStyle name="계산 2 7 8 6" xfId="49670"/>
    <cellStyle name="计算 2 7 8 6" xfId="48573"/>
    <cellStyle name="계산 2 7 9" xfId="14232"/>
    <cellStyle name="计算 2 7 9" xfId="13663"/>
    <cellStyle name="계산 2 7 9 2" xfId="27460"/>
    <cellStyle name="计算 2 7 9 2" xfId="26891"/>
    <cellStyle name="계산 2 7 9 3" xfId="31392"/>
    <cellStyle name="计算 2 7 9 3" xfId="30695"/>
    <cellStyle name="계산 2 7 9 4" xfId="17233"/>
    <cellStyle name="计算 2 7 9 4" xfId="17837"/>
    <cellStyle name="계산 2 7 9 5" xfId="33414"/>
    <cellStyle name="计算 2 7 9 5" xfId="27905"/>
    <cellStyle name="계산 2 7 9 6" xfId="28856"/>
    <cellStyle name="计算 2 7 9 6" xfId="44207"/>
    <cellStyle name="계산 2 8" xfId="2664"/>
    <cellStyle name="计算 2 8" xfId="2665"/>
    <cellStyle name="계산 2 8 10" xfId="12692"/>
    <cellStyle name="计算 2 8 10" xfId="7439"/>
    <cellStyle name="계산 2 8 10 2" xfId="25920"/>
    <cellStyle name="计算 2 8 10 2" xfId="20667"/>
    <cellStyle name="계산 2 8 10 3" xfId="31680"/>
    <cellStyle name="计算 2 8 10 3" xfId="37637"/>
    <cellStyle name="계산 2 8 10 4" xfId="18014"/>
    <cellStyle name="计算 2 8 10 4" xfId="43560"/>
    <cellStyle name="계산 2 8 10 5" xfId="36903"/>
    <cellStyle name="计算 2 8 10 5" xfId="47471"/>
    <cellStyle name="계산 2 8 10 6" xfId="34314"/>
    <cellStyle name="计算 2 8 10 6" xfId="50394"/>
    <cellStyle name="계산 2 8 11" xfId="14478"/>
    <cellStyle name="计算 2 8 11" xfId="14051"/>
    <cellStyle name="계산 2 8 11 2" xfId="27706"/>
    <cellStyle name="计算 2 8 11 2" xfId="27279"/>
    <cellStyle name="계산 2 8 11 3" xfId="31966"/>
    <cellStyle name="计算 2 8 11 3" xfId="37812"/>
    <cellStyle name="계산 2 8 11 4" xfId="38189"/>
    <cellStyle name="计算 2 8 11 4" xfId="43736"/>
    <cellStyle name="계산 2 8 11 5" xfId="17566"/>
    <cellStyle name="计算 2 8 11 5" xfId="47555"/>
    <cellStyle name="계산 2 8 11 6" xfId="28241"/>
    <cellStyle name="计算 2 8 11 6" xfId="50570"/>
    <cellStyle name="계산 2 8 12" xfId="16422"/>
    <cellStyle name="计算 2 8 12" xfId="16423"/>
    <cellStyle name="계산 2 8 12 2" xfId="43761"/>
    <cellStyle name="计算 2 8 12 2" xfId="16691"/>
    <cellStyle name="계산 2 8 12 3" xfId="50595"/>
    <cellStyle name="计算 2 8 12 3" xfId="18494"/>
    <cellStyle name="계산 2 8 13" xfId="15953"/>
    <cellStyle name="计算 2 8 13" xfId="15952"/>
    <cellStyle name="계산 2 8 14" xfId="34284"/>
    <cellStyle name="计算 2 8 14" xfId="33002"/>
    <cellStyle name="계산 2 8 15" xfId="40195"/>
    <cellStyle name="计算 2 8 15" xfId="38775"/>
    <cellStyle name="계산 2 8 16" xfId="40461"/>
    <cellStyle name="计算 2 8 16" xfId="39399"/>
    <cellStyle name="계산 2 8 17" xfId="50992"/>
    <cellStyle name="计算 2 8 17" xfId="50993"/>
    <cellStyle name="계산 2 8 18" xfId="50785"/>
    <cellStyle name="计算 2 8 18" xfId="50784"/>
    <cellStyle name="계산 2 8 2" xfId="6305"/>
    <cellStyle name="计算 2 8 2" xfId="6306"/>
    <cellStyle name="계산 2 8 2 10" xfId="18645"/>
    <cellStyle name="计算 2 8 2 10" xfId="16052"/>
    <cellStyle name="계산 2 8 2 11" xfId="41183"/>
    <cellStyle name="计算 2 8 2 11" xfId="34429"/>
    <cellStyle name="계산 2 8 2 12" xfId="18068"/>
    <cellStyle name="计算 2 8 2 12" xfId="45284"/>
    <cellStyle name="계산 2 8 2 2" xfId="11039"/>
    <cellStyle name="计算 2 8 2 2" xfId="11040"/>
    <cellStyle name="계산 2 8 2 2 2" xfId="24267"/>
    <cellStyle name="计算 2 8 2 2 2" xfId="24268"/>
    <cellStyle name="계산 2 8 2 2 3" xfId="33669"/>
    <cellStyle name="计算 2 8 2 2 3" xfId="33670"/>
    <cellStyle name="계산 2 8 2 2 4" xfId="39823"/>
    <cellStyle name="计算 2 8 2 2 4" xfId="39824"/>
    <cellStyle name="계산 2 8 2 2 5" xfId="44803"/>
    <cellStyle name="计算 2 8 2 2 5" xfId="44804"/>
    <cellStyle name="계산 2 8 2 2 6" xfId="34151"/>
    <cellStyle name="计算 2 8 2 2 6" xfId="15373"/>
    <cellStyle name="계산 2 8 2 3" xfId="13883"/>
    <cellStyle name="计算 2 8 2 3" xfId="13884"/>
    <cellStyle name="계산 2 8 2 3 2" xfId="27111"/>
    <cellStyle name="计算 2 8 2 3 2" xfId="27112"/>
    <cellStyle name="계산 2 8 2 3 3" xfId="36095"/>
    <cellStyle name="计算 2 8 2 3 3" xfId="36096"/>
    <cellStyle name="계산 2 8 2 3 4" xfId="41988"/>
    <cellStyle name="计算 2 8 2 3 4" xfId="41989"/>
    <cellStyle name="계산 2 8 2 3 5" xfId="46566"/>
    <cellStyle name="计算 2 8 2 3 5" xfId="46567"/>
    <cellStyle name="계산 2 8 2 3 6" xfId="48822"/>
    <cellStyle name="计算 2 8 2 3 6" xfId="48823"/>
    <cellStyle name="계산 2 8 2 4" xfId="8063"/>
    <cellStyle name="计算 2 8 2 4" xfId="12775"/>
    <cellStyle name="계산 2 8 2 4 2" xfId="21291"/>
    <cellStyle name="计算 2 8 2 4 2" xfId="26003"/>
    <cellStyle name="계산 2 8 2 4 3" xfId="29887"/>
    <cellStyle name="计算 2 8 2 4 3" xfId="31519"/>
    <cellStyle name="계산 2 8 2 4 4" xfId="16429"/>
    <cellStyle name="计算 2 8 2 4 4" xfId="18158"/>
    <cellStyle name="계산 2 8 2 4 5" xfId="32490"/>
    <cellStyle name="计算 2 8 2 4 5" xfId="15610"/>
    <cellStyle name="계산 2 8 2 4 6" xfId="45275"/>
    <cellStyle name="计算 2 8 2 4 6" xfId="46203"/>
    <cellStyle name="계산 2 8 2 5" xfId="8541"/>
    <cellStyle name="计算 2 8 2 5" xfId="8540"/>
    <cellStyle name="계산 2 8 2 5 2" xfId="21769"/>
    <cellStyle name="计算 2 8 2 5 2" xfId="21768"/>
    <cellStyle name="계산 2 8 2 5 3" xfId="30416"/>
    <cellStyle name="计算 2 8 2 5 3" xfId="34906"/>
    <cellStyle name="계산 2 8 2 5 4" xfId="14875"/>
    <cellStyle name="计算 2 8 2 5 4" xfId="40904"/>
    <cellStyle name="계산 2 8 2 5 5" xfId="33050"/>
    <cellStyle name="计算 2 8 2 5 5" xfId="45749"/>
    <cellStyle name="계산 2 8 2 5 6" xfId="47386"/>
    <cellStyle name="计算 2 8 2 5 6" xfId="40166"/>
    <cellStyle name="계산 2 8 2 6" xfId="7365"/>
    <cellStyle name="计算 2 8 2 6" xfId="13892"/>
    <cellStyle name="계산 2 8 2 6 2" xfId="20593"/>
    <cellStyle name="计算 2 8 2 6 2" xfId="27120"/>
    <cellStyle name="계산 2 8 2 6 3" xfId="30271"/>
    <cellStyle name="计算 2 8 2 6 3" xfId="30782"/>
    <cellStyle name="계산 2 8 2 6 4" xfId="14646"/>
    <cellStyle name="计算 2 8 2 6 4" xfId="14696"/>
    <cellStyle name="계산 2 8 2 6 5" xfId="27951"/>
    <cellStyle name="计算 2 8 2 6 5" xfId="28726"/>
    <cellStyle name="계산 2 8 2 6 6" xfId="45561"/>
    <cellStyle name="计算 2 8 2 6 6" xfId="39643"/>
    <cellStyle name="계산 2 8 2 7" xfId="19533"/>
    <cellStyle name="计算 2 8 2 7" xfId="19534"/>
    <cellStyle name="계산 2 8 2 7 2" xfId="32313"/>
    <cellStyle name="计算 2 8 2 7 2" xfId="34865"/>
    <cellStyle name="계산 2 8 2 7 3" xfId="38531"/>
    <cellStyle name="计算 2 8 2 7 3" xfId="40864"/>
    <cellStyle name="계산 2 8 2 7 4" xfId="43897"/>
    <cellStyle name="计算 2 8 2 7 4" xfId="45716"/>
    <cellStyle name="계산 2 8 2 7 5" xfId="46368"/>
    <cellStyle name="计算 2 8 2 7 5" xfId="17402"/>
    <cellStyle name="계산 2 8 2 8" xfId="31669"/>
    <cellStyle name="计算 2 8 2 8" xfId="37560"/>
    <cellStyle name="계산 2 8 2 8 2" xfId="17354"/>
    <cellStyle name="计算 2 8 2 8 2" xfId="43481"/>
    <cellStyle name="계산 2 8 2 8 3" xfId="46982"/>
    <cellStyle name="计算 2 8 2 8 3" xfId="50315"/>
    <cellStyle name="계산 2 8 2 9" xfId="29357"/>
    <cellStyle name="计算 2 8 2 9" xfId="29358"/>
    <cellStyle name="계산 2 8 3" xfId="6207"/>
    <cellStyle name="计算 2 8 3" xfId="6206"/>
    <cellStyle name="계산 2 8 3 10" xfId="36875"/>
    <cellStyle name="计算 2 8 3 10" xfId="36683"/>
    <cellStyle name="계산 2 8 3 11" xfId="31632"/>
    <cellStyle name="计算 2 8 3 11" xfId="40633"/>
    <cellStyle name="계산 2 8 3 12" xfId="40367"/>
    <cellStyle name="计算 2 8 3 12" xfId="45397"/>
    <cellStyle name="계산 2 8 3 2" xfId="10941"/>
    <cellStyle name="计算 2 8 3 2" xfId="10940"/>
    <cellStyle name="계산 2 8 3 2 2" xfId="24169"/>
    <cellStyle name="计算 2 8 3 2 2" xfId="24168"/>
    <cellStyle name="계산 2 8 3 2 3" xfId="33571"/>
    <cellStyle name="计算 2 8 3 2 3" xfId="33570"/>
    <cellStyle name="계산 2 8 3 2 4" xfId="39733"/>
    <cellStyle name="计算 2 8 3 2 4" xfId="39732"/>
    <cellStyle name="계산 2 8 3 2 5" xfId="44705"/>
    <cellStyle name="计算 2 8 3 2 5" xfId="44704"/>
    <cellStyle name="계산 2 8 3 2 6" xfId="40198"/>
    <cellStyle name="计算 2 8 3 2 6" xfId="38778"/>
    <cellStyle name="계산 2 8 3 3" xfId="13797"/>
    <cellStyle name="计算 2 8 3 3" xfId="13796"/>
    <cellStyle name="계산 2 8 3 3 2" xfId="27025"/>
    <cellStyle name="计算 2 8 3 3 2" xfId="27024"/>
    <cellStyle name="계산 2 8 3 3 3" xfId="35997"/>
    <cellStyle name="计算 2 8 3 3 3" xfId="35996"/>
    <cellStyle name="계산 2 8 3 3 4" xfId="41890"/>
    <cellStyle name="计算 2 8 3 3 4" xfId="41889"/>
    <cellStyle name="계산 2 8 3 3 5" xfId="46472"/>
    <cellStyle name="计算 2 8 3 3 5" xfId="46471"/>
    <cellStyle name="계산 2 8 3 3 6" xfId="48724"/>
    <cellStyle name="计算 2 8 3 3 6" xfId="48723"/>
    <cellStyle name="계산 2 8 3 4" xfId="12841"/>
    <cellStyle name="计算 2 8 3 4" xfId="12737"/>
    <cellStyle name="계산 2 8 3 4 2" xfId="26069"/>
    <cellStyle name="计算 2 8 3 4 2" xfId="25965"/>
    <cellStyle name="계산 2 8 3 4 3" xfId="31439"/>
    <cellStyle name="计算 2 8 3 4 3" xfId="31485"/>
    <cellStyle name="계산 2 8 3 4 4" xfId="15171"/>
    <cellStyle name="计算 2 8 3 4 4" xfId="17277"/>
    <cellStyle name="계산 2 8 3 4 5" xfId="29028"/>
    <cellStyle name="计算 2 8 3 4 5" xfId="32529"/>
    <cellStyle name="계산 2 8 3 4 6" xfId="47111"/>
    <cellStyle name="计算 2 8 3 4 6" xfId="15327"/>
    <cellStyle name="계산 2 8 3 5" xfId="13631"/>
    <cellStyle name="计算 2 8 3 5" xfId="13937"/>
    <cellStyle name="계산 2 8 3 5 2" xfId="26859"/>
    <cellStyle name="计算 2 8 3 5 2" xfId="27165"/>
    <cellStyle name="계산 2 8 3 5 3" xfId="30439"/>
    <cellStyle name="计算 2 8 3 5 3" xfId="31793"/>
    <cellStyle name="계산 2 8 3 5 4" xfId="14896"/>
    <cellStyle name="计算 2 8 3 5 4" xfId="38014"/>
    <cellStyle name="계산 2 8 3 5 5" xfId="34327"/>
    <cellStyle name="计算 2 8 3 5 5" xfId="15298"/>
    <cellStyle name="계산 2 8 3 5 6" xfId="44227"/>
    <cellStyle name="计算 2 8 3 5 6" xfId="46603"/>
    <cellStyle name="계산 2 8 3 6" xfId="7331"/>
    <cellStyle name="计算 2 8 3 6" xfId="13657"/>
    <cellStyle name="계산 2 8 3 6 2" xfId="20559"/>
    <cellStyle name="计算 2 8 3 6 2" xfId="26885"/>
    <cellStyle name="계산 2 8 3 6 3" xfId="30760"/>
    <cellStyle name="计算 2 8 3 6 3" xfId="30241"/>
    <cellStyle name="계산 2 8 3 6 4" xfId="16927"/>
    <cellStyle name="计算 2 8 3 6 4" xfId="16692"/>
    <cellStyle name="계산 2 8 3 6 5" xfId="17376"/>
    <cellStyle name="计算 2 8 3 6 5" xfId="29142"/>
    <cellStyle name="계산 2 8 3 6 6" xfId="15926"/>
    <cellStyle name="计算 2 8 3 6 6" xfId="39634"/>
    <cellStyle name="계산 2 8 3 7" xfId="19435"/>
    <cellStyle name="计算 2 8 3 7" xfId="19434"/>
    <cellStyle name="계산 2 8 3 7 2" xfId="30283"/>
    <cellStyle name="计算 2 8 3 7 2" xfId="37532"/>
    <cellStyle name="계산 2 8 3 7 3" xfId="16719"/>
    <cellStyle name="计算 2 8 3 7 3" xfId="43453"/>
    <cellStyle name="계산 2 8 3 7 4" xfId="15339"/>
    <cellStyle name="计算 2 8 3 7 4" xfId="47417"/>
    <cellStyle name="계산 2 8 3 7 5" xfId="17537"/>
    <cellStyle name="计算 2 8 3 7 5" xfId="50287"/>
    <cellStyle name="계산 2 8 3 8" xfId="30746"/>
    <cellStyle name="计算 2 8 3 8" xfId="31985"/>
    <cellStyle name="계산 2 8 3 8 2" xfId="16920"/>
    <cellStyle name="计算 2 8 3 8 2" xfId="38208"/>
    <cellStyle name="계산 2 8 3 8 3" xfId="39195"/>
    <cellStyle name="计算 2 8 3 8 3" xfId="34550"/>
    <cellStyle name="계산 2 8 3 9" xfId="29259"/>
    <cellStyle name="计算 2 8 3 9" xfId="29258"/>
    <cellStyle name="계산 2 8 4" xfId="6161"/>
    <cellStyle name="计算 2 8 4" xfId="6120"/>
    <cellStyle name="계산 2 8 4 10" xfId="36686"/>
    <cellStyle name="计算 2 8 4 10" xfId="30633"/>
    <cellStyle name="계산 2 8 4 11" xfId="41195"/>
    <cellStyle name="计算 2 8 4 11" xfId="27960"/>
    <cellStyle name="계산 2 8 4 12" xfId="44302"/>
    <cellStyle name="计算 2 8 4 12" xfId="45146"/>
    <cellStyle name="계산 2 8 4 2" xfId="10895"/>
    <cellStyle name="计算 2 8 4 2" xfId="10854"/>
    <cellStyle name="계산 2 8 4 2 2" xfId="24123"/>
    <cellStyle name="计算 2 8 4 2 2" xfId="24082"/>
    <cellStyle name="계산 2 8 4 2 3" xfId="33525"/>
    <cellStyle name="计算 2 8 4 2 3" xfId="33484"/>
    <cellStyle name="계산 2 8 4 2 4" xfId="39706"/>
    <cellStyle name="计算 2 8 4 2 4" xfId="39669"/>
    <cellStyle name="계산 2 8 4 2 5" xfId="44663"/>
    <cellStyle name="计算 2 8 4 2 5" xfId="44622"/>
    <cellStyle name="계산 2 8 4 2 6" xfId="15859"/>
    <cellStyle name="计算 2 8 4 2 6" xfId="29025"/>
    <cellStyle name="계산 2 8 4 3" xfId="13779"/>
    <cellStyle name="计算 2 8 4 3" xfId="13746"/>
    <cellStyle name="계산 2 8 4 3 2" xfId="27007"/>
    <cellStyle name="计算 2 8 4 3 2" xfId="26974"/>
    <cellStyle name="계산 2 8 4 3 3" xfId="35951"/>
    <cellStyle name="计算 2 8 4 3 3" xfId="35910"/>
    <cellStyle name="계산 2 8 4 3 4" xfId="41844"/>
    <cellStyle name="计算 2 8 4 3 4" xfId="41803"/>
    <cellStyle name="계산 2 8 4 3 5" xfId="46457"/>
    <cellStyle name="计算 2 8 4 3 5" xfId="46416"/>
    <cellStyle name="계산 2 8 4 3 6" xfId="48678"/>
    <cellStyle name="计算 2 8 4 3 6" xfId="48637"/>
    <cellStyle name="계산 2 8 4 4" xfId="12747"/>
    <cellStyle name="计算 2 8 4 4" xfId="6770"/>
    <cellStyle name="계산 2 8 4 4 2" xfId="25975"/>
    <cellStyle name="计算 2 8 4 4 2" xfId="19998"/>
    <cellStyle name="계산 2 8 4 4 3" xfId="32418"/>
    <cellStyle name="计算 2 8 4 4 3" xfId="31407"/>
    <cellStyle name="계산 2 8 4 4 4" xfId="38636"/>
    <cellStyle name="计算 2 8 4 4 4" xfId="17820"/>
    <cellStyle name="계산 2 8 4 4 5" xfId="43970"/>
    <cellStyle name="计算 2 8 4 4 5" xfId="28886"/>
    <cellStyle name="계산 2 8 4 4 6" xfId="47110"/>
    <cellStyle name="计算 2 8 4 4 6" xfId="17799"/>
    <cellStyle name="계산 2 8 4 5" xfId="7285"/>
    <cellStyle name="计算 2 8 4 5" xfId="13916"/>
    <cellStyle name="계산 2 8 4 5 2" xfId="20513"/>
    <cellStyle name="计算 2 8 4 5 2" xfId="27144"/>
    <cellStyle name="계산 2 8 4 5 3" xfId="31776"/>
    <cellStyle name="计算 2 8 4 5 3" xfId="30546"/>
    <cellStyle name="계산 2 8 4 5 4" xfId="37997"/>
    <cellStyle name="计算 2 8 4 5 4" xfId="16835"/>
    <cellStyle name="계산 2 8 4 5 5" xfId="36878"/>
    <cellStyle name="计算 2 8 4 5 5" xfId="30004"/>
    <cellStyle name="계산 2 8 4 5 6" xfId="45656"/>
    <cellStyle name="计算 2 8 4 5 6" xfId="47272"/>
    <cellStyle name="계산 2 8 4 6" xfId="12889"/>
    <cellStyle name="计算 2 8 4 6" xfId="14060"/>
    <cellStyle name="계산 2 8 4 6 2" xfId="26117"/>
    <cellStyle name="计算 2 8 4 6 2" xfId="27288"/>
    <cellStyle name="계산 2 8 4 6 3" xfId="36745"/>
    <cellStyle name="计算 2 8 4 6 3" xfId="35606"/>
    <cellStyle name="계산 2 8 4 6 4" xfId="42650"/>
    <cellStyle name="计算 2 8 4 6 4" xfId="41482"/>
    <cellStyle name="계산 2 8 4 6 5" xfId="46938"/>
    <cellStyle name="计算 2 8 4 6 5" xfId="46278"/>
    <cellStyle name="계산 2 8 4 6 6" xfId="49484"/>
    <cellStyle name="计算 2 8 4 6 6" xfId="48316"/>
    <cellStyle name="계산 2 8 4 7" xfId="19389"/>
    <cellStyle name="计算 2 8 4 7" xfId="19348"/>
    <cellStyle name="계산 2 8 4 7 2" xfId="31571"/>
    <cellStyle name="计算 2 8 4 7 2" xfId="37510"/>
    <cellStyle name="계산 2 8 4 7 3" xfId="15263"/>
    <cellStyle name="计算 2 8 4 7 3" xfId="43430"/>
    <cellStyle name="계산 2 8 4 7 4" xfId="15591"/>
    <cellStyle name="计算 2 8 4 7 4" xfId="47404"/>
    <cellStyle name="계산 2 8 4 7 5" xfId="47530"/>
    <cellStyle name="计算 2 8 4 7 5" xfId="50264"/>
    <cellStyle name="계산 2 8 4 8" xfId="37634"/>
    <cellStyle name="计算 2 8 4 8" xfId="36751"/>
    <cellStyle name="계산 2 8 4 8 2" xfId="43557"/>
    <cellStyle name="计算 2 8 4 8 2" xfId="42658"/>
    <cellStyle name="계산 2 8 4 8 3" xfId="50391"/>
    <cellStyle name="计算 2 8 4 8 3" xfId="49492"/>
    <cellStyle name="계산 2 8 4 9" xfId="29213"/>
    <cellStyle name="计算 2 8 4 9" xfId="29172"/>
    <cellStyle name="계산 2 8 5" xfId="9540"/>
    <cellStyle name="计算 2 8 5" xfId="9541"/>
    <cellStyle name="계산 2 8 5 10" xfId="34130"/>
    <cellStyle name="计算 2 8 5 10" xfId="32507"/>
    <cellStyle name="계산 2 8 5 11" xfId="39557"/>
    <cellStyle name="计算 2 8 5 11" xfId="40539"/>
    <cellStyle name="계산 2 8 5 12" xfId="33039"/>
    <cellStyle name="计算 2 8 5 12" xfId="36844"/>
    <cellStyle name="계산 2 8 5 2" xfId="13177"/>
    <cellStyle name="计算 2 8 5 2" xfId="13178"/>
    <cellStyle name="계산 2 8 5 2 2" xfId="26405"/>
    <cellStyle name="计算 2 8 5 2 2" xfId="26406"/>
    <cellStyle name="계산 2 8 5 2 3" xfId="32657"/>
    <cellStyle name="计算 2 8 5 2 3" xfId="32658"/>
    <cellStyle name="계산 2 8 5 2 4" xfId="38877"/>
    <cellStyle name="计算 2 8 5 2 4" xfId="38878"/>
    <cellStyle name="계산 2 8 5 2 5" xfId="44140"/>
    <cellStyle name="计算 2 8 5 2 5" xfId="44141"/>
    <cellStyle name="계산 2 8 5 2 6" xfId="29998"/>
    <cellStyle name="计算 2 8 5 2 6" xfId="47452"/>
    <cellStyle name="계산 2 8 5 3" xfId="7516"/>
    <cellStyle name="计算 2 8 5 3" xfId="7517"/>
    <cellStyle name="계산 2 8 5 3 2" xfId="20744"/>
    <cellStyle name="计算 2 8 5 3 2" xfId="20745"/>
    <cellStyle name="계산 2 8 5 3 3" xfId="35153"/>
    <cellStyle name="计算 2 8 5 3 3" xfId="35154"/>
    <cellStyle name="계산 2 8 5 3 4" xfId="41133"/>
    <cellStyle name="计算 2 8 5 3 4" xfId="41134"/>
    <cellStyle name="계산 2 8 5 3 5" xfId="45943"/>
    <cellStyle name="计算 2 8 5 3 5" xfId="45944"/>
    <cellStyle name="계산 2 8 5 3 6" xfId="47856"/>
    <cellStyle name="计算 2 8 5 3 6" xfId="47857"/>
    <cellStyle name="계산 2 8 5 4" xfId="8532"/>
    <cellStyle name="计算 2 8 5 4" xfId="12934"/>
    <cellStyle name="계산 2 8 5 4 2" xfId="21760"/>
    <cellStyle name="计算 2 8 5 4 2" xfId="26162"/>
    <cellStyle name="계산 2 8 5 4 3" xfId="30977"/>
    <cellStyle name="计算 2 8 5 4 3" xfId="30978"/>
    <cellStyle name="계산 2 8 5 4 4" xfId="17025"/>
    <cellStyle name="计算 2 8 5 4 4" xfId="18548"/>
    <cellStyle name="계산 2 8 5 4 5" xfId="15674"/>
    <cellStyle name="计算 2 8 5 4 5" xfId="15662"/>
    <cellStyle name="계산 2 8 5 4 6" xfId="28134"/>
    <cellStyle name="计算 2 8 5 4 6" xfId="39273"/>
    <cellStyle name="계산 2 8 5 5" xfId="14332"/>
    <cellStyle name="计算 2 8 5 5" xfId="7442"/>
    <cellStyle name="계산 2 8 5 5 2" xfId="27560"/>
    <cellStyle name="计算 2 8 5 5 2" xfId="20670"/>
    <cellStyle name="계산 2 8 5 5 3" xfId="42622"/>
    <cellStyle name="计算 2 8 5 5 3" xfId="41571"/>
    <cellStyle name="계산 2 8 5 5 4" xfId="49456"/>
    <cellStyle name="计算 2 8 5 5 4" xfId="48405"/>
    <cellStyle name="계산 2 8 5 6" xfId="22768"/>
    <cellStyle name="计算 2 8 5 6" xfId="22769"/>
    <cellStyle name="계산 2 8 5 6 2" xfId="34989"/>
    <cellStyle name="计算 2 8 5 6 2" xfId="31964"/>
    <cellStyle name="계산 2 8 5 6 3" xfId="40993"/>
    <cellStyle name="计算 2 8 5 6 3" xfId="38187"/>
    <cellStyle name="계산 2 8 5 6 4" xfId="45805"/>
    <cellStyle name="计算 2 8 5 6 4" xfId="15517"/>
    <cellStyle name="계산 2 8 5 6 5" xfId="47689"/>
    <cellStyle name="计算 2 8 5 6 5" xfId="44160"/>
    <cellStyle name="계산 2 8 5 7" xfId="30469"/>
    <cellStyle name="计算 2 8 5 7" xfId="37707"/>
    <cellStyle name="계산 2 8 5 7 2" xfId="16806"/>
    <cellStyle name="计算 2 8 5 7 2" xfId="43630"/>
    <cellStyle name="계산 2 8 5 7 3" xfId="33456"/>
    <cellStyle name="计算 2 8 5 7 3" xfId="50464"/>
    <cellStyle name="계산 2 8 5 8" xfId="36542"/>
    <cellStyle name="计算 2 8 5 8" xfId="31977"/>
    <cellStyle name="계산 2 8 5 8 2" xfId="42440"/>
    <cellStyle name="计算 2 8 5 8 2" xfId="38200"/>
    <cellStyle name="계산 2 8 5 8 3" xfId="49274"/>
    <cellStyle name="计算 2 8 5 8 3" xfId="46588"/>
    <cellStyle name="계산 2 8 5 9" xfId="28346"/>
    <cellStyle name="计算 2 8 5 9" xfId="28347"/>
    <cellStyle name="계산 2 8 6" xfId="11759"/>
    <cellStyle name="计算 2 8 6" xfId="11760"/>
    <cellStyle name="계산 2 8 6 10" xfId="45257"/>
    <cellStyle name="计算 2 8 6 10" xfId="45258"/>
    <cellStyle name="계산 2 8 6 11" xfId="39291"/>
    <cellStyle name="计算 2 8 6 11" xfId="34459"/>
    <cellStyle name="계산 2 8 6 2" xfId="12801"/>
    <cellStyle name="计算 2 8 6 2" xfId="12677"/>
    <cellStyle name="계산 2 8 6 2 2" xfId="26029"/>
    <cellStyle name="计算 2 8 6 2 2" xfId="25905"/>
    <cellStyle name="계산 2 8 6 2 3" xfId="36628"/>
    <cellStyle name="计算 2 8 6 2 3" xfId="36629"/>
    <cellStyle name="계산 2 8 6 2 4" xfId="42530"/>
    <cellStyle name="计算 2 8 6 2 4" xfId="42531"/>
    <cellStyle name="계산 2 8 6 2 5" xfId="46860"/>
    <cellStyle name="计算 2 8 6 2 5" xfId="46861"/>
    <cellStyle name="계산 2 8 6 2 6" xfId="49364"/>
    <cellStyle name="计算 2 8 6 2 6" xfId="49365"/>
    <cellStyle name="계산 2 8 6 3" xfId="14456"/>
    <cellStyle name="计算 2 8 6 3" xfId="14457"/>
    <cellStyle name="계산 2 8 6 3 2" xfId="27684"/>
    <cellStyle name="计算 2 8 6 3 2" xfId="27685"/>
    <cellStyle name="계산 2 8 6 3 3" xfId="37116"/>
    <cellStyle name="计算 2 8 6 3 3" xfId="37117"/>
    <cellStyle name="계산 2 8 6 3 4" xfId="43035"/>
    <cellStyle name="计算 2 8 6 3 4" xfId="43036"/>
    <cellStyle name="계산 2 8 6 3 5" xfId="47179"/>
    <cellStyle name="计算 2 8 6 3 5" xfId="47180"/>
    <cellStyle name="계산 2 8 6 3 6" xfId="49869"/>
    <cellStyle name="计算 2 8 6 3 6" xfId="49870"/>
    <cellStyle name="계산 2 8 6 4" xfId="7376"/>
    <cellStyle name="计算 2 8 6 4" xfId="13479"/>
    <cellStyle name="계산 2 8 6 4 2" xfId="20604"/>
    <cellStyle name="计算 2 8 6 4 2" xfId="26707"/>
    <cellStyle name="계산 2 8 6 4 3" xfId="30592"/>
    <cellStyle name="计算 2 8 6 4 3" xfId="34991"/>
    <cellStyle name="계산 2 8 6 4 4" xfId="15198"/>
    <cellStyle name="计算 2 8 6 4 4" xfId="40995"/>
    <cellStyle name="계산 2 8 6 4 5" xfId="27904"/>
    <cellStyle name="计算 2 8 6 4 5" xfId="45807"/>
    <cellStyle name="계산 2 8 6 4 6" xfId="46228"/>
    <cellStyle name="计算 2 8 6 4 6" xfId="47691"/>
    <cellStyle name="계산 2 8 6 5" xfId="24987"/>
    <cellStyle name="计算 2 8 6 5" xfId="24988"/>
    <cellStyle name="계산 2 8 6 5 2" xfId="34814"/>
    <cellStyle name="计算 2 8 6 5 2" xfId="36540"/>
    <cellStyle name="계산 2 8 6 5 3" xfId="40810"/>
    <cellStyle name="计算 2 8 6 5 3" xfId="42438"/>
    <cellStyle name="계산 2 8 6 5 4" xfId="45683"/>
    <cellStyle name="计算 2 8 6 5 4" xfId="46790"/>
    <cellStyle name="계산 2 8 6 5 5" xfId="28165"/>
    <cellStyle name="计算 2 8 6 5 5" xfId="49272"/>
    <cellStyle name="계산 2 8 6 6" xfId="31189"/>
    <cellStyle name="计算 2 8 6 6" xfId="37625"/>
    <cellStyle name="계산 2 8 6 6 2" xfId="17100"/>
    <cellStyle name="计算 2 8 6 6 2" xfId="43548"/>
    <cellStyle name="계산 2 8 6 6 3" xfId="45584"/>
    <cellStyle name="计算 2 8 6 6 3" xfId="50382"/>
    <cellStyle name="계산 2 8 6 7" xfId="37902"/>
    <cellStyle name="计算 2 8 6 7" xfId="37903"/>
    <cellStyle name="계산 2 8 6 7 2" xfId="43827"/>
    <cellStyle name="计算 2 8 6 7 2" xfId="43828"/>
    <cellStyle name="계산 2 8 6 7 3" xfId="50661"/>
    <cellStyle name="计算 2 8 6 7 3" xfId="50662"/>
    <cellStyle name="계산 2 8 6 8" xfId="34223"/>
    <cellStyle name="计算 2 8 6 8" xfId="34224"/>
    <cellStyle name="계산 2 8 6 9" xfId="40248"/>
    <cellStyle name="计算 2 8 6 9" xfId="40249"/>
    <cellStyle name="계산 2 8 7" xfId="7822"/>
    <cellStyle name="计算 2 8 7" xfId="7823"/>
    <cellStyle name="계산 2 8 7 2" xfId="21050"/>
    <cellStyle name="计算 2 8 7 2" xfId="21051"/>
    <cellStyle name="계산 2 8 7 3" xfId="30927"/>
    <cellStyle name="计算 2 8 7 3" xfId="30928"/>
    <cellStyle name="계산 2 8 7 4" xfId="16999"/>
    <cellStyle name="计算 2 8 7 4" xfId="18153"/>
    <cellStyle name="계산 2 8 7 5" xfId="17600"/>
    <cellStyle name="计算 2 8 7 5" xfId="15637"/>
    <cellStyle name="계산 2 8 7 6" xfId="15368"/>
    <cellStyle name="计算 2 8 7 6" xfId="32480"/>
    <cellStyle name="계산 2 8 8" xfId="7390"/>
    <cellStyle name="计算 2 8 8" xfId="7389"/>
    <cellStyle name="계산 2 8 8 2" xfId="20618"/>
    <cellStyle name="计算 2 8 8 2" xfId="20617"/>
    <cellStyle name="계산 2 8 8 3" xfId="34777"/>
    <cellStyle name="计算 2 8 8 3" xfId="31643"/>
    <cellStyle name="계산 2 8 8 4" xfId="40773"/>
    <cellStyle name="计算 2 8 8 4" xfId="18629"/>
    <cellStyle name="계산 2 8 8 5" xfId="45665"/>
    <cellStyle name="计算 2 8 8 5" xfId="17575"/>
    <cellStyle name="계산 2 8 8 6" xfId="32535"/>
    <cellStyle name="计算 2 8 8 6" xfId="47368"/>
    <cellStyle name="계산 2 8 9" xfId="12892"/>
    <cellStyle name="计算 2 8 9" xfId="14062"/>
    <cellStyle name="계산 2 8 9 2" xfId="26120"/>
    <cellStyle name="计算 2 8 9 2" xfId="27290"/>
    <cellStyle name="계산 2 8 9 3" xfId="30286"/>
    <cellStyle name="计算 2 8 9 3" xfId="31756"/>
    <cellStyle name="계산 2 8 9 4" xfId="16722"/>
    <cellStyle name="计算 2 8 9 4" xfId="37977"/>
    <cellStyle name="계산 2 8 9 5" xfId="34517"/>
    <cellStyle name="计算 2 8 9 5" xfId="36570"/>
    <cellStyle name="계산 2 8 9 6" xfId="44264"/>
    <cellStyle name="计算 2 8 9 6" xfId="44181"/>
    <cellStyle name="계산 2 9" xfId="2666"/>
    <cellStyle name="计算 2 9" xfId="2667"/>
    <cellStyle name="계산 2 9 10" xfId="14329"/>
    <cellStyle name="计算 2 9 10" xfId="6764"/>
    <cellStyle name="계산 2 9 10 2" xfId="27557"/>
    <cellStyle name="计算 2 9 10 2" xfId="19992"/>
    <cellStyle name="계산 2 9 10 3" xfId="30624"/>
    <cellStyle name="计算 2 9 10 3" xfId="35493"/>
    <cellStyle name="계산 2 9 10 4" xfId="27757"/>
    <cellStyle name="计算 2 9 10 4" xfId="41364"/>
    <cellStyle name="계산 2 9 10 5" xfId="17379"/>
    <cellStyle name="计算 2 9 10 5" xfId="46198"/>
    <cellStyle name="계산 2 9 10 6" xfId="39959"/>
    <cellStyle name="计算 2 9 10 6" xfId="48198"/>
    <cellStyle name="계산 2 9 11" xfId="14471"/>
    <cellStyle name="计算 2 9 11" xfId="13620"/>
    <cellStyle name="계산 2 9 11 2" xfId="27699"/>
    <cellStyle name="计算 2 9 11 2" xfId="26848"/>
    <cellStyle name="계산 2 9 11 3" xfId="35673"/>
    <cellStyle name="计算 2 9 11 3" xfId="31223"/>
    <cellStyle name="계산 2 9 11 4" xfId="41553"/>
    <cellStyle name="计算 2 9 11 4" xfId="17182"/>
    <cellStyle name="계산 2 9 11 5" xfId="46316"/>
    <cellStyle name="计算 2 9 11 5" xfId="15625"/>
    <cellStyle name="계산 2 9 11 6" xfId="48387"/>
    <cellStyle name="计算 2 9 11 6" xfId="29994"/>
    <cellStyle name="계산 2 9 12" xfId="16424"/>
    <cellStyle name="计算 2 9 12" xfId="16425"/>
    <cellStyle name="계산 2 9 12 2" xfId="15221"/>
    <cellStyle name="计算 2 9 12 2" xfId="17863"/>
    <cellStyle name="계산 2 9 12 3" xfId="38519"/>
    <cellStyle name="计算 2 9 12 3" xfId="17919"/>
    <cellStyle name="계산 2 9 13" xfId="14558"/>
    <cellStyle name="计算 2 9 13" xfId="14557"/>
    <cellStyle name="계산 2 9 14" xfId="28697"/>
    <cellStyle name="计算 2 9 14" xfId="33380"/>
    <cellStyle name="계산 2 9 15" xfId="33031"/>
    <cellStyle name="计算 2 9 15" xfId="39432"/>
    <cellStyle name="계산 2 9 16" xfId="34332"/>
    <cellStyle name="计算 2 9 16" xfId="38743"/>
    <cellStyle name="계산 2 9 17" xfId="50994"/>
    <cellStyle name="计算 2 9 17" xfId="50995"/>
    <cellStyle name="계산 2 9 18" xfId="50783"/>
    <cellStyle name="计算 2 9 18" xfId="50782"/>
    <cellStyle name="계산 2 9 2" xfId="6307"/>
    <cellStyle name="计算 2 9 2" xfId="6308"/>
    <cellStyle name="계산 2 9 2 10" xfId="16051"/>
    <cellStyle name="计算 2 9 2 10" xfId="17647"/>
    <cellStyle name="계산 2 9 2 11" xfId="39870"/>
    <cellStyle name="计算 2 9 2 11" xfId="27923"/>
    <cellStyle name="계산 2 9 2 12" xfId="44278"/>
    <cellStyle name="计算 2 9 2 12" xfId="39383"/>
    <cellStyle name="계산 2 9 2 2" xfId="11041"/>
    <cellStyle name="计算 2 9 2 2" xfId="11042"/>
    <cellStyle name="계산 2 9 2 2 2" xfId="24269"/>
    <cellStyle name="计算 2 9 2 2 2" xfId="24270"/>
    <cellStyle name="계산 2 9 2 2 3" xfId="33671"/>
    <cellStyle name="计算 2 9 2 2 3" xfId="33672"/>
    <cellStyle name="계산 2 9 2 2 4" xfId="39825"/>
    <cellStyle name="计算 2 9 2 2 4" xfId="39826"/>
    <cellStyle name="계산 2 9 2 2 5" xfId="44805"/>
    <cellStyle name="计算 2 9 2 2 5" xfId="44806"/>
    <cellStyle name="계산 2 9 2 2 6" xfId="28226"/>
    <cellStyle name="计算 2 9 2 2 6" xfId="32539"/>
    <cellStyle name="계산 2 9 2 3" xfId="13885"/>
    <cellStyle name="计算 2 9 2 3" xfId="13886"/>
    <cellStyle name="계산 2 9 2 3 2" xfId="27113"/>
    <cellStyle name="计算 2 9 2 3 2" xfId="27114"/>
    <cellStyle name="계산 2 9 2 3 3" xfId="36097"/>
    <cellStyle name="计算 2 9 2 3 3" xfId="36098"/>
    <cellStyle name="계산 2 9 2 3 4" xfId="41990"/>
    <cellStyle name="计算 2 9 2 3 4" xfId="41991"/>
    <cellStyle name="계산 2 9 2 3 5" xfId="46568"/>
    <cellStyle name="计算 2 9 2 3 5" xfId="46569"/>
    <cellStyle name="계산 2 9 2 3 6" xfId="48824"/>
    <cellStyle name="计算 2 9 2 3 6" xfId="48825"/>
    <cellStyle name="계산 2 9 2 4" xfId="8064"/>
    <cellStyle name="计算 2 9 2 4" xfId="8065"/>
    <cellStyle name="계산 2 9 2 4 2" xfId="21292"/>
    <cellStyle name="计算 2 9 2 4 2" xfId="21293"/>
    <cellStyle name="계산 2 9 2 4 3" xfId="34680"/>
    <cellStyle name="计算 2 9 2 4 3" xfId="31505"/>
    <cellStyle name="계산 2 9 2 4 4" xfId="40669"/>
    <cellStyle name="计算 2 9 2 4 4" xfId="14740"/>
    <cellStyle name="계산 2 9 2 4 5" xfId="45602"/>
    <cellStyle name="计算 2 9 2 4 5" xfId="28146"/>
    <cellStyle name="계산 2 9 2 4 6" xfId="17480"/>
    <cellStyle name="计算 2 9 2 4 6" xfId="34448"/>
    <cellStyle name="계산 2 9 2 5" xfId="8539"/>
    <cellStyle name="计算 2 9 2 5" xfId="7242"/>
    <cellStyle name="계산 2 9 2 5 2" xfId="21767"/>
    <cellStyle name="计算 2 9 2 5 2" xfId="20470"/>
    <cellStyle name="계산 2 9 2 5 3" xfId="34907"/>
    <cellStyle name="计算 2 9 2 5 3" xfId="34908"/>
    <cellStyle name="계산 2 9 2 5 4" xfId="40905"/>
    <cellStyle name="计算 2 9 2 5 4" xfId="40906"/>
    <cellStyle name="계산 2 9 2 5 5" xfId="45750"/>
    <cellStyle name="计算 2 9 2 5 5" xfId="45751"/>
    <cellStyle name="계산 2 9 2 5 6" xfId="28219"/>
    <cellStyle name="计算 2 9 2 5 6" xfId="14625"/>
    <cellStyle name="계산 2 9 2 6" xfId="13619"/>
    <cellStyle name="计算 2 9 2 6" xfId="13893"/>
    <cellStyle name="계산 2 9 2 6 2" xfId="26847"/>
    <cellStyle name="计算 2 9 2 6 2" xfId="27121"/>
    <cellStyle name="계산 2 9 2 6 3" xfId="30783"/>
    <cellStyle name="计算 2 9 2 6 3" xfId="37455"/>
    <cellStyle name="계산 2 9 2 6 4" xfId="19342"/>
    <cellStyle name="计算 2 9 2 6 4" xfId="43375"/>
    <cellStyle name="계산 2 9 2 6 5" xfId="33028"/>
    <cellStyle name="计算 2 9 2 6 5" xfId="47378"/>
    <cellStyle name="계산 2 9 2 6 6" xfId="15759"/>
    <cellStyle name="计算 2 9 2 6 6" xfId="50209"/>
    <cellStyle name="계산 2 9 2 7" xfId="19535"/>
    <cellStyle name="计算 2 9 2 7" xfId="19536"/>
    <cellStyle name="계산 2 9 2 7 2" xfId="34871"/>
    <cellStyle name="计算 2 9 2 7 2" xfId="30248"/>
    <cellStyle name="계산 2 9 2 7 3" xfId="40869"/>
    <cellStyle name="计算 2 9 2 7 3" xfId="14651"/>
    <cellStyle name="계산 2 9 2 7 4" xfId="45721"/>
    <cellStyle name="计算 2 9 2 7 4" xfId="33455"/>
    <cellStyle name="계산 2 9 2 7 5" xfId="40111"/>
    <cellStyle name="计算 2 9 2 7 5" xfId="39378"/>
    <cellStyle name="계산 2 9 2 8" xfId="34951"/>
    <cellStyle name="计算 2 9 2 8" xfId="31676"/>
    <cellStyle name="계산 2 9 2 8 2" xfId="40949"/>
    <cellStyle name="计算 2 9 2 8 2" xfId="15276"/>
    <cellStyle name="계산 2 9 2 8 3" xfId="47645"/>
    <cellStyle name="计算 2 9 2 8 3" xfId="33105"/>
    <cellStyle name="계산 2 9 2 9" xfId="29359"/>
    <cellStyle name="计算 2 9 2 9" xfId="29360"/>
    <cellStyle name="계산 2 9 3" xfId="6205"/>
    <cellStyle name="计算 2 9 3" xfId="6204"/>
    <cellStyle name="계산 2 9 3 10" xfId="35684"/>
    <cellStyle name="计算 2 9 3 10" xfId="37662"/>
    <cellStyle name="계산 2 9 3 11" xfId="39308"/>
    <cellStyle name="计算 2 9 3 11" xfId="32987"/>
    <cellStyle name="계산 2 9 3 12" xfId="44413"/>
    <cellStyle name="计算 2 9 3 12" xfId="34364"/>
    <cellStyle name="계산 2 9 3 2" xfId="10939"/>
    <cellStyle name="计算 2 9 3 2" xfId="10938"/>
    <cellStyle name="계산 2 9 3 2 2" xfId="24167"/>
    <cellStyle name="计算 2 9 3 2 2" xfId="24166"/>
    <cellStyle name="계산 2 9 3 2 3" xfId="33569"/>
    <cellStyle name="计算 2 9 3 2 3" xfId="33568"/>
    <cellStyle name="계산 2 9 3 2 4" xfId="39731"/>
    <cellStyle name="计算 2 9 3 2 4" xfId="39730"/>
    <cellStyle name="계산 2 9 3 2 5" xfId="44703"/>
    <cellStyle name="计算 2 9 3 2 5" xfId="44702"/>
    <cellStyle name="계산 2 9 3 2 6" xfId="32957"/>
    <cellStyle name="计算 2 9 3 2 6" xfId="39436"/>
    <cellStyle name="계산 2 9 3 3" xfId="13795"/>
    <cellStyle name="计算 2 9 3 3" xfId="13794"/>
    <cellStyle name="계산 2 9 3 3 2" xfId="27023"/>
    <cellStyle name="计算 2 9 3 3 2" xfId="27022"/>
    <cellStyle name="계산 2 9 3 3 3" xfId="35995"/>
    <cellStyle name="计算 2 9 3 3 3" xfId="35994"/>
    <cellStyle name="계산 2 9 3 3 4" xfId="41888"/>
    <cellStyle name="计算 2 9 3 3 4" xfId="41887"/>
    <cellStyle name="계산 2 9 3 3 5" xfId="46470"/>
    <cellStyle name="计算 2 9 3 3 5" xfId="46469"/>
    <cellStyle name="계산 2 9 3 3 6" xfId="48722"/>
    <cellStyle name="计算 2 9 3 3 6" xfId="48721"/>
    <cellStyle name="계산 2 9 3 4" xfId="6929"/>
    <cellStyle name="计算 2 9 3 4" xfId="6928"/>
    <cellStyle name="계산 2 9 3 4 2" xfId="20157"/>
    <cellStyle name="计算 2 9 3 4 2" xfId="20156"/>
    <cellStyle name="계산 2 9 3 4 3" xfId="31887"/>
    <cellStyle name="计算 2 9 3 4 3" xfId="31436"/>
    <cellStyle name="계산 2 9 3 4 4" xfId="38108"/>
    <cellStyle name="计算 2 9 3 4 4" xfId="17856"/>
    <cellStyle name="계산 2 9 3 4 5" xfId="15530"/>
    <cellStyle name="计算 2 9 3 4 5" xfId="32467"/>
    <cellStyle name="계산 2 9 3 4 6" xfId="33003"/>
    <cellStyle name="计算 2 9 3 4 6" xfId="46426"/>
    <cellStyle name="계산 2 9 3 5" xfId="7260"/>
    <cellStyle name="计算 2 9 3 5" xfId="13630"/>
    <cellStyle name="계산 2 9 3 5 2" xfId="20488"/>
    <cellStyle name="计算 2 9 3 5 2" xfId="26858"/>
    <cellStyle name="계산 2 9 3 5 3" xfId="30609"/>
    <cellStyle name="计算 2 9 3 5 3" xfId="31792"/>
    <cellStyle name="계산 2 9 3 5 4" xfId="16821"/>
    <cellStyle name="计算 2 9 3 5 4" xfId="38013"/>
    <cellStyle name="계산 2 9 3 5 5" xfId="34580"/>
    <cellStyle name="计算 2 9 3 5 5" xfId="17796"/>
    <cellStyle name="계산 2 9 3 5 6" xfId="46340"/>
    <cellStyle name="计算 2 9 3 5 6" xfId="39798"/>
    <cellStyle name="계산 2 9 3 6" xfId="12945"/>
    <cellStyle name="计算 2 9 3 6" xfId="13082"/>
    <cellStyle name="계산 2 9 3 6 2" xfId="26173"/>
    <cellStyle name="计算 2 9 3 6 2" xfId="26310"/>
    <cellStyle name="계산 2 9 3 6 3" xfId="35513"/>
    <cellStyle name="计算 2 9 3 6 3" xfId="30270"/>
    <cellStyle name="계산 2 9 3 6 4" xfId="41385"/>
    <cellStyle name="计算 2 9 3 6 4" xfId="16709"/>
    <cellStyle name="계산 2 9 3 6 5" xfId="46213"/>
    <cellStyle name="计算 2 9 3 6 5" xfId="17425"/>
    <cellStyle name="계산 2 9 3 6 6" xfId="48219"/>
    <cellStyle name="计算 2 9 3 6 6" xfId="44591"/>
    <cellStyle name="계산 2 9 3 7" xfId="19433"/>
    <cellStyle name="计算 2 9 3 7" xfId="19432"/>
    <cellStyle name="계산 2 9 3 7 2" xfId="31609"/>
    <cellStyle name="计算 2 9 3 7 2" xfId="36968"/>
    <cellStyle name="계산 2 9 3 7 3" xfId="17331"/>
    <cellStyle name="计算 2 9 3 7 3" xfId="42887"/>
    <cellStyle name="계산 2 9 3 7 4" xfId="15580"/>
    <cellStyle name="计算 2 9 3 7 4" xfId="47069"/>
    <cellStyle name="계산 2 9 3 7 5" xfId="46621"/>
    <cellStyle name="计算 2 9 3 7 5" xfId="49721"/>
    <cellStyle name="계산 2 9 3 8" xfId="30108"/>
    <cellStyle name="计算 2 9 3 8" xfId="37010"/>
    <cellStyle name="계산 2 9 3 8 2" xfId="16583"/>
    <cellStyle name="计算 2 9 3 8 2" xfId="42929"/>
    <cellStyle name="계산 2 9 3 8 3" xfId="32482"/>
    <cellStyle name="计算 2 9 3 8 3" xfId="49763"/>
    <cellStyle name="계산 2 9 3 9" xfId="29257"/>
    <cellStyle name="计算 2 9 3 9" xfId="29256"/>
    <cellStyle name="계산 2 9 4" xfId="6627"/>
    <cellStyle name="计算 2 9 4" xfId="6121"/>
    <cellStyle name="계산 2 9 4 10" xfId="16267"/>
    <cellStyle name="计算 2 9 4 10" xfId="35497"/>
    <cellStyle name="계산 2 9 4 11" xfId="41146"/>
    <cellStyle name="计算 2 9 4 11" xfId="34610"/>
    <cellStyle name="계산 2 9 4 12" xfId="45301"/>
    <cellStyle name="计算 2 9 4 12" xfId="44014"/>
    <cellStyle name="계산 2 9 4 2" xfId="11361"/>
    <cellStyle name="计算 2 9 4 2" xfId="10855"/>
    <cellStyle name="계산 2 9 4 2 2" xfId="24589"/>
    <cellStyle name="计算 2 9 4 2 2" xfId="24083"/>
    <cellStyle name="계산 2 9 4 2 3" xfId="33991"/>
    <cellStyle name="计算 2 9 4 2 3" xfId="33485"/>
    <cellStyle name="계산 2 9 4 2 4" xfId="40030"/>
    <cellStyle name="计算 2 9 4 2 4" xfId="39670"/>
    <cellStyle name="계산 2 9 4 2 5" xfId="45056"/>
    <cellStyle name="计算 2 9 4 2 5" xfId="44623"/>
    <cellStyle name="계산 2 9 4 2 6" xfId="39949"/>
    <cellStyle name="计算 2 9 4 2 6" xfId="34623"/>
    <cellStyle name="계산 2 9 4 3" xfId="13990"/>
    <cellStyle name="计算 2 9 4 3" xfId="13747"/>
    <cellStyle name="계산 2 9 4 3 2" xfId="27218"/>
    <cellStyle name="计算 2 9 4 3 2" xfId="26975"/>
    <cellStyle name="계산 2 9 4 3 3" xfId="36416"/>
    <cellStyle name="计算 2 9 4 3 3" xfId="35911"/>
    <cellStyle name="계산 2 9 4 3 4" xfId="42309"/>
    <cellStyle name="计算 2 9 4 3 4" xfId="41804"/>
    <cellStyle name="계산 2 9 4 3 5" xfId="46710"/>
    <cellStyle name="计算 2 9 4 3 5" xfId="46417"/>
    <cellStyle name="계산 2 9 4 3 6" xfId="49143"/>
    <cellStyle name="计算 2 9 4 3 6" xfId="48638"/>
    <cellStyle name="계산 2 9 4 4" xfId="12957"/>
    <cellStyle name="计算 2 9 4 4" xfId="6771"/>
    <cellStyle name="계산 2 9 4 4 2" xfId="26185"/>
    <cellStyle name="计算 2 9 4 4 2" xfId="19999"/>
    <cellStyle name="계산 2 9 4 4 3" xfId="31581"/>
    <cellStyle name="计算 2 9 4 4 3" xfId="32389"/>
    <cellStyle name="계산 2 9 4 4 4" xfId="15265"/>
    <cellStyle name="计算 2 9 4 4 4" xfId="38607"/>
    <cellStyle name="계산 2 9 4 4 5" xfId="15305"/>
    <cellStyle name="计算 2 9 4 4 5" xfId="43945"/>
    <cellStyle name="계산 2 9 4 4 6" xfId="29875"/>
    <cellStyle name="计算 2 9 4 4 6" xfId="46708"/>
    <cellStyle name="계산 2 9 4 5" xfId="14017"/>
    <cellStyle name="计算 2 9 4 5" xfId="13651"/>
    <cellStyle name="계산 2 9 4 5 2" xfId="27245"/>
    <cellStyle name="计算 2 9 4 5 2" xfId="26879"/>
    <cellStyle name="계산 2 9 4 5 3" xfId="31997"/>
    <cellStyle name="计算 2 9 4 5 3" xfId="34708"/>
    <cellStyle name="계산 2 9 4 5 4" xfId="38220"/>
    <cellStyle name="计算 2 9 4 5 4" xfId="40698"/>
    <cellStyle name="계산 2 9 4 5 5" xfId="15511"/>
    <cellStyle name="计算 2 9 4 5 5" xfId="45621"/>
    <cellStyle name="계산 2 9 4 5 6" xfId="46178"/>
    <cellStyle name="计算 2 9 4 5 6" xfId="18232"/>
    <cellStyle name="계산 2 9 4 6" xfId="7707"/>
    <cellStyle name="计算 2 9 4 6" xfId="13058"/>
    <cellStyle name="계산 2 9 4 6 2" xfId="20935"/>
    <cellStyle name="计算 2 9 4 6 2" xfId="26286"/>
    <cellStyle name="계산 2 9 4 6 3" xfId="31558"/>
    <cellStyle name="计算 2 9 4 6 3" xfId="31356"/>
    <cellStyle name="계산 2 9 4 6 4" xfId="17303"/>
    <cellStyle name="计算 2 9 4 6 4" xfId="17214"/>
    <cellStyle name="계산 2 9 4 6 5" xfId="15593"/>
    <cellStyle name="计算 2 9 4 6 5" xfId="28156"/>
    <cellStyle name="계산 2 9 4 6 6" xfId="46624"/>
    <cellStyle name="计算 2 9 4 6 6" xfId="46920"/>
    <cellStyle name="계산 2 9 4 7" xfId="19855"/>
    <cellStyle name="计算 2 9 4 7" xfId="19349"/>
    <cellStyle name="계산 2 9 4 7 2" xfId="37312"/>
    <cellStyle name="计算 2 9 4 7 2" xfId="37230"/>
    <cellStyle name="계산 2 9 4 7 3" xfId="43232"/>
    <cellStyle name="计算 2 9 4 7 3" xfId="43149"/>
    <cellStyle name="계산 2 9 4 7 4" xfId="47297"/>
    <cellStyle name="计算 2 9 4 7 4" xfId="47251"/>
    <cellStyle name="계산 2 9 4 7 5" xfId="50066"/>
    <cellStyle name="计算 2 9 4 7 5" xfId="49983"/>
    <cellStyle name="계산 2 9 4 8" xfId="30552"/>
    <cellStyle name="计算 2 9 4 8" xfId="31197"/>
    <cellStyle name="계산 2 9 4 8 2" xfId="16839"/>
    <cellStyle name="计算 2 9 4 8 2" xfId="17108"/>
    <cellStyle name="계산 2 9 4 8 3" xfId="47405"/>
    <cellStyle name="计算 2 9 4 8 3" xfId="41312"/>
    <cellStyle name="계산 2 9 4 9" xfId="29679"/>
    <cellStyle name="计算 2 9 4 9" xfId="29173"/>
    <cellStyle name="계산 2 9 5" xfId="9542"/>
    <cellStyle name="计算 2 9 5" xfId="9543"/>
    <cellStyle name="계산 2 9 5 10" xfId="28198"/>
    <cellStyle name="计算 2 9 5 10" xfId="33168"/>
    <cellStyle name="계산 2 9 5 11" xfId="15921"/>
    <cellStyle name="计算 2 9 5 11" xfId="29943"/>
    <cellStyle name="계산 2 9 5 12" xfId="29995"/>
    <cellStyle name="计算 2 9 5 12" xfId="45158"/>
    <cellStyle name="계산 2 9 5 2" xfId="13179"/>
    <cellStyle name="计算 2 9 5 2" xfId="13180"/>
    <cellStyle name="계산 2 9 5 2 2" xfId="26407"/>
    <cellStyle name="计算 2 9 5 2 2" xfId="26408"/>
    <cellStyle name="계산 2 9 5 2 3" xfId="32659"/>
    <cellStyle name="计算 2 9 5 2 3" xfId="32660"/>
    <cellStyle name="계산 2 9 5 2 4" xfId="38879"/>
    <cellStyle name="计算 2 9 5 2 4" xfId="38880"/>
    <cellStyle name="계산 2 9 5 2 5" xfId="44142"/>
    <cellStyle name="计算 2 9 5 2 5" xfId="44143"/>
    <cellStyle name="계산 2 9 5 2 6" xfId="47227"/>
    <cellStyle name="计算 2 9 5 2 6" xfId="47567"/>
    <cellStyle name="계산 2 9 5 3" xfId="7536"/>
    <cellStyle name="计算 2 9 5 3" xfId="12874"/>
    <cellStyle name="계산 2 9 5 3 2" xfId="20764"/>
    <cellStyle name="计算 2 9 5 3 2" xfId="26102"/>
    <cellStyle name="계산 2 9 5 3 3" xfId="35155"/>
    <cellStyle name="计算 2 9 5 3 3" xfId="35156"/>
    <cellStyle name="계산 2 9 5 3 4" xfId="41135"/>
    <cellStyle name="计算 2 9 5 3 4" xfId="41136"/>
    <cellStyle name="계산 2 9 5 3 5" xfId="45945"/>
    <cellStyle name="计算 2 9 5 3 5" xfId="45946"/>
    <cellStyle name="계산 2 9 5 3 6" xfId="47858"/>
    <cellStyle name="计算 2 9 5 3 6" xfId="47859"/>
    <cellStyle name="계산 2 9 5 4" xfId="8469"/>
    <cellStyle name="计算 2 9 5 4" xfId="8706"/>
    <cellStyle name="계산 2 9 5 4 2" xfId="21697"/>
    <cellStyle name="计算 2 9 5 4 2" xfId="21934"/>
    <cellStyle name="계산 2 9 5 4 3" xfId="30979"/>
    <cellStyle name="计算 2 9 5 4 3" xfId="30980"/>
    <cellStyle name="계산 2 9 5 4 4" xfId="27801"/>
    <cellStyle name="计算 2 9 5 4 4" xfId="17026"/>
    <cellStyle name="계산 2 9 5 4 5" xfId="30024"/>
    <cellStyle name="计算 2 9 5 4 5" xfId="34738"/>
    <cellStyle name="계산 2 9 5 4 6" xfId="40356"/>
    <cellStyle name="计算 2 9 5 4 6" xfId="38496"/>
    <cellStyle name="계산 2 9 5 5" xfId="9073"/>
    <cellStyle name="计算 2 9 5 5" xfId="13016"/>
    <cellStyle name="계산 2 9 5 5 2" xfId="22301"/>
    <cellStyle name="计算 2 9 5 5 2" xfId="26244"/>
    <cellStyle name="계산 2 9 5 5 3" xfId="42755"/>
    <cellStyle name="计算 2 9 5 5 3" xfId="41042"/>
    <cellStyle name="계산 2 9 5 5 4" xfId="49589"/>
    <cellStyle name="计算 2 9 5 5 4" xfId="47738"/>
    <cellStyle name="계산 2 9 5 6" xfId="22770"/>
    <cellStyle name="计算 2 9 5 6" xfId="22771"/>
    <cellStyle name="계산 2 9 5 6 2" xfId="30699"/>
    <cellStyle name="计算 2 9 5 6 2" xfId="31396"/>
    <cellStyle name="계산 2 9 5 6 3" xfId="14690"/>
    <cellStyle name="计算 2 9 5 6 3" xfId="17234"/>
    <cellStyle name="계산 2 9 5 6 4" xfId="28705"/>
    <cellStyle name="计算 2 9 5 6 4" xfId="33121"/>
    <cellStyle name="계산 2 9 5 6 5" xfId="39853"/>
    <cellStyle name="计算 2 9 5 6 5" xfId="15444"/>
    <cellStyle name="계산 2 9 5 7" xfId="35634"/>
    <cellStyle name="计算 2 9 5 7" xfId="37537"/>
    <cellStyle name="계산 2 9 5 7 2" xfId="41513"/>
    <cellStyle name="计算 2 9 5 7 2" xfId="43458"/>
    <cellStyle name="계산 2 9 5 7 3" xfId="48347"/>
    <cellStyle name="计算 2 9 5 7 3" xfId="50292"/>
    <cellStyle name="계산 2 9 5 8" xfId="36811"/>
    <cellStyle name="计算 2 9 5 8" xfId="34762"/>
    <cellStyle name="계산 2 9 5 8 2" xfId="42722"/>
    <cellStyle name="计算 2 9 5 8 2" xfId="40755"/>
    <cellStyle name="계산 2 9 5 8 3" xfId="49556"/>
    <cellStyle name="计算 2 9 5 8 3" xfId="40517"/>
    <cellStyle name="계산 2 9 5 9" xfId="28348"/>
    <cellStyle name="计算 2 9 5 9" xfId="28349"/>
    <cellStyle name="계산 2 9 6" xfId="11761"/>
    <cellStyle name="计算 2 9 6" xfId="11762"/>
    <cellStyle name="계산 2 9 6 10" xfId="45259"/>
    <cellStyle name="计算 2 9 6 10" xfId="45260"/>
    <cellStyle name="계산 2 9 6 11" xfId="28897"/>
    <cellStyle name="计算 2 9 6 11" xfId="40590"/>
    <cellStyle name="계산 2 9 6 2" xfId="8406"/>
    <cellStyle name="计算 2 9 6 2" xfId="8407"/>
    <cellStyle name="계산 2 9 6 2 2" xfId="21634"/>
    <cellStyle name="计算 2 9 6 2 2" xfId="21635"/>
    <cellStyle name="계산 2 9 6 2 3" xfId="36630"/>
    <cellStyle name="计算 2 9 6 2 3" xfId="36631"/>
    <cellStyle name="계산 2 9 6 2 4" xfId="42532"/>
    <cellStyle name="计算 2 9 6 2 4" xfId="42533"/>
    <cellStyle name="계산 2 9 6 2 5" xfId="46862"/>
    <cellStyle name="计算 2 9 6 2 5" xfId="46863"/>
    <cellStyle name="계산 2 9 6 2 6" xfId="49366"/>
    <cellStyle name="计算 2 9 6 2 6" xfId="49367"/>
    <cellStyle name="계산 2 9 6 3" xfId="14458"/>
    <cellStyle name="计算 2 9 6 3" xfId="14459"/>
    <cellStyle name="계산 2 9 6 3 2" xfId="27686"/>
    <cellStyle name="计算 2 9 6 3 2" xfId="27687"/>
    <cellStyle name="계산 2 9 6 3 3" xfId="37118"/>
    <cellStyle name="计算 2 9 6 3 3" xfId="37119"/>
    <cellStyle name="계산 2 9 6 3 4" xfId="43037"/>
    <cellStyle name="计算 2 9 6 3 4" xfId="43038"/>
    <cellStyle name="계산 2 9 6 3 5" xfId="47181"/>
    <cellStyle name="计算 2 9 6 3 5" xfId="47182"/>
    <cellStyle name="계산 2 9 6 3 6" xfId="49871"/>
    <cellStyle name="计算 2 9 6 3 6" xfId="49872"/>
    <cellStyle name="계산 2 9 6 4" xfId="14307"/>
    <cellStyle name="计算 2 9 6 4" xfId="13554"/>
    <cellStyle name="계산 2 9 6 4 2" xfId="27535"/>
    <cellStyle name="计算 2 9 6 4 2" xfId="26782"/>
    <cellStyle name="계산 2 9 6 4 3" xfId="32036"/>
    <cellStyle name="计算 2 9 6 4 3" xfId="30306"/>
    <cellStyle name="계산 2 9 6 4 4" xfId="38259"/>
    <cellStyle name="计算 2 9 6 4 4" xfId="16740"/>
    <cellStyle name="계산 2 9 6 4 5" xfId="34384"/>
    <cellStyle name="计算 2 9 6 4 5" xfId="34416"/>
    <cellStyle name="계산 2 9 6 4 6" xfId="44602"/>
    <cellStyle name="计算 2 9 6 4 6" xfId="40168"/>
    <cellStyle name="계산 2 9 6 5" xfId="24989"/>
    <cellStyle name="计算 2 9 6 5" xfId="24990"/>
    <cellStyle name="계산 2 9 6 5 2" xfId="30647"/>
    <cellStyle name="计算 2 9 6 5 2" xfId="35003"/>
    <cellStyle name="계산 2 9 6 5 3" xfId="16876"/>
    <cellStyle name="计算 2 9 6 5 3" xfId="41007"/>
    <cellStyle name="계산 2 9 6 5 4" xfId="28854"/>
    <cellStyle name="计算 2 9 6 5 4" xfId="45816"/>
    <cellStyle name="계산 2 9 6 5 5" xfId="46644"/>
    <cellStyle name="计算 2 9 6 5 5" xfId="47703"/>
    <cellStyle name="계산 2 9 6 6" xfId="37583"/>
    <cellStyle name="计算 2 9 6 6" xfId="30499"/>
    <cellStyle name="계산 2 9 6 6 2" xfId="43505"/>
    <cellStyle name="计算 2 9 6 6 2" xfId="27777"/>
    <cellStyle name="계산 2 9 6 6 3" xfId="50339"/>
    <cellStyle name="计算 2 9 6 6 3" xfId="28208"/>
    <cellStyle name="계산 2 9 6 7" xfId="37904"/>
    <cellStyle name="计算 2 9 6 7" xfId="37905"/>
    <cellStyle name="계산 2 9 6 7 2" xfId="43829"/>
    <cellStyle name="计算 2 9 6 7 2" xfId="43830"/>
    <cellStyle name="계산 2 9 6 7 3" xfId="50663"/>
    <cellStyle name="计算 2 9 6 7 3" xfId="50664"/>
    <cellStyle name="계산 2 9 6 8" xfId="34225"/>
    <cellStyle name="计算 2 9 6 8" xfId="34226"/>
    <cellStyle name="계산 2 9 6 9" xfId="40250"/>
    <cellStyle name="计算 2 9 6 9" xfId="40251"/>
    <cellStyle name="계산 2 9 7" xfId="7824"/>
    <cellStyle name="计算 2 9 7" xfId="7825"/>
    <cellStyle name="계산 2 9 7 2" xfId="21052"/>
    <cellStyle name="计算 2 9 7 2" xfId="21053"/>
    <cellStyle name="계산 2 9 7 3" xfId="30929"/>
    <cellStyle name="计算 2 9 7 3" xfId="30930"/>
    <cellStyle name="계산 2 9 7 4" xfId="16979"/>
    <cellStyle name="计算 2 9 7 4" xfId="17000"/>
    <cellStyle name="계산 2 9 7 5" xfId="14522"/>
    <cellStyle name="计算 2 9 7 5" xfId="32393"/>
    <cellStyle name="계산 2 9 7 6" xfId="15369"/>
    <cellStyle name="计算 2 9 7 6" xfId="33138"/>
    <cellStyle name="계산 2 9 8" xfId="7388"/>
    <cellStyle name="计算 2 9 8" xfId="7387"/>
    <cellStyle name="계산 2 9 8 2" xfId="20616"/>
    <cellStyle name="计算 2 9 8 2" xfId="20615"/>
    <cellStyle name="계산 2 9 8 3" xfId="31697"/>
    <cellStyle name="计算 2 9 8 3" xfId="31786"/>
    <cellStyle name="계산 2 9 8 4" xfId="27991"/>
    <cellStyle name="计算 2 9 8 4" xfId="38007"/>
    <cellStyle name="계산 2 9 8 5" xfId="35036"/>
    <cellStyle name="计算 2 9 8 5" xfId="17923"/>
    <cellStyle name="계산 2 9 8 6" xfId="45649"/>
    <cellStyle name="计算 2 9 8 6" xfId="15571"/>
    <cellStyle name="계산 2 9 9" xfId="13060"/>
    <cellStyle name="计算 2 9 9" xfId="14202"/>
    <cellStyle name="계산 2 9 9 2" xfId="26288"/>
    <cellStyle name="计算 2 9 9 2" xfId="27430"/>
    <cellStyle name="계산 2 9 9 3" xfId="36991"/>
    <cellStyle name="计算 2 9 9 3" xfId="30829"/>
    <cellStyle name="계산 2 9 9 4" xfId="42910"/>
    <cellStyle name="计算 2 9 9 4" xfId="16955"/>
    <cellStyle name="계산 2 9 9 5" xfId="47087"/>
    <cellStyle name="计算 2 9 9 5" xfId="15719"/>
    <cellStyle name="계산 2 9 9 6" xfId="49744"/>
    <cellStyle name="计算 2 9 9 6" xfId="40184"/>
    <cellStyle name="계산 2_CRM팀 1단계 정보확인 DB 검색코드_110425" xfId="2668"/>
    <cellStyle name="계산 20" xfId="4669"/>
    <cellStyle name="计算 20" xfId="50922"/>
    <cellStyle name="계산 20 2" xfId="6613"/>
    <cellStyle name="계산 20 2 2" xfId="11347"/>
    <cellStyle name="계산 20 2 2 2" xfId="24575"/>
    <cellStyle name="계산 20 2 2 3" xfId="33977"/>
    <cellStyle name="계산 20 2 2 4" xfId="45042"/>
    <cellStyle name="계산 20 2 2 5" xfId="28761"/>
    <cellStyle name="계산 20 2 3" xfId="8730"/>
    <cellStyle name="계산 20 2 3 2" xfId="21958"/>
    <cellStyle name="계산 20 2 3 3" xfId="36402"/>
    <cellStyle name="계산 20 2 3 4" xfId="42295"/>
    <cellStyle name="계산 20 2 3 5" xfId="49129"/>
    <cellStyle name="계산 20 2 4" xfId="19841"/>
    <cellStyle name="계산 20 2 4 2" xfId="30244"/>
    <cellStyle name="계산 20 2 4 3" xfId="18139"/>
    <cellStyle name="계산 20 2 4 4" xfId="45116"/>
    <cellStyle name="계산 20 2 5" xfId="31638"/>
    <cellStyle name="계산 20 2 5 2" xfId="18628"/>
    <cellStyle name="계산 20 2 5 3" xfId="46983"/>
    <cellStyle name="계산 20 2 6" xfId="29665"/>
    <cellStyle name="계산 20 2 7" xfId="16275"/>
    <cellStyle name="계산 20 2 8" xfId="44341"/>
    <cellStyle name="계산 20 3" xfId="9824"/>
    <cellStyle name="계산 20 3 10" xfId="28227"/>
    <cellStyle name="계산 20 3 2" xfId="13461"/>
    <cellStyle name="계산 20 3 2 2" xfId="26689"/>
    <cellStyle name="계산 20 3 2 3" xfId="32941"/>
    <cellStyle name="계산 20 3 2 4" xfId="39161"/>
    <cellStyle name="계산 20 3 2 5" xfId="47034"/>
    <cellStyle name="계산 20 3 3" xfId="7716"/>
    <cellStyle name="계산 20 3 3 2" xfId="20944"/>
    <cellStyle name="계산 20 3 3 3" xfId="35437"/>
    <cellStyle name="계산 20 3 3 4" xfId="46159"/>
    <cellStyle name="계산 20 3 3 5" xfId="48140"/>
    <cellStyle name="계산 20 3 4" xfId="14294"/>
    <cellStyle name="계산 20 3 4 2" xfId="27522"/>
    <cellStyle name="계산 20 3 4 3" xfId="33099"/>
    <cellStyle name="계산 20 3 4 4" xfId="39317"/>
    <cellStyle name="계산 20 3 4 5" xfId="38487"/>
    <cellStyle name="계산 20 3 5" xfId="13586"/>
    <cellStyle name="계산 20 3 5 2" xfId="26814"/>
    <cellStyle name="계산 20 3 5 3" xfId="41511"/>
    <cellStyle name="계산 20 3 5 4" xfId="48345"/>
    <cellStyle name="계산 20 3 6" xfId="23052"/>
    <cellStyle name="계산 20 3 6 2" xfId="34880"/>
    <cellStyle name="계산 20 3 6 3" xfId="40878"/>
    <cellStyle name="계산 20 3 6 4" xfId="33425"/>
    <cellStyle name="계산 20 3 7" xfId="32324"/>
    <cellStyle name="계산 20 3 7 2" xfId="38542"/>
    <cellStyle name="계산 20 3 7 3" xfId="47468"/>
    <cellStyle name="계산 20 3 8" xfId="28630"/>
    <cellStyle name="계산 20 3 9" xfId="15822"/>
    <cellStyle name="계산 20 4" xfId="8692"/>
    <cellStyle name="계산 20 4 2" xfId="21920"/>
    <cellStyle name="계산 20 5" xfId="40561"/>
    <cellStyle name="계산 20 6" xfId="50781"/>
    <cellStyle name="계산 21" xfId="4677"/>
    <cellStyle name="计算 21" xfId="50859"/>
    <cellStyle name="계산 21 2" xfId="6616"/>
    <cellStyle name="계산 21 2 2" xfId="11350"/>
    <cellStyle name="계산 21 2 2 2" xfId="24578"/>
    <cellStyle name="계산 21 2 2 3" xfId="33980"/>
    <cellStyle name="계산 21 2 2 4" xfId="45045"/>
    <cellStyle name="계산 21 2 2 5" xfId="34394"/>
    <cellStyle name="계산 21 2 3" xfId="8280"/>
    <cellStyle name="계산 21 2 3 2" xfId="21508"/>
    <cellStyle name="계산 21 2 3 3" xfId="36405"/>
    <cellStyle name="계산 21 2 3 4" xfId="42298"/>
    <cellStyle name="계산 21 2 3 5" xfId="49132"/>
    <cellStyle name="계산 21 2 4" xfId="19844"/>
    <cellStyle name="계산 21 2 4 2" xfId="30505"/>
    <cellStyle name="계산 21 2 4 3" xfId="16818"/>
    <cellStyle name="계산 21 2 4 4" xfId="28132"/>
    <cellStyle name="계산 21 2 5" xfId="31211"/>
    <cellStyle name="계산 21 2 5 2" xfId="17121"/>
    <cellStyle name="계산 21 2 5 3" xfId="15616"/>
    <cellStyle name="계산 21 2 6" xfId="29668"/>
    <cellStyle name="계산 21 2 7" xfId="16278"/>
    <cellStyle name="계산 21 2 8" xfId="45549"/>
    <cellStyle name="계산 21 3" xfId="9827"/>
    <cellStyle name="계산 21 3 10" xfId="34152"/>
    <cellStyle name="계산 21 3 2" xfId="13464"/>
    <cellStyle name="계산 21 3 2 2" xfId="26692"/>
    <cellStyle name="계산 21 3 2 3" xfId="32944"/>
    <cellStyle name="계산 21 3 2 4" xfId="39164"/>
    <cellStyle name="계산 21 3 2 5" xfId="34483"/>
    <cellStyle name="계산 21 3 3" xfId="13784"/>
    <cellStyle name="계산 21 3 3 2" xfId="27012"/>
    <cellStyle name="계산 21 3 3 3" xfId="35440"/>
    <cellStyle name="계산 21 3 3 4" xfId="46162"/>
    <cellStyle name="계산 21 3 3 5" xfId="48143"/>
    <cellStyle name="계산 21 3 4" xfId="13541"/>
    <cellStyle name="계산 21 3 4 2" xfId="26769"/>
    <cellStyle name="계산 21 3 4 3" xfId="31180"/>
    <cellStyle name="계산 21 3 4 4" xfId="17094"/>
    <cellStyle name="계산 21 3 4 5" xfId="40384"/>
    <cellStyle name="계산 21 3 5" xfId="8009"/>
    <cellStyle name="계산 21 3 5 2" xfId="21237"/>
    <cellStyle name="계산 21 3 5 3" xfId="42419"/>
    <cellStyle name="계산 21 3 5 4" xfId="49253"/>
    <cellStyle name="계산 21 3 6" xfId="23055"/>
    <cellStyle name="계산 21 3 6 2" xfId="30262"/>
    <cellStyle name="계산 21 3 6 3" xfId="14643"/>
    <cellStyle name="계산 21 3 6 4" xfId="44434"/>
    <cellStyle name="계산 21 3 7" xfId="30659"/>
    <cellStyle name="계산 21 3 7 2" xfId="17954"/>
    <cellStyle name="계산 21 3 7 3" xfId="17433"/>
    <cellStyle name="계산 21 3 8" xfId="28633"/>
    <cellStyle name="계산 21 3 9" xfId="39206"/>
    <cellStyle name="계산 21 4" xfId="8700"/>
    <cellStyle name="계산 21 4 2" xfId="21928"/>
    <cellStyle name="계산 21 5" xfId="40180"/>
    <cellStyle name="계산 22" xfId="4675"/>
    <cellStyle name="계산 22 2" xfId="6614"/>
    <cellStyle name="계산 22 2 2" xfId="11348"/>
    <cellStyle name="계산 22 2 2 2" xfId="24576"/>
    <cellStyle name="계산 22 2 2 3" xfId="33978"/>
    <cellStyle name="계산 22 2 2 4" xfId="45043"/>
    <cellStyle name="계산 22 2 2 5" xfId="28767"/>
    <cellStyle name="계산 22 2 3" xfId="6829"/>
    <cellStyle name="계산 22 2 3 2" xfId="20057"/>
    <cellStyle name="계산 22 2 3 3" xfId="36403"/>
    <cellStyle name="계산 22 2 3 4" xfId="42296"/>
    <cellStyle name="계산 22 2 3 5" xfId="49130"/>
    <cellStyle name="계산 22 2 4" xfId="19842"/>
    <cellStyle name="계산 22 2 4 2" xfId="30506"/>
    <cellStyle name="계산 22 2 4 3" xfId="15187"/>
    <cellStyle name="계산 22 2 4 4" xfId="17907"/>
    <cellStyle name="계산 22 2 5" xfId="37270"/>
    <cellStyle name="계산 22 2 5 2" xfId="43190"/>
    <cellStyle name="계산 22 2 5 3" xfId="50024"/>
    <cellStyle name="계산 22 2 6" xfId="29666"/>
    <cellStyle name="계산 22 2 7" xfId="16276"/>
    <cellStyle name="계산 22 2 8" xfId="40440"/>
    <cellStyle name="계산 22 3" xfId="9825"/>
    <cellStyle name="계산 22 3 10" xfId="44563"/>
    <cellStyle name="계산 22 3 2" xfId="13462"/>
    <cellStyle name="계산 22 3 2 2" xfId="26690"/>
    <cellStyle name="계산 22 3 2 3" xfId="32942"/>
    <cellStyle name="계산 22 3 2 4" xfId="39162"/>
    <cellStyle name="계산 22 3 2 5" xfId="29127"/>
    <cellStyle name="계산 22 3 3" xfId="14086"/>
    <cellStyle name="계산 22 3 3 2" xfId="27314"/>
    <cellStyle name="계산 22 3 3 3" xfId="35438"/>
    <cellStyle name="계산 22 3 3 4" xfId="46160"/>
    <cellStyle name="계산 22 3 3 5" xfId="48141"/>
    <cellStyle name="계산 22 3 4" xfId="7315"/>
    <cellStyle name="계산 22 3 4 2" xfId="20543"/>
    <cellStyle name="계산 22 3 4 3" xfId="29913"/>
    <cellStyle name="계산 22 3 4 4" xfId="16448"/>
    <cellStyle name="계산 22 3 4 5" xfId="28923"/>
    <cellStyle name="계산 22 3 5" xfId="14108"/>
    <cellStyle name="계산 22 3 5 2" xfId="27336"/>
    <cellStyle name="계산 22 3 5 3" xfId="42702"/>
    <cellStyle name="계산 22 3 5 4" xfId="49536"/>
    <cellStyle name="계산 22 3 6" xfId="23053"/>
    <cellStyle name="계산 22 3 6 2" xfId="37008"/>
    <cellStyle name="계산 22 3 6 3" xfId="42927"/>
    <cellStyle name="계산 22 3 6 4" xfId="49761"/>
    <cellStyle name="계산 22 3 7" xfId="36549"/>
    <cellStyle name="계산 22 3 7 2" xfId="42447"/>
    <cellStyle name="계산 22 3 7 3" xfId="49281"/>
    <cellStyle name="계산 22 3 8" xfId="28631"/>
    <cellStyle name="계산 22 3 9" xfId="38426"/>
    <cellStyle name="계산 22 4" xfId="8698"/>
    <cellStyle name="계산 22 4 2" xfId="21926"/>
    <cellStyle name="계산 22 5" xfId="45416"/>
    <cellStyle name="계산 23" xfId="4676"/>
    <cellStyle name="계산 23 2" xfId="6615"/>
    <cellStyle name="계산 23 2 2" xfId="11349"/>
    <cellStyle name="계산 23 2 2 2" xfId="24577"/>
    <cellStyle name="계산 23 2 2 3" xfId="33979"/>
    <cellStyle name="계산 23 2 2 4" xfId="45044"/>
    <cellStyle name="계산 23 2 2 5" xfId="27883"/>
    <cellStyle name="계산 23 2 3" xfId="8279"/>
    <cellStyle name="계산 23 2 3 2" xfId="21507"/>
    <cellStyle name="계산 23 2 3 3" xfId="36404"/>
    <cellStyle name="계산 23 2 3 4" xfId="42297"/>
    <cellStyle name="계산 23 2 3 5" xfId="49131"/>
    <cellStyle name="계산 23 2 4" xfId="19843"/>
    <cellStyle name="계산 23 2 4 2" xfId="32004"/>
    <cellStyle name="계산 23 2 4 3" xfId="38227"/>
    <cellStyle name="계산 23 2 4 4" xfId="39774"/>
    <cellStyle name="계산 23 2 5" xfId="37246"/>
    <cellStyle name="계산 23 2 5 2" xfId="43166"/>
    <cellStyle name="계산 23 2 5 3" xfId="50000"/>
    <cellStyle name="계산 23 2 6" xfId="29667"/>
    <cellStyle name="계산 23 2 7" xfId="16277"/>
    <cellStyle name="계산 23 2 8" xfId="44579"/>
    <cellStyle name="계산 23 3" xfId="9826"/>
    <cellStyle name="계산 23 3 10" xfId="45533"/>
    <cellStyle name="계산 23 3 2" xfId="13463"/>
    <cellStyle name="계산 23 3 2 2" xfId="26691"/>
    <cellStyle name="계산 23 3 2 3" xfId="32943"/>
    <cellStyle name="계산 23 3 2 4" xfId="39163"/>
    <cellStyle name="계산 23 3 2 5" xfId="44246"/>
    <cellStyle name="계산 23 3 3" xfId="13756"/>
    <cellStyle name="계산 23 3 3 2" xfId="26984"/>
    <cellStyle name="계산 23 3 3 3" xfId="35439"/>
    <cellStyle name="계산 23 3 3 4" xfId="46161"/>
    <cellStyle name="계산 23 3 3 5" xfId="48142"/>
    <cellStyle name="계산 23 3 4" xfId="7324"/>
    <cellStyle name="계산 23 3 4 2" xfId="20552"/>
    <cellStyle name="계산 23 3 4 3" xfId="31181"/>
    <cellStyle name="계산 23 3 4 4" xfId="17056"/>
    <cellStyle name="계산 23 3 4 5" xfId="47122"/>
    <cellStyle name="계산 23 3 5" xfId="13491"/>
    <cellStyle name="계산 23 3 5 2" xfId="26719"/>
    <cellStyle name="계산 23 3 5 3" xfId="40984"/>
    <cellStyle name="계산 23 3 5 4" xfId="47680"/>
    <cellStyle name="계산 23 3 6" xfId="23054"/>
    <cellStyle name="계산 23 3 6 2" xfId="31775"/>
    <cellStyle name="계산 23 3 6 3" xfId="37996"/>
    <cellStyle name="계산 23 3 6 4" xfId="45596"/>
    <cellStyle name="계산 23 3 7" xfId="37800"/>
    <cellStyle name="계산 23 3 7 2" xfId="43724"/>
    <cellStyle name="계산 23 3 7 3" xfId="50558"/>
    <cellStyle name="계산 23 3 8" xfId="28632"/>
    <cellStyle name="계산 23 3 9" xfId="40292"/>
    <cellStyle name="계산 23 4" xfId="8699"/>
    <cellStyle name="계산 23 4 2" xfId="21927"/>
    <cellStyle name="계산 23 5" xfId="40079"/>
    <cellStyle name="계산 24" xfId="4812"/>
    <cellStyle name="계산 24 2" xfId="6619"/>
    <cellStyle name="계산 24 2 2" xfId="11353"/>
    <cellStyle name="계산 24 2 2 2" xfId="24581"/>
    <cellStyle name="계산 24 2 2 3" xfId="33983"/>
    <cellStyle name="계산 24 2 2 4" xfId="45048"/>
    <cellStyle name="계산 24 2 2 5" xfId="39929"/>
    <cellStyle name="계산 24 2 3" xfId="8283"/>
    <cellStyle name="계산 24 2 3 2" xfId="21511"/>
    <cellStyle name="계산 24 2 3 3" xfId="36408"/>
    <cellStyle name="계산 24 2 3 4" xfId="42301"/>
    <cellStyle name="계산 24 2 3 5" xfId="49135"/>
    <cellStyle name="계산 24 2 4" xfId="19847"/>
    <cellStyle name="계산 24 2 4 2" xfId="32042"/>
    <cellStyle name="계산 24 2 4 3" xfId="38265"/>
    <cellStyle name="계산 24 2 4 4" xfId="17523"/>
    <cellStyle name="계산 24 2 5" xfId="37792"/>
    <cellStyle name="계산 24 2 5 2" xfId="43716"/>
    <cellStyle name="계산 24 2 5 3" xfId="50550"/>
    <cellStyle name="계산 24 2 6" xfId="29671"/>
    <cellStyle name="계산 24 2 7" xfId="16281"/>
    <cellStyle name="계산 24 2 8" xfId="34565"/>
    <cellStyle name="계산 24 3" xfId="9828"/>
    <cellStyle name="계산 24 3 10" xfId="38455"/>
    <cellStyle name="계산 24 3 2" xfId="13465"/>
    <cellStyle name="계산 24 3 2 2" xfId="26693"/>
    <cellStyle name="계산 24 3 2 3" xfId="32945"/>
    <cellStyle name="계산 24 3 2 4" xfId="39165"/>
    <cellStyle name="계산 24 3 2 5" xfId="27851"/>
    <cellStyle name="계산 24 3 3" xfId="7717"/>
    <cellStyle name="계산 24 3 3 2" xfId="20945"/>
    <cellStyle name="계산 24 3 3 3" xfId="35441"/>
    <cellStyle name="계산 24 3 3 4" xfId="46163"/>
    <cellStyle name="계산 24 3 3 5" xfId="48144"/>
    <cellStyle name="계산 24 3 4" xfId="14153"/>
    <cellStyle name="계산 24 3 4 2" xfId="27381"/>
    <cellStyle name="계산 24 3 4 3" xfId="31869"/>
    <cellStyle name="계산 24 3 4 4" xfId="38090"/>
    <cellStyle name="계산 24 3 4 5" xfId="46598"/>
    <cellStyle name="계산 24 3 5" xfId="14379"/>
    <cellStyle name="계산 24 3 5 2" xfId="27607"/>
    <cellStyle name="계산 24 3 5 3" xfId="15147"/>
    <cellStyle name="계산 24 3 5 4" xfId="46370"/>
    <cellStyle name="계산 24 3 6" xfId="23056"/>
    <cellStyle name="계산 24 3 6 2" xfId="30414"/>
    <cellStyle name="계산 24 3 6 3" xfId="14874"/>
    <cellStyle name="계산 24 3 6 4" xfId="47433"/>
    <cellStyle name="계산 24 3 7" xfId="29901"/>
    <cellStyle name="계산 24 3 7 2" xfId="14612"/>
    <cellStyle name="계산 24 3 7 3" xfId="45320"/>
    <cellStyle name="계산 24 3 8" xfId="28634"/>
    <cellStyle name="계산 24 3 9" xfId="33161"/>
    <cellStyle name="계산 24 4" xfId="8721"/>
    <cellStyle name="계산 24 4 2" xfId="21949"/>
    <cellStyle name="계산 24 5" xfId="39625"/>
    <cellStyle name="계산 25" xfId="4813"/>
    <cellStyle name="계산 25 2" xfId="6620"/>
    <cellStyle name="계산 25 2 2" xfId="11354"/>
    <cellStyle name="계산 25 2 2 2" xfId="24582"/>
    <cellStyle name="계산 25 2 2 3" xfId="33984"/>
    <cellStyle name="계산 25 2 2 4" xfId="45049"/>
    <cellStyle name="계산 25 2 2 5" xfId="32173"/>
    <cellStyle name="계산 25 2 3" xfId="8284"/>
    <cellStyle name="계산 25 2 3 2" xfId="21512"/>
    <cellStyle name="계산 25 2 3 3" xfId="36409"/>
    <cellStyle name="계산 25 2 3 4" xfId="42302"/>
    <cellStyle name="계산 25 2 3 5" xfId="49136"/>
    <cellStyle name="계산 25 2 4" xfId="19848"/>
    <cellStyle name="계산 25 2 4 2" xfId="37028"/>
    <cellStyle name="계산 25 2 4 3" xfId="42947"/>
    <cellStyle name="계산 25 2 4 4" xfId="49781"/>
    <cellStyle name="계산 25 2 5" xfId="34844"/>
    <cellStyle name="계산 25 2 5 2" xfId="40843"/>
    <cellStyle name="계산 25 2 5 3" xfId="39292"/>
    <cellStyle name="계산 25 2 6" xfId="29672"/>
    <cellStyle name="계산 25 2 7" xfId="16282"/>
    <cellStyle name="계산 25 2 8" xfId="45181"/>
    <cellStyle name="계산 25 3" xfId="9829"/>
    <cellStyle name="계산 25 3 10" xfId="34475"/>
    <cellStyle name="계산 25 3 2" xfId="13466"/>
    <cellStyle name="계산 25 3 2 2" xfId="26694"/>
    <cellStyle name="계산 25 3 2 3" xfId="32946"/>
    <cellStyle name="계산 25 3 2 4" xfId="39166"/>
    <cellStyle name="계산 25 3 2 5" xfId="46690"/>
    <cellStyle name="계산 25 3 3" xfId="13751"/>
    <cellStyle name="계산 25 3 3 2" xfId="26979"/>
    <cellStyle name="계산 25 3 3 3" xfId="35442"/>
    <cellStyle name="계산 25 3 3 4" xfId="46164"/>
    <cellStyle name="계산 25 3 3 5" xfId="48145"/>
    <cellStyle name="계산 25 3 4" xfId="13618"/>
    <cellStyle name="계산 25 3 4 2" xfId="26846"/>
    <cellStyle name="계산 25 3 4 3" xfId="31183"/>
    <cellStyle name="계산 25 3 4 4" xfId="17096"/>
    <cellStyle name="계산 25 3 4 5" xfId="32497"/>
    <cellStyle name="계산 25 3 5" xfId="14135"/>
    <cellStyle name="계산 25 3 5 2" xfId="27363"/>
    <cellStyle name="계산 25 3 5 3" xfId="17342"/>
    <cellStyle name="계산 25 3 5 4" xfId="46371"/>
    <cellStyle name="계산 25 3 6" xfId="23057"/>
    <cellStyle name="계산 25 3 6 2" xfId="32092"/>
    <cellStyle name="계산 25 3 6 3" xfId="38315"/>
    <cellStyle name="계산 25 3 6 4" xfId="34241"/>
    <cellStyle name="계산 25 3 7" xfId="36498"/>
    <cellStyle name="계산 25 3 7 2" xfId="42391"/>
    <cellStyle name="계산 25 3 7 3" xfId="49225"/>
    <cellStyle name="계산 25 3 8" xfId="28635"/>
    <cellStyle name="계산 25 3 9" xfId="39553"/>
    <cellStyle name="계산 25 4" xfId="8722"/>
    <cellStyle name="계산 25 4 2" xfId="21950"/>
    <cellStyle name="계산 25 5" xfId="43877"/>
    <cellStyle name="계산 26" xfId="4816"/>
    <cellStyle name="계산 26 2" xfId="6621"/>
    <cellStyle name="계산 26 2 2" xfId="11355"/>
    <cellStyle name="계산 26 2 2 2" xfId="24583"/>
    <cellStyle name="계산 26 2 2 3" xfId="33985"/>
    <cellStyle name="계산 26 2 2 4" xfId="45050"/>
    <cellStyle name="계산 26 2 2 5" xfId="41239"/>
    <cellStyle name="계산 26 2 3" xfId="8285"/>
    <cellStyle name="계산 26 2 3 2" xfId="21513"/>
    <cellStyle name="계산 26 2 3 3" xfId="36410"/>
    <cellStyle name="계산 26 2 3 4" xfId="42303"/>
    <cellStyle name="계산 26 2 3 5" xfId="49137"/>
    <cellStyle name="계산 26 2 4" xfId="19849"/>
    <cellStyle name="계산 26 2 4 2" xfId="34683"/>
    <cellStyle name="계산 26 2 4 3" xfId="40673"/>
    <cellStyle name="계산 26 2 4 4" xfId="17481"/>
    <cellStyle name="계산 26 2 5" xfId="35518"/>
    <cellStyle name="계산 26 2 5 2" xfId="41390"/>
    <cellStyle name="계산 26 2 5 3" xfId="48224"/>
    <cellStyle name="계산 26 2 6" xfId="29673"/>
    <cellStyle name="계산 26 2 7" xfId="16283"/>
    <cellStyle name="계산 26 2 8" xfId="44048"/>
    <cellStyle name="계산 26 3" xfId="9830"/>
    <cellStyle name="계산 26 3 10" xfId="45201"/>
    <cellStyle name="계산 26 3 2" xfId="13467"/>
    <cellStyle name="계산 26 3 2 2" xfId="26695"/>
    <cellStyle name="계산 26 3 2 3" xfId="32947"/>
    <cellStyle name="계산 26 3 2 4" xfId="39167"/>
    <cellStyle name="계산 26 3 2 5" xfId="45707"/>
    <cellStyle name="계산 26 3 3" xfId="13780"/>
    <cellStyle name="계산 26 3 3 2" xfId="27008"/>
    <cellStyle name="계산 26 3 3 3" xfId="35443"/>
    <cellStyle name="계산 26 3 3 4" xfId="46165"/>
    <cellStyle name="계산 26 3 3 5" xfId="48146"/>
    <cellStyle name="계산 26 3 4" xfId="14224"/>
    <cellStyle name="계산 26 3 4 2" xfId="27452"/>
    <cellStyle name="계산 26 3 4 3" xfId="31182"/>
    <cellStyle name="계산 26 3 4 4" xfId="14724"/>
    <cellStyle name="계산 26 3 4 5" xfId="39715"/>
    <cellStyle name="계산 26 3 5" xfId="7329"/>
    <cellStyle name="계산 26 3 5 2" xfId="20557"/>
    <cellStyle name="계산 26 3 5 3" xfId="40769"/>
    <cellStyle name="계산 26 3 5 4" xfId="15387"/>
    <cellStyle name="계산 26 3 6" xfId="23058"/>
    <cellStyle name="계산 26 3 6 2" xfId="36530"/>
    <cellStyle name="계산 26 3 6 3" xfId="42428"/>
    <cellStyle name="계산 26 3 6 4" xfId="49262"/>
    <cellStyle name="계산 26 3 7" xfId="37776"/>
    <cellStyle name="계산 26 3 7 2" xfId="43700"/>
    <cellStyle name="계산 26 3 7 3" xfId="50534"/>
    <cellStyle name="계산 26 3 8" xfId="28636"/>
    <cellStyle name="계산 26 3 9" xfId="40535"/>
    <cellStyle name="계산 26 4" xfId="8725"/>
    <cellStyle name="계산 26 4 2" xfId="21953"/>
    <cellStyle name="계산 26 5" xfId="39600"/>
    <cellStyle name="계산 27" xfId="4817"/>
    <cellStyle name="계산 27 2" xfId="6622"/>
    <cellStyle name="계산 27 2 2" xfId="11356"/>
    <cellStyle name="계산 27 2 2 2" xfId="24584"/>
    <cellStyle name="계산 27 2 2 3" xfId="33986"/>
    <cellStyle name="계산 27 2 2 4" xfId="45051"/>
    <cellStyle name="계산 27 2 2 5" xfId="28832"/>
    <cellStyle name="계산 27 2 3" xfId="8286"/>
    <cellStyle name="계산 27 2 3 2" xfId="21514"/>
    <cellStyle name="계산 27 2 3 3" xfId="36411"/>
    <cellStyle name="계산 27 2 3 4" xfId="42304"/>
    <cellStyle name="계산 27 2 3 5" xfId="49138"/>
    <cellStyle name="계산 27 2 4" xfId="19850"/>
    <cellStyle name="계산 27 2 4 2" xfId="30854"/>
    <cellStyle name="계산 27 2 4 3" xfId="28022"/>
    <cellStyle name="계산 27 2 4 4" xfId="15431"/>
    <cellStyle name="계산 27 2 5" xfId="37522"/>
    <cellStyle name="계산 27 2 5 2" xfId="43443"/>
    <cellStyle name="계산 27 2 5 3" xfId="50277"/>
    <cellStyle name="계산 27 2 6" xfId="29674"/>
    <cellStyle name="계산 27 2 7" xfId="16284"/>
    <cellStyle name="계산 27 2 8" xfId="15833"/>
    <cellStyle name="계산 27 3" xfId="9831"/>
    <cellStyle name="계산 27 3 10" xfId="44068"/>
    <cellStyle name="계산 27 3 2" xfId="13468"/>
    <cellStyle name="계산 27 3 2 2" xfId="26696"/>
    <cellStyle name="계산 27 3 2 3" xfId="32948"/>
    <cellStyle name="계산 27 3 2 4" xfId="39168"/>
    <cellStyle name="계산 27 3 2 5" xfId="15733"/>
    <cellStyle name="계산 27 3 3" xfId="13972"/>
    <cellStyle name="계산 27 3 3 2" xfId="27200"/>
    <cellStyle name="계산 27 3 3 3" xfId="35444"/>
    <cellStyle name="계산 27 3 3 4" xfId="46166"/>
    <cellStyle name="계산 27 3 3 5" xfId="48147"/>
    <cellStyle name="계산 27 3 4" xfId="13081"/>
    <cellStyle name="계산 27 3 4 2" xfId="26309"/>
    <cellStyle name="계산 27 3 4 3" xfId="31868"/>
    <cellStyle name="계산 27 3 4 4" xfId="38089"/>
    <cellStyle name="계산 27 3 4 5" xfId="45789"/>
    <cellStyle name="계산 27 3 5" xfId="14116"/>
    <cellStyle name="계산 27 3 5 2" xfId="27344"/>
    <cellStyle name="계산 27 3 5 3" xfId="41734"/>
    <cellStyle name="계산 27 3 5 4" xfId="48568"/>
    <cellStyle name="계산 27 3 6" xfId="23059"/>
    <cellStyle name="계산 27 3 6 2" xfId="29783"/>
    <cellStyle name="계산 27 3 6 3" xfId="16337"/>
    <cellStyle name="계산 27 3 6 4" xfId="33130"/>
    <cellStyle name="계산 27 3 7" xfId="31256"/>
    <cellStyle name="계산 27 3 7 2" xfId="17153"/>
    <cellStyle name="계산 27 3 7 3" xfId="47121"/>
    <cellStyle name="계산 27 3 8" xfId="28637"/>
    <cellStyle name="계산 27 3 9" xfId="15919"/>
    <cellStyle name="계산 27 4" xfId="8726"/>
    <cellStyle name="계산 27 4 2" xfId="21954"/>
    <cellStyle name="계산 27 5" xfId="44580"/>
    <cellStyle name="계산 28" xfId="4818"/>
    <cellStyle name="계산 28 2" xfId="6623"/>
    <cellStyle name="계산 28 2 2" xfId="11357"/>
    <cellStyle name="계산 28 2 2 2" xfId="24585"/>
    <cellStyle name="계산 28 2 2 3" xfId="33987"/>
    <cellStyle name="계산 28 2 2 4" xfId="45052"/>
    <cellStyle name="계산 28 2 2 5" xfId="39948"/>
    <cellStyle name="계산 28 2 3" xfId="8287"/>
    <cellStyle name="계산 28 2 3 2" xfId="21515"/>
    <cellStyle name="계산 28 2 3 3" xfId="36412"/>
    <cellStyle name="계산 28 2 3 4" xfId="42305"/>
    <cellStyle name="계산 28 2 3 5" xfId="49139"/>
    <cellStyle name="계산 28 2 4" xfId="19851"/>
    <cellStyle name="계산 28 2 4 2" xfId="32429"/>
    <cellStyle name="계산 28 2 4 3" xfId="38647"/>
    <cellStyle name="계산 28 2 4 4" xfId="46704"/>
    <cellStyle name="계산 28 2 5" xfId="31678"/>
    <cellStyle name="계산 28 2 5 2" xfId="17359"/>
    <cellStyle name="계산 28 2 5 3" xfId="47091"/>
    <cellStyle name="계산 28 2 6" xfId="29675"/>
    <cellStyle name="계산 28 2 7" xfId="16285"/>
    <cellStyle name="계산 28 2 8" xfId="44449"/>
    <cellStyle name="계산 28 3" xfId="9832"/>
    <cellStyle name="계산 28 3 10" xfId="39335"/>
    <cellStyle name="계산 28 3 2" xfId="13469"/>
    <cellStyle name="계산 28 3 2 2" xfId="26697"/>
    <cellStyle name="계산 28 3 2 3" xfId="32949"/>
    <cellStyle name="계산 28 3 2 4" xfId="39169"/>
    <cellStyle name="계산 28 3 2 5" xfId="28743"/>
    <cellStyle name="계산 28 3 3" xfId="7186"/>
    <cellStyle name="계산 28 3 3 2" xfId="20414"/>
    <cellStyle name="계산 28 3 3 3" xfId="35445"/>
    <cellStyle name="계산 28 3 3 4" xfId="46167"/>
    <cellStyle name="계산 28 3 3 5" xfId="48148"/>
    <cellStyle name="계산 28 3 4" xfId="14084"/>
    <cellStyle name="계산 28 3 4 2" xfId="27312"/>
    <cellStyle name="계산 28 3 4 3" xfId="29845"/>
    <cellStyle name="계산 28 3 4 4" xfId="16355"/>
    <cellStyle name="계산 28 3 4 5" xfId="15789"/>
    <cellStyle name="계산 28 3 5" xfId="13522"/>
    <cellStyle name="계산 28 3 5 2" xfId="26750"/>
    <cellStyle name="계산 28 3 5 3" xfId="42829"/>
    <cellStyle name="계산 28 3 5 4" xfId="49663"/>
    <cellStyle name="계산 28 3 6" xfId="23060"/>
    <cellStyle name="계산 28 3 6 2" xfId="30615"/>
    <cellStyle name="계산 28 3 6 3" xfId="27758"/>
    <cellStyle name="계산 28 3 6 4" xfId="15306"/>
    <cellStyle name="계산 28 3 7" xfId="31661"/>
    <cellStyle name="계산 28 3 7 2" xfId="17351"/>
    <cellStyle name="계산 28 3 7 3" xfId="46582"/>
    <cellStyle name="계산 28 3 8" xfId="28638"/>
    <cellStyle name="계산 28 3 9" xfId="29138"/>
    <cellStyle name="계산 28 4" xfId="8727"/>
    <cellStyle name="계산 28 4 2" xfId="21955"/>
    <cellStyle name="계산 28 5" xfId="45550"/>
    <cellStyle name="계산 29" xfId="4819"/>
    <cellStyle name="계산 29 2" xfId="6624"/>
    <cellStyle name="계산 29 2 2" xfId="11358"/>
    <cellStyle name="계산 29 2 2 2" xfId="24586"/>
    <cellStyle name="계산 29 2 2 3" xfId="33988"/>
    <cellStyle name="계산 29 2 2 4" xfId="45053"/>
    <cellStyle name="계산 29 2 2 5" xfId="33448"/>
    <cellStyle name="계산 29 2 3" xfId="8620"/>
    <cellStyle name="계산 29 2 3 2" xfId="21848"/>
    <cellStyle name="계산 29 2 3 3" xfId="36413"/>
    <cellStyle name="계산 29 2 3 4" xfId="42306"/>
    <cellStyle name="계산 29 2 3 5" xfId="49140"/>
    <cellStyle name="계산 29 2 4" xfId="19852"/>
    <cellStyle name="계산 29 2 4 2" xfId="30701"/>
    <cellStyle name="계산 29 2 4 3" xfId="15282"/>
    <cellStyle name="계산 29 2 4 4" xfId="45685"/>
    <cellStyle name="계산 29 2 5" xfId="34780"/>
    <cellStyle name="계산 29 2 5 2" xfId="40776"/>
    <cellStyle name="계산 29 2 5 3" xfId="40170"/>
    <cellStyle name="계산 29 2 6" xfId="29676"/>
    <cellStyle name="계산 29 2 7" xfId="16286"/>
    <cellStyle name="계산 29 2 8" xfId="45435"/>
    <cellStyle name="계산 29 3" xfId="9833"/>
    <cellStyle name="계산 29 3 10" xfId="44469"/>
    <cellStyle name="계산 29 3 2" xfId="13470"/>
    <cellStyle name="계산 29 3 2 2" xfId="26698"/>
    <cellStyle name="계산 29 3 2 3" xfId="32950"/>
    <cellStyle name="계산 29 3 2 4" xfId="39170"/>
    <cellStyle name="계산 29 3 2 5" xfId="15499"/>
    <cellStyle name="계산 29 3 3" xfId="13977"/>
    <cellStyle name="계산 29 3 3 2" xfId="27205"/>
    <cellStyle name="계산 29 3 3 3" xfId="35446"/>
    <cellStyle name="계산 29 3 3 4" xfId="46168"/>
    <cellStyle name="계산 29 3 3 5" xfId="48149"/>
    <cellStyle name="계산 29 3 4" xfId="12928"/>
    <cellStyle name="계산 29 3 4 2" xfId="26156"/>
    <cellStyle name="계산 29 3 4 3" xfId="31184"/>
    <cellStyle name="계산 29 3 4 4" xfId="17097"/>
    <cellStyle name="계산 29 3 4 5" xfId="43938"/>
    <cellStyle name="계산 29 3 5" xfId="14274"/>
    <cellStyle name="계산 29 3 5 2" xfId="27502"/>
    <cellStyle name="계산 29 3 5 3" xfId="41382"/>
    <cellStyle name="계산 29 3 5 4" xfId="48216"/>
    <cellStyle name="계산 29 3 6" xfId="23061"/>
    <cellStyle name="계산 29 3 6 2" xfId="34839"/>
    <cellStyle name="계산 29 3 6 3" xfId="40838"/>
    <cellStyle name="계산 29 3 6 4" xfId="39637"/>
    <cellStyle name="계산 29 3 7" xfId="37461"/>
    <cellStyle name="계산 29 3 7 2" xfId="43381"/>
    <cellStyle name="계산 29 3 7 3" xfId="50215"/>
    <cellStyle name="계산 29 3 8" xfId="28639"/>
    <cellStyle name="계산 29 3 9" xfId="15443"/>
    <cellStyle name="계산 29 4" xfId="8728"/>
    <cellStyle name="계산 29 4 2" xfId="21956"/>
    <cellStyle name="계산 29 5" xfId="29987"/>
    <cellStyle name="계산 3" xfId="174"/>
    <cellStyle name="计算 3" xfId="2670"/>
    <cellStyle name="计算 3 10" xfId="2671"/>
    <cellStyle name="计算 3 10 2" xfId="6311"/>
    <cellStyle name="计算 3 10 2 2" xfId="11045"/>
    <cellStyle name="计算 3 10 2 2 2" xfId="24273"/>
    <cellStyle name="计算 3 10 2 2 3" xfId="33675"/>
    <cellStyle name="计算 3 10 2 2 4" xfId="44809"/>
    <cellStyle name="计算 3 10 2 2 5" xfId="33198"/>
    <cellStyle name="计算 3 10 2 3" xfId="12714"/>
    <cellStyle name="计算 3 10 2 3 2" xfId="25942"/>
    <cellStyle name="计算 3 10 2 3 3" xfId="36101"/>
    <cellStyle name="计算 3 10 2 3 4" xfId="41994"/>
    <cellStyle name="计算 3 10 2 3 5" xfId="48828"/>
    <cellStyle name="计算 3 10 2 4" xfId="19539"/>
    <cellStyle name="计算 3 10 2 4 2" xfId="37314"/>
    <cellStyle name="计算 3 10 2 4 3" xfId="43234"/>
    <cellStyle name="计算 3 10 2 4 4" xfId="50068"/>
    <cellStyle name="计算 3 10 2 5" xfId="35677"/>
    <cellStyle name="计算 3 10 2 5 2" xfId="41557"/>
    <cellStyle name="计算 3 10 2 5 3" xfId="48391"/>
    <cellStyle name="计算 3 10 2 6" xfId="29363"/>
    <cellStyle name="计算 3 10 2 7" xfId="18646"/>
    <cellStyle name="计算 3 10 2 8" xfId="28693"/>
    <cellStyle name="计算 3 10 3" xfId="9546"/>
    <cellStyle name="计算 3 10 3 10" xfId="44426"/>
    <cellStyle name="计算 3 10 3 2" xfId="13183"/>
    <cellStyle name="计算 3 10 3 2 2" xfId="26411"/>
    <cellStyle name="计算 3 10 3 2 3" xfId="32663"/>
    <cellStyle name="计算 3 10 3 2 4" xfId="38883"/>
    <cellStyle name="计算 3 10 3 2 5" xfId="46231"/>
    <cellStyle name="计算 3 10 3 3" xfId="7520"/>
    <cellStyle name="计算 3 10 3 3 2" xfId="20748"/>
    <cellStyle name="计算 3 10 3 3 3" xfId="35159"/>
    <cellStyle name="计算 3 10 3 3 4" xfId="45949"/>
    <cellStyle name="计算 3 10 3 3 5" xfId="47862"/>
    <cellStyle name="计算 3 10 3 4" xfId="13523"/>
    <cellStyle name="计算 3 10 3 4 2" xfId="26751"/>
    <cellStyle name="计算 3 10 3 4 3" xfId="30983"/>
    <cellStyle name="计算 3 10 3 4 4" xfId="17029"/>
    <cellStyle name="计算 3 10 3 4 5" xfId="39425"/>
    <cellStyle name="计算 3 10 3 5" xfId="14383"/>
    <cellStyle name="计算 3 10 3 5 2" xfId="27611"/>
    <cellStyle name="计算 3 10 3 5 3" xfId="41699"/>
    <cellStyle name="计算 3 10 3 5 4" xfId="48533"/>
    <cellStyle name="计算 3 10 3 6" xfId="22774"/>
    <cellStyle name="计算 3 10 3 6 2" xfId="37211"/>
    <cellStyle name="计算 3 10 3 6 3" xfId="43130"/>
    <cellStyle name="计算 3 10 3 6 4" xfId="49964"/>
    <cellStyle name="计算 3 10 3 7" xfId="32137"/>
    <cellStyle name="计算 3 10 3 7 2" xfId="38362"/>
    <cellStyle name="计算 3 10 3 7 3" xfId="39366"/>
    <cellStyle name="计算 3 10 3 8" xfId="28352"/>
    <cellStyle name="计算 3 10 3 9" xfId="16468"/>
    <cellStyle name="计算 3 10 4" xfId="7828"/>
    <cellStyle name="计算 3 10 4 2" xfId="21056"/>
    <cellStyle name="计算 3 10 5" xfId="17418"/>
    <cellStyle name="计算 3 11" xfId="6310"/>
    <cellStyle name="计算 3 11 2" xfId="11044"/>
    <cellStyle name="计算 3 11 2 2" xfId="24272"/>
    <cellStyle name="计算 3 11 2 3" xfId="33674"/>
    <cellStyle name="计算 3 11 2 4" xfId="44808"/>
    <cellStyle name="计算 3 11 2 5" xfId="34462"/>
    <cellStyle name="计算 3 11 3" xfId="12824"/>
    <cellStyle name="计算 3 11 3 2" xfId="26052"/>
    <cellStyle name="计算 3 11 3 3" xfId="36100"/>
    <cellStyle name="计算 3 11 3 4" xfId="41993"/>
    <cellStyle name="计算 3 11 3 5" xfId="48827"/>
    <cellStyle name="计算 3 11 4" xfId="19538"/>
    <cellStyle name="计算 3 11 4 2" xfId="30856"/>
    <cellStyle name="计算 3 11 4 3" xfId="28020"/>
    <cellStyle name="计算 3 11 4 4" xfId="33054"/>
    <cellStyle name="计算 3 11 5" xfId="32034"/>
    <cellStyle name="计算 3 11 5 2" xfId="38257"/>
    <cellStyle name="计算 3 11 5 3" xfId="27878"/>
    <cellStyle name="计算 3 11 6" xfId="29362"/>
    <cellStyle name="计算 3 11 7" xfId="16053"/>
    <cellStyle name="计算 3 11 8" xfId="45484"/>
    <cellStyle name="计算 3 12" xfId="9545"/>
    <cellStyle name="计算 3 12 10" xfId="35473"/>
    <cellStyle name="计算 3 12 2" xfId="13182"/>
    <cellStyle name="计算 3 12 2 2" xfId="26410"/>
    <cellStyle name="计算 3 12 2 3" xfId="32662"/>
    <cellStyle name="计算 3 12 2 4" xfId="38882"/>
    <cellStyle name="计算 3 12 2 5" xfId="47358"/>
    <cellStyle name="计算 3 12 3" xfId="7519"/>
    <cellStyle name="计算 3 12 3 2" xfId="20747"/>
    <cellStyle name="计算 3 12 3 3" xfId="35158"/>
    <cellStyle name="计算 3 12 3 4" xfId="45948"/>
    <cellStyle name="计算 3 12 3 5" xfId="47861"/>
    <cellStyle name="计算 3 12 4" xfId="14275"/>
    <cellStyle name="计算 3 12 4 2" xfId="27503"/>
    <cellStyle name="计算 3 12 4 3" xfId="30982"/>
    <cellStyle name="计算 3 12 4 4" xfId="17028"/>
    <cellStyle name="计算 3 12 4 5" xfId="40486"/>
    <cellStyle name="计算 3 12 5" xfId="8329"/>
    <cellStyle name="计算 3 12 5 2" xfId="21557"/>
    <cellStyle name="计算 3 12 5 3" xfId="40727"/>
    <cellStyle name="计算 3 12 5 4" xfId="17544"/>
    <cellStyle name="计算 3 12 6" xfId="22773"/>
    <cellStyle name="计算 3 12 6 2" xfId="34684"/>
    <cellStyle name="计算 3 12 6 3" xfId="40674"/>
    <cellStyle name="计算 3 12 6 4" xfId="17482"/>
    <cellStyle name="计算 3 12 7" xfId="37613"/>
    <cellStyle name="计算 3 12 7 2" xfId="43536"/>
    <cellStyle name="计算 3 12 7 3" xfId="50370"/>
    <cellStyle name="计算 3 12 8" xfId="28351"/>
    <cellStyle name="计算 3 12 9" xfId="15422"/>
    <cellStyle name="计算 3 13" xfId="7827"/>
    <cellStyle name="计算 3 13 2" xfId="21055"/>
    <cellStyle name="计算 3 14" xfId="40279"/>
    <cellStyle name="계산 3 2" xfId="2672"/>
    <cellStyle name="计算 3 2" xfId="2673"/>
    <cellStyle name="계산 3 2 2" xfId="50997"/>
    <cellStyle name="计算 3 2 2" xfId="2674"/>
    <cellStyle name="计算 3 2 2 2" xfId="6313"/>
    <cellStyle name="计算 3 2 2 2 2" xfId="11047"/>
    <cellStyle name="计算 3 2 2 2 2 2" xfId="24275"/>
    <cellStyle name="计算 3 2 2 2 2 3" xfId="33677"/>
    <cellStyle name="计算 3 2 2 2 2 4" xfId="44811"/>
    <cellStyle name="计算 3 2 2 2 2 5" xfId="28826"/>
    <cellStyle name="计算 3 2 2 2 3" xfId="6786"/>
    <cellStyle name="计算 3 2 2 2 3 2" xfId="20014"/>
    <cellStyle name="计算 3 2 2 2 3 3" xfId="36103"/>
    <cellStyle name="计算 3 2 2 2 3 4" xfId="41996"/>
    <cellStyle name="计算 3 2 2 2 3 5" xfId="48830"/>
    <cellStyle name="计算 3 2 2 2 4" xfId="19541"/>
    <cellStyle name="计算 3 2 2 2 4 2" xfId="37157"/>
    <cellStyle name="计算 3 2 2 2 4 3" xfId="43076"/>
    <cellStyle name="计算 3 2 2 2 4 4" xfId="49910"/>
    <cellStyle name="计算 3 2 2 2 5" xfId="30134"/>
    <cellStyle name="计算 3 2 2 2 5 2" xfId="16599"/>
    <cellStyle name="计算 3 2 2 2 5 3" xfId="43887"/>
    <cellStyle name="计算 3 2 2 2 6" xfId="29365"/>
    <cellStyle name="计算 3 2 2 2 7" xfId="16055"/>
    <cellStyle name="计算 3 2 2 2 8" xfId="28238"/>
    <cellStyle name="计算 3 2 2 3" xfId="9548"/>
    <cellStyle name="计算 3 2 2 3 10" xfId="33159"/>
    <cellStyle name="计算 3 2 2 3 2" xfId="13185"/>
    <cellStyle name="计算 3 2 2 3 2 2" xfId="26413"/>
    <cellStyle name="计算 3 2 2 3 2 3" xfId="32665"/>
    <cellStyle name="计算 3 2 2 3 2 4" xfId="38885"/>
    <cellStyle name="计算 3 2 2 3 2 5" xfId="17609"/>
    <cellStyle name="计算 3 2 2 3 3" xfId="7522"/>
    <cellStyle name="计算 3 2 2 3 3 2" xfId="20750"/>
    <cellStyle name="计算 3 2 2 3 3 3" xfId="35161"/>
    <cellStyle name="计算 3 2 2 3 3 4" xfId="45951"/>
    <cellStyle name="计算 3 2 2 3 3 5" xfId="47864"/>
    <cellStyle name="计算 3 2 2 3 4" xfId="13606"/>
    <cellStyle name="计算 3 2 2 3 4 2" xfId="26834"/>
    <cellStyle name="计算 3 2 2 3 4 3" xfId="30985"/>
    <cellStyle name="计算 3 2 2 3 4 4" xfId="17031"/>
    <cellStyle name="计算 3 2 2 3 4 5" xfId="38769"/>
    <cellStyle name="计算 3 2 2 3 5" xfId="14159"/>
    <cellStyle name="计算 3 2 2 3 5 2" xfId="27387"/>
    <cellStyle name="计算 3 2 2 3 5 3" xfId="41342"/>
    <cellStyle name="计算 3 2 2 3 5 4" xfId="48176"/>
    <cellStyle name="计算 3 2 2 3 6" xfId="22776"/>
    <cellStyle name="计算 3 2 2 3 6 2" xfId="37342"/>
    <cellStyle name="计算 3 2 2 3 6 3" xfId="43262"/>
    <cellStyle name="计算 3 2 2 3 6 4" xfId="50096"/>
    <cellStyle name="计算 3 2 2 3 7" xfId="29917"/>
    <cellStyle name="计算 3 2 2 3 7 2" xfId="16449"/>
    <cellStyle name="计算 3 2 2 3 7 3" xfId="33327"/>
    <cellStyle name="计算 3 2 2 3 8" xfId="28354"/>
    <cellStyle name="计算 3 2 2 3 9" xfId="38674"/>
    <cellStyle name="计算 3 2 2 4" xfId="7830"/>
    <cellStyle name="计算 3 2 2 4 2" xfId="21058"/>
    <cellStyle name="计算 3 2 2 5" xfId="39531"/>
    <cellStyle name="계산 3 2 3" xfId="50998"/>
    <cellStyle name="计算 3 2 3" xfId="6312"/>
    <cellStyle name="计算 3 2 3 2" xfId="11046"/>
    <cellStyle name="计算 3 2 3 2 2" xfId="24274"/>
    <cellStyle name="计算 3 2 3 2 3" xfId="33676"/>
    <cellStyle name="计算 3 2 3 2 4" xfId="44810"/>
    <cellStyle name="计算 3 2 3 2 5" xfId="15375"/>
    <cellStyle name="计算 3 2 3 3" xfId="8066"/>
    <cellStyle name="计算 3 2 3 3 2" xfId="21294"/>
    <cellStyle name="计算 3 2 3 3 3" xfId="36102"/>
    <cellStyle name="计算 3 2 3 3 4" xfId="41995"/>
    <cellStyle name="计算 3 2 3 3 5" xfId="48829"/>
    <cellStyle name="计算 3 2 3 4" xfId="19540"/>
    <cellStyle name="计算 3 2 3 4 2" xfId="31303"/>
    <cellStyle name="计算 3 2 3 4 3" xfId="17187"/>
    <cellStyle name="计算 3 2 3 4 4" xfId="47576"/>
    <cellStyle name="计算 3 2 3 5" xfId="35839"/>
    <cellStyle name="计算 3 2 3 5 2" xfId="41728"/>
    <cellStyle name="计算 3 2 3 5 3" xfId="48562"/>
    <cellStyle name="计算 3 2 3 6" xfId="29364"/>
    <cellStyle name="计算 3 2 3 7" xfId="16056"/>
    <cellStyle name="计算 3 2 3 8" xfId="40407"/>
    <cellStyle name="계산 3 2 4" xfId="50999"/>
    <cellStyle name="计算 3 2 4" xfId="9547"/>
    <cellStyle name="计算 3 2 4 10" xfId="45411"/>
    <cellStyle name="计算 3 2 4 2" xfId="13184"/>
    <cellStyle name="计算 3 2 4 2 2" xfId="26412"/>
    <cellStyle name="计算 3 2 4 2 3" xfId="32664"/>
    <cellStyle name="计算 3 2 4 2 4" xfId="38884"/>
    <cellStyle name="计算 3 2 4 2 5" xfId="46958"/>
    <cellStyle name="计算 3 2 4 3" xfId="7521"/>
    <cellStyle name="计算 3 2 4 3 2" xfId="20749"/>
    <cellStyle name="计算 3 2 4 3 3" xfId="35160"/>
    <cellStyle name="计算 3 2 4 3 4" xfId="45950"/>
    <cellStyle name="计算 3 2 4 3 5" xfId="47863"/>
    <cellStyle name="计算 3 2 4 4" xfId="14137"/>
    <cellStyle name="计算 3 2 4 4 2" xfId="27365"/>
    <cellStyle name="计算 3 2 4 4 3" xfId="30984"/>
    <cellStyle name="计算 3 2 4 4 4" xfId="17030"/>
    <cellStyle name="计算 3 2 4 4 5" xfId="32505"/>
    <cellStyle name="计算 3 2 4 5" xfId="12925"/>
    <cellStyle name="计算 3 2 4 5 2" xfId="26153"/>
    <cellStyle name="计算 3 2 4 5 3" xfId="42790"/>
    <cellStyle name="计算 3 2 4 5 4" xfId="49624"/>
    <cellStyle name="计算 3 2 4 6" xfId="22775"/>
    <cellStyle name="计算 3 2 4 6 2" xfId="31941"/>
    <cellStyle name="计算 3 2 4 6 3" xfId="38163"/>
    <cellStyle name="计算 3 2 4 6 4" xfId="46225"/>
    <cellStyle name="计算 3 2 4 7" xfId="36859"/>
    <cellStyle name="计算 3 2 4 7 2" xfId="42771"/>
    <cellStyle name="计算 3 2 4 7 3" xfId="49605"/>
    <cellStyle name="计算 3 2 4 8" xfId="28353"/>
    <cellStyle name="计算 3 2 4 9" xfId="40094"/>
    <cellStyle name="计算 3 2 5" xfId="7829"/>
    <cellStyle name="计算 3 2 5 2" xfId="21057"/>
    <cellStyle name="计算 3 2 6" xfId="40510"/>
    <cellStyle name="计算 3 2 7" xfId="50779"/>
    <cellStyle name="계산 3 3" xfId="4855"/>
    <cellStyle name="计算 3 3" xfId="2675"/>
    <cellStyle name="计算 3 3 2" xfId="6314"/>
    <cellStyle name="计算 3 3 2 2" xfId="11048"/>
    <cellStyle name="计算 3 3 2 2 2" xfId="24276"/>
    <cellStyle name="计算 3 3 2 2 3" xfId="33678"/>
    <cellStyle name="计算 3 3 2 2 4" xfId="44812"/>
    <cellStyle name="计算 3 3 2 2 5" xfId="39463"/>
    <cellStyle name="计算 3 3 2 3" xfId="12711"/>
    <cellStyle name="计算 3 3 2 3 2" xfId="25939"/>
    <cellStyle name="计算 3 3 2 3 3" xfId="36104"/>
    <cellStyle name="计算 3 3 2 3 4" xfId="41997"/>
    <cellStyle name="计算 3 3 2 3 5" xfId="48831"/>
    <cellStyle name="计算 3 3 2 4" xfId="19542"/>
    <cellStyle name="计算 3 3 2 4 2" xfId="31665"/>
    <cellStyle name="计算 3 3 2 4 3" xfId="17352"/>
    <cellStyle name="计算 3 3 2 4 4" xfId="16539"/>
    <cellStyle name="计算 3 3 2 5" xfId="37632"/>
    <cellStyle name="计算 3 3 2 5 2" xfId="43555"/>
    <cellStyle name="计算 3 3 2 5 3" xfId="50389"/>
    <cellStyle name="计算 3 3 2 6" xfId="29366"/>
    <cellStyle name="计算 3 3 2 7" xfId="18647"/>
    <cellStyle name="计算 3 3 2 8" xfId="45190"/>
    <cellStyle name="计算 3 3 3" xfId="9549"/>
    <cellStyle name="计算 3 3 3 10" xfId="39353"/>
    <cellStyle name="计算 3 3 3 2" xfId="13186"/>
    <cellStyle name="计算 3 3 3 2 2" xfId="26414"/>
    <cellStyle name="计算 3 3 3 2 3" xfId="32666"/>
    <cellStyle name="计算 3 3 3 2 4" xfId="38886"/>
    <cellStyle name="计算 3 3 3 2 5" xfId="47031"/>
    <cellStyle name="计算 3 3 3 3" xfId="7523"/>
    <cellStyle name="计算 3 3 3 3 2" xfId="20751"/>
    <cellStyle name="计算 3 3 3 3 3" xfId="35162"/>
    <cellStyle name="计算 3 3 3 3 4" xfId="45952"/>
    <cellStyle name="计算 3 3 3 3 5" xfId="47865"/>
    <cellStyle name="计算 3 3 3 4" xfId="14212"/>
    <cellStyle name="计算 3 3 3 4 2" xfId="27440"/>
    <cellStyle name="计算 3 3 3 4 3" xfId="30986"/>
    <cellStyle name="计算 3 3 3 4 4" xfId="17032"/>
    <cellStyle name="计算 3 3 3 4 5" xfId="40188"/>
    <cellStyle name="计算 3 3 3 5" xfId="14302"/>
    <cellStyle name="计算 3 3 3 5 2" xfId="27530"/>
    <cellStyle name="计算 3 3 3 5 3" xfId="42557"/>
    <cellStyle name="计算 3 3 3 5 4" xfId="49391"/>
    <cellStyle name="计算 3 3 3 6" xfId="22777"/>
    <cellStyle name="计算 3 3 3 6 2" xfId="31833"/>
    <cellStyle name="计算 3 3 3 6 3" xfId="38054"/>
    <cellStyle name="计算 3 3 3 6 4" xfId="28234"/>
    <cellStyle name="计算 3 3 3 7" xfId="37494"/>
    <cellStyle name="计算 3 3 3 7 2" xfId="43414"/>
    <cellStyle name="计算 3 3 3 7 3" xfId="50248"/>
    <cellStyle name="计算 3 3 3 8" xfId="28355"/>
    <cellStyle name="计算 3 3 3 9" xfId="33326"/>
    <cellStyle name="计算 3 3 4" xfId="7831"/>
    <cellStyle name="计算 3 3 4 2" xfId="21059"/>
    <cellStyle name="计算 3 3 5" xfId="33447"/>
    <cellStyle name="계산 3 4" xfId="2669"/>
    <cellStyle name="计算 3 4" xfId="2676"/>
    <cellStyle name="계산 3 4 10" xfId="7741"/>
    <cellStyle name="计算 3 4 10" xfId="7385"/>
    <cellStyle name="계산 3 4 10 2" xfId="20969"/>
    <cellStyle name="计算 3 4 10 2" xfId="20613"/>
    <cellStyle name="계산 3 4 10 3" xfId="35032"/>
    <cellStyle name="计算 3 4 10 3" xfId="34732"/>
    <cellStyle name="계산 3 4 10 4" xfId="41036"/>
    <cellStyle name="计算 3 4 10 4" xfId="40722"/>
    <cellStyle name="계산 3 4 10 5" xfId="45836"/>
    <cellStyle name="计算 3 4 10 5" xfId="45636"/>
    <cellStyle name="계산 3 4 10 6" xfId="47732"/>
    <cellStyle name="计算 3 4 10 6" xfId="17630"/>
    <cellStyle name="계산 3 4 11" xfId="8715"/>
    <cellStyle name="计算 3 4 11" xfId="8720"/>
    <cellStyle name="계산 3 4 11 2" xfId="21943"/>
    <cellStyle name="计算 3 4 11 2" xfId="21948"/>
    <cellStyle name="계산 3 4 11 3" xfId="37306"/>
    <cellStyle name="计算 3 4 11 3" xfId="37780"/>
    <cellStyle name="계산 3 4 11 4" xfId="43226"/>
    <cellStyle name="计算 3 4 11 4" xfId="43704"/>
    <cellStyle name="계산 3 4 11 5" xfId="47293"/>
    <cellStyle name="计算 3 4 11 5" xfId="47540"/>
    <cellStyle name="계산 3 4 11 6" xfId="50060"/>
    <cellStyle name="计算 3 4 11 6" xfId="50538"/>
    <cellStyle name="계산 3 4 12" xfId="16426"/>
    <cellStyle name="计算 3 4 12" xfId="16433"/>
    <cellStyle name="계산 3 4 12 2" xfId="43422"/>
    <cellStyle name="计算 3 4 12 2" xfId="17725"/>
    <cellStyle name="계산 3 4 12 3" xfId="50256"/>
    <cellStyle name="计算 3 4 12 3" xfId="45370"/>
    <cellStyle name="계산 3 4 13" xfId="14556"/>
    <cellStyle name="计算 3 4 13" xfId="14555"/>
    <cellStyle name="계산 3 4 14" xfId="29067"/>
    <cellStyle name="计算 3 4 14" xfId="28177"/>
    <cellStyle name="계산 3 4 15" xfId="15843"/>
    <cellStyle name="计算 3 4 15" xfId="35632"/>
    <cellStyle name="계산 3 4 16" xfId="19341"/>
    <cellStyle name="计算 3 4 16" xfId="39185"/>
    <cellStyle name="计算 3 4 17" xfId="51000"/>
    <cellStyle name="计算 3 4 18" xfId="50778"/>
    <cellStyle name="계산 3 4 2" xfId="6309"/>
    <cellStyle name="计算 3 4 2" xfId="6315"/>
    <cellStyle name="계산 3 4 2 10" xfId="16054"/>
    <cellStyle name="计算 3 4 2 10" xfId="16057"/>
    <cellStyle name="계산 3 4 2 11" xfId="29091"/>
    <cellStyle name="计算 3 4 2 11" xfId="39868"/>
    <cellStyle name="계산 3 4 2 12" xfId="44515"/>
    <cellStyle name="计算 3 4 2 12" xfId="44057"/>
    <cellStyle name="계산 3 4 2 2" xfId="11043"/>
    <cellStyle name="计算 3 4 2 2" xfId="11049"/>
    <cellStyle name="계산 3 4 2 2 2" xfId="24271"/>
    <cellStyle name="计算 3 4 2 2 2" xfId="24277"/>
    <cellStyle name="계산 3 4 2 2 3" xfId="33673"/>
    <cellStyle name="计算 3 4 2 2 3" xfId="33679"/>
    <cellStyle name="계산 3 4 2 2 4" xfId="39827"/>
    <cellStyle name="计算 3 4 2 2 4" xfId="39832"/>
    <cellStyle name="계산 3 4 2 2 5" xfId="44807"/>
    <cellStyle name="计算 3 4 2 2 5" xfId="44813"/>
    <cellStyle name="계산 3 4 2 2 6" xfId="14501"/>
    <cellStyle name="计算 3 4 2 2 6" xfId="15374"/>
    <cellStyle name="계산 3 4 2 3" xfId="13887"/>
    <cellStyle name="计算 3 4 2 3" xfId="13888"/>
    <cellStyle name="계산 3 4 2 3 2" xfId="27115"/>
    <cellStyle name="计算 3 4 2 3 2" xfId="27116"/>
    <cellStyle name="계산 3 4 2 3 3" xfId="36099"/>
    <cellStyle name="计算 3 4 2 3 3" xfId="36105"/>
    <cellStyle name="계산 3 4 2 3 4" xfId="41992"/>
    <cellStyle name="计算 3 4 2 3 4" xfId="41998"/>
    <cellStyle name="계산 3 4 2 3 5" xfId="46570"/>
    <cellStyle name="计算 3 4 2 3 5" xfId="46576"/>
    <cellStyle name="계산 3 4 2 3 6" xfId="48826"/>
    <cellStyle name="计算 3 4 2 3 6" xfId="48832"/>
    <cellStyle name="계산 3 4 2 4" xfId="12713"/>
    <cellStyle name="计算 3 4 2 4" xfId="12823"/>
    <cellStyle name="계산 3 4 2 4 2" xfId="25941"/>
    <cellStyle name="计算 3 4 2 4 2" xfId="26051"/>
    <cellStyle name="계산 3 4 2 4 3" xfId="31504"/>
    <cellStyle name="计算 3 4 2 4 3" xfId="31507"/>
    <cellStyle name="계산 3 4 2 4 4" xfId="15253"/>
    <cellStyle name="计算 3 4 2 4 4" xfId="15174"/>
    <cellStyle name="계산 3 4 2 4 5" xfId="33114"/>
    <cellStyle name="计算 3 4 2 4 5" xfId="32458"/>
    <cellStyle name="계산 3 4 2 4 6" xfId="47207"/>
    <cellStyle name="计算 3 4 2 4 6" xfId="46205"/>
    <cellStyle name="계산 3 4 2 5" xfId="12882"/>
    <cellStyle name="计算 3 4 2 5" xfId="8735"/>
    <cellStyle name="계산 3 4 2 5 2" xfId="26110"/>
    <cellStyle name="计算 3 4 2 5 2" xfId="21963"/>
    <cellStyle name="계산 3 4 2 5 3" xfId="34909"/>
    <cellStyle name="计算 3 4 2 5 3" xfId="30405"/>
    <cellStyle name="계산 3 4 2 5 4" xfId="40907"/>
    <cellStyle name="计算 3 4 2 5 4" xfId="16793"/>
    <cellStyle name="계산 3 4 2 5 5" xfId="45752"/>
    <cellStyle name="计算 3 4 2 5 5" xfId="32225"/>
    <cellStyle name="계산 3 4 2 5 6" xfId="29945"/>
    <cellStyle name="计算 3 4 2 5 6" xfId="44484"/>
    <cellStyle name="계산 3 4 2 6" xfId="7366"/>
    <cellStyle name="计算 3 4 2 6" xfId="8513"/>
    <cellStyle name="계산 3 4 2 6 2" xfId="20594"/>
    <cellStyle name="计算 3 4 2 6 2" xfId="21741"/>
    <cellStyle name="계산 3 4 2 6 3" xfId="36828"/>
    <cellStyle name="计算 3 4 2 6 3" xfId="30784"/>
    <cellStyle name="계산 3 4 2 6 4" xfId="42739"/>
    <cellStyle name="计算 3 4 2 6 4" xfId="16934"/>
    <cellStyle name="계산 3 4 2 6 5" xfId="46991"/>
    <cellStyle name="计算 3 4 2 6 5" xfId="34305"/>
    <cellStyle name="계산 3 4 2 6 6" xfId="49573"/>
    <cellStyle name="计算 3 4 2 6 6" xfId="39638"/>
    <cellStyle name="계산 3 4 2 7" xfId="19537"/>
    <cellStyle name="计算 3 4 2 7" xfId="19543"/>
    <cellStyle name="계산 3 4 2 7 2" xfId="37030"/>
    <cellStyle name="计算 3 4 2 7 2" xfId="37388"/>
    <cellStyle name="계산 3 4 2 7 3" xfId="42949"/>
    <cellStyle name="计算 3 4 2 7 3" xfId="43308"/>
    <cellStyle name="계산 3 4 2 7 4" xfId="47112"/>
    <cellStyle name="计算 3 4 2 7 4" xfId="47337"/>
    <cellStyle name="계산 3 4 2 7 5" xfId="49783"/>
    <cellStyle name="计算 3 4 2 7 5" xfId="50142"/>
    <cellStyle name="계산 3 4 2 8" xfId="29750"/>
    <cellStyle name="计算 3 4 2 8" xfId="31637"/>
    <cellStyle name="계산 3 4 2 8 2" xfId="34788"/>
    <cellStyle name="计算 3 4 2 8 2" xfId="17343"/>
    <cellStyle name="계산 3 4 2 8 3" xfId="27959"/>
    <cellStyle name="计算 3 4 2 8 3" xfId="47451"/>
    <cellStyle name="계산 3 4 2 9" xfId="29361"/>
    <cellStyle name="计算 3 4 2 9" xfId="29367"/>
    <cellStyle name="계산 3 4 3" xfId="6203"/>
    <cellStyle name="计算 3 4 3" xfId="6202"/>
    <cellStyle name="계산 3 4 3 10" xfId="35456"/>
    <cellStyle name="计算 3 4 3 10" xfId="36839"/>
    <cellStyle name="계산 3 4 3 11" xfId="40052"/>
    <cellStyle name="计算 3 4 3 11" xfId="40071"/>
    <cellStyle name="계산 3 4 3 12" xfId="44011"/>
    <cellStyle name="计算 3 4 3 12" xfId="45143"/>
    <cellStyle name="계산 3 4 3 2" xfId="10937"/>
    <cellStyle name="计算 3 4 3 2" xfId="10936"/>
    <cellStyle name="계산 3 4 3 2 2" xfId="24165"/>
    <cellStyle name="计算 3 4 3 2 2" xfId="24164"/>
    <cellStyle name="계산 3 4 3 2 3" xfId="33567"/>
    <cellStyle name="计算 3 4 3 2 3" xfId="33566"/>
    <cellStyle name="계산 3 4 3 2 4" xfId="39729"/>
    <cellStyle name="计算 3 4 3 2 4" xfId="39728"/>
    <cellStyle name="계산 3 4 3 2 5" xfId="44701"/>
    <cellStyle name="计算 3 4 3 2 5" xfId="44700"/>
    <cellStyle name="계산 3 4 3 2 6" xfId="40495"/>
    <cellStyle name="计算 3 4 3 2 6" xfId="15860"/>
    <cellStyle name="계산 3 4 3 3" xfId="13793"/>
    <cellStyle name="计算 3 4 3 3" xfId="13792"/>
    <cellStyle name="계산 3 4 3 3 2" xfId="27021"/>
    <cellStyle name="计算 3 4 3 3 2" xfId="27020"/>
    <cellStyle name="계산 3 4 3 3 3" xfId="35993"/>
    <cellStyle name="计算 3 4 3 3 3" xfId="35992"/>
    <cellStyle name="계산 3 4 3 3 4" xfId="41886"/>
    <cellStyle name="计算 3 4 3 3 4" xfId="41885"/>
    <cellStyle name="계산 3 4 3 3 5" xfId="46468"/>
    <cellStyle name="计算 3 4 3 3 5" xfId="46467"/>
    <cellStyle name="계산 3 4 3 3 6" xfId="48720"/>
    <cellStyle name="计算 3 4 3 3 6" xfId="48719"/>
    <cellStyle name="계산 3 4 3 4" xfId="12781"/>
    <cellStyle name="计算 3 4 3 4" xfId="6927"/>
    <cellStyle name="계산 3 4 3 4 2" xfId="26009"/>
    <cellStyle name="计算 3 4 3 4 2" xfId="20155"/>
    <cellStyle name="계산 3 4 3 4 3" xfId="31435"/>
    <cellStyle name="计算 3 4 3 4 3" xfId="31434"/>
    <cellStyle name="계산 3 4 3 4 4" xfId="15125"/>
    <cellStyle name="计算 3 4 3 4 4" xfId="18047"/>
    <cellStyle name="계산 3 4 3 4 5" xfId="28098"/>
    <cellStyle name="计算 3 4 3 4 5" xfId="28097"/>
    <cellStyle name="계산 3 4 3 4 6" xfId="45850"/>
    <cellStyle name="计算 3 4 3 4 6" xfId="47431"/>
    <cellStyle name="계산 3 4 3 5" xfId="13936"/>
    <cellStyle name="计算 3 4 3 5" xfId="7261"/>
    <cellStyle name="계산 3 4 3 5 2" xfId="27164"/>
    <cellStyle name="计算 3 4 3 5 2" xfId="20489"/>
    <cellStyle name="계산 3 4 3 5 3" xfId="30440"/>
    <cellStyle name="计算 3 4 3 5 3" xfId="30441"/>
    <cellStyle name="계산 3 4 3 5 4" xfId="14897"/>
    <cellStyle name="计算 3 4 3 5 4" xfId="14898"/>
    <cellStyle name="계산 3 4 3 5 5" xfId="34597"/>
    <cellStyle name="计算 3 4 3 5 5" xfId="33424"/>
    <cellStyle name="계산 3 4 3 5 6" xfId="34476"/>
    <cellStyle name="计算 3 4 3 5 6" xfId="45777"/>
    <cellStyle name="계산 3 4 3 6" xfId="12884"/>
    <cellStyle name="计算 3 4 3 6" xfId="13560"/>
    <cellStyle name="계산 3 4 3 6 2" xfId="26112"/>
    <cellStyle name="计算 3 4 3 6 2" xfId="26788"/>
    <cellStyle name="계산 3 4 3 6 3" xfId="34711"/>
    <cellStyle name="计算 3 4 3 6 3" xfId="36697"/>
    <cellStyle name="계산 3 4 3 6 4" xfId="40701"/>
    <cellStyle name="计算 3 4 3 6 4" xfId="42601"/>
    <cellStyle name="계산 3 4 3 6 5" xfId="45623"/>
    <cellStyle name="计算 3 4 3 6 5" xfId="46908"/>
    <cellStyle name="계산 3 4 3 6 6" xfId="17495"/>
    <cellStyle name="计算 3 4 3 6 6" xfId="49435"/>
    <cellStyle name="계산 3 4 3 7" xfId="19431"/>
    <cellStyle name="计算 3 4 3 7" xfId="19430"/>
    <cellStyle name="계산 3 4 3 7 2" xfId="30588"/>
    <cellStyle name="计算 3 4 3 7 2" xfId="31619"/>
    <cellStyle name="계산 3 4 3 7 3" xfId="16853"/>
    <cellStyle name="计算 3 4 3 7 3" xfId="17335"/>
    <cellStyle name="계산 3 4 3 7 4" xfId="15736"/>
    <cellStyle name="计算 3 4 3 7 4" xfId="17935"/>
    <cellStyle name="계산 3 4 3 7 5" xfId="45588"/>
    <cellStyle name="计算 3 4 3 7 5" xfId="45647"/>
    <cellStyle name="계산 3 4 3 8" xfId="31592"/>
    <cellStyle name="计算 3 4 3 8" xfId="35819"/>
    <cellStyle name="계산 3 4 3 8 2" xfId="17322"/>
    <cellStyle name="计算 3 4 3 8 2" xfId="41706"/>
    <cellStyle name="계산 3 4 3 8 3" xfId="30060"/>
    <cellStyle name="计算 3 4 3 8 3" xfId="48540"/>
    <cellStyle name="계산 3 4 3 9" xfId="29255"/>
    <cellStyle name="计算 3 4 3 9" xfId="29254"/>
    <cellStyle name="계산 3 4 4" xfId="6577"/>
    <cellStyle name="计算 3 4 4" xfId="6122"/>
    <cellStyle name="계산 3 4 4 10" xfId="16246"/>
    <cellStyle name="计算 3 4 4 10" xfId="36901"/>
    <cellStyle name="계산 3 4 4 11" xfId="32176"/>
    <cellStyle name="计算 3 4 4 11" xfId="29129"/>
    <cellStyle name="계산 3 4 4 12" xfId="45386"/>
    <cellStyle name="计算 3 4 4 12" xfId="15835"/>
    <cellStyle name="계산 3 4 4 2" xfId="11311"/>
    <cellStyle name="计算 3 4 4 2" xfId="10856"/>
    <cellStyle name="계산 3 4 4 2 2" xfId="24539"/>
    <cellStyle name="计算 3 4 4 2 2" xfId="24084"/>
    <cellStyle name="계산 3 4 4 2 3" xfId="33941"/>
    <cellStyle name="计算 3 4 4 2 3" xfId="33486"/>
    <cellStyle name="계산 3 4 4 2 4" xfId="39998"/>
    <cellStyle name="计算 3 4 4 2 4" xfId="39671"/>
    <cellStyle name="계산 3 4 4 2 5" xfId="45017"/>
    <cellStyle name="计算 3 4 4 2 5" xfId="44624"/>
    <cellStyle name="계산 3 4 4 2 6" xfId="29105"/>
    <cellStyle name="计算 3 4 4 2 6" xfId="41152"/>
    <cellStyle name="계산 3 4 4 3" xfId="13962"/>
    <cellStyle name="计算 3 4 4 3" xfId="13748"/>
    <cellStyle name="계산 3 4 4 3 2" xfId="27190"/>
    <cellStyle name="计算 3 4 4 3 2" xfId="26976"/>
    <cellStyle name="계산 3 4 4 3 3" xfId="36367"/>
    <cellStyle name="计算 3 4 4 3 3" xfId="35912"/>
    <cellStyle name="계산 3 4 4 3 4" xfId="42260"/>
    <cellStyle name="计算 3 4 4 3 4" xfId="41805"/>
    <cellStyle name="계산 3 4 4 3 5" xfId="46682"/>
    <cellStyle name="计算 3 4 4 3 5" xfId="46418"/>
    <cellStyle name="계산 3 4 4 3 6" xfId="49094"/>
    <cellStyle name="计算 3 4 4 3 6" xfId="48639"/>
    <cellStyle name="계산 3 4 4 4" xfId="8241"/>
    <cellStyle name="计算 3 4 4 4" xfId="12782"/>
    <cellStyle name="계산 3 4 4 4 2" xfId="21469"/>
    <cellStyle name="计算 3 4 4 4 2" xfId="26010"/>
    <cellStyle name="계산 3 4 4 4 3" xfId="31569"/>
    <cellStyle name="计算 3 4 4 4 3" xfId="32390"/>
    <cellStyle name="계산 3 4 4 4 4" xfId="17310"/>
    <cellStyle name="计算 3 4 4 4 4" xfId="38608"/>
    <cellStyle name="계산 3 4 4 4 5" xfId="15612"/>
    <cellStyle name="计算 3 4 4 4 5" xfId="43946"/>
    <cellStyle name="계산 3 4 4 4 6" xfId="41168"/>
    <cellStyle name="计算 3 4 4 4 6" xfId="41147"/>
    <cellStyle name="계산 3 4 4 5" xfId="8538"/>
    <cellStyle name="计算 3 4 4 5" xfId="13915"/>
    <cellStyle name="계산 3 4 4 5 2" xfId="21766"/>
    <cellStyle name="计算 3 4 4 5 2" xfId="27143"/>
    <cellStyle name="계산 3 4 4 5 3" xfId="32113"/>
    <cellStyle name="计算 3 4 4 5 3" xfId="30467"/>
    <cellStyle name="계산 3 4 4 5 4" xfId="38336"/>
    <cellStyle name="计算 3 4 4 5 4" xfId="14670"/>
    <cellStyle name="계산 3 4 4 5 5" xfId="17565"/>
    <cellStyle name="计算 3 4 4 5 5" xfId="15326"/>
    <cellStyle name="계산 3 4 4 5 6" xfId="39575"/>
    <cellStyle name="计算 3 4 4 5 6" xfId="44489"/>
    <cellStyle name="계산 3 4 4 6" xfId="14021"/>
    <cellStyle name="计算 3 4 4 6" xfId="14199"/>
    <cellStyle name="계산 3 4 4 6 2" xfId="27249"/>
    <cellStyle name="计算 3 4 4 6 2" xfId="27427"/>
    <cellStyle name="계산 3 4 4 6 3" xfId="31944"/>
    <cellStyle name="计算 3 4 4 6 3" xfId="35808"/>
    <cellStyle name="계산 3 4 4 6 4" xfId="38166"/>
    <cellStyle name="计算 3 4 4 6 4" xfId="41692"/>
    <cellStyle name="계산 3 4 4 6 5" xfId="30022"/>
    <cellStyle name="计算 3 4 4 6 5" xfId="46360"/>
    <cellStyle name="계산 3 4 4 6 6" xfId="30054"/>
    <cellStyle name="计算 3 4 4 6 6" xfId="48526"/>
    <cellStyle name="계산 3 4 4 7" xfId="19805"/>
    <cellStyle name="计算 3 4 4 7" xfId="19350"/>
    <cellStyle name="계산 3 4 4 7 2" xfId="30168"/>
    <cellStyle name="计算 3 4 4 7 2" xfId="36574"/>
    <cellStyle name="계산 3 4 4 7 3" xfId="16629"/>
    <cellStyle name="计算 3 4 4 7 3" xfId="42476"/>
    <cellStyle name="계산 3 4 4 7 4" xfId="41076"/>
    <cellStyle name="计算 3 4 4 7 4" xfId="46811"/>
    <cellStyle name="계산 3 4 4 7 5" xfId="32276"/>
    <cellStyle name="计算 3 4 4 7 5" xfId="49310"/>
    <cellStyle name="계산 3 4 4 8" xfId="30340"/>
    <cellStyle name="计算 3 4 4 8" xfId="37368"/>
    <cellStyle name="계산 3 4 4 8 2" xfId="16761"/>
    <cellStyle name="计算 3 4 4 8 2" xfId="43288"/>
    <cellStyle name="계산 3 4 4 8 3" xfId="27788"/>
    <cellStyle name="计算 3 4 4 8 3" xfId="50122"/>
    <cellStyle name="계산 3 4 4 9" xfId="29629"/>
    <cellStyle name="计算 3 4 4 9" xfId="29174"/>
    <cellStyle name="계산 3 4 5" xfId="9544"/>
    <cellStyle name="计算 3 4 5" xfId="9550"/>
    <cellStyle name="계산 3 4 5 10" xfId="34430"/>
    <cellStyle name="计算 3 4 5 10" xfId="33358"/>
    <cellStyle name="계산 3 4 5 11" xfId="15452"/>
    <cellStyle name="计算 3 4 5 11" xfId="39332"/>
    <cellStyle name="계산 3 4 5 12" xfId="44025"/>
    <cellStyle name="计算 3 4 5 12" xfId="43885"/>
    <cellStyle name="계산 3 4 5 2" xfId="13181"/>
    <cellStyle name="计算 3 4 5 2" xfId="13187"/>
    <cellStyle name="계산 3 4 5 2 2" xfId="26409"/>
    <cellStyle name="计算 3 4 5 2 2" xfId="26415"/>
    <cellStyle name="계산 3 4 5 2 3" xfId="32661"/>
    <cellStyle name="计算 3 4 5 2 3" xfId="32667"/>
    <cellStyle name="계산 3 4 5 2 4" xfId="38881"/>
    <cellStyle name="计算 3 4 5 2 4" xfId="38887"/>
    <cellStyle name="계산 3 4 5 2 5" xfId="44144"/>
    <cellStyle name="计算 3 4 5 2 5" xfId="44150"/>
    <cellStyle name="계산 3 4 5 2 6" xfId="47560"/>
    <cellStyle name="计算 3 4 5 2 6" xfId="17550"/>
    <cellStyle name="계산 3 4 5 3" xfId="7518"/>
    <cellStyle name="计算 3 4 5 3" xfId="7524"/>
    <cellStyle name="계산 3 4 5 3 2" xfId="20746"/>
    <cellStyle name="计算 3 4 5 3 2" xfId="20752"/>
    <cellStyle name="계산 3 4 5 3 3" xfId="35157"/>
    <cellStyle name="计算 3 4 5 3 3" xfId="35163"/>
    <cellStyle name="계산 3 4 5 3 4" xfId="41137"/>
    <cellStyle name="计算 3 4 5 3 4" xfId="41142"/>
    <cellStyle name="계산 3 4 5 3 5" xfId="45947"/>
    <cellStyle name="计算 3 4 5 3 5" xfId="45953"/>
    <cellStyle name="계산 3 4 5 3 6" xfId="47860"/>
    <cellStyle name="计算 3 4 5 3 6" xfId="47866"/>
    <cellStyle name="계산 3 4 5 4" xfId="13703"/>
    <cellStyle name="计算 3 4 5 4" xfId="13069"/>
    <cellStyle name="계산 3 4 5 4 2" xfId="26931"/>
    <cellStyle name="计算 3 4 5 4 2" xfId="26297"/>
    <cellStyle name="계산 3 4 5 4 3" xfId="30981"/>
    <cellStyle name="计算 3 4 5 4 3" xfId="30987"/>
    <cellStyle name="계산 3 4 5 4 4" xfId="17027"/>
    <cellStyle name="计算 3 4 5 4 4" xfId="17033"/>
    <cellStyle name="계산 3 4 5 4 5" xfId="15673"/>
    <cellStyle name="计算 3 4 5 4 5" xfId="15670"/>
    <cellStyle name="계산 3 4 5 4 6" xfId="15852"/>
    <cellStyle name="计算 3 4 5 4 6" xfId="16536"/>
    <cellStyle name="계산 3 4 5 5" xfId="13021"/>
    <cellStyle name="计算 3 4 5 5" xfId="8586"/>
    <cellStyle name="계산 3 4 5 5 2" xfId="26249"/>
    <cellStyle name="计算 3 4 5 5 2" xfId="21814"/>
    <cellStyle name="계산 3 4 5 5 3" xfId="42466"/>
    <cellStyle name="计算 3 4 5 5 3" xfId="41503"/>
    <cellStyle name="계산 3 4 5 5 4" xfId="49300"/>
    <cellStyle name="计算 3 4 5 5 4" xfId="48337"/>
    <cellStyle name="계산 3 4 5 6" xfId="22772"/>
    <cellStyle name="计算 3 4 5 6" xfId="22778"/>
    <cellStyle name="계산 3 4 5 6 2" xfId="37437"/>
    <cellStyle name="计算 3 4 5 6 2" xfId="37057"/>
    <cellStyle name="계산 3 4 5 6 3" xfId="43357"/>
    <cellStyle name="计算 3 4 5 6 3" xfId="42976"/>
    <cellStyle name="계산 3 4 5 6 4" xfId="47369"/>
    <cellStyle name="计算 3 4 5 6 4" xfId="47129"/>
    <cellStyle name="계산 3 4 5 6 5" xfId="50191"/>
    <cellStyle name="计算 3 4 5 6 5" xfId="49810"/>
    <cellStyle name="계산 3 4 5 7" xfId="30282"/>
    <cellStyle name="计算 3 4 5 7" xfId="34999"/>
    <cellStyle name="계산 3 4 5 7 2" xfId="16718"/>
    <cellStyle name="计算 3 4 5 7 2" xfId="41003"/>
    <cellStyle name="계산 3 4 5 7 3" xfId="32241"/>
    <cellStyle name="计算 3 4 5 7 3" xfId="47699"/>
    <cellStyle name="계산 3 4 5 8" xfId="37025"/>
    <cellStyle name="计算 3 4 5 8" xfId="37795"/>
    <cellStyle name="계산 3 4 5 8 2" xfId="42944"/>
    <cellStyle name="计算 3 4 5 8 2" xfId="43719"/>
    <cellStyle name="계산 3 4 5 8 3" xfId="49778"/>
    <cellStyle name="计算 3 4 5 8 3" xfId="50553"/>
    <cellStyle name="계산 3 4 5 9" xfId="28350"/>
    <cellStyle name="计算 3 4 5 9" xfId="28356"/>
    <cellStyle name="계산 3 4 6" xfId="11763"/>
    <cellStyle name="计算 3 4 6" xfId="11764"/>
    <cellStyle name="계산 3 4 6 10" xfId="45261"/>
    <cellStyle name="计算 3 4 6 10" xfId="45262"/>
    <cellStyle name="계산 3 4 6 11" xfId="32300"/>
    <cellStyle name="计算 3 4 6 11" xfId="34346"/>
    <cellStyle name="계산 3 4 6 2" xfId="12800"/>
    <cellStyle name="计算 3 4 6 2" xfId="7184"/>
    <cellStyle name="계산 3 4 6 2 2" xfId="26028"/>
    <cellStyle name="计算 3 4 6 2 2" xfId="20412"/>
    <cellStyle name="계산 3 4 6 2 3" xfId="36632"/>
    <cellStyle name="计算 3 4 6 2 3" xfId="36633"/>
    <cellStyle name="계산 3 4 6 2 4" xfId="42534"/>
    <cellStyle name="计算 3 4 6 2 4" xfId="42535"/>
    <cellStyle name="계산 3 4 6 2 5" xfId="46864"/>
    <cellStyle name="计算 3 4 6 2 5" xfId="46865"/>
    <cellStyle name="계산 3 4 6 2 6" xfId="49368"/>
    <cellStyle name="计算 3 4 6 2 6" xfId="49369"/>
    <cellStyle name="계산 3 4 6 3" xfId="14460"/>
    <cellStyle name="计算 3 4 6 3" xfId="14461"/>
    <cellStyle name="계산 3 4 6 3 2" xfId="27688"/>
    <cellStyle name="计算 3 4 6 3 2" xfId="27689"/>
    <cellStyle name="계산 3 4 6 3 3" xfId="37120"/>
    <cellStyle name="计算 3 4 6 3 3" xfId="37121"/>
    <cellStyle name="계산 3 4 6 3 4" xfId="43039"/>
    <cellStyle name="计算 3 4 6 3 4" xfId="43040"/>
    <cellStyle name="계산 3 4 6 3 5" xfId="47183"/>
    <cellStyle name="计算 3 4 6 3 5" xfId="47184"/>
    <cellStyle name="계산 3 4 6 3 6" xfId="49873"/>
    <cellStyle name="计算 3 4 6 3 6" xfId="49874"/>
    <cellStyle name="계산 3 4 6 4" xfId="14141"/>
    <cellStyle name="计算 3 4 6 4" xfId="14231"/>
    <cellStyle name="계산 3 4 6 4 2" xfId="27369"/>
    <cellStyle name="计算 3 4 6 4 2" xfId="27459"/>
    <cellStyle name="계산 3 4 6 4 3" xfId="30568"/>
    <cellStyle name="计算 3 4 6 4 3" xfId="30305"/>
    <cellStyle name="계산 3 4 6 4 4" xfId="16844"/>
    <cellStyle name="计算 3 4 6 4 4" xfId="16739"/>
    <cellStyle name="계산 3 4 6 4 5" xfId="34172"/>
    <cellStyle name="计算 3 4 6 4 5" xfId="15335"/>
    <cellStyle name="계산 3 4 6 4 6" xfId="28084"/>
    <cellStyle name="计算 3 4 6 4 6" xfId="15442"/>
    <cellStyle name="계산 3 4 6 5" xfId="24991"/>
    <cellStyle name="计算 3 4 6 5" xfId="24992"/>
    <cellStyle name="계산 3 4 6 5 2" xfId="30232"/>
    <cellStyle name="计算 3 4 6 5 2" xfId="37015"/>
    <cellStyle name="계산 3 4 6 5 3" xfId="16682"/>
    <cellStyle name="计算 3 4 6 5 3" xfId="42934"/>
    <cellStyle name="계산 3 4 6 5 4" xfId="29081"/>
    <cellStyle name="计算 3 4 6 5 4" xfId="47104"/>
    <cellStyle name="계산 3 4 6 5 5" xfId="44527"/>
    <cellStyle name="计算 3 4 6 5 5" xfId="49768"/>
    <cellStyle name="계산 3 4 6 6" xfId="37358"/>
    <cellStyle name="计算 3 4 6 6" xfId="32311"/>
    <cellStyle name="계산 3 4 6 6 2" xfId="43278"/>
    <cellStyle name="计算 3 4 6 6 2" xfId="38529"/>
    <cellStyle name="계산 3 4 6 6 3" xfId="50112"/>
    <cellStyle name="计算 3 4 6 6 3" xfId="47326"/>
    <cellStyle name="계산 3 4 6 7" xfId="37906"/>
    <cellStyle name="计算 3 4 6 7" xfId="37907"/>
    <cellStyle name="계산 3 4 6 7 2" xfId="43831"/>
    <cellStyle name="计算 3 4 6 7 2" xfId="43832"/>
    <cellStyle name="계산 3 4 6 7 3" xfId="50665"/>
    <cellStyle name="计算 3 4 6 7 3" xfId="50666"/>
    <cellStyle name="계산 3 4 6 8" xfId="34227"/>
    <cellStyle name="计算 3 4 6 8" xfId="34228"/>
    <cellStyle name="계산 3 4 6 9" xfId="40252"/>
    <cellStyle name="计算 3 4 6 9" xfId="40253"/>
    <cellStyle name="계산 3 4 7" xfId="7826"/>
    <cellStyle name="计算 3 4 7" xfId="7832"/>
    <cellStyle name="계산 3 4 7 2" xfId="21054"/>
    <cellStyle name="计算 3 4 7 2" xfId="21060"/>
    <cellStyle name="계산 3 4 7 3" xfId="30931"/>
    <cellStyle name="计算 3 4 7 3" xfId="30938"/>
    <cellStyle name="계산 3 4 7 4" xfId="17001"/>
    <cellStyle name="计算 3 4 7 4" xfId="14707"/>
    <cellStyle name="계산 3 4 7 5" xfId="17599"/>
    <cellStyle name="计算 3 4 7 5" xfId="30075"/>
    <cellStyle name="계산 3 4 7 6" xfId="28171"/>
    <cellStyle name="计算 3 4 7 6" xfId="28874"/>
    <cellStyle name="계산 3 4 8" xfId="7386"/>
    <cellStyle name="计算 3 4 8" xfId="7382"/>
    <cellStyle name="계산 3 4 8 2" xfId="20614"/>
    <cellStyle name="计算 3 4 8 2" xfId="20610"/>
    <cellStyle name="계산 3 4 8 3" xfId="36508"/>
    <cellStyle name="计算 3 4 8 3" xfId="35811"/>
    <cellStyle name="계산 3 4 8 4" xfId="42401"/>
    <cellStyle name="计算 3 4 8 4" xfId="41695"/>
    <cellStyle name="계산 3 4 8 5" xfId="46770"/>
    <cellStyle name="计算 3 4 8 5" xfId="46363"/>
    <cellStyle name="계산 3 4 8 6" xfId="49235"/>
    <cellStyle name="计算 3 4 8 6" xfId="48529"/>
    <cellStyle name="계산 3 4 9" xfId="14114"/>
    <cellStyle name="计算 3 4 9" xfId="14029"/>
    <cellStyle name="계산 3 4 9 2" xfId="27342"/>
    <cellStyle name="计算 3 4 9 2" xfId="27257"/>
    <cellStyle name="계산 3 4 9 3" xfId="31289"/>
    <cellStyle name="计算 3 4 9 3" xfId="29815"/>
    <cellStyle name="계산 3 4 9 4" xfId="17179"/>
    <cellStyle name="计算 3 4 9 4" xfId="28032"/>
    <cellStyle name="계산 3 4 9 5" xfId="32183"/>
    <cellStyle name="计算 3 4 9 5" xfId="40008"/>
    <cellStyle name="계산 3 4 9 6" xfId="47291"/>
    <cellStyle name="计算 3 4 9 6" xfId="34389"/>
    <cellStyle name="계산 3 5" xfId="50996"/>
    <cellStyle name="计算 3 5" xfId="2677"/>
    <cellStyle name="计算 3 5 2" xfId="6316"/>
    <cellStyle name="计算 3 5 2 2" xfId="11050"/>
    <cellStyle name="计算 3 5 2 2 2" xfId="24278"/>
    <cellStyle name="计算 3 5 2 2 3" xfId="33680"/>
    <cellStyle name="计算 3 5 2 2 4" xfId="44814"/>
    <cellStyle name="计算 3 5 2 2 5" xfId="39401"/>
    <cellStyle name="计算 3 5 2 3" xfId="12712"/>
    <cellStyle name="计算 3 5 2 3 2" xfId="25940"/>
    <cellStyle name="计算 3 5 2 3 3" xfId="36106"/>
    <cellStyle name="计算 3 5 2 3 4" xfId="41999"/>
    <cellStyle name="计算 3 5 2 3 5" xfId="48833"/>
    <cellStyle name="计算 3 5 2 4" xfId="19544"/>
    <cellStyle name="计算 3 5 2 4 2" xfId="31215"/>
    <cellStyle name="计算 3 5 2 4 3" xfId="17122"/>
    <cellStyle name="计算 3 5 2 4 4" xfId="47620"/>
    <cellStyle name="计算 3 5 2 5" xfId="30492"/>
    <cellStyle name="计算 3 5 2 5 2" xfId="16815"/>
    <cellStyle name="计算 3 5 2 5 3" xfId="15605"/>
    <cellStyle name="计算 3 5 2 6" xfId="29368"/>
    <cellStyle name="计算 3 5 2 7" xfId="16058"/>
    <cellStyle name="计算 3 5 2 8" xfId="15457"/>
    <cellStyle name="计算 3 5 3" xfId="9551"/>
    <cellStyle name="计算 3 5 3 10" xfId="45356"/>
    <cellStyle name="计算 3 5 3 2" xfId="13188"/>
    <cellStyle name="计算 3 5 3 2 2" xfId="26416"/>
    <cellStyle name="计算 3 5 3 2 3" xfId="32668"/>
    <cellStyle name="计算 3 5 3 2 4" xfId="38888"/>
    <cellStyle name="计算 3 5 3 2 5" xfId="44111"/>
    <cellStyle name="计算 3 5 3 3" xfId="7525"/>
    <cellStyle name="计算 3 5 3 3 2" xfId="20753"/>
    <cellStyle name="计算 3 5 3 3 3" xfId="35164"/>
    <cellStyle name="计算 3 5 3 3 4" xfId="45954"/>
    <cellStyle name="计算 3 5 3 3 5" xfId="47867"/>
    <cellStyle name="计算 3 5 3 4" xfId="14072"/>
    <cellStyle name="计算 3 5 3 4 2" xfId="27300"/>
    <cellStyle name="计算 3 5 3 4 3" xfId="30988"/>
    <cellStyle name="计算 3 5 3 4 4" xfId="17034"/>
    <cellStyle name="计算 3 5 3 4 5" xfId="33116"/>
    <cellStyle name="计算 3 5 3 5" xfId="8712"/>
    <cellStyle name="计算 3 5 3 5 2" xfId="21940"/>
    <cellStyle name="计算 3 5 3 5 3" xfId="42694"/>
    <cellStyle name="计算 3 5 3 5 4" xfId="49528"/>
    <cellStyle name="计算 3 5 3 6" xfId="22779"/>
    <cellStyle name="计算 3 5 3 6 2" xfId="30656"/>
    <cellStyle name="计算 3 5 3 6 3" xfId="15163"/>
    <cellStyle name="计算 3 5 3 6 4" xfId="46179"/>
    <cellStyle name="计算 3 5 3 7" xfId="31679"/>
    <cellStyle name="计算 3 5 3 7 2" xfId="15277"/>
    <cellStyle name="计算 3 5 3 7 3" xfId="34415"/>
    <cellStyle name="计算 3 5 3 8" xfId="28357"/>
    <cellStyle name="计算 3 5 3 9" xfId="40396"/>
    <cellStyle name="计算 3 5 4" xfId="7833"/>
    <cellStyle name="计算 3 5 4 2" xfId="21061"/>
    <cellStyle name="计算 3 5 5" xfId="40273"/>
    <cellStyle name="계산 3 6" xfId="50780"/>
    <cellStyle name="计算 3 6" xfId="2678"/>
    <cellStyle name="计算 3 6 2" xfId="6317"/>
    <cellStyle name="计算 3 6 2 2" xfId="11051"/>
    <cellStyle name="计算 3 6 2 2 2" xfId="24279"/>
    <cellStyle name="计算 3 6 2 2 3" xfId="33681"/>
    <cellStyle name="计算 3 6 2 2 4" xfId="44815"/>
    <cellStyle name="计算 3 6 2 2 5" xfId="34386"/>
    <cellStyle name="计算 3 6 2 3" xfId="8067"/>
    <cellStyle name="计算 3 6 2 3 2" xfId="21295"/>
    <cellStyle name="计算 3 6 2 3 3" xfId="36107"/>
    <cellStyle name="计算 3 6 2 3 4" xfId="42000"/>
    <cellStyle name="计算 3 6 2 3 5" xfId="48834"/>
    <cellStyle name="计算 3 6 2 4" xfId="19545"/>
    <cellStyle name="计算 3 6 2 4 2" xfId="34808"/>
    <cellStyle name="计算 3 6 2 4 3" xfId="40804"/>
    <cellStyle name="计算 3 6 2 4 4" xfId="29962"/>
    <cellStyle name="计算 3 6 2 5" xfId="34752"/>
    <cellStyle name="计算 3 6 2 5 2" xfId="40744"/>
    <cellStyle name="计算 3 6 2 5 3" xfId="16524"/>
    <cellStyle name="计算 3 6 2 6" xfId="29369"/>
    <cellStyle name="计算 3 6 2 7" xfId="16059"/>
    <cellStyle name="计算 3 6 2 8" xfId="44458"/>
    <cellStyle name="计算 3 6 3" xfId="9552"/>
    <cellStyle name="计算 3 6 3 10" xfId="44350"/>
    <cellStyle name="计算 3 6 3 2" xfId="13189"/>
    <cellStyle name="计算 3 6 3 2 2" xfId="26417"/>
    <cellStyle name="计算 3 6 3 2 3" xfId="32669"/>
    <cellStyle name="计算 3 6 3 2 4" xfId="38889"/>
    <cellStyle name="计算 3 6 3 2 5" xfId="46290"/>
    <cellStyle name="计算 3 6 3 3" xfId="7526"/>
    <cellStyle name="计算 3 6 3 3 2" xfId="20754"/>
    <cellStyle name="计算 3 6 3 3 3" xfId="35165"/>
    <cellStyle name="计算 3 6 3 3 4" xfId="45955"/>
    <cellStyle name="计算 3 6 3 3 5" xfId="47868"/>
    <cellStyle name="计算 3 6 3 4" xfId="14073"/>
    <cellStyle name="计算 3 6 3 4 2" xfId="27301"/>
    <cellStyle name="计算 3 6 3 4 3" xfId="31844"/>
    <cellStyle name="计算 3 6 3 4 4" xfId="38065"/>
    <cellStyle name="计算 3 6 3 4 5" xfId="44173"/>
    <cellStyle name="计算 3 6 3 5" xfId="6759"/>
    <cellStyle name="计算 3 6 3 5 2" xfId="19987"/>
    <cellStyle name="计算 3 6 3 5 3" xfId="40976"/>
    <cellStyle name="计算 3 6 3 5 4" xfId="47672"/>
    <cellStyle name="计算 3 6 3 6" xfId="22780"/>
    <cellStyle name="计算 3 6 3 6 2" xfId="30119"/>
    <cellStyle name="计算 3 6 3 6 3" xfId="28027"/>
    <cellStyle name="计算 3 6 3 6 4" xfId="15491"/>
    <cellStyle name="计算 3 6 3 7" xfId="37235"/>
    <cellStyle name="计算 3 6 3 7 2" xfId="43154"/>
    <cellStyle name="计算 3 6 3 7 3" xfId="49988"/>
    <cellStyle name="计算 3 6 3 8" xfId="28358"/>
    <cellStyle name="计算 3 6 3 9" xfId="15779"/>
    <cellStyle name="计算 3 6 4" xfId="7834"/>
    <cellStyle name="计算 3 6 4 2" xfId="21062"/>
    <cellStyle name="计算 3 6 5" xfId="38408"/>
    <cellStyle name="计算 3 7" xfId="2679"/>
    <cellStyle name="计算 3 7 2" xfId="6318"/>
    <cellStyle name="计算 3 7 2 2" xfId="11052"/>
    <cellStyle name="计算 3 7 2 2 2" xfId="24280"/>
    <cellStyle name="计算 3 7 2 2 3" xfId="33682"/>
    <cellStyle name="计算 3 7 2 2 4" xfId="44816"/>
    <cellStyle name="计算 3 7 2 2 5" xfId="34279"/>
    <cellStyle name="计算 3 7 2 3" xfId="6787"/>
    <cellStyle name="计算 3 7 2 3 2" xfId="20015"/>
    <cellStyle name="计算 3 7 2 3 3" xfId="36108"/>
    <cellStyle name="计算 3 7 2 3 4" xfId="42001"/>
    <cellStyle name="计算 3 7 2 3 5" xfId="48835"/>
    <cellStyle name="计算 3 7 2 4" xfId="19546"/>
    <cellStyle name="计算 3 7 2 4 2" xfId="30669"/>
    <cellStyle name="计算 3 7 2 4 3" xfId="18019"/>
    <cellStyle name="计算 3 7 2 4 4" xfId="15428"/>
    <cellStyle name="计算 3 7 2 5" xfId="36830"/>
    <cellStyle name="计算 3 7 2 5 2" xfId="42741"/>
    <cellStyle name="计算 3 7 2 5 3" xfId="49575"/>
    <cellStyle name="计算 3 7 2 6" xfId="29370"/>
    <cellStyle name="计算 3 7 2 7" xfId="16060"/>
    <cellStyle name="计算 3 7 2 8" xfId="45444"/>
    <cellStyle name="计算 3 7 3" xfId="9553"/>
    <cellStyle name="计算 3 7 3 10" xfId="40143"/>
    <cellStyle name="计算 3 7 3 2" xfId="13190"/>
    <cellStyle name="计算 3 7 3 2 2" xfId="26418"/>
    <cellStyle name="计算 3 7 3 2 3" xfId="32670"/>
    <cellStyle name="计算 3 7 3 2 4" xfId="38890"/>
    <cellStyle name="计算 3 7 3 2 5" xfId="47335"/>
    <cellStyle name="计算 3 7 3 3" xfId="7527"/>
    <cellStyle name="计算 3 7 3 3 2" xfId="20755"/>
    <cellStyle name="计算 3 7 3 3 3" xfId="35166"/>
    <cellStyle name="计算 3 7 3 3 4" xfId="45956"/>
    <cellStyle name="计算 3 7 3 3 5" xfId="47869"/>
    <cellStyle name="计算 3 7 3 4" xfId="7319"/>
    <cellStyle name="计算 3 7 3 4 2" xfId="20547"/>
    <cellStyle name="计算 3 7 3 4 3" xfId="31018"/>
    <cellStyle name="计算 3 7 3 4 4" xfId="28002"/>
    <cellStyle name="计算 3 7 3 4 5" xfId="38770"/>
    <cellStyle name="计算 3 7 3 5" xfId="13592"/>
    <cellStyle name="计算 3 7 3 5 2" xfId="26820"/>
    <cellStyle name="计算 3 7 3 5 3" xfId="17722"/>
    <cellStyle name="计算 3 7 3 5 4" xfId="44436"/>
    <cellStyle name="计算 3 7 3 6" xfId="22781"/>
    <cellStyle name="计算 3 7 3 6 2" xfId="36729"/>
    <cellStyle name="计算 3 7 3 6 3" xfId="42634"/>
    <cellStyle name="计算 3 7 3 6 4" xfId="49468"/>
    <cellStyle name="计算 3 7 3 7" xfId="37665"/>
    <cellStyle name="计算 3 7 3 7 2" xfId="43588"/>
    <cellStyle name="计算 3 7 3 7 3" xfId="50422"/>
    <cellStyle name="计算 3 7 3 8" xfId="28359"/>
    <cellStyle name="计算 3 7 3 9" xfId="38490"/>
    <cellStyle name="计算 3 7 4" xfId="7835"/>
    <cellStyle name="计算 3 7 4 2" xfId="21063"/>
    <cellStyle name="计算 3 7 5" xfId="17623"/>
    <cellStyle name="计算 3 8" xfId="2680"/>
    <cellStyle name="计算 3 8 2" xfId="6319"/>
    <cellStyle name="计算 3 8 2 2" xfId="11053"/>
    <cellStyle name="计算 3 8 2 2 2" xfId="24281"/>
    <cellStyle name="计算 3 8 2 2 3" xfId="33683"/>
    <cellStyle name="计算 3 8 2 2 4" xfId="44817"/>
    <cellStyle name="计算 3 8 2 2 5" xfId="32997"/>
    <cellStyle name="计算 3 8 2 3" xfId="12822"/>
    <cellStyle name="计算 3 8 2 3 2" xfId="26050"/>
    <cellStyle name="计算 3 8 2 3 3" xfId="36109"/>
    <cellStyle name="计算 3 8 2 3 4" xfId="42002"/>
    <cellStyle name="计算 3 8 2 3 5" xfId="48836"/>
    <cellStyle name="计算 3 8 2 4" xfId="19547"/>
    <cellStyle name="计算 3 8 2 4 2" xfId="31368"/>
    <cellStyle name="计算 3 8 2 4 3" xfId="18471"/>
    <cellStyle name="计算 3 8 2 4 4" xfId="15731"/>
    <cellStyle name="计算 3 8 2 5" xfId="37631"/>
    <cellStyle name="计算 3 8 2 5 2" xfId="43554"/>
    <cellStyle name="计算 3 8 2 5 3" xfId="50388"/>
    <cellStyle name="计算 3 8 2 6" xfId="29371"/>
    <cellStyle name="计算 3 8 2 7" xfId="16061"/>
    <cellStyle name="计算 3 8 2 8" xfId="39285"/>
    <cellStyle name="计算 3 8 3" xfId="9554"/>
    <cellStyle name="计算 3 8 3 10" xfId="44590"/>
    <cellStyle name="计算 3 8 3 2" xfId="13191"/>
    <cellStyle name="计算 3 8 3 2 2" xfId="26419"/>
    <cellStyle name="计算 3 8 3 2 3" xfId="32671"/>
    <cellStyle name="计算 3 8 3 2 4" xfId="38891"/>
    <cellStyle name="计算 3 8 3 2 5" xfId="46537"/>
    <cellStyle name="计算 3 8 3 3" xfId="7528"/>
    <cellStyle name="计算 3 8 3 3 2" xfId="20756"/>
    <cellStyle name="计算 3 8 3 3 3" xfId="35167"/>
    <cellStyle name="计算 3 8 3 3 4" xfId="45957"/>
    <cellStyle name="计算 3 8 3 3 5" xfId="47870"/>
    <cellStyle name="计算 3 8 3 4" xfId="12896"/>
    <cellStyle name="计算 3 8 3 4 2" xfId="26124"/>
    <cellStyle name="计算 3 8 3 4 3" xfId="30991"/>
    <cellStyle name="计算 3 8 3 4 4" xfId="17037"/>
    <cellStyle name="计算 3 8 3 4 5" xfId="39626"/>
    <cellStyle name="计算 3 8 3 5" xfId="13552"/>
    <cellStyle name="计算 3 8 3 5 2" xfId="26780"/>
    <cellStyle name="计算 3 8 3 5 3" xfId="15271"/>
    <cellStyle name="计算 3 8 3 5 4" xfId="34445"/>
    <cellStyle name="计算 3 8 3 6" xfId="22782"/>
    <cellStyle name="计算 3 8 3 6 2" xfId="30698"/>
    <cellStyle name="计算 3 8 3 6 3" xfId="16895"/>
    <cellStyle name="计算 3 8 3 6 4" xfId="46635"/>
    <cellStyle name="计算 3 8 3 7" xfId="29747"/>
    <cellStyle name="计算 3 8 3 7 2" xfId="15151"/>
    <cellStyle name="计算 3 8 3 7 3" xfId="45564"/>
    <cellStyle name="计算 3 8 3 8" xfId="28360"/>
    <cellStyle name="计算 3 8 3 9" xfId="40351"/>
    <cellStyle name="计算 3 8 4" xfId="7836"/>
    <cellStyle name="计算 3 8 4 2" xfId="21064"/>
    <cellStyle name="计算 3 8 5" xfId="39193"/>
    <cellStyle name="计算 3 9" xfId="2681"/>
    <cellStyle name="计算 3 9 2" xfId="6320"/>
    <cellStyle name="计算 3 9 2 2" xfId="11054"/>
    <cellStyle name="计算 3 9 2 2 2" xfId="24282"/>
    <cellStyle name="计算 3 9 2 2 3" xfId="33684"/>
    <cellStyle name="计算 3 9 2 2 4" xfId="44818"/>
    <cellStyle name="计算 3 9 2 2 5" xfId="15400"/>
    <cellStyle name="计算 3 9 2 3" xfId="9070"/>
    <cellStyle name="计算 3 9 2 3 2" xfId="22298"/>
    <cellStyle name="计算 3 9 2 3 3" xfId="36110"/>
    <cellStyle name="计算 3 9 2 3 4" xfId="42003"/>
    <cellStyle name="计算 3 9 2 3 5" xfId="48837"/>
    <cellStyle name="计算 3 9 2 4" xfId="19548"/>
    <cellStyle name="计算 3 9 2 4 2" xfId="35878"/>
    <cellStyle name="计算 3 9 2 4 3" xfId="41770"/>
    <cellStyle name="计算 3 9 2 4 4" xfId="48604"/>
    <cellStyle name="计算 3 9 2 5" xfId="37711"/>
    <cellStyle name="计算 3 9 2 5 2" xfId="43634"/>
    <cellStyle name="计算 3 9 2 5 3" xfId="50468"/>
    <cellStyle name="计算 3 9 2 6" xfId="29372"/>
    <cellStyle name="计算 3 9 2 7" xfId="16062"/>
    <cellStyle name="计算 3 9 2 8" xfId="27886"/>
    <cellStyle name="计算 3 9 3" xfId="9555"/>
    <cellStyle name="计算 3 9 3 10" xfId="45560"/>
    <cellStyle name="计算 3 9 3 2" xfId="13192"/>
    <cellStyle name="计算 3 9 3 2 2" xfId="26420"/>
    <cellStyle name="计算 3 9 3 2 3" xfId="32672"/>
    <cellStyle name="计算 3 9 3 2 4" xfId="38892"/>
    <cellStyle name="计算 3 9 3 2 5" xfId="41308"/>
    <cellStyle name="计算 3 9 3 3" xfId="7529"/>
    <cellStyle name="计算 3 9 3 3 2" xfId="20757"/>
    <cellStyle name="计算 3 9 3 3 3" xfId="35168"/>
    <cellStyle name="计算 3 9 3 3 4" xfId="45958"/>
    <cellStyle name="计算 3 9 3 3 5" xfId="47871"/>
    <cellStyle name="计算 3 9 3 4" xfId="13667"/>
    <cellStyle name="计算 3 9 3 4 2" xfId="26895"/>
    <cellStyle name="计算 3 9 3 4 3" xfId="34855"/>
    <cellStyle name="计算 3 9 3 4 4" xfId="40854"/>
    <cellStyle name="计算 3 9 3 4 5" xfId="28736"/>
    <cellStyle name="计算 3 9 3 5" xfId="12794"/>
    <cellStyle name="计算 3 9 3 5 2" xfId="26022"/>
    <cellStyle name="计算 3 9 3 5 3" xfId="40825"/>
    <cellStyle name="计算 3 9 3 5 4" xfId="34437"/>
    <cellStyle name="计算 3 9 3 6" xfId="22783"/>
    <cellStyle name="计算 3 9 3 6 2" xfId="37143"/>
    <cellStyle name="计算 3 9 3 6 3" xfId="43062"/>
    <cellStyle name="计算 3 9 3 6 4" xfId="49896"/>
    <cellStyle name="计算 3 9 3 7" xfId="29763"/>
    <cellStyle name="计算 3 9 3 7 2" xfId="16327"/>
    <cellStyle name="计算 3 9 3 7 3" xfId="44557"/>
    <cellStyle name="计算 3 9 3 8" xfId="28361"/>
    <cellStyle name="计算 3 9 3 9" xfId="39268"/>
    <cellStyle name="计算 3 9 4" xfId="7837"/>
    <cellStyle name="计算 3 9 4 2" xfId="21065"/>
    <cellStyle name="计算 3 9 5" xfId="40403"/>
    <cellStyle name="계산 3_사업부문" xfId="53655"/>
    <cellStyle name="계산 30" xfId="4820"/>
    <cellStyle name="계산 30 2" xfId="6625"/>
    <cellStyle name="계산 30 2 2" xfId="11359"/>
    <cellStyle name="계산 30 2 2 2" xfId="24587"/>
    <cellStyle name="계산 30 2 2 3" xfId="33989"/>
    <cellStyle name="계산 30 2 2 4" xfId="45054"/>
    <cellStyle name="계산 30 2 2 5" xfId="41258"/>
    <cellStyle name="계산 30 2 3" xfId="9145"/>
    <cellStyle name="계산 30 2 3 2" xfId="22373"/>
    <cellStyle name="계산 30 2 3 3" xfId="36414"/>
    <cellStyle name="계산 30 2 3 4" xfId="42307"/>
    <cellStyle name="계산 30 2 3 5" xfId="49141"/>
    <cellStyle name="계산 30 2 4" xfId="19853"/>
    <cellStyle name="계산 30 2 4 2" xfId="30372"/>
    <cellStyle name="계산 30 2 4 3" xfId="16781"/>
    <cellStyle name="계산 30 2 4 4" xfId="44288"/>
    <cellStyle name="계산 30 2 5" xfId="30823"/>
    <cellStyle name="계산 30 2 5 2" xfId="16952"/>
    <cellStyle name="계산 30 2 5 3" xfId="38485"/>
    <cellStyle name="계산 30 2 6" xfId="29677"/>
    <cellStyle name="계산 30 2 7" xfId="16287"/>
    <cellStyle name="계산 30 2 8" xfId="40140"/>
    <cellStyle name="계산 30 3" xfId="9834"/>
    <cellStyle name="계산 30 3 10" xfId="45455"/>
    <cellStyle name="계산 30 3 2" xfId="13471"/>
    <cellStyle name="계산 30 3 2 2" xfId="26699"/>
    <cellStyle name="계산 30 3 2 3" xfId="32951"/>
    <cellStyle name="계산 30 3 2 4" xfId="39171"/>
    <cellStyle name="계산 30 3 2 5" xfId="45733"/>
    <cellStyle name="계산 30 3 3" xfId="12788"/>
    <cellStyle name="계산 30 3 3 2" xfId="26016"/>
    <cellStyle name="계산 30 3 3 3" xfId="35447"/>
    <cellStyle name="계산 30 3 3 4" xfId="46169"/>
    <cellStyle name="계산 30 3 3 5" xfId="48150"/>
    <cellStyle name="계산 30 3 4" xfId="13696"/>
    <cellStyle name="계산 30 3 4 2" xfId="26924"/>
    <cellStyle name="계산 30 3 4 3" xfId="29914"/>
    <cellStyle name="계산 30 3 4 4" xfId="16447"/>
    <cellStyle name="계산 30 3 4 5" xfId="44393"/>
    <cellStyle name="계산 30 3 5" xfId="13702"/>
    <cellStyle name="계산 30 3 5 2" xfId="26930"/>
    <cellStyle name="계산 30 3 5 3" xfId="42599"/>
    <cellStyle name="계산 30 3 5 4" xfId="49433"/>
    <cellStyle name="계산 30 3 6" xfId="23062"/>
    <cellStyle name="계산 30 3 6 2" xfId="31735"/>
    <cellStyle name="계산 30 3 6 3" xfId="37956"/>
    <cellStyle name="계산 30 3 6 4" xfId="47027"/>
    <cellStyle name="계산 30 3 7" xfId="35607"/>
    <cellStyle name="계산 30 3 7 2" xfId="41483"/>
    <cellStyle name="계산 30 3 7 3" xfId="48317"/>
    <cellStyle name="계산 30 3 8" xfId="28640"/>
    <cellStyle name="계산 30 3 9" xfId="17560"/>
    <cellStyle name="계산 30 4" xfId="8729"/>
    <cellStyle name="계산 30 4 2" xfId="21957"/>
    <cellStyle name="계산 30 5" xfId="29935"/>
    <cellStyle name="계산 31" xfId="4826"/>
    <cellStyle name="계산 31 2" xfId="6626"/>
    <cellStyle name="계산 31 2 2" xfId="11360"/>
    <cellStyle name="계산 31 2 2 2" xfId="24588"/>
    <cellStyle name="계산 31 2 2 3" xfId="33990"/>
    <cellStyle name="계산 31 2 2 4" xfId="45055"/>
    <cellStyle name="계산 31 2 2 5" xfId="32189"/>
    <cellStyle name="계산 31 2 3" xfId="8290"/>
    <cellStyle name="계산 31 2 3 2" xfId="21518"/>
    <cellStyle name="계산 31 2 3 3" xfId="36415"/>
    <cellStyle name="계산 31 2 3 4" xfId="42308"/>
    <cellStyle name="계산 31 2 3 5" xfId="49142"/>
    <cellStyle name="계산 31 2 4" xfId="19854"/>
    <cellStyle name="계산 31 2 4 2" xfId="30503"/>
    <cellStyle name="계산 31 2 4 3" xfId="17776"/>
    <cellStyle name="계산 31 2 4 4" xfId="39803"/>
    <cellStyle name="계산 31 2 5" xfId="37693"/>
    <cellStyle name="계산 31 2 5 2" xfId="43616"/>
    <cellStyle name="계산 31 2 5 3" xfId="50450"/>
    <cellStyle name="계산 31 2 6" xfId="29678"/>
    <cellStyle name="계산 31 2 7" xfId="18124"/>
    <cellStyle name="계산 31 2 8" xfId="17890"/>
    <cellStyle name="계산 31 3" xfId="9835"/>
    <cellStyle name="계산 31 3 10" xfId="28880"/>
    <cellStyle name="계산 31 3 2" xfId="13472"/>
    <cellStyle name="계산 31 3 2 2" xfId="26700"/>
    <cellStyle name="계산 31 3 2 3" xfId="32952"/>
    <cellStyle name="계산 31 3 2 4" xfId="39172"/>
    <cellStyle name="계산 31 3 2 5" xfId="47232"/>
    <cellStyle name="계산 31 3 3" xfId="13981"/>
    <cellStyle name="계산 31 3 3 2" xfId="27209"/>
    <cellStyle name="계산 31 3 3 3" xfId="35448"/>
    <cellStyle name="계산 31 3 3 4" xfId="46170"/>
    <cellStyle name="계산 31 3 3 5" xfId="48151"/>
    <cellStyle name="계산 31 3 4" xfId="14270"/>
    <cellStyle name="계산 31 3 4 2" xfId="27498"/>
    <cellStyle name="계산 31 3 4 3" xfId="31185"/>
    <cellStyle name="계산 31 3 4 4" xfId="14729"/>
    <cellStyle name="계산 31 3 4 5" xfId="44614"/>
    <cellStyle name="계산 31 3 5" xfId="12933"/>
    <cellStyle name="계산 31 3 5 2" xfId="26161"/>
    <cellStyle name="계산 31 3 5 3" xfId="41580"/>
    <cellStyle name="계산 31 3 5 4" xfId="48414"/>
    <cellStyle name="계산 31 3 6" xfId="23063"/>
    <cellStyle name="계산 31 3 6 2" xfId="34942"/>
    <cellStyle name="계산 31 3 6 3" xfId="40940"/>
    <cellStyle name="계산 31 3 6 4" xfId="47636"/>
    <cellStyle name="계산 31 3 7" xfId="37789"/>
    <cellStyle name="계산 31 3 7 2" xfId="43713"/>
    <cellStyle name="계산 31 3 7 3" xfId="50547"/>
    <cellStyle name="계산 31 3 8" xfId="28641"/>
    <cellStyle name="계산 31 3 9" xfId="16460"/>
    <cellStyle name="계산 31 4" xfId="8732"/>
    <cellStyle name="계산 31 4 2" xfId="21960"/>
    <cellStyle name="계산 31 5" xfId="45467"/>
    <cellStyle name="계산 32" xfId="2607"/>
    <cellStyle name="계산 32 2" xfId="6250"/>
    <cellStyle name="계산 32 2 2" xfId="10984"/>
    <cellStyle name="계산 32 2 2 2" xfId="24212"/>
    <cellStyle name="계산 32 2 2 3" xfId="33614"/>
    <cellStyle name="계산 32 2 2 4" xfId="44748"/>
    <cellStyle name="계산 32 2 2 5" xfId="31656"/>
    <cellStyle name="계산 32 2 3" xfId="6946"/>
    <cellStyle name="계산 32 2 3 2" xfId="20174"/>
    <cellStyle name="계산 32 2 3 3" xfId="36040"/>
    <cellStyle name="계산 32 2 3 4" xfId="41933"/>
    <cellStyle name="계산 32 2 3 5" xfId="48767"/>
    <cellStyle name="계산 32 2 4" xfId="19478"/>
    <cellStyle name="계산 32 2 4 2" xfId="35635"/>
    <cellStyle name="계산 32 2 4 3" xfId="41514"/>
    <cellStyle name="계산 32 2 4 4" xfId="48348"/>
    <cellStyle name="계산 32 2 5" xfId="35010"/>
    <cellStyle name="계산 32 2 5 2" xfId="41014"/>
    <cellStyle name="계산 32 2 5 3" xfId="47710"/>
    <cellStyle name="계산 32 2 6" xfId="29302"/>
    <cellStyle name="계산 32 2 7" xfId="17645"/>
    <cellStyle name="계산 32 2 8" xfId="45192"/>
    <cellStyle name="계산 32 3" xfId="9485"/>
    <cellStyle name="계산 32 3 10" xfId="15485"/>
    <cellStyle name="계산 32 3 2" xfId="13122"/>
    <cellStyle name="계산 32 3 2 2" xfId="26350"/>
    <cellStyle name="계산 32 3 2 3" xfId="32602"/>
    <cellStyle name="계산 32 3 2 4" xfId="38822"/>
    <cellStyle name="계산 32 3 2 5" xfId="47116"/>
    <cellStyle name="계산 32 3 3" xfId="7477"/>
    <cellStyle name="계산 32 3 3 2" xfId="20705"/>
    <cellStyle name="계산 32 3 3 3" xfId="35098"/>
    <cellStyle name="계산 32 3 3 4" xfId="45888"/>
    <cellStyle name="계산 32 3 3 5" xfId="47801"/>
    <cellStyle name="계산 32 3 4" xfId="14035"/>
    <cellStyle name="계산 32 3 4 2" xfId="27263"/>
    <cellStyle name="계산 32 3 4 3" xfId="30940"/>
    <cellStyle name="계산 32 3 4 4" xfId="17008"/>
    <cellStyle name="계산 32 3 4 5" xfId="40552"/>
    <cellStyle name="계산 32 3 5" xfId="8713"/>
    <cellStyle name="계산 32 3 5 2" xfId="21941"/>
    <cellStyle name="계산 32 3 5 3" xfId="15204"/>
    <cellStyle name="계산 32 3 5 4" xfId="44216"/>
    <cellStyle name="계산 32 3 6" xfId="22713"/>
    <cellStyle name="계산 32 3 6 2" xfId="35884"/>
    <cellStyle name="계산 32 3 6 3" xfId="41776"/>
    <cellStyle name="계산 32 3 6 4" xfId="48610"/>
    <cellStyle name="계산 32 3 7" xfId="37745"/>
    <cellStyle name="계산 32 3 7 2" xfId="43669"/>
    <cellStyle name="계산 32 3 7 3" xfId="50503"/>
    <cellStyle name="계산 32 3 8" xfId="28291"/>
    <cellStyle name="계산 32 3 9" xfId="15831"/>
    <cellStyle name="계산 32 4" xfId="7767"/>
    <cellStyle name="계산 32 4 2" xfId="20995"/>
    <cellStyle name="계산 32 5" xfId="39350"/>
    <cellStyle name="계산 33" xfId="5042"/>
    <cellStyle name="계산 33 2" xfId="6629"/>
    <cellStyle name="계산 33 2 2" xfId="11363"/>
    <cellStyle name="계산 33 2 2 2" xfId="24591"/>
    <cellStyle name="계산 33 2 2 3" xfId="33993"/>
    <cellStyle name="계산 33 2 2 4" xfId="45058"/>
    <cellStyle name="계산 33 2 2 5" xfId="41259"/>
    <cellStyle name="계산 33 2 3" xfId="8292"/>
    <cellStyle name="계산 33 2 3 2" xfId="21520"/>
    <cellStyle name="계산 33 2 3 3" xfId="36418"/>
    <cellStyle name="계산 33 2 3 4" xfId="42311"/>
    <cellStyle name="계산 33 2 3 5" xfId="49145"/>
    <cellStyle name="계산 33 2 4" xfId="19857"/>
    <cellStyle name="계산 33 2 4 2" xfId="29768"/>
    <cellStyle name="계산 33 2 4 3" xfId="35541"/>
    <cellStyle name="계산 33 2 4 4" xfId="45178"/>
    <cellStyle name="계산 33 2 5" xfId="35599"/>
    <cellStyle name="계산 33 2 5 2" xfId="41475"/>
    <cellStyle name="계산 33 2 5 3" xfId="48309"/>
    <cellStyle name="계산 33 2 6" xfId="29681"/>
    <cellStyle name="계산 33 2 7" xfId="16289"/>
    <cellStyle name="계산 33 2 8" xfId="40444"/>
    <cellStyle name="계산 33 3" xfId="9980"/>
    <cellStyle name="계산 33 3 10" xfId="32515"/>
    <cellStyle name="계산 33 3 2" xfId="13507"/>
    <cellStyle name="계산 33 3 2 2" xfId="26735"/>
    <cellStyle name="계산 33 3 2 3" xfId="33010"/>
    <cellStyle name="계산 33 3 2 4" xfId="39230"/>
    <cellStyle name="계산 33 3 2 5" xfId="15807"/>
    <cellStyle name="계산 33 3 3" xfId="7727"/>
    <cellStyle name="계산 33 3 3 2" xfId="20955"/>
    <cellStyle name="계산 33 3 3 3" xfId="35510"/>
    <cellStyle name="계산 33 3 3 4" xfId="46209"/>
    <cellStyle name="계산 33 3 3 5" xfId="48215"/>
    <cellStyle name="계산 33 3 4" xfId="13621"/>
    <cellStyle name="계산 33 3 4 2" xfId="26849"/>
    <cellStyle name="계산 33 3 4 3" xfId="31231"/>
    <cellStyle name="계산 33 3 4 4" xfId="17134"/>
    <cellStyle name="계산 33 3 4 5" xfId="15590"/>
    <cellStyle name="계산 33 3 5" xfId="13674"/>
    <cellStyle name="계산 33 3 5 2" xfId="26902"/>
    <cellStyle name="계산 33 3 5 3" xfId="42703"/>
    <cellStyle name="계산 33 3 5 4" xfId="49537"/>
    <cellStyle name="계산 33 3 6" xfId="23208"/>
    <cellStyle name="계산 33 3 6 2" xfId="31965"/>
    <cellStyle name="계산 33 3 6 3" xfId="38188"/>
    <cellStyle name="계산 33 3 6 4" xfId="47023"/>
    <cellStyle name="계산 33 3 7" xfId="31302"/>
    <cellStyle name="계산 33 3 7 2" xfId="15230"/>
    <cellStyle name="계산 33 3 7 3" xfId="47617"/>
    <cellStyle name="계산 33 3 8" xfId="28709"/>
    <cellStyle name="계산 33 3 9" xfId="38725"/>
    <cellStyle name="계산 33 4" xfId="8913"/>
    <cellStyle name="계산 33 4 2" xfId="22141"/>
    <cellStyle name="계산 33 5" xfId="45571"/>
    <cellStyle name="계산 34" xfId="5041"/>
    <cellStyle name="계산 34 2" xfId="6628"/>
    <cellStyle name="계산 34 2 2" xfId="11362"/>
    <cellStyle name="계산 34 2 2 2" xfId="24590"/>
    <cellStyle name="계산 34 2 2 3" xfId="33992"/>
    <cellStyle name="계산 34 2 2 4" xfId="45057"/>
    <cellStyle name="계산 34 2 2 5" xfId="34615"/>
    <cellStyle name="계산 34 2 3" xfId="8621"/>
    <cellStyle name="계산 34 2 3 2" xfId="21849"/>
    <cellStyle name="계산 34 2 3 3" xfId="36417"/>
    <cellStyle name="계산 34 2 3 4" xfId="42310"/>
    <cellStyle name="계산 34 2 3 5" xfId="49144"/>
    <cellStyle name="계산 34 2 4" xfId="19856"/>
    <cellStyle name="계산 34 2 4 2" xfId="30371"/>
    <cellStyle name="계산 34 2 4 3" xfId="18144"/>
    <cellStyle name="계산 34 2 4 4" xfId="45294"/>
    <cellStyle name="계산 34 2 5" xfId="31284"/>
    <cellStyle name="계산 34 2 5 2" xfId="17174"/>
    <cellStyle name="계산 34 2 5 3" xfId="29924"/>
    <cellStyle name="계산 34 2 6" xfId="29680"/>
    <cellStyle name="계산 34 2 7" xfId="16288"/>
    <cellStyle name="계산 34 2 8" xfId="44295"/>
    <cellStyle name="계산 34 3" xfId="9979"/>
    <cellStyle name="계산 34 3 10" xfId="28859"/>
    <cellStyle name="계산 34 3 2" xfId="13506"/>
    <cellStyle name="계산 34 3 2 2" xfId="26734"/>
    <cellStyle name="계산 34 3 2 3" xfId="33009"/>
    <cellStyle name="계산 34 3 2 4" xfId="39229"/>
    <cellStyle name="계산 34 3 2 5" xfId="30041"/>
    <cellStyle name="계산 34 3 3" xfId="7728"/>
    <cellStyle name="계산 34 3 3 2" xfId="20956"/>
    <cellStyle name="계산 34 3 3 3" xfId="35509"/>
    <cellStyle name="계산 34 3 3 4" xfId="46208"/>
    <cellStyle name="계산 34 3 3 5" xfId="48214"/>
    <cellStyle name="계산 34 3 4" xfId="13904"/>
    <cellStyle name="계산 34 3 4 2" xfId="27132"/>
    <cellStyle name="계산 34 3 4 3" xfId="31213"/>
    <cellStyle name="계산 34 3 4 4" xfId="14726"/>
    <cellStyle name="계산 34 3 4 5" xfId="17584"/>
    <cellStyle name="계산 34 3 5" xfId="14373"/>
    <cellStyle name="계산 34 3 5 2" xfId="27601"/>
    <cellStyle name="계산 34 3 5 3" xfId="40817"/>
    <cellStyle name="계산 34 3 5 4" xfId="32188"/>
    <cellStyle name="계산 34 3 6" xfId="23207"/>
    <cellStyle name="계산 34 3 6 2" xfId="29755"/>
    <cellStyle name="계산 34 3 6 3" xfId="16323"/>
    <cellStyle name="계산 34 3 6 4" xfId="32210"/>
    <cellStyle name="계산 34 3 7" xfId="30692"/>
    <cellStyle name="계산 34 3 7 2" xfId="15210"/>
    <cellStyle name="계산 34 3 7 3" xfId="47284"/>
    <cellStyle name="계산 34 3 8" xfId="28708"/>
    <cellStyle name="계산 34 3 9" xfId="40145"/>
    <cellStyle name="계산 34 4" xfId="8912"/>
    <cellStyle name="계산 34 4 2" xfId="22140"/>
    <cellStyle name="계산 34 5" xfId="44601"/>
    <cellStyle name="계산 35" xfId="51001"/>
    <cellStyle name="계산 36" xfId="51002"/>
    <cellStyle name="계산 4" xfId="175"/>
    <cellStyle name="计算 4" xfId="2683"/>
    <cellStyle name="计算 4 10" xfId="2684"/>
    <cellStyle name="计算 4 10 2" xfId="6323"/>
    <cellStyle name="计算 4 10 2 2" xfId="11057"/>
    <cellStyle name="计算 4 10 2 2 2" xfId="24285"/>
    <cellStyle name="计算 4 10 2 2 3" xfId="33687"/>
    <cellStyle name="计算 4 10 2 2 4" xfId="44821"/>
    <cellStyle name="计算 4 10 2 2 5" xfId="34246"/>
    <cellStyle name="计算 4 10 2 3" xfId="8070"/>
    <cellStyle name="计算 4 10 2 3 2" xfId="21298"/>
    <cellStyle name="计算 4 10 2 3 3" xfId="36113"/>
    <cellStyle name="计算 4 10 2 3 4" xfId="42006"/>
    <cellStyle name="计算 4 10 2 3 5" xfId="48840"/>
    <cellStyle name="计算 4 10 2 4" xfId="19551"/>
    <cellStyle name="计算 4 10 2 4 2" xfId="36948"/>
    <cellStyle name="计算 4 10 2 4 3" xfId="42866"/>
    <cellStyle name="计算 4 10 2 4 4" xfId="49700"/>
    <cellStyle name="计算 4 10 2 5" xfId="36494"/>
    <cellStyle name="计算 4 10 2 5 2" xfId="42387"/>
    <cellStyle name="计算 4 10 2 5 3" xfId="49221"/>
    <cellStyle name="计算 4 10 2 6" xfId="29375"/>
    <cellStyle name="计算 4 10 2 7" xfId="16086"/>
    <cellStyle name="计算 4 10 2 8" xfId="34053"/>
    <cellStyle name="计算 4 10 3" xfId="9558"/>
    <cellStyle name="计算 4 10 3 10" xfId="29042"/>
    <cellStyle name="计算 4 10 3 2" xfId="13195"/>
    <cellStyle name="计算 4 10 3 2 2" xfId="26423"/>
    <cellStyle name="计算 4 10 3 2 3" xfId="32675"/>
    <cellStyle name="计算 4 10 3 2 4" xfId="38895"/>
    <cellStyle name="计算 4 10 3 2 5" xfId="17914"/>
    <cellStyle name="计算 4 10 3 3" xfId="7532"/>
    <cellStyle name="计算 4 10 3 3 2" xfId="20760"/>
    <cellStyle name="计算 4 10 3 3 3" xfId="35171"/>
    <cellStyle name="计算 4 10 3 3 4" xfId="45961"/>
    <cellStyle name="计算 4 10 3 3 5" xfId="47874"/>
    <cellStyle name="计算 4 10 3 4" xfId="14101"/>
    <cellStyle name="计算 4 10 3 4 2" xfId="27329"/>
    <cellStyle name="计算 4 10 3 4 3" xfId="30992"/>
    <cellStyle name="计算 4 10 3 4 4" xfId="17038"/>
    <cellStyle name="计算 4 10 3 4 5" xfId="33354"/>
    <cellStyle name="计算 4 10 3 5" xfId="13015"/>
    <cellStyle name="计算 4 10 3 5 2" xfId="26243"/>
    <cellStyle name="计算 4 10 3 5 3" xfId="41432"/>
    <cellStyle name="计算 4 10 3 5 4" xfId="48266"/>
    <cellStyle name="计算 4 10 3 6" xfId="22786"/>
    <cellStyle name="计算 4 10 3 6 2" xfId="37283"/>
    <cellStyle name="计算 4 10 3 6 3" xfId="43203"/>
    <cellStyle name="计算 4 10 3 6 4" xfId="50037"/>
    <cellStyle name="计算 4 10 3 7" xfId="30480"/>
    <cellStyle name="计算 4 10 3 7 2" xfId="16810"/>
    <cellStyle name="计算 4 10 3 7 3" xfId="46044"/>
    <cellStyle name="计算 4 10 3 8" xfId="28364"/>
    <cellStyle name="计算 4 10 3 9" xfId="40596"/>
    <cellStyle name="计算 4 10 4" xfId="7840"/>
    <cellStyle name="计算 4 10 4 2" xfId="21068"/>
    <cellStyle name="计算 4 10 5" xfId="28682"/>
    <cellStyle name="计算 4 11" xfId="6322"/>
    <cellStyle name="计算 4 11 2" xfId="11056"/>
    <cellStyle name="计算 4 11 2 2" xfId="24284"/>
    <cellStyle name="计算 4 11 2 3" xfId="33686"/>
    <cellStyle name="计算 4 11 2 4" xfId="44820"/>
    <cellStyle name="计算 4 11 2 5" xfId="14502"/>
    <cellStyle name="计算 4 11 3" xfId="8068"/>
    <cellStyle name="计算 4 11 3 2" xfId="21296"/>
    <cellStyle name="计算 4 11 3 3" xfId="36112"/>
    <cellStyle name="计算 4 11 3 4" xfId="42005"/>
    <cellStyle name="计算 4 11 3 5" xfId="48839"/>
    <cellStyle name="计算 4 11 4" xfId="19550"/>
    <cellStyle name="计算 4 11 4 2" xfId="36579"/>
    <cellStyle name="计算 4 11 4 3" xfId="42481"/>
    <cellStyle name="计算 4 11 4 4" xfId="49315"/>
    <cellStyle name="计算 4 11 5" xfId="32094"/>
    <cellStyle name="计算 4 11 5 2" xfId="38317"/>
    <cellStyle name="计算 4 11 5 3" xfId="40129"/>
    <cellStyle name="计算 4 11 6" xfId="29374"/>
    <cellStyle name="计算 4 11 7" xfId="16064"/>
    <cellStyle name="计算 4 11 8" xfId="44300"/>
    <cellStyle name="计算 4 12" xfId="9557"/>
    <cellStyle name="计算 4 12 10" xfId="39561"/>
    <cellStyle name="计算 4 12 2" xfId="13194"/>
    <cellStyle name="计算 4 12 2 2" xfId="26422"/>
    <cellStyle name="计算 4 12 2 3" xfId="32674"/>
    <cellStyle name="计算 4 12 2 4" xfId="38894"/>
    <cellStyle name="计算 4 12 2 5" xfId="46375"/>
    <cellStyle name="计算 4 12 3" xfId="7531"/>
    <cellStyle name="计算 4 12 3 2" xfId="20759"/>
    <cellStyle name="计算 4 12 3 3" xfId="35170"/>
    <cellStyle name="计算 4 12 3 4" xfId="45960"/>
    <cellStyle name="计算 4 12 3 5" xfId="47873"/>
    <cellStyle name="计算 4 12 4" xfId="13484"/>
    <cellStyle name="计算 4 12 4 2" xfId="26712"/>
    <cellStyle name="计算 4 12 4 3" xfId="30993"/>
    <cellStyle name="计算 4 12 4 4" xfId="18154"/>
    <cellStyle name="计算 4 12 4 5" xfId="39281"/>
    <cellStyle name="计算 4 12 5" xfId="14158"/>
    <cellStyle name="计算 4 12 5 2" xfId="27386"/>
    <cellStyle name="计算 4 12 5 3" xfId="42884"/>
    <cellStyle name="计算 4 12 5 4" xfId="49718"/>
    <cellStyle name="计算 4 12 6" xfId="22785"/>
    <cellStyle name="计算 4 12 6 2" xfId="35542"/>
    <cellStyle name="计算 4 12 6 3" xfId="41417"/>
    <cellStyle name="计算 4 12 6 4" xfId="48251"/>
    <cellStyle name="计算 4 12 7" xfId="31593"/>
    <cellStyle name="计算 4 12 7 2" xfId="17323"/>
    <cellStyle name="计算 4 12 7 3" xfId="47442"/>
    <cellStyle name="计算 4 12 8" xfId="28363"/>
    <cellStyle name="计算 4 12 9" xfId="39614"/>
    <cellStyle name="计算 4 13" xfId="7839"/>
    <cellStyle name="计算 4 13 2" xfId="21067"/>
    <cellStyle name="计算 4 14" xfId="34388"/>
    <cellStyle name="계산 4 2" xfId="2685"/>
    <cellStyle name="计算 4 2" xfId="2686"/>
    <cellStyle name="계산 4 2 2" xfId="51004"/>
    <cellStyle name="计算 4 2 2" xfId="6324"/>
    <cellStyle name="计算 4 2 2 2" xfId="11058"/>
    <cellStyle name="计算 4 2 2 2 2" xfId="24286"/>
    <cellStyle name="计算 4 2 2 2 3" xfId="33688"/>
    <cellStyle name="计算 4 2 2 2 4" xfId="44822"/>
    <cellStyle name="计算 4 2 2 2 5" xfId="33199"/>
    <cellStyle name="计算 4 2 2 3" xfId="8071"/>
    <cellStyle name="计算 4 2 2 3 2" xfId="21299"/>
    <cellStyle name="计算 4 2 2 3 3" xfId="36114"/>
    <cellStyle name="计算 4 2 2 3 4" xfId="42007"/>
    <cellStyle name="计算 4 2 2 3 5" xfId="48841"/>
    <cellStyle name="计算 4 2 2 4" xfId="19552"/>
    <cellStyle name="计算 4 2 2 4 2" xfId="37260"/>
    <cellStyle name="计算 4 2 2 4 3" xfId="43180"/>
    <cellStyle name="计算 4 2 2 4 4" xfId="50014"/>
    <cellStyle name="计算 4 2 2 5" xfId="32039"/>
    <cellStyle name="计算 4 2 2 5 2" xfId="38262"/>
    <cellStyle name="计算 4 2 2 5 3" xfId="47070"/>
    <cellStyle name="计算 4 2 2 6" xfId="29376"/>
    <cellStyle name="计算 4 2 2 7" xfId="27817"/>
    <cellStyle name="计算 4 2 2 8" xfId="44538"/>
    <cellStyle name="계산 4 2 3" xfId="51005"/>
    <cellStyle name="计算 4 2 3" xfId="9559"/>
    <cellStyle name="计算 4 2 3 10" xfId="45208"/>
    <cellStyle name="计算 4 2 3 2" xfId="13196"/>
    <cellStyle name="计算 4 2 3 2 2" xfId="26424"/>
    <cellStyle name="计算 4 2 3 2 3" xfId="32676"/>
    <cellStyle name="计算 4 2 3 2 4" xfId="38896"/>
    <cellStyle name="计算 4 2 3 2 5" xfId="44112"/>
    <cellStyle name="计算 4 2 3 3" xfId="7533"/>
    <cellStyle name="计算 4 2 3 3 2" xfId="20761"/>
    <cellStyle name="计算 4 2 3 3 3" xfId="35172"/>
    <cellStyle name="计算 4 2 3 3 4" xfId="45962"/>
    <cellStyle name="计算 4 2 3 3 5" xfId="47875"/>
    <cellStyle name="计算 4 2 3 4" xfId="8665"/>
    <cellStyle name="计算 4 2 3 4 2" xfId="21893"/>
    <cellStyle name="计算 4 2 3 4 3" xfId="31846"/>
    <cellStyle name="计算 4 2 3 4 4" xfId="38067"/>
    <cellStyle name="计算 4 2 3 4 5" xfId="34536"/>
    <cellStyle name="计算 4 2 3 5" xfId="8318"/>
    <cellStyle name="计算 4 2 3 5 2" xfId="21546"/>
    <cellStyle name="计算 4 2 3 5 3" xfId="42652"/>
    <cellStyle name="计算 4 2 3 5 4" xfId="49486"/>
    <cellStyle name="计算 4 2 3 6" xfId="22787"/>
    <cellStyle name="计算 4 2 3 6 2" xfId="30100"/>
    <cellStyle name="计算 4 2 3 6 3" xfId="14630"/>
    <cellStyle name="计算 4 2 3 6 4" xfId="44439"/>
    <cellStyle name="计算 4 2 3 7" xfId="30328"/>
    <cellStyle name="计算 4 2 3 7 2" xfId="16712"/>
    <cellStyle name="计算 4 2 3 7 3" xfId="40541"/>
    <cellStyle name="计算 4 2 3 8" xfId="28365"/>
    <cellStyle name="计算 4 2 3 9" xfId="14553"/>
    <cellStyle name="계산 4 2 4" xfId="51006"/>
    <cellStyle name="计算 4 2 4" xfId="7841"/>
    <cellStyle name="计算 4 2 4 2" xfId="21069"/>
    <cellStyle name="计算 4 2 5" xfId="40102"/>
    <cellStyle name="计算 4 2 6" xfId="50776"/>
    <cellStyle name="계산 4 3" xfId="4856"/>
    <cellStyle name="计算 4 3" xfId="2687"/>
    <cellStyle name="计算 4 3 2" xfId="6325"/>
    <cellStyle name="计算 4 3 2 2" xfId="11059"/>
    <cellStyle name="计算 4 3 2 2 2" xfId="24287"/>
    <cellStyle name="计算 4 3 2 2 3" xfId="33689"/>
    <cellStyle name="计算 4 3 2 2 4" xfId="44823"/>
    <cellStyle name="计算 4 3 2 2 5" xfId="28692"/>
    <cellStyle name="计算 4 3 2 3" xfId="8072"/>
    <cellStyle name="计算 4 3 2 3 2" xfId="21300"/>
    <cellStyle name="计算 4 3 2 3 3" xfId="36115"/>
    <cellStyle name="计算 4 3 2 3 4" xfId="42008"/>
    <cellStyle name="计算 4 3 2 3 5" xfId="48842"/>
    <cellStyle name="计算 4 3 2 4" xfId="19553"/>
    <cellStyle name="计算 4 3 2 4 2" xfId="30815"/>
    <cellStyle name="计算 4 3 2 4 3" xfId="16948"/>
    <cellStyle name="计算 4 3 2 4 4" xfId="15430"/>
    <cellStyle name="计算 4 3 2 5" xfId="31726"/>
    <cellStyle name="计算 4 3 2 5 2" xfId="37947"/>
    <cellStyle name="计算 4 3 2 5 3" xfId="27902"/>
    <cellStyle name="计算 4 3 2 6" xfId="29377"/>
    <cellStyle name="计算 4 3 2 7" xfId="16065"/>
    <cellStyle name="计算 4 3 2 8" xfId="45508"/>
    <cellStyle name="计算 4 3 3" xfId="9560"/>
    <cellStyle name="计算 4 3 3 10" xfId="44075"/>
    <cellStyle name="计算 4 3 3 2" xfId="13197"/>
    <cellStyle name="计算 4 3 3 2 2" xfId="26425"/>
    <cellStyle name="计算 4 3 3 2 3" xfId="32677"/>
    <cellStyle name="计算 4 3 3 2 4" xfId="38897"/>
    <cellStyle name="计算 4 3 3 2 5" xfId="47013"/>
    <cellStyle name="计算 4 3 3 3" xfId="7534"/>
    <cellStyle name="计算 4 3 3 3 2" xfId="20762"/>
    <cellStyle name="计算 4 3 3 3 3" xfId="35173"/>
    <cellStyle name="计算 4 3 3 3 4" xfId="45963"/>
    <cellStyle name="计算 4 3 3 3 5" xfId="47876"/>
    <cellStyle name="计算 4 3 3 4" xfId="13573"/>
    <cellStyle name="计算 4 3 3 4 2" xfId="26801"/>
    <cellStyle name="计算 4 3 3 4 3" xfId="32151"/>
    <cellStyle name="计算 4 3 3 4 4" xfId="38376"/>
    <cellStyle name="计算 4 3 3 4 5" xfId="15856"/>
    <cellStyle name="计算 4 3 3 5" xfId="7369"/>
    <cellStyle name="计算 4 3 3 5 2" xfId="20597"/>
    <cellStyle name="计算 4 3 3 5 3" xfId="41572"/>
    <cellStyle name="计算 4 3 3 5 4" xfId="48406"/>
    <cellStyle name="计算 4 3 3 6" xfId="22788"/>
    <cellStyle name="计算 4 3 3 6 2" xfId="36953"/>
    <cellStyle name="计算 4 3 3 6 3" xfId="42871"/>
    <cellStyle name="计算 4 3 3 6 4" xfId="49705"/>
    <cellStyle name="计算 4 3 3 7" xfId="37766"/>
    <cellStyle name="计算 4 3 3 7 2" xfId="43690"/>
    <cellStyle name="计算 4 3 3 7 3" xfId="50524"/>
    <cellStyle name="计算 4 3 3 8" xfId="28366"/>
    <cellStyle name="计算 4 3 3 9" xfId="29939"/>
    <cellStyle name="计算 4 3 4" xfId="7842"/>
    <cellStyle name="计算 4 3 4 2" xfId="21070"/>
    <cellStyle name="计算 4 3 5" xfId="17698"/>
    <cellStyle name="계산 4 4" xfId="2682"/>
    <cellStyle name="计算 4 4" xfId="2688"/>
    <cellStyle name="계산 4 4 10" xfId="14348"/>
    <cellStyle name="计算 4 4 10" xfId="8592"/>
    <cellStyle name="계산 4 4 10 2" xfId="27576"/>
    <cellStyle name="计算 4 4 10 2" xfId="21820"/>
    <cellStyle name="계산 4 4 10 3" xfId="36918"/>
    <cellStyle name="计算 4 4 10 3" xfId="36528"/>
    <cellStyle name="계산 4 4 10 4" xfId="42833"/>
    <cellStyle name="计算 4 4 10 4" xfId="42426"/>
    <cellStyle name="계산 4 4 10 5" xfId="47041"/>
    <cellStyle name="计算 4 4 10 5" xfId="46782"/>
    <cellStyle name="계산 4 4 10 6" xfId="49667"/>
    <cellStyle name="计算 4 4 10 6" xfId="49260"/>
    <cellStyle name="계산 4 4 11" xfId="14409"/>
    <cellStyle name="计算 4 4 11" xfId="14489"/>
    <cellStyle name="계산 4 4 11 2" xfId="27637"/>
    <cellStyle name="计算 4 4 11 2" xfId="27717"/>
    <cellStyle name="계산 4 4 11 3" xfId="31654"/>
    <cellStyle name="计算 4 4 11 3" xfId="37309"/>
    <cellStyle name="계산 4 4 11 4" xfId="15178"/>
    <cellStyle name="计算 4 4 11 4" xfId="43229"/>
    <cellStyle name="계산 4 4 11 5" xfId="15569"/>
    <cellStyle name="计算 4 4 11 5" xfId="47295"/>
    <cellStyle name="계산 4 4 11 6" xfId="36566"/>
    <cellStyle name="计算 4 4 11 6" xfId="50063"/>
    <cellStyle name="계산 4 4 12" xfId="16439"/>
    <cellStyle name="计算 4 4 12" xfId="16445"/>
    <cellStyle name="계산 4 4 12 2" xfId="43748"/>
    <cellStyle name="计算 4 4 12 2" xfId="41515"/>
    <cellStyle name="계산 4 4 12 3" xfId="50582"/>
    <cellStyle name="计算 4 4 12 3" xfId="48349"/>
    <cellStyle name="계산 4 4 13" xfId="15950"/>
    <cellStyle name="计算 4 4 13" xfId="15947"/>
    <cellStyle name="계산 4 4 14" xfId="34326"/>
    <cellStyle name="计算 4 4 14" xfId="27948"/>
    <cellStyle name="계산 4 4 15" xfId="38712"/>
    <cellStyle name="计算 4 4 15" xfId="40332"/>
    <cellStyle name="계산 4 4 16" xfId="39338"/>
    <cellStyle name="计算 4 4 16" xfId="28902"/>
    <cellStyle name="计算 4 4 17" xfId="51007"/>
    <cellStyle name="计算 4 4 18" xfId="50775"/>
    <cellStyle name="계산 4 4 2" xfId="6321"/>
    <cellStyle name="计算 4 4 2" xfId="6326"/>
    <cellStyle name="계산 4 4 2 10" xfId="16063"/>
    <cellStyle name="计算 4 4 2 10" xfId="16066"/>
    <cellStyle name="계산 4 4 2 11" xfId="32194"/>
    <cellStyle name="计算 4 4 2 11" xfId="34129"/>
    <cellStyle name="계산 4 4 2 12" xfId="45306"/>
    <cellStyle name="计算 4 4 2 12" xfId="33433"/>
    <cellStyle name="계산 4 4 2 2" xfId="11055"/>
    <cellStyle name="计算 4 4 2 2" xfId="11060"/>
    <cellStyle name="계산 4 4 2 2 2" xfId="24283"/>
    <cellStyle name="计算 4 4 2 2 2" xfId="24288"/>
    <cellStyle name="계산 4 4 2 2 3" xfId="33685"/>
    <cellStyle name="计算 4 4 2 2 3" xfId="33690"/>
    <cellStyle name="계산 4 4 2 2 4" xfId="39836"/>
    <cellStyle name="计算 4 4 2 2 4" xfId="39839"/>
    <cellStyle name="계산 4 4 2 2 5" xfId="44819"/>
    <cellStyle name="计算 4 4 2 2 5" xfId="44824"/>
    <cellStyle name="계산 4 4 2 2 6" xfId="34069"/>
    <cellStyle name="计算 4 4 2 2 6" xfId="32185"/>
    <cellStyle name="계산 4 4 2 3" xfId="13889"/>
    <cellStyle name="计算 4 4 2 3" xfId="13890"/>
    <cellStyle name="계산 4 4 2 3 2" xfId="27117"/>
    <cellStyle name="计算 4 4 2 3 2" xfId="27118"/>
    <cellStyle name="계산 4 4 2 3 3" xfId="36111"/>
    <cellStyle name="计算 4 4 2 3 3" xfId="36116"/>
    <cellStyle name="계산 4 4 2 3 4" xfId="42004"/>
    <cellStyle name="计算 4 4 2 3 4" xfId="42009"/>
    <cellStyle name="계산 4 4 2 3 5" xfId="46577"/>
    <cellStyle name="计算 4 4 2 3 5" xfId="46578"/>
    <cellStyle name="계산 4 4 2 3 6" xfId="48838"/>
    <cellStyle name="计算 4 4 2 3 6" xfId="48843"/>
    <cellStyle name="계산 4 4 2 4" xfId="8069"/>
    <cellStyle name="计算 4 4 2 4" xfId="12770"/>
    <cellStyle name="계산 4 4 2 4 2" xfId="21297"/>
    <cellStyle name="计算 4 4 2 4 2" xfId="25998"/>
    <cellStyle name="계산 4 4 2 4 3" xfId="31508"/>
    <cellStyle name="计算 4 4 2 4 3" xfId="31512"/>
    <cellStyle name="계산 4 4 2 4 4" xfId="17248"/>
    <cellStyle name="计算 4 4 2 4 4" xfId="17956"/>
    <cellStyle name="계산 4 4 2 4 5" xfId="34071"/>
    <cellStyle name="计算 4 4 2 4 5" xfId="17424"/>
    <cellStyle name="계산 4 4 2 4 6" xfId="28153"/>
    <cellStyle name="计算 4 4 2 4 6" xfId="43949"/>
    <cellStyle name="계산 4 4 2 5" xfId="7241"/>
    <cellStyle name="计算 4 4 2 5" xfId="7240"/>
    <cellStyle name="계산 4 4 2 5 2" xfId="20469"/>
    <cellStyle name="计算 4 4 2 5 2" xfId="20468"/>
    <cellStyle name="계산 4 4 2 5 3" xfId="34910"/>
    <cellStyle name="计算 4 4 2 5 3" xfId="34911"/>
    <cellStyle name="계산 4 4 2 5 4" xfId="40908"/>
    <cellStyle name="计算 4 4 2 5 4" xfId="40909"/>
    <cellStyle name="계산 4 4 2 5 5" xfId="45753"/>
    <cellStyle name="计算 4 4 2 5 5" xfId="45754"/>
    <cellStyle name="계산 4 4 2 5 6" xfId="34979"/>
    <cellStyle name="计算 4 4 2 5 6" xfId="33191"/>
    <cellStyle name="계산 4 4 2 6" xfId="7354"/>
    <cellStyle name="计算 4 4 2 6" xfId="13891"/>
    <cellStyle name="계산 4 4 2 6 2" xfId="20582"/>
    <cellStyle name="计算 4 4 2 6 2" xfId="27119"/>
    <cellStyle name="계산 4 4 2 6 3" xfId="36677"/>
    <cellStyle name="计算 4 4 2 6 3" xfId="35492"/>
    <cellStyle name="계산 4 4 2 6 4" xfId="42580"/>
    <cellStyle name="计算 4 4 2 6 4" xfId="41363"/>
    <cellStyle name="계산 4 4 2 6 5" xfId="46895"/>
    <cellStyle name="计算 4 4 2 6 5" xfId="46197"/>
    <cellStyle name="계산 4 4 2 6 6" xfId="49414"/>
    <cellStyle name="计算 4 4 2 6 6" xfId="48197"/>
    <cellStyle name="계산 4 4 2 7" xfId="19549"/>
    <cellStyle name="计算 4 4 2 7" xfId="19554"/>
    <cellStyle name="계산 4 4 2 7 2" xfId="32088"/>
    <cellStyle name="计算 4 4 2 7 2" xfId="35539"/>
    <cellStyle name="계산 4 4 2 7 3" xfId="38311"/>
    <cellStyle name="计算 4 4 2 7 3" xfId="41414"/>
    <cellStyle name="계산 4 4 2 7 4" xfId="28686"/>
    <cellStyle name="计算 4 4 2 7 4" xfId="46230"/>
    <cellStyle name="계산 4 4 2 7 5" xfId="38471"/>
    <cellStyle name="计算 4 4 2 7 5" xfId="48248"/>
    <cellStyle name="계산 4 4 2 8" xfId="31352"/>
    <cellStyle name="计算 4 4 2 8" xfId="35686"/>
    <cellStyle name="계산 4 4 2 8 2" xfId="17211"/>
    <cellStyle name="计算 4 4 2 8 2" xfId="41566"/>
    <cellStyle name="계산 4 4 2 8 3" xfId="34546"/>
    <cellStyle name="计算 4 4 2 8 3" xfId="48400"/>
    <cellStyle name="계산 4 4 2 9" xfId="29373"/>
    <cellStyle name="计算 4 4 2 9" xfId="29378"/>
    <cellStyle name="계산 4 4 3" xfId="6201"/>
    <cellStyle name="计算 4 4 3" xfId="6123"/>
    <cellStyle name="계산 4 4 3 10" xfId="35030"/>
    <cellStyle name="计算 4 4 3 10" xfId="37823"/>
    <cellStyle name="계산 4 4 3 11" xfId="40007"/>
    <cellStyle name="计算 4 4 3 11" xfId="29145"/>
    <cellStyle name="계산 4 4 3 12" xfId="30050"/>
    <cellStyle name="计算 4 4 3 12" xfId="44416"/>
    <cellStyle name="계산 4 4 3 2" xfId="10935"/>
    <cellStyle name="计算 4 4 3 2" xfId="10857"/>
    <cellStyle name="계산 4 4 3 2 2" xfId="24163"/>
    <cellStyle name="计算 4 4 3 2 2" xfId="24085"/>
    <cellStyle name="계산 4 4 3 2 3" xfId="33565"/>
    <cellStyle name="计算 4 4 3 2 3" xfId="33487"/>
    <cellStyle name="계산 4 4 3 2 4" xfId="39727"/>
    <cellStyle name="计算 4 4 3 2 4" xfId="39672"/>
    <cellStyle name="계산 4 4 3 2 5" xfId="44699"/>
    <cellStyle name="计算 4 4 3 2 5" xfId="44625"/>
    <cellStyle name="계산 4 4 3 2 6" xfId="38459"/>
    <cellStyle name="计算 4 4 3 2 6" xfId="34145"/>
    <cellStyle name="계산 4 4 3 3" xfId="13791"/>
    <cellStyle name="计算 4 4 3 3" xfId="13749"/>
    <cellStyle name="계산 4 4 3 3 2" xfId="27019"/>
    <cellStyle name="计算 4 4 3 3 2" xfId="26977"/>
    <cellStyle name="계산 4 4 3 3 3" xfId="35991"/>
    <cellStyle name="计算 4 4 3 3 3" xfId="35913"/>
    <cellStyle name="계산 4 4 3 3 4" xfId="41884"/>
    <cellStyle name="计算 4 4 3 3 4" xfId="41806"/>
    <cellStyle name="계산 4 4 3 3 5" xfId="46466"/>
    <cellStyle name="计算 4 4 3 3 5" xfId="46419"/>
    <cellStyle name="계산 4 4 3 3 6" xfId="48718"/>
    <cellStyle name="计算 4 4 3 3 6" xfId="48640"/>
    <cellStyle name="계산 4 4 3 4" xfId="6782"/>
    <cellStyle name="计算 4 4 3 4" xfId="6772"/>
    <cellStyle name="계산 4 4 3 4 2" xfId="20010"/>
    <cellStyle name="计算 4 4 3 4 2" xfId="20000"/>
    <cellStyle name="계산 4 4 3 4 3" xfId="31433"/>
    <cellStyle name="计算 4 4 3 4 3" xfId="32391"/>
    <cellStyle name="계산 4 4 3 4 4" xfId="17255"/>
    <cellStyle name="计算 4 4 3 4 4" xfId="38609"/>
    <cellStyle name="계산 4 4 3 4 5" xfId="34142"/>
    <cellStyle name="计算 4 4 3 4 5" xfId="43947"/>
    <cellStyle name="계산 4 4 3 4 6" xfId="45576"/>
    <cellStyle name="计算 4 4 3 4 6" xfId="15790"/>
    <cellStyle name="계산 4 4 3 5" xfId="13629"/>
    <cellStyle name="计算 4 4 3 5" xfId="13918"/>
    <cellStyle name="계산 4 4 3 5 2" xfId="26857"/>
    <cellStyle name="计算 4 4 3 5 2" xfId="27146"/>
    <cellStyle name="계산 4 4 3 5 3" xfId="30570"/>
    <cellStyle name="计算 4 4 3 5 3" xfId="30543"/>
    <cellStyle name="계산 4 4 3 5 4" xfId="17815"/>
    <cellStyle name="计算 4 4 3 5 4" xfId="18029"/>
    <cellStyle name="계산 4 4 3 5 5" xfId="27869"/>
    <cellStyle name="计算 4 4 3 5 5" xfId="28187"/>
    <cellStyle name="계산 4 4 3 5 6" xfId="44488"/>
    <cellStyle name="计算 4 4 3 5 6" xfId="46037"/>
    <cellStyle name="계산 4 4 3 6" xfId="6705"/>
    <cellStyle name="计算 4 4 3 6" xfId="8478"/>
    <cellStyle name="계산 4 4 3 6 2" xfId="19933"/>
    <cellStyle name="计算 4 4 3 6 2" xfId="21706"/>
    <cellStyle name="계산 4 4 3 6 3" xfId="37443"/>
    <cellStyle name="计算 4 4 3 6 3" xfId="30662"/>
    <cellStyle name="계산 4 4 3 6 4" xfId="43363"/>
    <cellStyle name="计算 4 4 3 6 4" xfId="16883"/>
    <cellStyle name="계산 4 4 3 6 5" xfId="47372"/>
    <cellStyle name="计算 4 4 3 6 5" xfId="34290"/>
    <cellStyle name="계산 4 4 3 6 6" xfId="50197"/>
    <cellStyle name="计算 4 4 3 6 6" xfId="45772"/>
    <cellStyle name="계산 4 4 3 7" xfId="19429"/>
    <cellStyle name="计算 4 4 3 7" xfId="19351"/>
    <cellStyle name="계산 4 4 3 7 2" xfId="30686"/>
    <cellStyle name="计算 4 4 3 7 2" xfId="31514"/>
    <cellStyle name="계산 4 4 3 7 3" xfId="14688"/>
    <cellStyle name="计算 4 4 3 7 3" xfId="14743"/>
    <cellStyle name="계산 4 4 3 7 4" xfId="17555"/>
    <cellStyle name="计算 4 4 3 7 4" xfId="17582"/>
    <cellStyle name="계산 4 4 3 7 5" xfId="46641"/>
    <cellStyle name="计算 4 4 3 7 5" xfId="46628"/>
    <cellStyle name="계산 4 4 3 8" xfId="37697"/>
    <cellStyle name="计算 4 4 3 8" xfId="31931"/>
    <cellStyle name="계산 4 4 3 8 2" xfId="43620"/>
    <cellStyle name="计算 4 4 3 8 2" xfId="38153"/>
    <cellStyle name="계산 4 4 3 8 3" xfId="50454"/>
    <cellStyle name="计算 4 4 3 8 3" xfId="44165"/>
    <cellStyle name="계산 4 4 3 9" xfId="29253"/>
    <cellStyle name="计算 4 4 3 9" xfId="29175"/>
    <cellStyle name="계산 4 4 4" xfId="6198"/>
    <cellStyle name="计算 4 4 4" xfId="6662"/>
    <cellStyle name="계산 4 4 4 10" xfId="36561"/>
    <cellStyle name="计算 4 4 4 10" xfId="37379"/>
    <cellStyle name="계산 4 4 4 11" xfId="39309"/>
    <cellStyle name="计算 4 4 4 11" xfId="39828"/>
    <cellStyle name="계산 4 4 4 12" xfId="33119"/>
    <cellStyle name="计算 4 4 4 12" xfId="44569"/>
    <cellStyle name="계산 4 4 4 2" xfId="10932"/>
    <cellStyle name="计算 4 4 4 2" xfId="11396"/>
    <cellStyle name="계산 4 4 4 2 2" xfId="24160"/>
    <cellStyle name="计算 4 4 4 2 2" xfId="24624"/>
    <cellStyle name="계산 4 4 4 2 3" xfId="33562"/>
    <cellStyle name="计算 4 4 4 2 3" xfId="34026"/>
    <cellStyle name="계산 4 4 4 2 4" xfId="39725"/>
    <cellStyle name="计算 4 4 4 2 4" xfId="40059"/>
    <cellStyle name="계산 4 4 4 2 5" xfId="44698"/>
    <cellStyle name="计算 4 4 4 2 5" xfId="45089"/>
    <cellStyle name="계산 4 4 4 2 6" xfId="38688"/>
    <cellStyle name="计算 4 4 4 2 6" xfId="39956"/>
    <cellStyle name="계산 4 4 4 3" xfId="13790"/>
    <cellStyle name="计算 4 4 4 3" xfId="14006"/>
    <cellStyle name="계산 4 4 4 3 2" xfId="27018"/>
    <cellStyle name="计算 4 4 4 3 2" xfId="27234"/>
    <cellStyle name="계산 4 4 4 3 3" xfId="35988"/>
    <cellStyle name="计算 4 4 4 3 3" xfId="36451"/>
    <cellStyle name="계산 4 4 4 3 4" xfId="41881"/>
    <cellStyle name="计算 4 4 4 3 4" xfId="42344"/>
    <cellStyle name="계산 4 4 4 3 5" xfId="46465"/>
    <cellStyle name="计算 4 4 4 3 5" xfId="46736"/>
    <cellStyle name="계산 4 4 4 3 6" xfId="48715"/>
    <cellStyle name="计算 4 4 4 3 6" xfId="49178"/>
    <cellStyle name="계산 4 4 4 4" xfId="12739"/>
    <cellStyle name="计算 4 4 4 4" xfId="9121"/>
    <cellStyle name="계산 4 4 4 4 2" xfId="25967"/>
    <cellStyle name="计算 4 4 4 4 2" xfId="22349"/>
    <cellStyle name="계산 4 4 4 4 3" xfId="31430"/>
    <cellStyle name="计算 4 4 4 4 3" xfId="31594"/>
    <cellStyle name="계산 4 4 4 4 4" xfId="18479"/>
    <cellStyle name="计算 4 4 4 4 4" xfId="15266"/>
    <cellStyle name="계산 4 4 4 4 5" xfId="28096"/>
    <cellStyle name="计算 4 4 4 4 5" xfId="15304"/>
    <cellStyle name="계산 4 4 4 4 6" xfId="47613"/>
    <cellStyle name="计算 4 4 4 4 6" xfId="47243"/>
    <cellStyle name="계산 4 4 4 5" xfId="13628"/>
    <cellStyle name="计算 4 4 4 5" xfId="14193"/>
    <cellStyle name="계산 4 4 4 5 2" xfId="26856"/>
    <cellStyle name="计算 4 4 4 5 2" xfId="27421"/>
    <cellStyle name="계산 4 4 4 5 3" xfId="30444"/>
    <cellStyle name="计算 4 4 4 5 3" xfId="32104"/>
    <cellStyle name="계산 4 4 4 5 4" xfId="14901"/>
    <cellStyle name="计算 4 4 4 5 4" xfId="38327"/>
    <cellStyle name="계산 4 4 4 5 5" xfId="34323"/>
    <cellStyle name="计算 4 4 4 5 5" xfId="28888"/>
    <cellStyle name="계산 4 4 4 5 6" xfId="46347"/>
    <cellStyle name="计算 4 4 4 5 6" xfId="28124"/>
    <cellStyle name="계산 4 4 4 6" xfId="13027"/>
    <cellStyle name="计算 4 4 4 6" xfId="12922"/>
    <cellStyle name="계산 4 4 4 6 2" xfId="26255"/>
    <cellStyle name="计算 4 4 4 6 2" xfId="26150"/>
    <cellStyle name="계산 4 4 4 6 3" xfId="35012"/>
    <cellStyle name="计算 4 4 4 6 3" xfId="30071"/>
    <cellStyle name="계산 4 4 4 6 4" xfId="41016"/>
    <cellStyle name="计算 4 4 4 6 4" xfId="14627"/>
    <cellStyle name="계산 4 4 4 6 5" xfId="45823"/>
    <cellStyle name="计算 4 4 4 6 5" xfId="39443"/>
    <cellStyle name="계산 4 4 4 6 6" xfId="47712"/>
    <cellStyle name="计算 4 4 4 6 6" xfId="34450"/>
    <cellStyle name="계산 4 4 4 7" xfId="19426"/>
    <cellStyle name="计算 4 4 4 7" xfId="19890"/>
    <cellStyle name="계산 4 4 4 7 2" xfId="32367"/>
    <cellStyle name="计算 4 4 4 7 2" xfId="30172"/>
    <cellStyle name="계산 4 4 4 7 3" xfId="38585"/>
    <cellStyle name="计算 4 4 4 7 3" xfId="16633"/>
    <cellStyle name="계산 4 4 4 7 4" xfId="43926"/>
    <cellStyle name="计算 4 4 4 7 4" xfId="41075"/>
    <cellStyle name="계산 4 4 4 7 5" xfId="46572"/>
    <cellStyle name="计算 4 4 4 7 5" xfId="39379"/>
    <cellStyle name="계산 4 4 4 8" xfId="37526"/>
    <cellStyle name="计算 4 4 4 8" xfId="36491"/>
    <cellStyle name="계산 4 4 4 8 2" xfId="43447"/>
    <cellStyle name="计算 4 4 4 8 2" xfId="42384"/>
    <cellStyle name="계산 4 4 4 8 3" xfId="50281"/>
    <cellStyle name="计算 4 4 4 8 3" xfId="49218"/>
    <cellStyle name="계산 4 4 4 9" xfId="29250"/>
    <cellStyle name="计算 4 4 4 9" xfId="29714"/>
    <cellStyle name="계산 4 4 5" xfId="9556"/>
    <cellStyle name="计算 4 4 5" xfId="9561"/>
    <cellStyle name="계산 4 4 5 10" xfId="29929"/>
    <cellStyle name="计算 4 4 5 10" xfId="34358"/>
    <cellStyle name="계산 4 4 5 11" xfId="27873"/>
    <cellStyle name="计算 4 4 5 11" xfId="16514"/>
    <cellStyle name="계산 4 4 5 12" xfId="28666"/>
    <cellStyle name="计算 4 4 5 12" xfId="39530"/>
    <cellStyle name="계산 4 4 5 2" xfId="13193"/>
    <cellStyle name="计算 4 4 5 2" xfId="13198"/>
    <cellStyle name="계산 4 4 5 2 2" xfId="26421"/>
    <cellStyle name="计算 4 4 5 2 2" xfId="26426"/>
    <cellStyle name="계산 4 4 5 2 3" xfId="32673"/>
    <cellStyle name="计算 4 4 5 2 3" xfId="32678"/>
    <cellStyle name="계산 4 4 5 2 4" xfId="38893"/>
    <cellStyle name="计算 4 4 5 2 4" xfId="38898"/>
    <cellStyle name="계산 4 4 5 2 5" xfId="44151"/>
    <cellStyle name="计算 4 4 5 2 5" xfId="44152"/>
    <cellStyle name="계산 4 4 5 2 6" xfId="47281"/>
    <cellStyle name="计算 4 4 5 2 6" xfId="39712"/>
    <cellStyle name="계산 4 4 5 3" xfId="7530"/>
    <cellStyle name="计算 4 4 5 3" xfId="7535"/>
    <cellStyle name="계산 4 4 5 3 2" xfId="20758"/>
    <cellStyle name="计算 4 4 5 3 2" xfId="20763"/>
    <cellStyle name="계산 4 4 5 3 3" xfId="35169"/>
    <cellStyle name="计算 4 4 5 3 3" xfId="35174"/>
    <cellStyle name="계산 4 4 5 3 4" xfId="41148"/>
    <cellStyle name="计算 4 4 5 3 4" xfId="41151"/>
    <cellStyle name="계산 4 4 5 3 5" xfId="45959"/>
    <cellStyle name="计算 4 4 5 3 5" xfId="45964"/>
    <cellStyle name="계산 4 4 5 3 6" xfId="47872"/>
    <cellStyle name="计算 4 4 5 3 6" xfId="47877"/>
    <cellStyle name="계산 4 4 5 4" xfId="14236"/>
    <cellStyle name="计算 4 4 5 4" xfId="14180"/>
    <cellStyle name="계산 4 4 5 4 2" xfId="27464"/>
    <cellStyle name="计算 4 4 5 4 2" xfId="27408"/>
    <cellStyle name="계산 4 4 5 4 3" xfId="31845"/>
    <cellStyle name="计算 4 4 5 4 3" xfId="30994"/>
    <cellStyle name="계산 4 4 5 4 4" xfId="38066"/>
    <cellStyle name="计算 4 4 5 4 4" xfId="17018"/>
    <cellStyle name="계산 4 4 5 4 5" xfId="15539"/>
    <cellStyle name="计算 4 4 5 4 5" xfId="31416"/>
    <cellStyle name="계산 4 4 5 4 6" xfId="46312"/>
    <cellStyle name="计算 4 4 5 4 6" xfId="40362"/>
    <cellStyle name="계산 4 4 5 5" xfId="14317"/>
    <cellStyle name="计算 4 4 5 5" xfId="7214"/>
    <cellStyle name="계산 4 4 5 5 2" xfId="27545"/>
    <cellStyle name="计算 4 4 5 5 2" xfId="20442"/>
    <cellStyle name="계산 4 4 5 5 3" xfId="41786"/>
    <cellStyle name="计算 4 4 5 5 3" xfId="42756"/>
    <cellStyle name="계산 4 4 5 5 4" xfId="48620"/>
    <cellStyle name="计算 4 4 5 5 4" xfId="49590"/>
    <cellStyle name="계산 4 4 5 6" xfId="22784"/>
    <cellStyle name="计算 4 4 5 6" xfId="22789"/>
    <cellStyle name="계산 4 4 5 6 2" xfId="30095"/>
    <cellStyle name="计算 4 4 5 6 2" xfId="37000"/>
    <cellStyle name="계산 4 4 5 6 3" xfId="14629"/>
    <cellStyle name="计算 4 4 5 6 3" xfId="42919"/>
    <cellStyle name="계산 4 4 5 6 4" xfId="34368"/>
    <cellStyle name="计算 4 4 5 6 4" xfId="47095"/>
    <cellStyle name="계산 4 4 5 6 5" xfId="38435"/>
    <cellStyle name="计算 4 4 5 6 5" xfId="49753"/>
    <cellStyle name="계산 4 4 5 7" xfId="37616"/>
    <cellStyle name="计算 4 4 5 7" xfId="37687"/>
    <cellStyle name="계산 4 4 5 7 2" xfId="43539"/>
    <cellStyle name="计算 4 4 5 7 2" xfId="43610"/>
    <cellStyle name="계산 4 4 5 7 3" xfId="50373"/>
    <cellStyle name="计算 4 4 5 7 3" xfId="50444"/>
    <cellStyle name="계산 4 4 5 8" xfId="34937"/>
    <cellStyle name="计算 4 4 5 8" xfId="30260"/>
    <cellStyle name="계산 4 4 5 8 2" xfId="40935"/>
    <cellStyle name="计算 4 4 5 8 2" xfId="17726"/>
    <cellStyle name="계산 4 4 5 8 3" xfId="47631"/>
    <cellStyle name="计算 4 4 5 8 3" xfId="44033"/>
    <cellStyle name="계산 4 4 5 9" xfId="28362"/>
    <cellStyle name="计算 4 4 5 9" xfId="28367"/>
    <cellStyle name="계산 4 4 6" xfId="11765"/>
    <cellStyle name="计算 4 4 6" xfId="11766"/>
    <cellStyle name="계산 4 4 6 10" xfId="45263"/>
    <cellStyle name="计算 4 4 6 10" xfId="45264"/>
    <cellStyle name="계산 4 4 6 11" xfId="14534"/>
    <cellStyle name="计算 4 4 6 11" xfId="33361"/>
    <cellStyle name="계산 4 4 6 2" xfId="8408"/>
    <cellStyle name="计算 4 4 6 2" xfId="8409"/>
    <cellStyle name="계산 4 4 6 2 2" xfId="21636"/>
    <cellStyle name="计算 4 4 6 2 2" xfId="21637"/>
    <cellStyle name="계산 4 4 6 2 3" xfId="36634"/>
    <cellStyle name="计算 4 4 6 2 3" xfId="36635"/>
    <cellStyle name="계산 4 4 6 2 4" xfId="42536"/>
    <cellStyle name="计算 4 4 6 2 4" xfId="42537"/>
    <cellStyle name="계산 4 4 6 2 5" xfId="46866"/>
    <cellStyle name="计算 4 4 6 2 5" xfId="46867"/>
    <cellStyle name="계산 4 4 6 2 6" xfId="49370"/>
    <cellStyle name="计算 4 4 6 2 6" xfId="49371"/>
    <cellStyle name="계산 4 4 6 3" xfId="14462"/>
    <cellStyle name="计算 4 4 6 3" xfId="14463"/>
    <cellStyle name="계산 4 4 6 3 2" xfId="27690"/>
    <cellStyle name="计算 4 4 6 3 2" xfId="27691"/>
    <cellStyle name="계산 4 4 6 3 3" xfId="37122"/>
    <cellStyle name="计算 4 4 6 3 3" xfId="37123"/>
    <cellStyle name="계산 4 4 6 3 4" xfId="43041"/>
    <cellStyle name="计算 4 4 6 3 4" xfId="43042"/>
    <cellStyle name="계산 4 4 6 3 5" xfId="47185"/>
    <cellStyle name="计算 4 4 6 3 5" xfId="47186"/>
    <cellStyle name="계산 4 4 6 3 6" xfId="49875"/>
    <cellStyle name="计算 4 4 6 3 6" xfId="49876"/>
    <cellStyle name="계산 4 4 6 4" xfId="12982"/>
    <cellStyle name="计算 4 4 6 4" xfId="13527"/>
    <cellStyle name="계산 4 4 6 4 2" xfId="26210"/>
    <cellStyle name="计算 4 4 6 4 2" xfId="26755"/>
    <cellStyle name="계산 4 4 6 4 3" xfId="31972"/>
    <cellStyle name="计算 4 4 6 4 3" xfId="35798"/>
    <cellStyle name="계산 4 4 6 4 4" xfId="38195"/>
    <cellStyle name="计算 4 4 6 4 4" xfId="41682"/>
    <cellStyle name="계산 4 4 6 4 5" xfId="15515"/>
    <cellStyle name="计算 4 4 6 4 5" xfId="46354"/>
    <cellStyle name="계산 4 4 6 4 6" xfId="47054"/>
    <cellStyle name="计算 4 4 6 4 6" xfId="48516"/>
    <cellStyle name="계산 4 4 6 5" xfId="24993"/>
    <cellStyle name="计算 4 4 6 5" xfId="24994"/>
    <cellStyle name="계산 4 4 6 5 2" xfId="36769"/>
    <cellStyle name="计算 4 4 6 5 2" xfId="30846"/>
    <cellStyle name="계산 4 4 6 5 3" xfId="42676"/>
    <cellStyle name="计算 4 4 6 5 3" xfId="16961"/>
    <cellStyle name="계산 4 4 6 5 4" xfId="46955"/>
    <cellStyle name="计算 4 4 6 5 4" xfId="15713"/>
    <cellStyle name="계산 4 4 6 5 5" xfId="49510"/>
    <cellStyle name="计算 4 4 6 5 5" xfId="39315"/>
    <cellStyle name="계산 4 4 6 6" xfId="34821"/>
    <cellStyle name="计算 4 4 6 6" xfId="29780"/>
    <cellStyle name="계산 4 4 6 6 2" xfId="40819"/>
    <cellStyle name="计算 4 4 6 6 2" xfId="30199"/>
    <cellStyle name="계산 4 4 6 6 3" xfId="39189"/>
    <cellStyle name="计算 4 4 6 6 3" xfId="29108"/>
    <cellStyle name="계산 4 4 6 7" xfId="37908"/>
    <cellStyle name="计算 4 4 6 7" xfId="37909"/>
    <cellStyle name="계산 4 4 6 7 2" xfId="43833"/>
    <cellStyle name="计算 4 4 6 7 2" xfId="43834"/>
    <cellStyle name="계산 4 4 6 7 3" xfId="50667"/>
    <cellStyle name="计算 4 4 6 7 3" xfId="50668"/>
    <cellStyle name="계산 4 4 6 8" xfId="34229"/>
    <cellStyle name="计算 4 4 6 8" xfId="34230"/>
    <cellStyle name="계산 4 4 6 9" xfId="40254"/>
    <cellStyle name="计算 4 4 6 9" xfId="40255"/>
    <cellStyle name="계산 4 4 7" xfId="7838"/>
    <cellStyle name="计算 4 4 7" xfId="7843"/>
    <cellStyle name="계산 4 4 7 2" xfId="21066"/>
    <cellStyle name="计算 4 4 7 2" xfId="21071"/>
    <cellStyle name="계산 4 4 7 3" xfId="30944"/>
    <cellStyle name="计算 4 4 7 3" xfId="30950"/>
    <cellStyle name="계산 4 4 7 4" xfId="14709"/>
    <cellStyle name="计算 4 4 7 4" xfId="17741"/>
    <cellStyle name="계산 4 4 7 5" xfId="15684"/>
    <cellStyle name="计算 4 4 7 5" xfId="28133"/>
    <cellStyle name="계산 4 4 7 6" xfId="32257"/>
    <cellStyle name="计算 4 4 7 6" xfId="38768"/>
    <cellStyle name="계산 4 4 8" xfId="7381"/>
    <cellStyle name="计算 4 4 8" xfId="7380"/>
    <cellStyle name="계산 4 4 8 2" xfId="20609"/>
    <cellStyle name="计算 4 4 8 2" xfId="20608"/>
    <cellStyle name="계산 4 4 8 3" xfId="36680"/>
    <cellStyle name="计算 4 4 8 3" xfId="31698"/>
    <cellStyle name="계산 4 4 8 4" xfId="42583"/>
    <cellStyle name="计算 4 4 8 4" xfId="27990"/>
    <cellStyle name="계산 4 4 8 5" xfId="46897"/>
    <cellStyle name="计算 4 4 8 5" xfId="15563"/>
    <cellStyle name="계산 4 4 8 6" xfId="49417"/>
    <cellStyle name="计算 4 4 8 6" xfId="46329"/>
    <cellStyle name="계산 4 4 9" xfId="14286"/>
    <cellStyle name="计算 4 4 9" xfId="13596"/>
    <cellStyle name="계산 4 4 9 2" xfId="27514"/>
    <cellStyle name="计算 4 4 9 2" xfId="26824"/>
    <cellStyle name="계산 4 4 9 3" xfId="31371"/>
    <cellStyle name="计算 4 4 9 3" xfId="37275"/>
    <cellStyle name="계산 4 4 9 4" xfId="17222"/>
    <cellStyle name="计算 4 4 9 4" xfId="43195"/>
    <cellStyle name="계산 4 4 9 5" xfId="28089"/>
    <cellStyle name="计算 4 4 9 5" xfId="47277"/>
    <cellStyle name="계산 4 4 9 6" xfId="43933"/>
    <cellStyle name="计算 4 4 9 6" xfId="50029"/>
    <cellStyle name="계산 4 5" xfId="51003"/>
    <cellStyle name="计算 4 5" xfId="2689"/>
    <cellStyle name="计算 4 5 2" xfId="6327"/>
    <cellStyle name="计算 4 5 2 2" xfId="11061"/>
    <cellStyle name="计算 4 5 2 2 2" xfId="24289"/>
    <cellStyle name="计算 4 5 2 2 3" xfId="33691"/>
    <cellStyle name="计算 4 5 2 2 4" xfId="44825"/>
    <cellStyle name="计算 4 5 2 2 5" xfId="15377"/>
    <cellStyle name="计算 4 5 2 3" xfId="8073"/>
    <cellStyle name="计算 4 5 2 3 2" xfId="21301"/>
    <cellStyle name="计算 4 5 2 3 3" xfId="36117"/>
    <cellStyle name="计算 4 5 2 3 4" xfId="42010"/>
    <cellStyle name="计算 4 5 2 3 5" xfId="48844"/>
    <cellStyle name="计算 4 5 2 4" xfId="19555"/>
    <cellStyle name="计算 4 5 2 4 2" xfId="29846"/>
    <cellStyle name="计算 4 5 2 4 3" xfId="16356"/>
    <cellStyle name="计算 4 5 2 4 4" xfId="32532"/>
    <cellStyle name="计算 4 5 2 5" xfId="30074"/>
    <cellStyle name="计算 4 5 2 5 2" xfId="16557"/>
    <cellStyle name="计算 4 5 2 5 3" xfId="39523"/>
    <cellStyle name="计算 4 5 2 6" xfId="29379"/>
    <cellStyle name="计算 4 5 2 7" xfId="16067"/>
    <cellStyle name="计算 4 5 2 8" xfId="35628"/>
    <cellStyle name="计算 4 5 3" xfId="9562"/>
    <cellStyle name="计算 4 5 3 10" xfId="44476"/>
    <cellStyle name="计算 4 5 3 2" xfId="13199"/>
    <cellStyle name="计算 4 5 3 2 2" xfId="26427"/>
    <cellStyle name="计算 4 5 3 2 3" xfId="32679"/>
    <cellStyle name="计算 4 5 3 2 4" xfId="38899"/>
    <cellStyle name="计算 4 5 3 2 5" xfId="46538"/>
    <cellStyle name="计算 4 5 3 3" xfId="8741"/>
    <cellStyle name="计算 4 5 3 3 2" xfId="21969"/>
    <cellStyle name="计算 4 5 3 3 3" xfId="35175"/>
    <cellStyle name="计算 4 5 3 3 4" xfId="45965"/>
    <cellStyle name="计算 4 5 3 3 5" xfId="47878"/>
    <cellStyle name="计算 4 5 3 4" xfId="13041"/>
    <cellStyle name="计算 4 5 3 4 2" xfId="26269"/>
    <cellStyle name="计算 4 5 3 4 3" xfId="31847"/>
    <cellStyle name="计算 4 5 3 4 4" xfId="38068"/>
    <cellStyle name="计算 4 5 3 4 5" xfId="46600"/>
    <cellStyle name="计算 4 5 3 5" xfId="7347"/>
    <cellStyle name="计算 4 5 3 5 2" xfId="20575"/>
    <cellStyle name="计算 4 5 3 5 3" xfId="41043"/>
    <cellStyle name="计算 4 5 3 5 4" xfId="47739"/>
    <cellStyle name="计算 4 5 3 6" xfId="22790"/>
    <cellStyle name="计算 4 5 3 6 2" xfId="29807"/>
    <cellStyle name="计算 4 5 3 6 3" xfId="28039"/>
    <cellStyle name="计算 4 5 3 6 4" xfId="45300"/>
    <cellStyle name="计算 4 5 3 7" xfId="30859"/>
    <cellStyle name="计算 4 5 3 7 2" xfId="28018"/>
    <cellStyle name="计算 4 5 3 7 3" xfId="17640"/>
    <cellStyle name="计算 4 5 3 8" xfId="28368"/>
    <cellStyle name="计算 4 5 3 9" xfId="40156"/>
    <cellStyle name="计算 4 5 4" xfId="7844"/>
    <cellStyle name="计算 4 5 4 2" xfId="21072"/>
    <cellStyle name="计算 4 5 5" xfId="34293"/>
    <cellStyle name="계산 4 6" xfId="50777"/>
    <cellStyle name="计算 4 6" xfId="2690"/>
    <cellStyle name="计算 4 6 2" xfId="6328"/>
    <cellStyle name="计算 4 6 2 2" xfId="11062"/>
    <cellStyle name="计算 4 6 2 2 2" xfId="24290"/>
    <cellStyle name="计算 4 6 2 2 3" xfId="33692"/>
    <cellStyle name="计算 4 6 2 2 4" xfId="44826"/>
    <cellStyle name="计算 4 6 2 2 5" xfId="33374"/>
    <cellStyle name="计算 4 6 2 3" xfId="8075"/>
    <cellStyle name="计算 4 6 2 3 2" xfId="21303"/>
    <cellStyle name="计算 4 6 2 3 3" xfId="36118"/>
    <cellStyle name="计算 4 6 2 3 4" xfId="42011"/>
    <cellStyle name="计算 4 6 2 3 5" xfId="48845"/>
    <cellStyle name="计算 4 6 2 4" xfId="19556"/>
    <cellStyle name="计算 4 6 2 4 2" xfId="37363"/>
    <cellStyle name="计算 4 6 2 4 3" xfId="43283"/>
    <cellStyle name="计算 4 6 2 4 4" xfId="50117"/>
    <cellStyle name="计算 4 6 2 5" xfId="37591"/>
    <cellStyle name="计算 4 6 2 5 2" xfId="43514"/>
    <cellStyle name="计算 4 6 2 5 3" xfId="50348"/>
    <cellStyle name="计算 4 6 2 6" xfId="29380"/>
    <cellStyle name="计算 4 6 2 7" xfId="16068"/>
    <cellStyle name="计算 4 6 2 8" xfId="17428"/>
    <cellStyle name="计算 4 6 3" xfId="9563"/>
    <cellStyle name="计算 4 6 3 10" xfId="45462"/>
    <cellStyle name="计算 4 6 3 2" xfId="13200"/>
    <cellStyle name="计算 4 6 3 2 2" xfId="26428"/>
    <cellStyle name="计算 4 6 3 2 3" xfId="32680"/>
    <cellStyle name="计算 4 6 3 2 4" xfId="38900"/>
    <cellStyle name="计算 4 6 3 2 5" xfId="28905"/>
    <cellStyle name="计算 4 6 3 3" xfId="7515"/>
    <cellStyle name="计算 4 6 3 3 2" xfId="20743"/>
    <cellStyle name="计算 4 6 3 3 3" xfId="35176"/>
    <cellStyle name="计算 4 6 3 3 4" xfId="45966"/>
    <cellStyle name="计算 4 6 3 3 5" xfId="47879"/>
    <cellStyle name="计算 4 6 3 4" xfId="14038"/>
    <cellStyle name="计算 4 6 3 4 2" xfId="27266"/>
    <cellStyle name="计算 4 6 3 4 3" xfId="30995"/>
    <cellStyle name="计算 4 6 3 4 4" xfId="17039"/>
    <cellStyle name="计算 4 6 3 4 5" xfId="38505"/>
    <cellStyle name="计算 4 6 3 5" xfId="7998"/>
    <cellStyle name="计算 4 6 3 5 2" xfId="21226"/>
    <cellStyle name="计算 4 6 3 5 3" xfId="42467"/>
    <cellStyle name="计算 4 6 3 5 4" xfId="49301"/>
    <cellStyle name="计算 4 6 3 6" xfId="22791"/>
    <cellStyle name="计算 4 6 3 6 2" xfId="35882"/>
    <cellStyle name="计算 4 6 3 6 3" xfId="41774"/>
    <cellStyle name="计算 4 6 3 6 4" xfId="48608"/>
    <cellStyle name="计算 4 6 3 7" xfId="30718"/>
    <cellStyle name="计算 4 6 3 7 2" xfId="16905"/>
    <cellStyle name="计算 4 6 3 7 3" xfId="34480"/>
    <cellStyle name="计算 4 6 3 8" xfId="28369"/>
    <cellStyle name="计算 4 6 3 9" xfId="38735"/>
    <cellStyle name="计算 4 6 4" xfId="7845"/>
    <cellStyle name="计算 4 6 4 2" xfId="21073"/>
    <cellStyle name="计算 4 6 5" xfId="15817"/>
    <cellStyle name="计算 4 7" xfId="2691"/>
    <cellStyle name="计算 4 7 2" xfId="6329"/>
    <cellStyle name="计算 4 7 2 2" xfId="11063"/>
    <cellStyle name="计算 4 7 2 2 2" xfId="24291"/>
    <cellStyle name="计算 4 7 2 2 3" xfId="33693"/>
    <cellStyle name="计算 4 7 2 2 4" xfId="44827"/>
    <cellStyle name="计算 4 7 2 2 5" xfId="15401"/>
    <cellStyle name="计算 4 7 2 3" xfId="12709"/>
    <cellStyle name="计算 4 7 2 3 2" xfId="25937"/>
    <cellStyle name="计算 4 7 2 3 3" xfId="36119"/>
    <cellStyle name="计算 4 7 2 3 4" xfId="42012"/>
    <cellStyle name="计算 4 7 2 3 5" xfId="48846"/>
    <cellStyle name="计算 4 7 2 4" xfId="19557"/>
    <cellStyle name="计算 4 7 2 4 2" xfId="29866"/>
    <cellStyle name="计算 4 7 2 4 3" xfId="17689"/>
    <cellStyle name="计算 4 7 2 4 4" xfId="38500"/>
    <cellStyle name="计算 4 7 2 5" xfId="36765"/>
    <cellStyle name="计算 4 7 2 5 2" xfId="42672"/>
    <cellStyle name="计算 4 7 2 5 3" xfId="49506"/>
    <cellStyle name="计算 4 7 2 6" xfId="29381"/>
    <cellStyle name="计算 4 7 2 7" xfId="16069"/>
    <cellStyle name="计算 4 7 2 8" xfId="33071"/>
    <cellStyle name="计算 4 7 3" xfId="9564"/>
    <cellStyle name="计算 4 7 3 10" xfId="39318"/>
    <cellStyle name="计算 4 7 3 2" xfId="13201"/>
    <cellStyle name="计算 4 7 3 2 2" xfId="26429"/>
    <cellStyle name="计算 4 7 3 2 3" xfId="32681"/>
    <cellStyle name="计算 4 7 3 2 4" xfId="38901"/>
    <cellStyle name="计算 4 7 3 2 5" xfId="47604"/>
    <cellStyle name="计算 4 7 3 3" xfId="8564"/>
    <cellStyle name="计算 4 7 3 3 2" xfId="21792"/>
    <cellStyle name="计算 4 7 3 3 3" xfId="35177"/>
    <cellStyle name="计算 4 7 3 3 4" xfId="45967"/>
    <cellStyle name="计算 4 7 3 3 5" xfId="47880"/>
    <cellStyle name="计算 4 7 3 4" xfId="8498"/>
    <cellStyle name="计算 4 7 3 4 2" xfId="21726"/>
    <cellStyle name="计算 4 7 3 4 3" xfId="30974"/>
    <cellStyle name="计算 4 7 3 4 4" xfId="17022"/>
    <cellStyle name="计算 4 7 3 4 5" xfId="27794"/>
    <cellStyle name="计算 4 7 3 5" xfId="14363"/>
    <cellStyle name="计算 4 7 3 5 2" xfId="27591"/>
    <cellStyle name="计算 4 7 3 5 3" xfId="40728"/>
    <cellStyle name="计算 4 7 3 5 4" xfId="15749"/>
    <cellStyle name="计算 4 7 3 6" xfId="22792"/>
    <cellStyle name="计算 4 7 3 6 2" xfId="29781"/>
    <cellStyle name="计算 4 7 3 6 3" xfId="16336"/>
    <cellStyle name="计算 4 7 3 6 4" xfId="15454"/>
    <cellStyle name="计算 4 7 3 7" xfId="30120"/>
    <cellStyle name="计算 4 7 3 7 2" xfId="17703"/>
    <cellStyle name="计算 4 7 3 7 3" xfId="45272"/>
    <cellStyle name="计算 4 7 3 8" xfId="28370"/>
    <cellStyle name="计算 4 7 3 9" xfId="33410"/>
    <cellStyle name="计算 4 7 4" xfId="7846"/>
    <cellStyle name="计算 4 7 4 2" xfId="21074"/>
    <cellStyle name="计算 4 7 5" xfId="32243"/>
    <cellStyle name="计算 4 8" xfId="2692"/>
    <cellStyle name="计算 4 8 2" xfId="6330"/>
    <cellStyle name="计算 4 8 2 2" xfId="11064"/>
    <cellStyle name="计算 4 8 2 2 2" xfId="24292"/>
    <cellStyle name="计算 4 8 2 2 3" xfId="33694"/>
    <cellStyle name="计算 4 8 2 2 4" xfId="44828"/>
    <cellStyle name="计算 4 8 2 2 5" xfId="15376"/>
    <cellStyle name="计算 4 8 2 3" xfId="12821"/>
    <cellStyle name="计算 4 8 2 3 2" xfId="26049"/>
    <cellStyle name="计算 4 8 2 3 3" xfId="36120"/>
    <cellStyle name="计算 4 8 2 3 4" xfId="42013"/>
    <cellStyle name="计算 4 8 2 3 5" xfId="48847"/>
    <cellStyle name="计算 4 8 2 4" xfId="19558"/>
    <cellStyle name="计算 4 8 2 4 2" xfId="35902"/>
    <cellStyle name="计算 4 8 2 4 3" xfId="41795"/>
    <cellStyle name="计算 4 8 2 4 4" xfId="48629"/>
    <cellStyle name="计算 4 8 2 5" xfId="35526"/>
    <cellStyle name="计算 4 8 2 5 2" xfId="41399"/>
    <cellStyle name="计算 4 8 2 5 3" xfId="48233"/>
    <cellStyle name="计算 4 8 2 6" xfId="29382"/>
    <cellStyle name="计算 4 8 2 7" xfId="16070"/>
    <cellStyle name="计算 4 8 2 8" xfId="32550"/>
    <cellStyle name="计算 4 8 3" xfId="9565"/>
    <cellStyle name="计算 4 8 3 10" xfId="40414"/>
    <cellStyle name="计算 4 8 3 2" xfId="13202"/>
    <cellStyle name="计算 4 8 3 2 2" xfId="26430"/>
    <cellStyle name="计算 4 8 3 2 3" xfId="32682"/>
    <cellStyle name="计算 4 8 3 2 4" xfId="38902"/>
    <cellStyle name="计算 4 8 3 2 5" xfId="47603"/>
    <cellStyle name="计算 4 8 3 3" xfId="7570"/>
    <cellStyle name="计算 4 8 3 3 2" xfId="20798"/>
    <cellStyle name="计算 4 8 3 3 3" xfId="35178"/>
    <cellStyle name="计算 4 8 3 3 4" xfId="45968"/>
    <cellStyle name="计算 4 8 3 3 5" xfId="47881"/>
    <cellStyle name="计算 4 8 3 4" xfId="8468"/>
    <cellStyle name="计算 4 8 3 4 2" xfId="21696"/>
    <cellStyle name="计算 4 8 3 4 3" xfId="29911"/>
    <cellStyle name="计算 4 8 3 4 4" xfId="16444"/>
    <cellStyle name="计算 4 8 3 4 5" xfId="45123"/>
    <cellStyle name="计算 4 8 3 5" xfId="7725"/>
    <cellStyle name="计算 4 8 3 5 2" xfId="20953"/>
    <cellStyle name="计算 4 8 3 5 3" xfId="41700"/>
    <cellStyle name="计算 4 8 3 5 4" xfId="48534"/>
    <cellStyle name="计算 4 8 3 6" xfId="22793"/>
    <cellStyle name="计算 4 8 3 6 2" xfId="30289"/>
    <cellStyle name="计算 4 8 3 6 3" xfId="16725"/>
    <cellStyle name="计算 4 8 3 6 4" xfId="45470"/>
    <cellStyle name="计算 4 8 3 7" xfId="35613"/>
    <cellStyle name="计算 4 8 3 7 2" xfId="41490"/>
    <cellStyle name="计算 4 8 3 7 3" xfId="48324"/>
    <cellStyle name="计算 4 8 3 8" xfId="28371"/>
    <cellStyle name="计算 4 8 3 9" xfId="39392"/>
    <cellStyle name="计算 4 8 4" xfId="7847"/>
    <cellStyle name="计算 4 8 4 2" xfId="21075"/>
    <cellStyle name="计算 4 8 5" xfId="15938"/>
    <cellStyle name="计算 4 9" xfId="2693"/>
    <cellStyle name="计算 4 9 2" xfId="6331"/>
    <cellStyle name="计算 4 9 2 2" xfId="11065"/>
    <cellStyle name="计算 4 9 2 2 2" xfId="24293"/>
    <cellStyle name="计算 4 9 2 2 3" xfId="33695"/>
    <cellStyle name="计算 4 9 2 2 4" xfId="44829"/>
    <cellStyle name="计算 4 9 2 2 5" xfId="14503"/>
    <cellStyle name="计算 4 9 2 3" xfId="12710"/>
    <cellStyle name="计算 4 9 2 3 2" xfId="25938"/>
    <cellStyle name="计算 4 9 2 3 3" xfId="36121"/>
    <cellStyle name="计算 4 9 2 3 4" xfId="42014"/>
    <cellStyle name="计算 4 9 2 3 5" xfId="48848"/>
    <cellStyle name="计算 4 9 2 4" xfId="19559"/>
    <cellStyle name="计算 4 9 2 4 2" xfId="37037"/>
    <cellStyle name="计算 4 9 2 4 3" xfId="42956"/>
    <cellStyle name="计算 4 9 2 4 4" xfId="49790"/>
    <cellStyle name="计算 4 9 2 5" xfId="34953"/>
    <cellStyle name="计算 4 9 2 5 2" xfId="40951"/>
    <cellStyle name="计算 4 9 2 5 3" xfId="47647"/>
    <cellStyle name="计算 4 9 2 6" xfId="29383"/>
    <cellStyle name="计算 4 9 2 7" xfId="14568"/>
    <cellStyle name="计算 4 9 2 8" xfId="45139"/>
    <cellStyle name="计算 4 9 3" xfId="9566"/>
    <cellStyle name="计算 4 9 3 10" xfId="43873"/>
    <cellStyle name="计算 4 9 3 2" xfId="13203"/>
    <cellStyle name="计算 4 9 3 2 2" xfId="26431"/>
    <cellStyle name="计算 4 9 3 2 3" xfId="32683"/>
    <cellStyle name="计算 4 9 3 2 4" xfId="38903"/>
    <cellStyle name="计算 4 9 3 2 5" xfId="47389"/>
    <cellStyle name="计算 4 9 3 3" xfId="7538"/>
    <cellStyle name="计算 4 9 3 3 2" xfId="20766"/>
    <cellStyle name="计算 4 9 3 3 3" xfId="35179"/>
    <cellStyle name="计算 4 9 3 3 4" xfId="45969"/>
    <cellStyle name="计算 4 9 3 3 5" xfId="47882"/>
    <cellStyle name="计算 4 9 3 4" xfId="12912"/>
    <cellStyle name="计算 4 9 3 4 2" xfId="26140"/>
    <cellStyle name="计算 4 9 3 4 3" xfId="30997"/>
    <cellStyle name="计算 4 9 3 4 4" xfId="17041"/>
    <cellStyle name="计算 4 9 3 4 5" xfId="15800"/>
    <cellStyle name="计算 4 9 3 5" xfId="12668"/>
    <cellStyle name="计算 4 9 3 5 2" xfId="25896"/>
    <cellStyle name="计算 4 9 3 5 3" xfId="42791"/>
    <cellStyle name="计算 4 9 3 5 4" xfId="49625"/>
    <cellStyle name="计算 4 9 3 6" xfId="22794"/>
    <cellStyle name="计算 4 9 3 6 2" xfId="34812"/>
    <cellStyle name="计算 4 9 3 6 3" xfId="40808"/>
    <cellStyle name="计算 4 9 3 6 4" xfId="40114"/>
    <cellStyle name="计算 4 9 3 7" xfId="31682"/>
    <cellStyle name="计算 4 9 3 7 2" xfId="17360"/>
    <cellStyle name="计算 4 9 3 7 3" xfId="45712"/>
    <cellStyle name="计算 4 9 3 8" xfId="28372"/>
    <cellStyle name="计算 4 9 3 9" xfId="40454"/>
    <cellStyle name="计算 4 9 4" xfId="7848"/>
    <cellStyle name="计算 4 9 4 2" xfId="21076"/>
    <cellStyle name="计算 4 9 5" xfId="40574"/>
    <cellStyle name="계산 4_사업부문" xfId="53656"/>
    <cellStyle name="계산 5" xfId="176"/>
    <cellStyle name="计算 5" xfId="6251"/>
    <cellStyle name="计算 5 10" xfId="16004"/>
    <cellStyle name="计算 5 11" xfId="40065"/>
    <cellStyle name="计算 5 12" xfId="44059"/>
    <cellStyle name="계산 5 2" xfId="2695"/>
    <cellStyle name="计算 5 2" xfId="10985"/>
    <cellStyle name="계산 5 2 2" xfId="51009"/>
    <cellStyle name="计算 5 2 2" xfId="24213"/>
    <cellStyle name="计算 5 2 3" xfId="33615"/>
    <cellStyle name="计算 5 2 4" xfId="44749"/>
    <cellStyle name="计算 5 2 5" xfId="40580"/>
    <cellStyle name="계산 5 3" xfId="2694"/>
    <cellStyle name="计算 5 3" xfId="13839"/>
    <cellStyle name="계산 5 3 10" xfId="34469"/>
    <cellStyle name="계산 5 3 11" xfId="28732"/>
    <cellStyle name="계산 5 3 12" xfId="39590"/>
    <cellStyle name="계산 5 3 2" xfId="6332"/>
    <cellStyle name="计算 5 3 2" xfId="27067"/>
    <cellStyle name="계산 5 3 2 2" xfId="11066"/>
    <cellStyle name="계산 5 3 2 2 2" xfId="24294"/>
    <cellStyle name="계산 5 3 2 2 3" xfId="33696"/>
    <cellStyle name="계산 5 3 2 2 4" xfId="44830"/>
    <cellStyle name="계산 5 3 2 2 5" xfId="27892"/>
    <cellStyle name="계산 5 3 2 3" xfId="8074"/>
    <cellStyle name="계산 5 3 2 3 2" xfId="21302"/>
    <cellStyle name="계산 5 3 2 3 3" xfId="36122"/>
    <cellStyle name="계산 5 3 2 3 4" xfId="42015"/>
    <cellStyle name="계산 5 3 2 3 5" xfId="48849"/>
    <cellStyle name="계산 5 3 2 4" xfId="19560"/>
    <cellStyle name="계산 5 3 2 4 2" xfId="30649"/>
    <cellStyle name="계산 5 3 2 4 3" xfId="27752"/>
    <cellStyle name="계산 5 3 2 4 4" xfId="40118"/>
    <cellStyle name="계산 5 3 2 5" xfId="37482"/>
    <cellStyle name="계산 5 3 2 5 2" xfId="43402"/>
    <cellStyle name="계산 5 3 2 5 3" xfId="50236"/>
    <cellStyle name="계산 5 3 2 6" xfId="29384"/>
    <cellStyle name="계산 5 3 2 7" xfId="16073"/>
    <cellStyle name="계산 5 3 2 8" xfId="41179"/>
    <cellStyle name="계산 5 3 2 9" xfId="44007"/>
    <cellStyle name="계산 5 3 3" xfId="9567"/>
    <cellStyle name="计算 5 3 3" xfId="36041"/>
    <cellStyle name="계산 5 3 3 10" xfId="15829"/>
    <cellStyle name="계산 5 3 3 11" xfId="45344"/>
    <cellStyle name="계산 5 3 3 2" xfId="13204"/>
    <cellStyle name="계산 5 3 3 2 2" xfId="26432"/>
    <cellStyle name="계산 5 3 3 2 3" xfId="32684"/>
    <cellStyle name="계산 5 3 3 2 4" xfId="38904"/>
    <cellStyle name="계산 5 3 3 2 5" xfId="47491"/>
    <cellStyle name="계산 5 3 3 3" xfId="12988"/>
    <cellStyle name="계산 5 3 3 3 2" xfId="26216"/>
    <cellStyle name="계산 5 3 3 3 3" xfId="35180"/>
    <cellStyle name="계산 5 3 3 3 4" xfId="45970"/>
    <cellStyle name="계산 5 3 3 3 5" xfId="47883"/>
    <cellStyle name="계산 5 3 3 4" xfId="13682"/>
    <cellStyle name="계산 5 3 3 4 2" xfId="26910"/>
    <cellStyle name="계산 5 3 3 4 3" xfId="30996"/>
    <cellStyle name="계산 5 3 3 4 4" xfId="17040"/>
    <cellStyle name="계산 5 3 3 4 5" xfId="28836"/>
    <cellStyle name="계산 5 3 3 5" xfId="7908"/>
    <cellStyle name="계산 5 3 3 5 2" xfId="21136"/>
    <cellStyle name="계산 5 3 3 5 3" xfId="41343"/>
    <cellStyle name="계산 5 3 3 5 4" xfId="48177"/>
    <cellStyle name="계산 5 3 3 6" xfId="22795"/>
    <cellStyle name="계산 5 3 3 6 2" xfId="37401"/>
    <cellStyle name="계산 5 3 3 6 3" xfId="43321"/>
    <cellStyle name="계산 5 3 3 6 4" xfId="50155"/>
    <cellStyle name="계산 5 3 3 7" xfId="37636"/>
    <cellStyle name="계산 5 3 3 7 2" xfId="43559"/>
    <cellStyle name="계산 5 3 3 7 3" xfId="50393"/>
    <cellStyle name="계산 5 3 3 8" xfId="28373"/>
    <cellStyle name="계산 5 3 3 9" xfId="33323"/>
    <cellStyle name="계산 5 3 4" xfId="7849"/>
    <cellStyle name="计算 5 3 4" xfId="41934"/>
    <cellStyle name="계산 5 3 4 2" xfId="21077"/>
    <cellStyle name="계산 5 3 4 3" xfId="41393"/>
    <cellStyle name="계산 5 3 4 4" xfId="46218"/>
    <cellStyle name="계산 5 3 4 5" xfId="48227"/>
    <cellStyle name="계산 5 3 5" xfId="8474"/>
    <cellStyle name="计算 5 3 5" xfId="46514"/>
    <cellStyle name="계산 5 3 5 2" xfId="21702"/>
    <cellStyle name="계산 5 3 5 3" xfId="31359"/>
    <cellStyle name="계산 5 3 5 4" xfId="15170"/>
    <cellStyle name="계산 5 3 5 5" xfId="41140"/>
    <cellStyle name="계산 5 3 6" xfId="8536"/>
    <cellStyle name="计算 5 3 6" xfId="48768"/>
    <cellStyle name="계산 5 3 6 2" xfId="21764"/>
    <cellStyle name="계산 5 3 6 3" xfId="37698"/>
    <cellStyle name="계산 5 3 6 4" xfId="43621"/>
    <cellStyle name="계산 5 3 6 5" xfId="50455"/>
    <cellStyle name="계산 5 3 7" xfId="14117"/>
    <cellStyle name="계산 5 3 7 2" xfId="27345"/>
    <cellStyle name="계산 5 3 7 3" xfId="36831"/>
    <cellStyle name="계산 5 3 7 4" xfId="42742"/>
    <cellStyle name="계산 5 3 7 5" xfId="49576"/>
    <cellStyle name="계산 5 3 8" xfId="16451"/>
    <cellStyle name="계산 5 3 8 2" xfId="41684"/>
    <cellStyle name="계산 5 3 8 3" xfId="48518"/>
    <cellStyle name="계산 5 3 9" xfId="15944"/>
    <cellStyle name="계산 5 4" xfId="51008"/>
    <cellStyle name="计算 5 4" xfId="12833"/>
    <cellStyle name="计算 5 4 2" xfId="26061"/>
    <cellStyle name="计算 5 4 3" xfId="31466"/>
    <cellStyle name="计算 5 4 4" xfId="17773"/>
    <cellStyle name="计算 5 4 5" xfId="39844"/>
    <cellStyle name="계산 5 5" xfId="50774"/>
    <cellStyle name="计算 5 5" xfId="6697"/>
    <cellStyle name="计算 5 5 2" xfId="19925"/>
    <cellStyle name="计算 5 5 3" xfId="30725"/>
    <cellStyle name="计算 5 5 4" xfId="16911"/>
    <cellStyle name="计算 5 5 5" xfId="46637"/>
    <cellStyle name="计算 5 6" xfId="14290"/>
    <cellStyle name="计算 5 6 2" xfId="27518"/>
    <cellStyle name="计算 5 6 3" xfId="34775"/>
    <cellStyle name="计算 5 6 4" xfId="40771"/>
    <cellStyle name="计算 5 6 5" xfId="38753"/>
    <cellStyle name="计算 5 7" xfId="19479"/>
    <cellStyle name="计算 5 7 2" xfId="30281"/>
    <cellStyle name="计算 5 7 3" xfId="16717"/>
    <cellStyle name="计算 5 7 4" xfId="45369"/>
    <cellStyle name="计算 5 8" xfId="37661"/>
    <cellStyle name="计算 5 8 2" xfId="43584"/>
    <cellStyle name="计算 5 8 3" xfId="50418"/>
    <cellStyle name="计算 5 9" xfId="29303"/>
    <cellStyle name="계산 5_사업부문" xfId="53657"/>
    <cellStyle name="계산 6" xfId="177"/>
    <cellStyle name="计算 6" xfId="6249"/>
    <cellStyle name="计算 6 10" xfId="16001"/>
    <cellStyle name="计算 6 11" xfId="37826"/>
    <cellStyle name="计算 6 12" xfId="34165"/>
    <cellStyle name="계산 6 2" xfId="2697"/>
    <cellStyle name="计算 6 2" xfId="10983"/>
    <cellStyle name="계산 6 2 2" xfId="51011"/>
    <cellStyle name="计算 6 2 2" xfId="24211"/>
    <cellStyle name="计算 6 2 3" xfId="33613"/>
    <cellStyle name="计算 6 2 4" xfId="44747"/>
    <cellStyle name="计算 6 2 5" xfId="17422"/>
    <cellStyle name="계산 6 3" xfId="2696"/>
    <cellStyle name="计算 6 3" xfId="13838"/>
    <cellStyle name="계산 6 3 10" xfId="32269"/>
    <cellStyle name="계산 6 3 11" xfId="40194"/>
    <cellStyle name="계산 6 3 12" xfId="39242"/>
    <cellStyle name="계산 6 3 2" xfId="6333"/>
    <cellStyle name="计算 6 3 2" xfId="27066"/>
    <cellStyle name="계산 6 3 2 2" xfId="11067"/>
    <cellStyle name="계산 6 3 2 2 2" xfId="24295"/>
    <cellStyle name="계산 6 3 2 2 3" xfId="33697"/>
    <cellStyle name="계산 6 3 2 2 4" xfId="44831"/>
    <cellStyle name="계산 6 3 2 2 5" xfId="39899"/>
    <cellStyle name="계산 6 3 2 3" xfId="8755"/>
    <cellStyle name="계산 6 3 2 3 2" xfId="21983"/>
    <cellStyle name="계산 6 3 2 3 3" xfId="36123"/>
    <cellStyle name="계산 6 3 2 3 4" xfId="42016"/>
    <cellStyle name="계산 6 3 2 3 5" xfId="48850"/>
    <cellStyle name="계산 6 3 2 4" xfId="19561"/>
    <cellStyle name="계산 6 3 2 4 2" xfId="37160"/>
    <cellStyle name="계산 6 3 2 4 3" xfId="43079"/>
    <cellStyle name="계산 6 3 2 4 4" xfId="49913"/>
    <cellStyle name="계산 6 3 2 5" xfId="31351"/>
    <cellStyle name="계산 6 3 2 5 2" xfId="17210"/>
    <cellStyle name="계산 6 3 2 5 3" xfId="46671"/>
    <cellStyle name="계산 6 3 2 6" xfId="29385"/>
    <cellStyle name="계산 6 3 2 7" xfId="16074"/>
    <cellStyle name="계산 6 3 2 8" xfId="30013"/>
    <cellStyle name="계산 6 3 2 9" xfId="34311"/>
    <cellStyle name="계산 6 3 3" xfId="9568"/>
    <cellStyle name="计算 6 3 3" xfId="36039"/>
    <cellStyle name="계산 6 3 3 10" xfId="38429"/>
    <cellStyle name="계산 6 3 3 11" xfId="44338"/>
    <cellStyle name="계산 6 3 3 2" xfId="13205"/>
    <cellStyle name="계산 6 3 3 2 2" xfId="26433"/>
    <cellStyle name="계산 6 3 3 2 3" xfId="32685"/>
    <cellStyle name="계산 6 3 3 2 4" xfId="38905"/>
    <cellStyle name="계산 6 3 3 2 5" xfId="46936"/>
    <cellStyle name="계산 6 3 3 3" xfId="8565"/>
    <cellStyle name="계산 6 3 3 3 2" xfId="21793"/>
    <cellStyle name="계산 6 3 3 3 3" xfId="35181"/>
    <cellStyle name="계산 6 3 3 3 4" xfId="45971"/>
    <cellStyle name="계산 6 3 3 3 5" xfId="47884"/>
    <cellStyle name="계산 6 3 3 4" xfId="14253"/>
    <cellStyle name="계산 6 3 3 4 2" xfId="27481"/>
    <cellStyle name="계산 6 3 3 4 3" xfId="31849"/>
    <cellStyle name="계산 6 3 3 4 4" xfId="38070"/>
    <cellStyle name="계산 6 3 3 4 5" xfId="28125"/>
    <cellStyle name="계산 6 3 3 5" xfId="14337"/>
    <cellStyle name="계산 6 3 3 5 2" xfId="27565"/>
    <cellStyle name="계산 6 3 3 5 3" xfId="42558"/>
    <cellStyle name="계산 6 3 3 5 4" xfId="49392"/>
    <cellStyle name="계산 6 3 3 6" xfId="22796"/>
    <cellStyle name="계산 6 3 3 6 2" xfId="34843"/>
    <cellStyle name="계산 6 3 3 6 3" xfId="40842"/>
    <cellStyle name="계산 6 3 3 6 4" xfId="34456"/>
    <cellStyle name="계산 6 3 3 7" xfId="31522"/>
    <cellStyle name="계산 6 3 3 7 2" xfId="17285"/>
    <cellStyle name="계산 6 3 3 7 3" xfId="46760"/>
    <cellStyle name="계산 6 3 3 8" xfId="28374"/>
    <cellStyle name="계산 6 3 3 9" xfId="34492"/>
    <cellStyle name="계산 6 3 4" xfId="7850"/>
    <cellStyle name="计算 6 3 4" xfId="41932"/>
    <cellStyle name="계산 6 3 4 2" xfId="21078"/>
    <cellStyle name="계산 6 3 4 3" xfId="41747"/>
    <cellStyle name="계산 6 3 4 4" xfId="46390"/>
    <cellStyle name="계산 6 3 4 5" xfId="48581"/>
    <cellStyle name="계산 6 3 5" xfId="14028"/>
    <cellStyle name="计算 6 3 5" xfId="46513"/>
    <cellStyle name="계산 6 3 5 2" xfId="27256"/>
    <cellStyle name="계산 6 3 5 3" xfId="30257"/>
    <cellStyle name="계산 6 3 5 4" xfId="17727"/>
    <cellStyle name="계산 6 3 5 5" xfId="40466"/>
    <cellStyle name="계산 6 3 6" xfId="7204"/>
    <cellStyle name="计算 6 3 6" xfId="48766"/>
    <cellStyle name="계산 6 3 6 2" xfId="20432"/>
    <cellStyle name="계산 6 3 6 3" xfId="37474"/>
    <cellStyle name="계산 6 3 6 4" xfId="43394"/>
    <cellStyle name="계산 6 3 6 5" xfId="50228"/>
    <cellStyle name="계산 6 3 7" xfId="8660"/>
    <cellStyle name="계산 6 3 7 2" xfId="21888"/>
    <cellStyle name="계산 6 3 7 3" xfId="31872"/>
    <cellStyle name="계산 6 3 7 4" xfId="38093"/>
    <cellStyle name="계산 6 3 7 5" xfId="18639"/>
    <cellStyle name="계산 6 3 8" xfId="16453"/>
    <cellStyle name="계산 6 3 8 2" xfId="41748"/>
    <cellStyle name="계산 6 3 8 3" xfId="48582"/>
    <cellStyle name="계산 6 3 9" xfId="15942"/>
    <cellStyle name="계산 6 4" xfId="51010"/>
    <cellStyle name="计算 6 4" xfId="6945"/>
    <cellStyle name="计算 6 4 2" xfId="20173"/>
    <cellStyle name="计算 6 4 3" xfId="31464"/>
    <cellStyle name="计算 6 4 4" xfId="17249"/>
    <cellStyle name="计算 6 4 5" xfId="47004"/>
    <cellStyle name="계산 6 5" xfId="50773"/>
    <cellStyle name="计算 6 5" xfId="13971"/>
    <cellStyle name="计算 6 5 2" xfId="27199"/>
    <cellStyle name="计算 6 5 3" xfId="30422"/>
    <cellStyle name="计算 6 5 4" xfId="14879"/>
    <cellStyle name="计算 6 5 5" xfId="15600"/>
    <cellStyle name="计算 6 6" xfId="6762"/>
    <cellStyle name="计算 6 6 2" xfId="19990"/>
    <cellStyle name="计算 6 6 3" xfId="31402"/>
    <cellStyle name="计算 6 6 4" xfId="17237"/>
    <cellStyle name="计算 6 6 5" xfId="47614"/>
    <cellStyle name="计算 6 7" xfId="19477"/>
    <cellStyle name="计算 6 7 2" xfId="37716"/>
    <cellStyle name="计算 6 7 3" xfId="43639"/>
    <cellStyle name="计算 6 7 4" xfId="50473"/>
    <cellStyle name="计算 6 8" xfId="30735"/>
    <cellStyle name="计算 6 8 2" xfId="16915"/>
    <cellStyle name="计算 6 8 3" xfId="40480"/>
    <cellStyle name="计算 6 9" xfId="29301"/>
    <cellStyle name="계산 6_사업부문" xfId="53658"/>
    <cellStyle name="계산 7" xfId="178"/>
    <cellStyle name="计算 7" xfId="6632"/>
    <cellStyle name="计算 7 10" xfId="16292"/>
    <cellStyle name="计算 7 11" xfId="27877"/>
    <cellStyle name="计算 7 12" xfId="28128"/>
    <cellStyle name="계산 7 2" xfId="5269"/>
    <cellStyle name="计算 7 2" xfId="11366"/>
    <cellStyle name="계산 7 2 10" xfId="14175"/>
    <cellStyle name="계산 7 2 10 2" xfId="27403"/>
    <cellStyle name="계산 7 2 10 3" xfId="31245"/>
    <cellStyle name="계산 7 2 10 4" xfId="17146"/>
    <cellStyle name="계산 7 2 10 5" xfId="47578"/>
    <cellStyle name="계산 7 2 11" xfId="14243"/>
    <cellStyle name="계산 7 2 11 2" xfId="27471"/>
    <cellStyle name="계산 7 2 11 3" xfId="38128"/>
    <cellStyle name="계산 7 2 11 4" xfId="34274"/>
    <cellStyle name="계산 7 2 12" xfId="18513"/>
    <cellStyle name="계산 7 2 12 2" xfId="34848"/>
    <cellStyle name="계산 7 2 12 3" xfId="40847"/>
    <cellStyle name="계산 7 2 12 4" xfId="32263"/>
    <cellStyle name="계산 7 2 13" xfId="28050"/>
    <cellStyle name="계산 7 2 14" xfId="29077"/>
    <cellStyle name="계산 7 2 15" xfId="39241"/>
    <cellStyle name="계산 7 2 16" xfId="40167"/>
    <cellStyle name="계산 7 2 2" xfId="6643"/>
    <cellStyle name="计算 7 2 2" xfId="24594"/>
    <cellStyle name="계산 7 2 2 2" xfId="11377"/>
    <cellStyle name="계산 7 2 2 2 2" xfId="24605"/>
    <cellStyle name="계산 7 2 2 2 3" xfId="34007"/>
    <cellStyle name="계산 7 2 2 2 4" xfId="45072"/>
    <cellStyle name="계산 7 2 2 2 5" xfId="41262"/>
    <cellStyle name="계산 7 2 2 3" xfId="8299"/>
    <cellStyle name="계산 7 2 2 3 2" xfId="21527"/>
    <cellStyle name="계산 7 2 2 3 3" xfId="36432"/>
    <cellStyle name="계산 7 2 2 3 4" xfId="42325"/>
    <cellStyle name="계산 7 2 2 3 5" xfId="49159"/>
    <cellStyle name="계산 7 2 2 4" xfId="19871"/>
    <cellStyle name="계산 7 2 2 4 2" xfId="36803"/>
    <cellStyle name="계산 7 2 2 4 3" xfId="42714"/>
    <cellStyle name="계산 7 2 2 4 4" xfId="49548"/>
    <cellStyle name="계산 7 2 2 5" xfId="37628"/>
    <cellStyle name="계산 7 2 2 5 2" xfId="43551"/>
    <cellStyle name="계산 7 2 2 5 3" xfId="50385"/>
    <cellStyle name="계산 7 2 2 6" xfId="29695"/>
    <cellStyle name="계산 7 2 2 7" xfId="16301"/>
    <cellStyle name="계산 7 2 2 8" xfId="41141"/>
    <cellStyle name="계산 7 2 2 9" xfId="17892"/>
    <cellStyle name="계산 7 2 3" xfId="6669"/>
    <cellStyle name="计算 7 2 3" xfId="33996"/>
    <cellStyle name="계산 7 2 3 2" xfId="11403"/>
    <cellStyle name="계산 7 2 3 2 2" xfId="24631"/>
    <cellStyle name="계산 7 2 3 2 3" xfId="34033"/>
    <cellStyle name="계산 7 2 3 2 4" xfId="45095"/>
    <cellStyle name="계산 7 2 3 2 5" xfId="28136"/>
    <cellStyle name="계산 7 2 3 3" xfId="9127"/>
    <cellStyle name="계산 7 2 3 3 2" xfId="22355"/>
    <cellStyle name="계산 7 2 3 3 3" xfId="36458"/>
    <cellStyle name="계산 7 2 3 3 4" xfId="42351"/>
    <cellStyle name="계산 7 2 3 3 5" xfId="49185"/>
    <cellStyle name="계산 7 2 3 4" xfId="19897"/>
    <cellStyle name="계산 7 2 3 4 2" xfId="36488"/>
    <cellStyle name="계산 7 2 3 4 3" xfId="42381"/>
    <cellStyle name="계산 7 2 3 4 4" xfId="49215"/>
    <cellStyle name="계산 7 2 3 5" xfId="34651"/>
    <cellStyle name="계산 7 2 3 5 2" xfId="40640"/>
    <cellStyle name="계산 7 2 3 5 3" xfId="15792"/>
    <cellStyle name="계산 7 2 3 6" xfId="29721"/>
    <cellStyle name="계산 7 2 3 7" xfId="17674"/>
    <cellStyle name="계산 7 2 3 8" xfId="17416"/>
    <cellStyle name="계산 7 2 3 9" xfId="45129"/>
    <cellStyle name="계산 7 2 4" xfId="6599"/>
    <cellStyle name="计算 7 2 4" xfId="40034"/>
    <cellStyle name="계산 7 2 4 2" xfId="11333"/>
    <cellStyle name="계산 7 2 4 2 2" xfId="24561"/>
    <cellStyle name="계산 7 2 4 2 3" xfId="33963"/>
    <cellStyle name="계산 7 2 4 2 4" xfId="45028"/>
    <cellStyle name="계산 7 2 4 2 5" xfId="39945"/>
    <cellStyle name="계산 7 2 4 3" xfId="8275"/>
    <cellStyle name="계산 7 2 4 3 2" xfId="21503"/>
    <cellStyle name="계산 7 2 4 3 3" xfId="36388"/>
    <cellStyle name="계산 7 2 4 3 4" xfId="42281"/>
    <cellStyle name="계산 7 2 4 3 5" xfId="49115"/>
    <cellStyle name="계산 7 2 4 4" xfId="19827"/>
    <cellStyle name="계산 7 2 4 4 2" xfId="36772"/>
    <cellStyle name="계산 7 2 4 4 3" xfId="42679"/>
    <cellStyle name="계산 7 2 4 4 4" xfId="49513"/>
    <cellStyle name="계산 7 2 4 5" xfId="37738"/>
    <cellStyle name="계산 7 2 4 5 2" xfId="43662"/>
    <cellStyle name="계산 7 2 4 5 3" xfId="50496"/>
    <cellStyle name="계산 7 2 4 6" xfId="29651"/>
    <cellStyle name="계산 7 2 4 7" xfId="16264"/>
    <cellStyle name="계산 7 2 4 8" xfId="39838"/>
    <cellStyle name="계산 7 2 4 9" xfId="45504"/>
    <cellStyle name="계산 7 2 5" xfId="6098"/>
    <cellStyle name="计算 7 2 5" xfId="45061"/>
    <cellStyle name="계산 7 2 5 10" xfId="44588"/>
    <cellStyle name="계산 7 2 5 2" xfId="12651"/>
    <cellStyle name="계산 7 2 5 2 2" xfId="14390"/>
    <cellStyle name="계산 7 2 5 2 2 2" xfId="27618"/>
    <cellStyle name="계산 7 2 5 2 2 3" xfId="36972"/>
    <cellStyle name="계산 7 2 5 2 2 4" xfId="42891"/>
    <cellStyle name="계산 7 2 5 2 2 5" xfId="49725"/>
    <cellStyle name="계산 7 2 5 2 3" xfId="25879"/>
    <cellStyle name="계산 7 2 5 2 3 2" xfId="37840"/>
    <cellStyle name="계산 7 2 5 2 3 3" xfId="43765"/>
    <cellStyle name="계산 7 2 5 2 3 4" xfId="50599"/>
    <cellStyle name="계산 7 2 5 2 4" xfId="37918"/>
    <cellStyle name="계산 7 2 5 2 4 2" xfId="43843"/>
    <cellStyle name="계산 7 2 5 2 4 3" xfId="50677"/>
    <cellStyle name="계산 7 2 5 2 5" xfId="34631"/>
    <cellStyle name="계산 7 2 5 2 6" xfId="39243"/>
    <cellStyle name="계산 7 2 5 3" xfId="10832"/>
    <cellStyle name="계산 7 2 5 3 2" xfId="24060"/>
    <cellStyle name="계산 7 2 5 3 3" xfId="33462"/>
    <cellStyle name="계산 7 2 5 3 4" xfId="39647"/>
    <cellStyle name="계산 7 2 5 3 5" xfId="38472"/>
    <cellStyle name="계산 7 2 5 4" xfId="13724"/>
    <cellStyle name="계산 7 2 5 4 2" xfId="26952"/>
    <cellStyle name="계산 7 2 5 4 3" xfId="31406"/>
    <cellStyle name="계산 7 2 5 4 4" xfId="17239"/>
    <cellStyle name="계산 7 2 5 4 5" xfId="47504"/>
    <cellStyle name="계산 7 2 5 5" xfId="6704"/>
    <cellStyle name="계산 7 2 5 5 2" xfId="19932"/>
    <cellStyle name="계산 7 2 5 5 3" xfId="30466"/>
    <cellStyle name="계산 7 2 5 5 4" xfId="16804"/>
    <cellStyle name="계산 7 2 5 5 5" xfId="46342"/>
    <cellStyle name="계산 7 2 5 6" xfId="12929"/>
    <cellStyle name="계산 7 2 5 6 2" xfId="26157"/>
    <cellStyle name="계산 7 2 5 6 3" xfId="17349"/>
    <cellStyle name="계산 7 2 5 6 4" xfId="45798"/>
    <cellStyle name="계산 7 2 5 7" xfId="30285"/>
    <cellStyle name="계산 7 2 5 7 2" xfId="16721"/>
    <cellStyle name="계산 7 2 5 7 3" xfId="45270"/>
    <cellStyle name="계산 7 2 5 8" xfId="29150"/>
    <cellStyle name="계산 7 2 5 9" xfId="32483"/>
    <cellStyle name="계산 7 2 6" xfId="10133"/>
    <cellStyle name="计算 7 2 6" xfId="29134"/>
    <cellStyle name="계산 7 2 6 2" xfId="7747"/>
    <cellStyle name="계산 7 2 6 2 2" xfId="20975"/>
    <cellStyle name="계산 7 2 6 2 3" xfId="33079"/>
    <cellStyle name="계산 7 2 6 2 4" xfId="44364"/>
    <cellStyle name="계산 7 2 6 2 5" xfId="38507"/>
    <cellStyle name="계산 7 2 6 3" xfId="23361"/>
    <cellStyle name="계산 7 2 6 3 2" xfId="35565"/>
    <cellStyle name="계산 7 2 6 3 3" xfId="41441"/>
    <cellStyle name="계산 7 2 6 3 4" xfId="48275"/>
    <cellStyle name="계산 7 2 6 4" xfId="37671"/>
    <cellStyle name="계산 7 2 6 4 2" xfId="43594"/>
    <cellStyle name="계산 7 2 6 4 3" xfId="50428"/>
    <cellStyle name="계산 7 2 6 5" xfId="31913"/>
    <cellStyle name="계산 7 2 6 5 2" xfId="38135"/>
    <cellStyle name="계산 7 2 6 5 3" xfId="33322"/>
    <cellStyle name="계산 7 2 6 6" xfId="28776"/>
    <cellStyle name="계산 7 2 6 7" xfId="14529"/>
    <cellStyle name="계산 7 2 6 8" xfId="33430"/>
    <cellStyle name="계산 7 2 7" xfId="9092"/>
    <cellStyle name="계산 7 2 7 2" xfId="22320"/>
    <cellStyle name="계산 7 2 7 3" xfId="34869"/>
    <cellStyle name="계산 7 2 7 4" xfId="45719"/>
    <cellStyle name="계산 7 2 7 5" xfId="34091"/>
    <cellStyle name="계산 7 2 8" xfId="12991"/>
    <cellStyle name="계산 7 2 8 2" xfId="26219"/>
    <cellStyle name="계산 7 2 8 3" xfId="30745"/>
    <cellStyle name="계산 7 2 8 4" xfId="15283"/>
    <cellStyle name="계산 7 2 8 5" xfId="33030"/>
    <cellStyle name="계산 7 2 9" xfId="13898"/>
    <cellStyle name="계산 7 2 9 2" xfId="27126"/>
    <cellStyle name="계산 7 2 9 3" xfId="34733"/>
    <cellStyle name="계산 7 2 9 4" xfId="40723"/>
    <cellStyle name="계산 7 2 9 5" xfId="17503"/>
    <cellStyle name="계산 7 3" xfId="51012"/>
    <cellStyle name="计算 7 3" xfId="13993"/>
    <cellStyle name="计算 7 3 2" xfId="27221"/>
    <cellStyle name="计算 7 3 3" xfId="36421"/>
    <cellStyle name="计算 7 3 4" xfId="42314"/>
    <cellStyle name="计算 7 3 5" xfId="49148"/>
    <cellStyle name="计算 7 4" xfId="8294"/>
    <cellStyle name="计算 7 4 2" xfId="21522"/>
    <cellStyle name="计算 7 4 3" xfId="30138"/>
    <cellStyle name="计算 7 4 4" xfId="16603"/>
    <cellStyle name="计算 7 4 5" xfId="44592"/>
    <cellStyle name="计算 7 5" xfId="8484"/>
    <cellStyle name="计算 7 5 2" xfId="21712"/>
    <cellStyle name="计算 7 5 3" xfId="31996"/>
    <cellStyle name="计算 7 5 4" xfId="38219"/>
    <cellStyle name="计算 7 5 5" xfId="44159"/>
    <cellStyle name="计算 7 6" xfId="13556"/>
    <cellStyle name="计算 7 6 2" xfId="26784"/>
    <cellStyle name="计算 7 6 3" xfId="36543"/>
    <cellStyle name="计算 7 6 4" xfId="42441"/>
    <cellStyle name="计算 7 6 5" xfId="49275"/>
    <cellStyle name="计算 7 7" xfId="19860"/>
    <cellStyle name="计算 7 7 2" xfId="37200"/>
    <cellStyle name="计算 7 7 3" xfId="43119"/>
    <cellStyle name="计算 7 7 4" xfId="49953"/>
    <cellStyle name="计算 7 8" xfId="31694"/>
    <cellStyle name="计算 7 8 2" xfId="27993"/>
    <cellStyle name="计算 7 8 3" xfId="41169"/>
    <cellStyle name="计算 7 9" xfId="29684"/>
    <cellStyle name="계산 7_사업부문" xfId="53659"/>
    <cellStyle name="계산 8" xfId="2698"/>
    <cellStyle name="计算 8" xfId="9486"/>
    <cellStyle name="계산 8 10" xfId="16455"/>
    <cellStyle name="计算 8 10" xfId="33360"/>
    <cellStyle name="계산 8 10 2" xfId="43509"/>
    <cellStyle name="계산 8 10 3" xfId="50343"/>
    <cellStyle name="계산 8 11" xfId="15940"/>
    <cellStyle name="计算 8 11" xfId="38479"/>
    <cellStyle name="계산 8 12" xfId="33043"/>
    <cellStyle name="计算 8 12" xfId="45293"/>
    <cellStyle name="계산 8 13" xfId="34307"/>
    <cellStyle name="계산 8 14" xfId="38465"/>
    <cellStyle name="계산 8 15" xfId="51013"/>
    <cellStyle name="계산 8 16" xfId="50772"/>
    <cellStyle name="계산 8 2" xfId="6334"/>
    <cellStyle name="计算 8 2" xfId="13123"/>
    <cellStyle name="계산 8 2 10" xfId="16075"/>
    <cellStyle name="계산 8 2 11" xfId="39866"/>
    <cellStyle name="계산 8 2 12" xfId="44409"/>
    <cellStyle name="계산 8 2 2" xfId="11068"/>
    <cellStyle name="计算 8 2 2" xfId="26351"/>
    <cellStyle name="계산 8 2 2 2" xfId="24296"/>
    <cellStyle name="계산 8 2 2 3" xfId="33698"/>
    <cellStyle name="계산 8 2 2 4" xfId="39842"/>
    <cellStyle name="계산 8 2 2 5" xfId="44832"/>
    <cellStyle name="계산 8 2 2 6" xfId="39458"/>
    <cellStyle name="계산 8 2 3" xfId="12707"/>
    <cellStyle name="计算 8 2 3" xfId="32603"/>
    <cellStyle name="계산 8 2 3 2" xfId="25935"/>
    <cellStyle name="계산 8 2 3 3" xfId="36124"/>
    <cellStyle name="계산 8 2 3 4" xfId="42017"/>
    <cellStyle name="계산 8 2 3 5" xfId="46579"/>
    <cellStyle name="계산 8 2 3 6" xfId="48851"/>
    <cellStyle name="계산 8 2 4" xfId="7239"/>
    <cellStyle name="计算 8 2 4" xfId="38823"/>
    <cellStyle name="계산 8 2 4 2" xfId="20467"/>
    <cellStyle name="계산 8 2 4 3" xfId="31517"/>
    <cellStyle name="계산 8 2 4 4" xfId="15256"/>
    <cellStyle name="계산 8 2 4 5" xfId="29052"/>
    <cellStyle name="계산 8 2 4 6" xfId="47400"/>
    <cellStyle name="계산 8 2 5" xfId="14247"/>
    <cellStyle name="计算 8 2 5" xfId="44088"/>
    <cellStyle name="계산 8 2 5 2" xfId="27475"/>
    <cellStyle name="계산 8 2 5 3" xfId="32032"/>
    <cellStyle name="계산 8 2 5 4" xfId="38255"/>
    <cellStyle name="계산 8 2 5 5" xfId="17447"/>
    <cellStyle name="계산 8 2 6" xfId="19562"/>
    <cellStyle name="计算 8 2 6" xfId="46545"/>
    <cellStyle name="계산 8 2 6 2" xfId="30785"/>
    <cellStyle name="계산 8 2 6 3" xfId="16898"/>
    <cellStyle name="계산 8 2 6 4" xfId="15761"/>
    <cellStyle name="계산 8 2 7" xfId="31902"/>
    <cellStyle name="계산 8 2 7 2" xfId="38123"/>
    <cellStyle name="계산 8 2 7 3" xfId="15357"/>
    <cellStyle name="계산 8 2 8" xfId="30181"/>
    <cellStyle name="계산 8 2 8 2" xfId="16642"/>
    <cellStyle name="계산 8 2 8 3" xfId="43986"/>
    <cellStyle name="계산 8 2 9" xfId="29386"/>
    <cellStyle name="계산 8 3" xfId="9569"/>
    <cellStyle name="计算 8 3" xfId="9152"/>
    <cellStyle name="계산 8 3 10" xfId="29020"/>
    <cellStyle name="계산 8 3 11" xfId="40295"/>
    <cellStyle name="계산 8 3 12" xfId="39322"/>
    <cellStyle name="계산 8 3 2" xfId="13206"/>
    <cellStyle name="计算 8 3 2" xfId="22380"/>
    <cellStyle name="계산 8 3 2 2" xfId="26434"/>
    <cellStyle name="계산 8 3 2 3" xfId="32686"/>
    <cellStyle name="계산 8 3 2 4" xfId="38906"/>
    <cellStyle name="계산 8 3 2 5" xfId="44153"/>
    <cellStyle name="계산 8 3 2 6" xfId="47545"/>
    <cellStyle name="계산 8 3 3" xfId="7540"/>
    <cellStyle name="计算 8 3 3" xfId="35099"/>
    <cellStyle name="계산 8 3 3 2" xfId="20768"/>
    <cellStyle name="계산 8 3 3 3" xfId="35182"/>
    <cellStyle name="계산 8 3 3 4" xfId="41154"/>
    <cellStyle name="계산 8 3 3 5" xfId="45972"/>
    <cellStyle name="계산 8 3 3 6" xfId="47885"/>
    <cellStyle name="계산 8 3 4" xfId="13500"/>
    <cellStyle name="计算 8 3 4" xfId="41084"/>
    <cellStyle name="계산 8 3 4 2" xfId="26728"/>
    <cellStyle name="계산 8 3 4 3" xfId="30998"/>
    <cellStyle name="계산 8 3 4 4" xfId="17042"/>
    <cellStyle name="계산 8 3 4 5" xfId="31415"/>
    <cellStyle name="계산 8 3 4 6" xfId="40422"/>
    <cellStyle name="계산 8 3 5" xfId="7447"/>
    <cellStyle name="计算 8 3 5" xfId="45889"/>
    <cellStyle name="계산 8 3 5 2" xfId="20675"/>
    <cellStyle name="계산 8 3 5 3" xfId="41504"/>
    <cellStyle name="계산 8 3 5 4" xfId="48338"/>
    <cellStyle name="계산 8 3 6" xfId="22797"/>
    <cellStyle name="计算 8 3 6" xfId="47802"/>
    <cellStyle name="계산 8 3 6 2" xfId="36532"/>
    <cellStyle name="계산 8 3 6 3" xfId="42430"/>
    <cellStyle name="계산 8 3 6 4" xfId="49264"/>
    <cellStyle name="계산 8 3 7" xfId="30234"/>
    <cellStyle name="계산 8 3 7 2" xfId="16684"/>
    <cellStyle name="계산 8 3 7 3" xfId="33344"/>
    <cellStyle name="계산 8 3 8" xfId="36896"/>
    <cellStyle name="계산 8 3 8 2" xfId="42811"/>
    <cellStyle name="계산 8 3 8 3" xfId="49645"/>
    <cellStyle name="계산 8 3 9" xfId="28375"/>
    <cellStyle name="계산 8 4" xfId="11767"/>
    <cellStyle name="计算 8 4" xfId="13038"/>
    <cellStyle name="계산 8 4 10" xfId="38515"/>
    <cellStyle name="계산 8 4 2" xfId="8410"/>
    <cellStyle name="计算 8 4 2" xfId="26266"/>
    <cellStyle name="계산 8 4 2 2" xfId="21638"/>
    <cellStyle name="계산 8 4 2 3" xfId="36636"/>
    <cellStyle name="계산 8 4 2 4" xfId="42538"/>
    <cellStyle name="계산 8 4 2 5" xfId="46868"/>
    <cellStyle name="계산 8 4 2 6" xfId="49372"/>
    <cellStyle name="계산 8 4 3" xfId="14280"/>
    <cellStyle name="计算 8 4 3" xfId="30941"/>
    <cellStyle name="계산 8 4 3 2" xfId="27508"/>
    <cellStyle name="계산 8 4 3 3" xfId="30591"/>
    <cellStyle name="계산 8 4 3 4" xfId="16856"/>
    <cellStyle name="계산 8 4 3 5" xfId="17380"/>
    <cellStyle name="계산 8 4 3 6" xfId="32235"/>
    <cellStyle name="계산 8 4 4" xfId="24995"/>
    <cellStyle name="计算 8 4 4" xfId="14708"/>
    <cellStyle name="계산 8 4 4 2" xfId="35658"/>
    <cellStyle name="계산 8 4 4 3" xfId="41538"/>
    <cellStyle name="계산 8 4 4 4" xfId="46309"/>
    <cellStyle name="계산 8 4 4 5" xfId="48372"/>
    <cellStyle name="계산 8 4 5" xfId="37026"/>
    <cellStyle name="计算 8 4 5" xfId="17598"/>
    <cellStyle name="계산 8 4 5 2" xfId="42945"/>
    <cellStyle name="계산 8 4 5 3" xfId="49779"/>
    <cellStyle name="계산 8 4 6" xfId="37910"/>
    <cellStyle name="计算 8 4 6" xfId="39570"/>
    <cellStyle name="계산 8 4 6 2" xfId="43835"/>
    <cellStyle name="계산 8 4 6 3" xfId="50669"/>
    <cellStyle name="계산 8 4 7" xfId="34231"/>
    <cellStyle name="계산 8 4 8" xfId="40256"/>
    <cellStyle name="계산 8 4 9" xfId="45265"/>
    <cellStyle name="계산 8 5" xfId="7851"/>
    <cellStyle name="计算 8 5" xfId="6692"/>
    <cellStyle name="계산 8 5 2" xfId="21079"/>
    <cellStyle name="计算 8 5 2" xfId="19920"/>
    <cellStyle name="계산 8 5 3" xfId="30960"/>
    <cellStyle name="计算 8 5 3" xfId="40754"/>
    <cellStyle name="계산 8 5 4" xfId="17988"/>
    <cellStyle name="计算 8 5 4" xfId="32249"/>
    <cellStyle name="계산 8 5 5" xfId="15680"/>
    <cellStyle name="계산 8 5 6" xfId="34309"/>
    <cellStyle name="계산 8 6" xfId="7379"/>
    <cellStyle name="计算 8 6" xfId="22714"/>
    <cellStyle name="계산 8 6 2" xfId="20607"/>
    <cellStyle name="计算 8 6 2" xfId="31247"/>
    <cellStyle name="계산 8 6 3" xfId="36556"/>
    <cellStyle name="计算 8 6 3" xfId="17148"/>
    <cellStyle name="계산 8 6 4" xfId="42454"/>
    <cellStyle name="计算 8 6 4" xfId="29056"/>
    <cellStyle name="계산 8 6 5" xfId="46796"/>
    <cellStyle name="计算 8 6 5" xfId="45582"/>
    <cellStyle name="계산 8 6 6" xfId="49288"/>
    <cellStyle name="계산 8 7" xfId="14171"/>
    <cellStyle name="计算 8 7" xfId="37420"/>
    <cellStyle name="계산 8 7 2" xfId="27399"/>
    <cellStyle name="计算 8 7 2" xfId="43340"/>
    <cellStyle name="계산 8 7 3" xfId="36990"/>
    <cellStyle name="计算 8 7 3" xfId="50174"/>
    <cellStyle name="계산 8 7 4" xfId="42909"/>
    <cellStyle name="계산 8 7 5" xfId="47086"/>
    <cellStyle name="계산 8 7 6" xfId="49743"/>
    <cellStyle name="계산 8 8" xfId="8311"/>
    <cellStyle name="计算 8 8" xfId="35053"/>
    <cellStyle name="계산 8 8 2" xfId="21539"/>
    <cellStyle name="计算 8 8 2" xfId="41060"/>
    <cellStyle name="계산 8 8 3" xfId="30235"/>
    <cellStyle name="计算 8 8 3" xfId="47756"/>
    <cellStyle name="계산 8 8 4" xfId="16685"/>
    <cellStyle name="계산 8 8 5" xfId="41070"/>
    <cellStyle name="계산 8 8 6" xfId="32516"/>
    <cellStyle name="계산 8 9" xfId="8662"/>
    <cellStyle name="计算 8 9" xfId="28292"/>
    <cellStyle name="계산 8 9 2" xfId="21890"/>
    <cellStyle name="계산 8 9 3" xfId="35490"/>
    <cellStyle name="계산 8 9 4" xfId="41361"/>
    <cellStyle name="계산 8 9 5" xfId="46196"/>
    <cellStyle name="계산 8 9 6" xfId="48195"/>
    <cellStyle name="계산 9" xfId="2699"/>
    <cellStyle name="计算 9" xfId="11715"/>
    <cellStyle name="계산 9 10" xfId="15928"/>
    <cellStyle name="计算 9 10" xfId="45214"/>
    <cellStyle name="계산 9 11" xfId="28741"/>
    <cellStyle name="计算 9 11" xfId="38693"/>
    <cellStyle name="계산 9 12" xfId="39431"/>
    <cellStyle name="계산 9 13" xfId="32301"/>
    <cellStyle name="계산 9 14" xfId="51014"/>
    <cellStyle name="계산 9 15" xfId="50771"/>
    <cellStyle name="계산 9 2" xfId="6335"/>
    <cellStyle name="计算 9 2" xfId="12767"/>
    <cellStyle name="계산 9 2 10" xfId="16076"/>
    <cellStyle name="계산 9 2 11" xfId="32250"/>
    <cellStyle name="계산 9 2 12" xfId="45393"/>
    <cellStyle name="계산 9 2 2" xfId="11069"/>
    <cellStyle name="计算 9 2 2" xfId="25995"/>
    <cellStyle name="계산 9 2 2 2" xfId="24297"/>
    <cellStyle name="계산 9 2 2 3" xfId="33699"/>
    <cellStyle name="계산 9 2 2 4" xfId="39843"/>
    <cellStyle name="계산 9 2 2 5" xfId="44833"/>
    <cellStyle name="계산 9 2 2 6" xfId="33356"/>
    <cellStyle name="계산 9 2 3" xfId="12820"/>
    <cellStyle name="计算 9 2 3" xfId="36584"/>
    <cellStyle name="계산 9 2 3 2" xfId="26048"/>
    <cellStyle name="계산 9 2 3 3" xfId="36125"/>
    <cellStyle name="계산 9 2 3 4" xfId="42018"/>
    <cellStyle name="계산 9 2 3 5" xfId="46580"/>
    <cellStyle name="계산 9 2 3 6" xfId="48852"/>
    <cellStyle name="계산 9 2 4" xfId="14271"/>
    <cellStyle name="计算 9 2 4" xfId="42486"/>
    <cellStyle name="계산 9 2 4 2" xfId="27499"/>
    <cellStyle name="계산 9 2 4 3" xfId="31518"/>
    <cellStyle name="계산 9 2 4 4" xfId="17286"/>
    <cellStyle name="계산 9 2 4 5" xfId="15307"/>
    <cellStyle name="계산 9 2 4 6" xfId="47371"/>
    <cellStyle name="계산 9 2 5" xfId="13600"/>
    <cellStyle name="计算 9 2 5" xfId="46817"/>
    <cellStyle name="계산 9 2 5 2" xfId="26828"/>
    <cellStyle name="계산 9 2 5 3" xfId="34914"/>
    <cellStyle name="계산 9 2 5 4" xfId="40912"/>
    <cellStyle name="계산 9 2 5 5" xfId="29133"/>
    <cellStyle name="계산 9 2 6" xfId="19563"/>
    <cellStyle name="计算 9 2 6" xfId="49320"/>
    <cellStyle name="계산 9 2 6 2" xfId="30786"/>
    <cellStyle name="계산 9 2 6 3" xfId="17819"/>
    <cellStyle name="계산 9 2 6 4" xfId="40375"/>
    <cellStyle name="계산 9 2 7" xfId="37462"/>
    <cellStyle name="계산 9 2 7 2" xfId="43382"/>
    <cellStyle name="계산 9 2 7 3" xfId="50216"/>
    <cellStyle name="계산 9 2 8" xfId="36646"/>
    <cellStyle name="계산 9 2 8 2" xfId="42548"/>
    <cellStyle name="계산 9 2 8 3" xfId="49382"/>
    <cellStyle name="계산 9 2 9" xfId="29387"/>
    <cellStyle name="계산 9 3" xfId="9570"/>
    <cellStyle name="计算 9 3" xfId="14413"/>
    <cellStyle name="계산 9 3 10" xfId="27845"/>
    <cellStyle name="계산 9 3 11" xfId="39209"/>
    <cellStyle name="계산 9 3 12" xfId="44576"/>
    <cellStyle name="계산 9 3 2" xfId="13207"/>
    <cellStyle name="计算 9 3 2" xfId="27641"/>
    <cellStyle name="계산 9 3 2 2" xfId="26435"/>
    <cellStyle name="계산 9 3 2 3" xfId="32687"/>
    <cellStyle name="계산 9 3 2 4" xfId="38907"/>
    <cellStyle name="계산 9 3 2 5" xfId="44154"/>
    <cellStyle name="계산 9 3 2 6" xfId="34477"/>
    <cellStyle name="계산 9 3 3" xfId="7539"/>
    <cellStyle name="计算 9 3 3" xfId="37072"/>
    <cellStyle name="계산 9 3 3 2" xfId="20767"/>
    <cellStyle name="계산 9 3 3 3" xfId="35183"/>
    <cellStyle name="계산 9 3 3 4" xfId="41155"/>
    <cellStyle name="계산 9 3 3 5" xfId="45973"/>
    <cellStyle name="계산 9 3 3 6" xfId="47886"/>
    <cellStyle name="계산 9 3 4" xfId="14120"/>
    <cellStyle name="计算 9 3 4" xfId="42991"/>
    <cellStyle name="계산 9 3 4 2" xfId="27348"/>
    <cellStyle name="계산 9 3 4 3" xfId="30999"/>
    <cellStyle name="계산 9 3 4 4" xfId="17043"/>
    <cellStyle name="계산 9 3 4 5" xfId="15669"/>
    <cellStyle name="계산 9 3 4 6" xfId="39361"/>
    <cellStyle name="계산 9 3 5" xfId="8476"/>
    <cellStyle name="计算 9 3 5" xfId="47135"/>
    <cellStyle name="계산 9 3 5 2" xfId="21704"/>
    <cellStyle name="계산 9 3 5 3" xfId="42695"/>
    <cellStyle name="계산 9 3 5 4" xfId="49529"/>
    <cellStyle name="계산 9 3 6" xfId="22798"/>
    <cellStyle name="计算 9 3 6" xfId="49825"/>
    <cellStyle name="계산 9 3 6 2" xfId="31249"/>
    <cellStyle name="계산 9 3 6 3" xfId="18156"/>
    <cellStyle name="계산 9 3 6 4" xfId="27897"/>
    <cellStyle name="계산 9 3 7" xfId="36536"/>
    <cellStyle name="계산 9 3 7 2" xfId="42434"/>
    <cellStyle name="계산 9 3 7 3" xfId="49268"/>
    <cellStyle name="계산 9 3 8" xfId="31821"/>
    <cellStyle name="계산 9 3 8 2" xfId="38042"/>
    <cellStyle name="계산 9 3 8 3" xfId="15676"/>
    <cellStyle name="계산 9 3 9" xfId="28376"/>
    <cellStyle name="계산 9 4" xfId="7852"/>
    <cellStyle name="计算 9 4" xfId="13024"/>
    <cellStyle name="계산 9 4 2" xfId="21080"/>
    <cellStyle name="计算 9 4 2" xfId="26252"/>
    <cellStyle name="계산 9 4 3" xfId="35025"/>
    <cellStyle name="计算 9 4 3" xfId="30318"/>
    <cellStyle name="계산 9 4 4" xfId="41029"/>
    <cellStyle name="计算 9 4 4" xfId="16749"/>
    <cellStyle name="계산 9 4 5" xfId="45831"/>
    <cellStyle name="计算 9 4 5" xfId="34596"/>
    <cellStyle name="계산 9 4 6" xfId="47725"/>
    <cellStyle name="计算 9 4 6" xfId="45350"/>
    <cellStyle name="계산 9 5" xfId="7378"/>
    <cellStyle name="计算 9 5" xfId="24943"/>
    <cellStyle name="계산 9 5 2" xfId="20606"/>
    <cellStyle name="计算 9 5 2" xfId="36541"/>
    <cellStyle name="계산 9 5 3" xfId="30828"/>
    <cellStyle name="计算 9 5 3" xfId="42439"/>
    <cellStyle name="계산 9 5 4" xfId="16954"/>
    <cellStyle name="计算 9 5 4" xfId="46791"/>
    <cellStyle name="계산 9 5 5" xfId="15720"/>
    <cellStyle name="计算 9 5 5" xfId="49273"/>
    <cellStyle name="계산 9 5 6" xfId="38765"/>
    <cellStyle name="계산 9 6" xfId="13566"/>
    <cellStyle name="计算 9 6" xfId="30098"/>
    <cellStyle name="계산 9 6 2" xfId="26794"/>
    <cellStyle name="计算 9 6 2" xfId="18135"/>
    <cellStyle name="계산 9 6 3" xfId="30335"/>
    <cellStyle name="计算 9 6 3" xfId="44038"/>
    <cellStyle name="계산 9 6 4" xfId="16756"/>
    <cellStyle name="계산 9 6 5" xfId="18113"/>
    <cellStyle name="계산 9 6 6" xfId="44289"/>
    <cellStyle name="계산 9 7" xfId="7384"/>
    <cellStyle name="计算 9 7" xfId="37858"/>
    <cellStyle name="계산 9 7 2" xfId="20612"/>
    <cellStyle name="计算 9 7 2" xfId="43783"/>
    <cellStyle name="계산 9 7 3" xfId="37329"/>
    <cellStyle name="计算 9 7 3" xfId="50617"/>
    <cellStyle name="계산 9 7 4" xfId="43249"/>
    <cellStyle name="계산 9 7 5" xfId="47307"/>
    <cellStyle name="계산 9 7 6" xfId="50083"/>
    <cellStyle name="계산 9 8" xfId="14486"/>
    <cellStyle name="计算 9 8" xfId="34179"/>
    <cellStyle name="계산 9 8 2" xfId="27714"/>
    <cellStyle name="계산 9 8 3" xfId="37493"/>
    <cellStyle name="계산 9 8 4" xfId="43413"/>
    <cellStyle name="계산 9 8 5" xfId="47394"/>
    <cellStyle name="계산 9 8 6" xfId="50247"/>
    <cellStyle name="계산 9 9" xfId="16456"/>
    <cellStyle name="计算 9 9" xfId="40204"/>
    <cellStyle name="고정소숫점" xfId="179"/>
    <cellStyle name="고정소숫점 2" xfId="53660"/>
    <cellStyle name="고정소숫점 2 2" xfId="53661"/>
    <cellStyle name="고정출력1" xfId="180"/>
    <cellStyle name="고정출력1 2" xfId="53662"/>
    <cellStyle name="고정출력1 2 2" xfId="53663"/>
    <cellStyle name="고정출력2" xfId="181"/>
    <cellStyle name="고정출력2 2" xfId="53664"/>
    <cellStyle name="고정출력2 2 2" xfId="53665"/>
    <cellStyle name="适中" xfId="2700"/>
    <cellStyle name="适中 2" xfId="2701"/>
    <cellStyle name="适中 2 2" xfId="2702"/>
    <cellStyle name="适中 2 2 2" xfId="2703"/>
    <cellStyle name="适中 2 3" xfId="2704"/>
    <cellStyle name="适中 3" xfId="2705"/>
    <cellStyle name="适中 3 2" xfId="2706"/>
    <cellStyle name="适中 3 2 2" xfId="2707"/>
    <cellStyle name="适中 3 3" xfId="2708"/>
    <cellStyle name="适中 4" xfId="2709"/>
    <cellStyle name="适中 4 2" xfId="2710"/>
    <cellStyle name="咬訌裝?INCOM1" xfId="53666"/>
    <cellStyle name="咬訌裝?INCOM10" xfId="53667"/>
    <cellStyle name="咬訌裝?INCOM2" xfId="53668"/>
    <cellStyle name="咬訌裝?INCOM3" xfId="53669"/>
    <cellStyle name="咬訌裝?INCOM4" xfId="53670"/>
    <cellStyle name="咬訌裝?INCOM5" xfId="53671"/>
    <cellStyle name="咬訌裝?INCOM6" xfId="53672"/>
    <cellStyle name="咬訌裝?INCOM7" xfId="53673"/>
    <cellStyle name="咬訌裝?INCOM8" xfId="53674"/>
    <cellStyle name="咬訌裝?INCOM9" xfId="53675"/>
    <cellStyle name="咬訌裝?PRIB11" xfId="53676"/>
    <cellStyle name="금액" xfId="53677"/>
    <cellStyle name="나쁨 10" xfId="53678"/>
    <cellStyle name="나쁨 10 2" xfId="53679"/>
    <cellStyle name="나쁨 11" xfId="53680"/>
    <cellStyle name="나쁨 11 2" xfId="53681"/>
    <cellStyle name="나쁨 12" xfId="53682"/>
    <cellStyle name="나쁨 13" xfId="53683"/>
    <cellStyle name="나쁨 14" xfId="53684"/>
    <cellStyle name="나쁨 15" xfId="53685"/>
    <cellStyle name="나쁨 16" xfId="53686"/>
    <cellStyle name="나쁨 17" xfId="53687"/>
    <cellStyle name="나쁨 18" xfId="53688"/>
    <cellStyle name="나쁨 19" xfId="53689"/>
    <cellStyle name="나쁨 2" xfId="182"/>
    <cellStyle name="나쁨 2 10" xfId="2713"/>
    <cellStyle name="나쁨 2 11" xfId="2714"/>
    <cellStyle name="나쁨 2 12" xfId="2715"/>
    <cellStyle name="나쁨 2 13" xfId="2716"/>
    <cellStyle name="나쁨 2 14" xfId="2717"/>
    <cellStyle name="나쁨 2 15" xfId="2718"/>
    <cellStyle name="나쁨 2 16" xfId="2719"/>
    <cellStyle name="나쁨 2 17" xfId="2720"/>
    <cellStyle name="나쁨 2 18" xfId="2721"/>
    <cellStyle name="나쁨 2 19" xfId="2722"/>
    <cellStyle name="나쁨 2 2" xfId="2723"/>
    <cellStyle name="나쁨 2 2 2" xfId="2724"/>
    <cellStyle name="나쁨 2 2_CRM팀 1단계 정보확인 DB 검색코드_110425" xfId="2725"/>
    <cellStyle name="나쁨 2 20" xfId="2726"/>
    <cellStyle name="나쁨 2 21" xfId="2727"/>
    <cellStyle name="나쁨 2 22" xfId="2728"/>
    <cellStyle name="나쁨 2 23" xfId="2729"/>
    <cellStyle name="나쁨 2 24" xfId="2730"/>
    <cellStyle name="나쁨 2 25" xfId="2731"/>
    <cellStyle name="나쁨 2 26" xfId="2732"/>
    <cellStyle name="나쁨 2 27" xfId="4857"/>
    <cellStyle name="나쁨 2 28" xfId="2712"/>
    <cellStyle name="나쁨 2 29" xfId="51274"/>
    <cellStyle name="나쁨 2 3" xfId="2733"/>
    <cellStyle name="나쁨 2 4" xfId="2734"/>
    <cellStyle name="나쁨 2 5" xfId="2735"/>
    <cellStyle name="나쁨 2 6" xfId="2736"/>
    <cellStyle name="나쁨 2 7" xfId="2737"/>
    <cellStyle name="나쁨 2 8" xfId="2738"/>
    <cellStyle name="나쁨 2 9" xfId="2739"/>
    <cellStyle name="나쁨 2_CRM팀 1단계 정보확인 DB 검색코드_110425" xfId="2740"/>
    <cellStyle name="나쁨 20" xfId="53690"/>
    <cellStyle name="나쁨 21" xfId="53691"/>
    <cellStyle name="나쁨 22" xfId="53692"/>
    <cellStyle name="나쁨 23" xfId="53693"/>
    <cellStyle name="나쁨 24" xfId="53694"/>
    <cellStyle name="나쁨 25" xfId="53695"/>
    <cellStyle name="나쁨 26" xfId="53696"/>
    <cellStyle name="나쁨 3" xfId="183"/>
    <cellStyle name="나쁨 3 2" xfId="2742"/>
    <cellStyle name="나쁨 3 2 2" xfId="51015"/>
    <cellStyle name="나쁨 3 3" xfId="2741"/>
    <cellStyle name="나쁨 3 4" xfId="53697"/>
    <cellStyle name="나쁨 3 5" xfId="53698"/>
    <cellStyle name="나쁨 3_사업부문" xfId="53699"/>
    <cellStyle name="나쁨 4" xfId="184"/>
    <cellStyle name="나쁨 4 2" xfId="2744"/>
    <cellStyle name="나쁨 4 2 2" xfId="51016"/>
    <cellStyle name="나쁨 4 3" xfId="2743"/>
    <cellStyle name="나쁨 4 4" xfId="53700"/>
    <cellStyle name="나쁨 4 5" xfId="53701"/>
    <cellStyle name="나쁨 4_사업부문" xfId="53702"/>
    <cellStyle name="나쁨 5" xfId="185"/>
    <cellStyle name="나쁨 5 2" xfId="2746"/>
    <cellStyle name="나쁨 5 2 2" xfId="51017"/>
    <cellStyle name="나쁨 5 3" xfId="2745"/>
    <cellStyle name="나쁨 5_사업부문" xfId="53703"/>
    <cellStyle name="나쁨 6" xfId="186"/>
    <cellStyle name="나쁨 6 2" xfId="2748"/>
    <cellStyle name="나쁨 6 2 2" xfId="51018"/>
    <cellStyle name="나쁨 6 3" xfId="2747"/>
    <cellStyle name="나쁨 6_사업부문" xfId="53704"/>
    <cellStyle name="나쁨 7" xfId="187"/>
    <cellStyle name="나쁨 7 2" xfId="5270"/>
    <cellStyle name="나쁨 7 3" xfId="51019"/>
    <cellStyle name="나쁨 7_사업부문" xfId="53705"/>
    <cellStyle name="나쁨 8" xfId="2749"/>
    <cellStyle name="나쁨 8 2" xfId="53706"/>
    <cellStyle name="나쁨 8 3" xfId="53707"/>
    <cellStyle name="나쁨 9" xfId="2711"/>
    <cellStyle name="나쁨 9 2" xfId="53708"/>
    <cellStyle name="난제목" xfId="53709"/>
    <cellStyle name="날짜" xfId="188"/>
    <cellStyle name="날짜 2" xfId="53710"/>
    <cellStyle name="날짜 2 2" xfId="53711"/>
    <cellStyle name="다" xfId="53712"/>
    <cellStyle name="달러" xfId="189"/>
    <cellStyle name="달러 2" xfId="53713"/>
    <cellStyle name="달러 2 2" xfId="53714"/>
    <cellStyle name="뒤에 오는 하이퍼링크_(금성)현대목동점1" xfId="53715"/>
    <cellStyle name="똿떒口츖¨ª괻_Revenue Forecast Q1 (2)" xfId="53716"/>
    <cellStyle name="똿뗦먛귟 [0.00]_laroux" xfId="53717"/>
    <cellStyle name="똿뗦먛귟_laroux" xfId="53718"/>
    <cellStyle name="链接单元格" xfId="2750"/>
    <cellStyle name="链接单元格 2" xfId="2751"/>
    <cellStyle name="链接单元格 2 2" xfId="2752"/>
    <cellStyle name="链接单元格 2 2 2" xfId="2753"/>
    <cellStyle name="链接单元格 2 3" xfId="2754"/>
    <cellStyle name="链接单元格 3" xfId="2755"/>
    <cellStyle name="链接单元格 3 2" xfId="2756"/>
    <cellStyle name="链接单元格 3 2 2" xfId="2757"/>
    <cellStyle name="链接单元格 3 3" xfId="2758"/>
    <cellStyle name="链接单元格 4" xfId="2759"/>
    <cellStyle name="链接单元格 4 2" xfId="2760"/>
    <cellStyle name="마감" xfId="53719"/>
    <cellStyle name="메모 10" xfId="5271"/>
    <cellStyle name="메모 10 10" xfId="14033"/>
    <cellStyle name="메모 10 10 2" xfId="27261"/>
    <cellStyle name="메모 10 10 3" xfId="34921"/>
    <cellStyle name="메모 10 10 4" xfId="40919"/>
    <cellStyle name="메모 10 10 5" xfId="40404"/>
    <cellStyle name="메모 10 11" xfId="7383"/>
    <cellStyle name="메모 10 11 2" xfId="20611"/>
    <cellStyle name="메모 10 11 3" xfId="43498"/>
    <cellStyle name="메모 10 11 4" xfId="50332"/>
    <cellStyle name="메모 10 12" xfId="18514"/>
    <cellStyle name="메모 10 13" xfId="28052"/>
    <cellStyle name="메모 10 14" xfId="39589"/>
    <cellStyle name="메모 10 15" xfId="39613"/>
    <cellStyle name="메모 10 2" xfId="5272"/>
    <cellStyle name="메모 10 2 10" xfId="8733"/>
    <cellStyle name="메모 10 2 10 2" xfId="21961"/>
    <cellStyle name="메모 10 2 10 3" xfId="43656"/>
    <cellStyle name="메모 10 2 10 4" xfId="50490"/>
    <cellStyle name="메모 10 2 11" xfId="18515"/>
    <cellStyle name="메모 10 2 12" xfId="28053"/>
    <cellStyle name="메모 10 2 13" xfId="40573"/>
    <cellStyle name="메모 10 2 14" xfId="33212"/>
    <cellStyle name="메모 10 2 2" xfId="6645"/>
    <cellStyle name="메모 10 2 2 2" xfId="11379"/>
    <cellStyle name="메모 10 2 2 2 2" xfId="24607"/>
    <cellStyle name="메모 10 2 2 2 3" xfId="34009"/>
    <cellStyle name="메모 10 2 2 2 4" xfId="45074"/>
    <cellStyle name="메모 10 2 2 2 5" xfId="39953"/>
    <cellStyle name="메모 10 2 2 3" xfId="8301"/>
    <cellStyle name="메모 10 2 2 3 2" xfId="21529"/>
    <cellStyle name="메모 10 2 2 3 3" xfId="36434"/>
    <cellStyle name="메모 10 2 2 3 4" xfId="42327"/>
    <cellStyle name="메모 10 2 2 3 5" xfId="49161"/>
    <cellStyle name="메모 10 2 2 4" xfId="19873"/>
    <cellStyle name="메모 10 2 2 4 2" xfId="32007"/>
    <cellStyle name="메모 10 2 2 4 3" xfId="38230"/>
    <cellStyle name="메모 10 2 2 4 4" xfId="15638"/>
    <cellStyle name="메모 10 2 2 5" xfId="30496"/>
    <cellStyle name="메모 10 2 2 5 2" xfId="15185"/>
    <cellStyle name="메모 10 2 2 5 3" xfId="33160"/>
    <cellStyle name="메모 10 2 2 6" xfId="29697"/>
    <cellStyle name="메모 10 2 2 7" xfId="14602"/>
    <cellStyle name="메모 10 2 2 8" xfId="44271"/>
    <cellStyle name="메모 10 2 3" xfId="6671"/>
    <cellStyle name="메모 10 2 3 2" xfId="11405"/>
    <cellStyle name="메모 10 2 3 2 2" xfId="24633"/>
    <cellStyle name="메모 10 2 3 2 3" xfId="34035"/>
    <cellStyle name="메모 10 2 3 2 4" xfId="45097"/>
    <cellStyle name="메모 10 2 3 2 5" xfId="28126"/>
    <cellStyle name="메모 10 2 3 3" xfId="9129"/>
    <cellStyle name="메모 10 2 3 3 2" xfId="22357"/>
    <cellStyle name="메모 10 2 3 3 3" xfId="36460"/>
    <cellStyle name="메모 10 2 3 3 4" xfId="42353"/>
    <cellStyle name="메모 10 2 3 3 5" xfId="49187"/>
    <cellStyle name="메모 10 2 3 4" xfId="19899"/>
    <cellStyle name="메모 10 2 3 4 2" xfId="37360"/>
    <cellStyle name="메모 10 2 3 4 3" xfId="43280"/>
    <cellStyle name="메모 10 2 3 4 4" xfId="50114"/>
    <cellStyle name="메모 10 2 3 5" xfId="30773"/>
    <cellStyle name="메모 10 2 3 5 2" xfId="16930"/>
    <cellStyle name="메모 10 2 3 5 3" xfId="39610"/>
    <cellStyle name="메모 10 2 3 6" xfId="29723"/>
    <cellStyle name="메모 10 2 3 7" xfId="16310"/>
    <cellStyle name="메모 10 2 3 8" xfId="39336"/>
    <cellStyle name="메모 10 2 4" xfId="6480"/>
    <cellStyle name="메모 10 2 4 2" xfId="11214"/>
    <cellStyle name="메모 10 2 4 2 2" xfId="24442"/>
    <cellStyle name="메모 10 2 4 2 3" xfId="33844"/>
    <cellStyle name="메모 10 2 4 2 4" xfId="44952"/>
    <cellStyle name="메모 10 2 4 2 5" xfId="29926"/>
    <cellStyle name="메모 10 2 4 3" xfId="6813"/>
    <cellStyle name="메모 10 2 4 3 2" xfId="20041"/>
    <cellStyle name="메모 10 2 4 3 3" xfId="36270"/>
    <cellStyle name="메모 10 2 4 3 4" xfId="42163"/>
    <cellStyle name="메모 10 2 4 3 5" xfId="48997"/>
    <cellStyle name="메모 10 2 4 4" xfId="19708"/>
    <cellStyle name="메모 10 2 4 4 2" xfId="30641"/>
    <cellStyle name="메모 10 2 4 4 3" xfId="27754"/>
    <cellStyle name="메모 10 2 4 4 4" xfId="47538"/>
    <cellStyle name="메모 10 2 4 5" xfId="37596"/>
    <cellStyle name="메모 10 2 4 5 2" xfId="43519"/>
    <cellStyle name="메모 10 2 4 5 3" xfId="50353"/>
    <cellStyle name="메모 10 2 4 6" xfId="29532"/>
    <cellStyle name="메모 10 2 4 7" xfId="14581"/>
    <cellStyle name="메모 10 2 4 8" xfId="43868"/>
    <cellStyle name="메모 10 2 5" xfId="6100"/>
    <cellStyle name="메모 10 2 5 10" xfId="34153"/>
    <cellStyle name="메모 10 2 5 2" xfId="12653"/>
    <cellStyle name="메모 10 2 5 2 2" xfId="14392"/>
    <cellStyle name="메모 10 2 5 2 2 2" xfId="27620"/>
    <cellStyle name="메모 10 2 5 2 2 3" xfId="36974"/>
    <cellStyle name="메모 10 2 5 2 2 4" xfId="42893"/>
    <cellStyle name="메모 10 2 5 2 2 5" xfId="49727"/>
    <cellStyle name="메모 10 2 5 2 3" xfId="25881"/>
    <cellStyle name="메모 10 2 5 2 3 2" xfId="37842"/>
    <cellStyle name="메모 10 2 5 2 3 3" xfId="43767"/>
    <cellStyle name="메모 10 2 5 2 3 4" xfId="50601"/>
    <cellStyle name="메모 10 2 5 2 4" xfId="37920"/>
    <cellStyle name="메모 10 2 5 2 4 2" xfId="43845"/>
    <cellStyle name="메모 10 2 5 2 4 3" xfId="50679"/>
    <cellStyle name="메모 10 2 5 2 5" xfId="34633"/>
    <cellStyle name="메모 10 2 5 2 6" xfId="33194"/>
    <cellStyle name="메모 10 2 5 3" xfId="10834"/>
    <cellStyle name="메모 10 2 5 3 2" xfId="24062"/>
    <cellStyle name="메모 10 2 5 3 3" xfId="33464"/>
    <cellStyle name="메모 10 2 5 3 4" xfId="39649"/>
    <cellStyle name="메모 10 2 5 3 5" xfId="15455"/>
    <cellStyle name="메모 10 2 5 4" xfId="13726"/>
    <cellStyle name="메모 10 2 5 4 2" xfId="26954"/>
    <cellStyle name="메모 10 2 5 4 3" xfId="34682"/>
    <cellStyle name="메모 10 2 5 4 4" xfId="40672"/>
    <cellStyle name="메모 10 2 5 4 5" xfId="40113"/>
    <cellStyle name="메모 10 2 5 5" xfId="7306"/>
    <cellStyle name="메모 10 2 5 5 2" xfId="20534"/>
    <cellStyle name="메모 10 2 5 5 3" xfId="30463"/>
    <cellStyle name="메모 10 2 5 5 4" xfId="18026"/>
    <cellStyle name="메모 10 2 5 5 5" xfId="47195"/>
    <cellStyle name="메모 10 2 5 6" xfId="8010"/>
    <cellStyle name="메모 10 2 5 6 2" xfId="21238"/>
    <cellStyle name="메모 10 2 5 6 3" xfId="41486"/>
    <cellStyle name="메모 10 2 5 6 4" xfId="48320"/>
    <cellStyle name="메모 10 2 5 7" xfId="31390"/>
    <cellStyle name="메모 10 2 5 7 2" xfId="18022"/>
    <cellStyle name="메모 10 2 5 7 3" xfId="45762"/>
    <cellStyle name="메모 10 2 5 8" xfId="29152"/>
    <cellStyle name="메모 10 2 5 9" xfId="29988"/>
    <cellStyle name="메모 10 2 6" xfId="10135"/>
    <cellStyle name="메모 10 2 6 2" xfId="8744"/>
    <cellStyle name="메모 10 2 6 2 2" xfId="21972"/>
    <cellStyle name="메모 10 2 6 2 3" xfId="33081"/>
    <cellStyle name="메모 10 2 6 2 4" xfId="44366"/>
    <cellStyle name="메모 10 2 6 2 5" xfId="40429"/>
    <cellStyle name="메모 10 2 6 3" xfId="23363"/>
    <cellStyle name="메모 10 2 6 3 2" xfId="35567"/>
    <cellStyle name="메모 10 2 6 3 3" xfId="41443"/>
    <cellStyle name="메모 10 2 6 3 4" xfId="48277"/>
    <cellStyle name="메모 10 2 6 4" xfId="37500"/>
    <cellStyle name="메모 10 2 6 4 2" xfId="43420"/>
    <cellStyle name="메모 10 2 6 4 3" xfId="50254"/>
    <cellStyle name="메모 10 2 6 5" xfId="31875"/>
    <cellStyle name="메모 10 2 6 5 2" xfId="38096"/>
    <cellStyle name="메모 10 2 6 5 3" xfId="47253"/>
    <cellStyle name="메모 10 2 6 6" xfId="28778"/>
    <cellStyle name="메모 10 2 6 7" xfId="36569"/>
    <cellStyle name="메모 10 2 6 8" xfId="44067"/>
    <cellStyle name="메모 10 2 7" xfId="9094"/>
    <cellStyle name="메모 10 2 7 2" xfId="22322"/>
    <cellStyle name="메모 10 2 7 3" xfId="30747"/>
    <cellStyle name="메모 10 2 7 4" xfId="16921"/>
    <cellStyle name="메모 10 2 7 5" xfId="40281"/>
    <cellStyle name="메모 10 2 8" xfId="12993"/>
    <cellStyle name="메모 10 2 8 2" xfId="26221"/>
    <cellStyle name="메모 10 2 8 3" xfId="35469"/>
    <cellStyle name="메모 10 2 8 4" xfId="41338"/>
    <cellStyle name="메모 10 2 8 5" xfId="48172"/>
    <cellStyle name="메모 10 2 9" xfId="8504"/>
    <cellStyle name="메모 10 2 9 2" xfId="21732"/>
    <cellStyle name="메모 10 2 9 3" xfId="34922"/>
    <cellStyle name="메모 10 2 9 4" xfId="40920"/>
    <cellStyle name="메모 10 2 9 5" xfId="39339"/>
    <cellStyle name="메모 10 3" xfId="6644"/>
    <cellStyle name="메모 10 3 2" xfId="11378"/>
    <cellStyle name="메모 10 3 2 2" xfId="24606"/>
    <cellStyle name="메모 10 3 2 3" xfId="34008"/>
    <cellStyle name="메모 10 3 2 4" xfId="45073"/>
    <cellStyle name="메모 10 3 2 5" xfId="33340"/>
    <cellStyle name="메모 10 3 3" xfId="8300"/>
    <cellStyle name="메모 10 3 3 2" xfId="21528"/>
    <cellStyle name="메모 10 3 3 3" xfId="36433"/>
    <cellStyle name="메모 10 3 3 4" xfId="42326"/>
    <cellStyle name="메모 10 3 3 5" xfId="49160"/>
    <cellStyle name="메모 10 3 4" xfId="19872"/>
    <cellStyle name="메모 10 3 4 2" xfId="34672"/>
    <cellStyle name="메모 10 3 4 3" xfId="40661"/>
    <cellStyle name="메모 10 3 4 4" xfId="17476"/>
    <cellStyle name="메모 10 3 5" xfId="30675"/>
    <cellStyle name="메모 10 3 5 2" xfId="14686"/>
    <cellStyle name="메모 10 3 5 3" xfId="46325"/>
    <cellStyle name="메모 10 3 6" xfId="29696"/>
    <cellStyle name="메모 10 3 7" xfId="16300"/>
    <cellStyle name="메모 10 3 8" xfId="45278"/>
    <cellStyle name="메모 10 4" xfId="6670"/>
    <cellStyle name="메모 10 4 2" xfId="11404"/>
    <cellStyle name="메모 10 4 2 2" xfId="24632"/>
    <cellStyle name="메모 10 4 2 3" xfId="34034"/>
    <cellStyle name="메모 10 4 2 4" xfId="45096"/>
    <cellStyle name="메모 10 4 2 5" xfId="34621"/>
    <cellStyle name="메모 10 4 3" xfId="9128"/>
    <cellStyle name="메모 10 4 3 2" xfId="22356"/>
    <cellStyle name="메모 10 4 3 3" xfId="36459"/>
    <cellStyle name="메모 10 4 3 4" xfId="42352"/>
    <cellStyle name="메모 10 4 3 5" xfId="49186"/>
    <cellStyle name="메모 10 4 4" xfId="19898"/>
    <cellStyle name="메모 10 4 4 2" xfId="31192"/>
    <cellStyle name="메모 10 4 4 3" xfId="17103"/>
    <cellStyle name="메모 10 4 4 4" xfId="46673"/>
    <cellStyle name="메모 10 4 5" xfId="31374"/>
    <cellStyle name="메모 10 4 5 2" xfId="17224"/>
    <cellStyle name="메모 10 4 5 3" xfId="47574"/>
    <cellStyle name="메모 10 4 6" xfId="29722"/>
    <cellStyle name="메모 10 4 7" xfId="16309"/>
    <cellStyle name="메모 10 4 8" xfId="43997"/>
    <cellStyle name="메모 10 5" xfId="6133"/>
    <cellStyle name="메모 10 5 2" xfId="10867"/>
    <cellStyle name="메모 10 5 2 2" xfId="24095"/>
    <cellStyle name="메모 10 5 2 3" xfId="33497"/>
    <cellStyle name="메모 10 5 2 4" xfId="44635"/>
    <cellStyle name="메모 10 5 2 5" xfId="15395"/>
    <cellStyle name="메모 10 5 3" xfId="8040"/>
    <cellStyle name="메모 10 5 3 2" xfId="21268"/>
    <cellStyle name="메모 10 5 3 3" xfId="35923"/>
    <cellStyle name="메모 10 5 3 4" xfId="41816"/>
    <cellStyle name="메모 10 5 3 5" xfId="48650"/>
    <cellStyle name="메모 10 5 4" xfId="19361"/>
    <cellStyle name="메모 10 5 4 2" xfId="31511"/>
    <cellStyle name="메모 10 5 4 3" xfId="15132"/>
    <cellStyle name="메모 10 5 4 4" xfId="44201"/>
    <cellStyle name="메모 10 5 5" xfId="36967"/>
    <cellStyle name="메모 10 5 5 2" xfId="42886"/>
    <cellStyle name="메모 10 5 5 3" xfId="49720"/>
    <cellStyle name="메모 10 5 6" xfId="29185"/>
    <cellStyle name="메모 10 5 7" xfId="37827"/>
    <cellStyle name="메모 10 5 8" xfId="28903"/>
    <cellStyle name="메모 10 6" xfId="6099"/>
    <cellStyle name="메모 10 6 10" xfId="45558"/>
    <cellStyle name="메모 10 6 2" xfId="12652"/>
    <cellStyle name="메모 10 6 2 2" xfId="14391"/>
    <cellStyle name="메모 10 6 2 2 2" xfId="27619"/>
    <cellStyle name="메모 10 6 2 2 3" xfId="36973"/>
    <cellStyle name="메모 10 6 2 2 4" xfId="42892"/>
    <cellStyle name="메모 10 6 2 2 5" xfId="49726"/>
    <cellStyle name="메모 10 6 2 3" xfId="25880"/>
    <cellStyle name="메모 10 6 2 3 2" xfId="37841"/>
    <cellStyle name="메모 10 6 2 3 3" xfId="43766"/>
    <cellStyle name="메모 10 6 2 3 4" xfId="50600"/>
    <cellStyle name="메모 10 6 2 4" xfId="37919"/>
    <cellStyle name="메모 10 6 2 4 2" xfId="43844"/>
    <cellStyle name="메모 10 6 2 4 3" xfId="50678"/>
    <cellStyle name="메모 10 6 2 5" xfId="34632"/>
    <cellStyle name="메모 10 6 2 6" xfId="37502"/>
    <cellStyle name="메모 10 6 3" xfId="10833"/>
    <cellStyle name="메모 10 6 3 2" xfId="24061"/>
    <cellStyle name="메모 10 6 3 3" xfId="33463"/>
    <cellStyle name="메모 10 6 3 4" xfId="39648"/>
    <cellStyle name="메모 10 6 3 5" xfId="15810"/>
    <cellStyle name="메모 10 6 4" xfId="13725"/>
    <cellStyle name="메모 10 6 4 2" xfId="26953"/>
    <cellStyle name="메모 10 6 4 3" xfId="32400"/>
    <cellStyle name="메모 10 6 4 4" xfId="38618"/>
    <cellStyle name="메모 10 6 4 5" xfId="18635"/>
    <cellStyle name="메모 10 6 5" xfId="13909"/>
    <cellStyle name="메모 10 6 5 2" xfId="27137"/>
    <cellStyle name="메모 10 6 5 3" xfId="29761"/>
    <cellStyle name="메모 10 6 5 4" xfId="16326"/>
    <cellStyle name="메모 10 6 5 5" xfId="44319"/>
    <cellStyle name="메모 10 6 6" xfId="14248"/>
    <cellStyle name="메모 10 6 6 2" xfId="27476"/>
    <cellStyle name="메모 10 6 6 3" xfId="43159"/>
    <cellStyle name="메모 10 6 6 4" xfId="49993"/>
    <cellStyle name="메모 10 6 7" xfId="30693"/>
    <cellStyle name="메모 10 6 7 2" xfId="14689"/>
    <cellStyle name="메모 10 6 7 3" xfId="30029"/>
    <cellStyle name="메모 10 6 8" xfId="29151"/>
    <cellStyle name="메모 10 6 9" xfId="34102"/>
    <cellStyle name="메모 10 7" xfId="10134"/>
    <cellStyle name="메모 10 7 2" xfId="8587"/>
    <cellStyle name="메모 10 7 2 2" xfId="21815"/>
    <cellStyle name="메모 10 7 2 3" xfId="33080"/>
    <cellStyle name="메모 10 7 2 4" xfId="44365"/>
    <cellStyle name="메모 10 7 2 5" xfId="15808"/>
    <cellStyle name="메모 10 7 3" xfId="23362"/>
    <cellStyle name="메모 10 7 3 2" xfId="35566"/>
    <cellStyle name="메모 10 7 3 3" xfId="41442"/>
    <cellStyle name="메모 10 7 3 4" xfId="48276"/>
    <cellStyle name="메모 10 7 4" xfId="36881"/>
    <cellStyle name="메모 10 7 4 2" xfId="42796"/>
    <cellStyle name="메모 10 7 4 3" xfId="49630"/>
    <cellStyle name="메모 10 7 5" xfId="31969"/>
    <cellStyle name="메모 10 7 5 2" xfId="38192"/>
    <cellStyle name="메모 10 7 5 3" xfId="45642"/>
    <cellStyle name="메모 10 7 6" xfId="28777"/>
    <cellStyle name="메모 10 7 7" xfId="18491"/>
    <cellStyle name="메모 10 7 8" xfId="45200"/>
    <cellStyle name="메모 10 8" xfId="9093"/>
    <cellStyle name="메모 10 8 2" xfId="22321"/>
    <cellStyle name="메모 10 8 3" xfId="30748"/>
    <cellStyle name="메모 10 8 4" xfId="16922"/>
    <cellStyle name="메모 10 8 5" xfId="38416"/>
    <cellStyle name="메모 10 9" xfId="12992"/>
    <cellStyle name="메모 10 9 2" xfId="26220"/>
    <cellStyle name="메모 10 9 3" xfId="36873"/>
    <cellStyle name="메모 10 9 4" xfId="42785"/>
    <cellStyle name="메모 10 9 5" xfId="49619"/>
    <cellStyle name="메모 10_사업부문" xfId="53720"/>
    <cellStyle name="메모 11" xfId="51020"/>
    <cellStyle name="메모 11 2" xfId="53721"/>
    <cellStyle name="메모 11 3" xfId="53722"/>
    <cellStyle name="메모 11_사업부문" xfId="53723"/>
    <cellStyle name="메모 12" xfId="53724"/>
    <cellStyle name="메모 12 2" xfId="53725"/>
    <cellStyle name="메모 13" xfId="53726"/>
    <cellStyle name="메모 13 2" xfId="53727"/>
    <cellStyle name="메모 14" xfId="53728"/>
    <cellStyle name="메모 14 2" xfId="53729"/>
    <cellStyle name="메모 15" xfId="53730"/>
    <cellStyle name="메모 16" xfId="53731"/>
    <cellStyle name="메모 17" xfId="53732"/>
    <cellStyle name="메모 18" xfId="53733"/>
    <cellStyle name="메모 19" xfId="53734"/>
    <cellStyle name="메모 2" xfId="190"/>
    <cellStyle name="메모 2 10" xfId="2763"/>
    <cellStyle name="메모 2 10 2" xfId="2764"/>
    <cellStyle name="메모 2 10 2 2" xfId="6339"/>
    <cellStyle name="메모 2 10 2 2 2" xfId="11073"/>
    <cellStyle name="메모 2 10 2 2 2 2" xfId="24301"/>
    <cellStyle name="메모 2 10 2 2 2 3" xfId="33703"/>
    <cellStyle name="메모 2 10 2 2 2 4" xfId="44837"/>
    <cellStyle name="메모 2 10 2 2 2 5" xfId="15458"/>
    <cellStyle name="메모 2 10 2 2 3" xfId="12773"/>
    <cellStyle name="메모 2 10 2 2 3 2" xfId="26001"/>
    <cellStyle name="메모 2 10 2 2 3 3" xfId="36129"/>
    <cellStyle name="메모 2 10 2 2 3 4" xfId="42022"/>
    <cellStyle name="메모 2 10 2 2 3 5" xfId="48856"/>
    <cellStyle name="메모 2 10 2 2 4" xfId="19567"/>
    <cellStyle name="메모 2 10 2 2 4 2" xfId="36812"/>
    <cellStyle name="메모 2 10 2 2 4 3" xfId="42723"/>
    <cellStyle name="메모 2 10 2 2 4 4" xfId="49557"/>
    <cellStyle name="메모 2 10 2 2 5" xfId="31736"/>
    <cellStyle name="메모 2 10 2 2 5 2" xfId="37957"/>
    <cellStyle name="메모 2 10 2 2 5 3" xfId="17934"/>
    <cellStyle name="메모 2 10 2 2 6" xfId="29391"/>
    <cellStyle name="메모 2 10 2 2 7" xfId="16080"/>
    <cellStyle name="메모 2 10 2 2 8" xfId="44277"/>
    <cellStyle name="메모 2 10 2 3" xfId="9573"/>
    <cellStyle name="메모 2 10 2 3 10" xfId="40538"/>
    <cellStyle name="메모 2 10 2 3 11" xfId="40512"/>
    <cellStyle name="메모 2 10 2 3 2" xfId="13210"/>
    <cellStyle name="메모 2 10 2 3 2 2" xfId="26438"/>
    <cellStyle name="메모 2 10 2 3 2 3" xfId="32690"/>
    <cellStyle name="메모 2 10 2 3 2 4" xfId="38910"/>
    <cellStyle name="메모 2 10 2 3 2 5" xfId="45655"/>
    <cellStyle name="메모 2 10 2 3 3" xfId="7541"/>
    <cellStyle name="메모 2 10 2 3 3 2" xfId="20769"/>
    <cellStyle name="메모 2 10 2 3 3 3" xfId="35186"/>
    <cellStyle name="메모 2 10 2 3 3 4" xfId="45976"/>
    <cellStyle name="메모 2 10 2 3 3 5" xfId="47889"/>
    <cellStyle name="메모 2 10 2 3 4" xfId="13070"/>
    <cellStyle name="메모 2 10 2 3 4 2" xfId="26298"/>
    <cellStyle name="메모 2 10 2 3 4 3" xfId="31002"/>
    <cellStyle name="메모 2 10 2 3 4 4" xfId="17046"/>
    <cellStyle name="메모 2 10 2 3 4 5" xfId="40125"/>
    <cellStyle name="메모 2 10 2 3 5" xfId="7350"/>
    <cellStyle name="메모 2 10 2 3 5 2" xfId="20578"/>
    <cellStyle name="메모 2 10 2 3 5 3" xfId="19337"/>
    <cellStyle name="메모 2 10 2 3 5 4" xfId="15820"/>
    <cellStyle name="메모 2 10 2 3 6" xfId="22801"/>
    <cellStyle name="메모 2 10 2 3 6 2" xfId="37337"/>
    <cellStyle name="메모 2 10 2 3 6 3" xfId="43257"/>
    <cellStyle name="메모 2 10 2 3 6 4" xfId="50091"/>
    <cellStyle name="메모 2 10 2 3 7" xfId="37667"/>
    <cellStyle name="메모 2 10 2 3 7 2" xfId="43590"/>
    <cellStyle name="메모 2 10 2 3 7 3" xfId="50424"/>
    <cellStyle name="메모 2 10 2 3 8" xfId="37783"/>
    <cellStyle name="메모 2 10 2 3 8 2" xfId="43707"/>
    <cellStyle name="메모 2 10 2 3 8 3" xfId="50541"/>
    <cellStyle name="메모 2 10 2 3 9" xfId="28379"/>
    <cellStyle name="메모 2 10 2 4" xfId="7856"/>
    <cellStyle name="메모 2 10 2 4 2" xfId="21084"/>
    <cellStyle name="메모 2 10 2 5" xfId="16526"/>
    <cellStyle name="메모 2 10 3" xfId="6338"/>
    <cellStyle name="메모 2 10 3 2" xfId="11072"/>
    <cellStyle name="메모 2 10 3 2 2" xfId="24300"/>
    <cellStyle name="메모 2 10 3 2 3" xfId="33702"/>
    <cellStyle name="메모 2 10 3 2 4" xfId="44836"/>
    <cellStyle name="메모 2 10 3 2 5" xfId="39904"/>
    <cellStyle name="메모 2 10 3 3" xfId="8076"/>
    <cellStyle name="메모 2 10 3 3 2" xfId="21304"/>
    <cellStyle name="메모 2 10 3 3 3" xfId="36128"/>
    <cellStyle name="메모 2 10 3 3 4" xfId="42021"/>
    <cellStyle name="메모 2 10 3 3 5" xfId="48855"/>
    <cellStyle name="메모 2 10 3 4" xfId="19566"/>
    <cellStyle name="메모 2 10 3 4 2" xfId="37202"/>
    <cellStyle name="메모 2 10 3 4 3" xfId="43121"/>
    <cellStyle name="메모 2 10 3 4 4" xfId="49955"/>
    <cellStyle name="메모 2 10 3 5" xfId="31795"/>
    <cellStyle name="메모 2 10 3 5 2" xfId="38016"/>
    <cellStyle name="메모 2 10 3 5 3" xfId="15547"/>
    <cellStyle name="메모 2 10 3 6" xfId="29390"/>
    <cellStyle name="메모 2 10 3 7" xfId="16079"/>
    <cellStyle name="메모 2 10 3 8" xfId="45283"/>
    <cellStyle name="메모 2 10 3 9" xfId="51021"/>
    <cellStyle name="메모 2 10 4" xfId="9572"/>
    <cellStyle name="메모 2 10 4 10" xfId="39556"/>
    <cellStyle name="메모 2 10 4 11" xfId="34465"/>
    <cellStyle name="메모 2 10 4 2" xfId="13209"/>
    <cellStyle name="메모 2 10 4 2 2" xfId="26437"/>
    <cellStyle name="메모 2 10 4 2 3" xfId="32689"/>
    <cellStyle name="메모 2 10 4 2 4" xfId="38909"/>
    <cellStyle name="메모 2 10 4 2 5" xfId="34426"/>
    <cellStyle name="메모 2 10 4 3" xfId="7542"/>
    <cellStyle name="메모 2 10 4 3 2" xfId="20770"/>
    <cellStyle name="메모 2 10 4 3 3" xfId="35185"/>
    <cellStyle name="메모 2 10 4 3 4" xfId="45975"/>
    <cellStyle name="메모 2 10 4 3 5" xfId="47888"/>
    <cellStyle name="메모 2 10 4 4" xfId="14213"/>
    <cellStyle name="메모 2 10 4 4 2" xfId="27441"/>
    <cellStyle name="메모 2 10 4 4 3" xfId="31001"/>
    <cellStyle name="메모 2 10 4 4 4" xfId="17045"/>
    <cellStyle name="메모 2 10 4 4 5" xfId="38706"/>
    <cellStyle name="메모 2 10 4 5" xfId="12691"/>
    <cellStyle name="메모 2 10 4 5 2" xfId="25919"/>
    <cellStyle name="메모 2 10 4 5 3" xfId="42412"/>
    <cellStyle name="메모 2 10 4 5 4" xfId="49246"/>
    <cellStyle name="메모 2 10 4 6" xfId="22800"/>
    <cellStyle name="메모 2 10 4 6 2" xfId="32073"/>
    <cellStyle name="메모 2 10 4 6 3" xfId="38296"/>
    <cellStyle name="메모 2 10 4 6 4" xfId="33225"/>
    <cellStyle name="메모 2 10 4 7" xfId="29762"/>
    <cellStyle name="메모 2 10 4 7 2" xfId="35688"/>
    <cellStyle name="메모 2 10 4 7 3" xfId="33200"/>
    <cellStyle name="메모 2 10 4 8" xfId="34957"/>
    <cellStyle name="메모 2 10 4 8 2" xfId="40955"/>
    <cellStyle name="메모 2 10 4 8 3" xfId="47651"/>
    <cellStyle name="메모 2 10 4 9" xfId="28378"/>
    <cellStyle name="메모 2 10 5" xfId="7855"/>
    <cellStyle name="메모 2 10 5 2" xfId="21083"/>
    <cellStyle name="메모 2 10 6" xfId="40177"/>
    <cellStyle name="메모 2 11" xfId="2765"/>
    <cellStyle name="메모 2 11 2" xfId="2766"/>
    <cellStyle name="메모 2 11 2 2" xfId="6341"/>
    <cellStyle name="메모 2 11 2 2 2" xfId="11075"/>
    <cellStyle name="메모 2 11 2 2 2 2" xfId="24303"/>
    <cellStyle name="메모 2 11 2 2 2 3" xfId="33705"/>
    <cellStyle name="메모 2 11 2 2 2 4" xfId="44839"/>
    <cellStyle name="메모 2 11 2 2 2 5" xfId="39459"/>
    <cellStyle name="메모 2 11 2 2 3" xfId="8077"/>
    <cellStyle name="메모 2 11 2 2 3 2" xfId="21305"/>
    <cellStyle name="메모 2 11 2 2 3 3" xfId="36131"/>
    <cellStyle name="메모 2 11 2 2 3 4" xfId="42024"/>
    <cellStyle name="메모 2 11 2 2 3 5" xfId="48858"/>
    <cellStyle name="메모 2 11 2 2 4" xfId="19569"/>
    <cellStyle name="메모 2 11 2 2 4 2" xfId="37430"/>
    <cellStyle name="메모 2 11 2 2 4 3" xfId="43350"/>
    <cellStyle name="메모 2 11 2 2 4 4" xfId="50184"/>
    <cellStyle name="메모 2 11 2 2 5" xfId="35459"/>
    <cellStyle name="메모 2 11 2 2 5 2" xfId="41328"/>
    <cellStyle name="메모 2 11 2 2 5 3" xfId="48162"/>
    <cellStyle name="메모 2 11 2 2 6" xfId="29393"/>
    <cellStyle name="메모 2 11 2 2 7" xfId="16082"/>
    <cellStyle name="메모 2 11 2 2 8" xfId="44514"/>
    <cellStyle name="메모 2 11 2 3" xfId="9575"/>
    <cellStyle name="메모 2 11 2 3 10" xfId="17520"/>
    <cellStyle name="메모 2 11 2 3 11" xfId="40622"/>
    <cellStyle name="메모 2 11 2 3 2" xfId="13212"/>
    <cellStyle name="메모 2 11 2 3 2 2" xfId="26440"/>
    <cellStyle name="메모 2 11 2 3 2 3" xfId="32692"/>
    <cellStyle name="메모 2 11 2 3 2 4" xfId="38912"/>
    <cellStyle name="메모 2 11 2 3 2 5" xfId="45811"/>
    <cellStyle name="메모 2 11 2 3 3" xfId="6723"/>
    <cellStyle name="메모 2 11 2 3 3 2" xfId="19951"/>
    <cellStyle name="메모 2 11 2 3 3 3" xfId="35188"/>
    <cellStyle name="메모 2 11 2 3 3 4" xfId="45978"/>
    <cellStyle name="메모 2 11 2 3 3 5" xfId="47891"/>
    <cellStyle name="메모 2 11 2 3 4" xfId="14075"/>
    <cellStyle name="메모 2 11 2 3 4 2" xfId="27303"/>
    <cellStyle name="메모 2 11 2 3 4 3" xfId="31004"/>
    <cellStyle name="메모 2 11 2 3 4 4" xfId="18538"/>
    <cellStyle name="메모 2 11 2 3 4 5" xfId="15434"/>
    <cellStyle name="메모 2 11 2 3 5" xfId="14369"/>
    <cellStyle name="메모 2 11 2 3 5 2" xfId="27597"/>
    <cellStyle name="메모 2 11 2 3 5 3" xfId="40795"/>
    <cellStyle name="메모 2 11 2 3 5 4" xfId="34541"/>
    <cellStyle name="메모 2 11 2 3 6" xfId="22803"/>
    <cellStyle name="메모 2 11 2 3 6 2" xfId="37052"/>
    <cellStyle name="메모 2 11 2 3 6 3" xfId="42971"/>
    <cellStyle name="메모 2 11 2 3 6 4" xfId="49805"/>
    <cellStyle name="메모 2 11 2 3 7" xfId="37497"/>
    <cellStyle name="메모 2 11 2 3 7 2" xfId="43417"/>
    <cellStyle name="메모 2 11 2 3 7 3" xfId="50251"/>
    <cellStyle name="메모 2 11 2 3 8" xfId="36758"/>
    <cellStyle name="메모 2 11 2 3 8 2" xfId="42665"/>
    <cellStyle name="메모 2 11 2 3 8 3" xfId="49499"/>
    <cellStyle name="메모 2 11 2 3 9" xfId="28381"/>
    <cellStyle name="메모 2 11 2 4" xfId="7858"/>
    <cellStyle name="메모 2 11 2 4 2" xfId="21086"/>
    <cellStyle name="메모 2 11 2 5" xfId="36846"/>
    <cellStyle name="메모 2 11 3" xfId="6340"/>
    <cellStyle name="메모 2 11 3 2" xfId="11074"/>
    <cellStyle name="메모 2 11 3 2 2" xfId="24302"/>
    <cellStyle name="메모 2 11 3 2 3" xfId="33704"/>
    <cellStyle name="메모 2 11 3 2 4" xfId="44838"/>
    <cellStyle name="메모 2 11 3 2 5" xfId="39900"/>
    <cellStyle name="메모 2 11 3 3" xfId="8078"/>
    <cellStyle name="메모 2 11 3 3 2" xfId="21306"/>
    <cellStyle name="메모 2 11 3 3 3" xfId="36130"/>
    <cellStyle name="메모 2 11 3 3 4" xfId="42023"/>
    <cellStyle name="메모 2 11 3 3 5" xfId="48857"/>
    <cellStyle name="메모 2 11 3 4" xfId="19568"/>
    <cellStyle name="메모 2 11 3 4 2" xfId="32060"/>
    <cellStyle name="메모 2 11 3 4 3" xfId="38283"/>
    <cellStyle name="메모 2 11 3 4 4" xfId="28734"/>
    <cellStyle name="메모 2 11 3 5" xfId="31712"/>
    <cellStyle name="메모 2 11 3 5 2" xfId="17769"/>
    <cellStyle name="메모 2 11 3 5 3" xfId="44185"/>
    <cellStyle name="메모 2 11 3 6" xfId="29392"/>
    <cellStyle name="메모 2 11 3 7" xfId="16081"/>
    <cellStyle name="메모 2 11 3 8" xfId="32510"/>
    <cellStyle name="메모 2 11 3 9" xfId="51022"/>
    <cellStyle name="메모 2 11 4" xfId="9574"/>
    <cellStyle name="메모 2 11 4 10" xfId="15920"/>
    <cellStyle name="메모 2 11 4 11" xfId="28737"/>
    <cellStyle name="메모 2 11 4 2" xfId="13211"/>
    <cellStyle name="메모 2 11 4 2 2" xfId="26439"/>
    <cellStyle name="메모 2 11 4 2 3" xfId="32691"/>
    <cellStyle name="메모 2 11 4 2 4" xfId="38911"/>
    <cellStyle name="메모 2 11 4 2 5" xfId="47418"/>
    <cellStyle name="메모 2 11 4 3" xfId="8567"/>
    <cellStyle name="메모 2 11 4 3 2" xfId="21795"/>
    <cellStyle name="메모 2 11 4 3 3" xfId="35187"/>
    <cellStyle name="메모 2 11 4 3 4" xfId="45977"/>
    <cellStyle name="메모 2 11 4 3 5" xfId="47890"/>
    <cellStyle name="메모 2 11 4 4" xfId="7196"/>
    <cellStyle name="메모 2 11 4 4 2" xfId="20424"/>
    <cellStyle name="메모 2 11 4 4 3" xfId="29827"/>
    <cellStyle name="메모 2 11 4 4 4" xfId="17679"/>
    <cellStyle name="메모 2 11 4 4 5" xfId="44558"/>
    <cellStyle name="메모 2 11 4 5" xfId="8006"/>
    <cellStyle name="메모 2 11 4 5 2" xfId="21234"/>
    <cellStyle name="메모 2 11 4 5 3" xfId="18110"/>
    <cellStyle name="메모 2 11 4 5 4" xfId="44442"/>
    <cellStyle name="메모 2 11 4 6" xfId="22802"/>
    <cellStyle name="메모 2 11 4 6 2" xfId="30866"/>
    <cellStyle name="메모 2 11 4 6 3" xfId="28013"/>
    <cellStyle name="메모 2 11 4 6 4" xfId="15850"/>
    <cellStyle name="메모 2 11 4 7" xfId="35841"/>
    <cellStyle name="메모 2 11 4 7 2" xfId="41730"/>
    <cellStyle name="메모 2 11 4 7 3" xfId="48564"/>
    <cellStyle name="메모 2 11 4 8" xfId="37196"/>
    <cellStyle name="메모 2 11 4 8 2" xfId="43115"/>
    <cellStyle name="메모 2 11 4 8 3" xfId="49949"/>
    <cellStyle name="메모 2 11 4 9" xfId="28380"/>
    <cellStyle name="메모 2 11 5" xfId="7857"/>
    <cellStyle name="메모 2 11 5 2" xfId="21085"/>
    <cellStyle name="메모 2 11 6" xfId="29099"/>
    <cellStyle name="메모 2 12" xfId="2767"/>
    <cellStyle name="메모 2 12 2" xfId="2768"/>
    <cellStyle name="메모 2 12 2 2" xfId="6343"/>
    <cellStyle name="메모 2 12 2 2 2" xfId="11077"/>
    <cellStyle name="메모 2 12 2 2 2 2" xfId="24305"/>
    <cellStyle name="메모 2 12 2 2 2 3" xfId="33707"/>
    <cellStyle name="메모 2 12 2 2 2 4" xfId="44841"/>
    <cellStyle name="메모 2 12 2 2 2 5" xfId="41210"/>
    <cellStyle name="메모 2 12 2 2 3" xfId="12819"/>
    <cellStyle name="메모 2 12 2 2 3 2" xfId="26047"/>
    <cellStyle name="메모 2 12 2 2 3 3" xfId="36133"/>
    <cellStyle name="메모 2 12 2 2 3 4" xfId="42026"/>
    <cellStyle name="메모 2 12 2 2 3 5" xfId="48860"/>
    <cellStyle name="메모 2 12 2 2 4" xfId="19571"/>
    <cellStyle name="메모 2 12 2 2 4 2" xfId="36913"/>
    <cellStyle name="메모 2 12 2 2 4 3" xfId="42828"/>
    <cellStyle name="메모 2 12 2 2 4 4" xfId="49662"/>
    <cellStyle name="메모 2 12 2 2 5" xfId="36868"/>
    <cellStyle name="메모 2 12 2 2 5 2" xfId="42780"/>
    <cellStyle name="메모 2 12 2 2 5 3" xfId="49614"/>
    <cellStyle name="메모 2 12 2 2 6" xfId="29395"/>
    <cellStyle name="메모 2 12 2 2 7" xfId="16084"/>
    <cellStyle name="메모 2 12 2 2 8" xfId="33375"/>
    <cellStyle name="메모 2 12 2 3" xfId="9577"/>
    <cellStyle name="메모 2 12 2 3 10" xfId="15421"/>
    <cellStyle name="메모 2 12 2 3 11" xfId="33334"/>
    <cellStyle name="메모 2 12 2 3 2" xfId="13214"/>
    <cellStyle name="메모 2 12 2 3 2 2" xfId="26442"/>
    <cellStyle name="메모 2 12 2 3 2 3" xfId="32694"/>
    <cellStyle name="메모 2 12 2 3 2 4" xfId="38914"/>
    <cellStyle name="메모 2 12 2 3 2 5" xfId="45620"/>
    <cellStyle name="메모 2 12 2 3 3" xfId="8568"/>
    <cellStyle name="메모 2 12 2 3 3 2" xfId="21796"/>
    <cellStyle name="메모 2 12 2 3 3 3" xfId="35190"/>
    <cellStyle name="메모 2 12 2 3 3 4" xfId="45980"/>
    <cellStyle name="메모 2 12 2 3 3 5" xfId="47893"/>
    <cellStyle name="메모 2 12 2 3 4" xfId="8555"/>
    <cellStyle name="메모 2 12 2 3 4 2" xfId="21783"/>
    <cellStyle name="메모 2 12 2 3 4 3" xfId="31017"/>
    <cellStyle name="메모 2 12 2 3 4 4" xfId="18549"/>
    <cellStyle name="메모 2 12 2 3 4 5" xfId="28196"/>
    <cellStyle name="메모 2 12 2 3 5" xfId="8453"/>
    <cellStyle name="메모 2 12 2 3 5 2" xfId="21681"/>
    <cellStyle name="메모 2 12 2 3 5 3" xfId="42858"/>
    <cellStyle name="메모 2 12 2 3 5 4" xfId="49692"/>
    <cellStyle name="메모 2 12 2 3 6" xfId="22805"/>
    <cellStyle name="메모 2 12 2 3 6 2" xfId="32091"/>
    <cellStyle name="메모 2 12 2 3 6 3" xfId="38314"/>
    <cellStyle name="메모 2 12 2 3 6 4" xfId="39365"/>
    <cellStyle name="메모 2 12 2 3 7" xfId="37617"/>
    <cellStyle name="메모 2 12 2 3 7 2" xfId="43540"/>
    <cellStyle name="메모 2 12 2 3 7 3" xfId="50374"/>
    <cellStyle name="메모 2 12 2 3 8" xfId="34742"/>
    <cellStyle name="메모 2 12 2 3 8 2" xfId="40734"/>
    <cellStyle name="메모 2 12 2 3 8 3" xfId="40346"/>
    <cellStyle name="메모 2 12 2 3 9" xfId="28383"/>
    <cellStyle name="메모 2 12 2 4" xfId="7860"/>
    <cellStyle name="메모 2 12 2 4 2" xfId="21088"/>
    <cellStyle name="메모 2 12 2 5" xfId="39539"/>
    <cellStyle name="메모 2 12 3" xfId="6342"/>
    <cellStyle name="메모 2 12 3 2" xfId="11076"/>
    <cellStyle name="메모 2 12 3 2 2" xfId="24304"/>
    <cellStyle name="메모 2 12 3 2 3" xfId="33706"/>
    <cellStyle name="메모 2 12 3 2 4" xfId="44840"/>
    <cellStyle name="메모 2 12 3 2 5" xfId="34524"/>
    <cellStyle name="메모 2 12 3 3" xfId="12705"/>
    <cellStyle name="메모 2 12 3 3 2" xfId="25933"/>
    <cellStyle name="메모 2 12 3 3 3" xfId="36132"/>
    <cellStyle name="메모 2 12 3 3 4" xfId="42025"/>
    <cellStyle name="메모 2 12 3 3 5" xfId="48859"/>
    <cellStyle name="메모 2 12 3 4" xfId="19570"/>
    <cellStyle name="메모 2 12 3 4 2" xfId="30275"/>
    <cellStyle name="메모 2 12 3 4 3" xfId="14647"/>
    <cellStyle name="메모 2 12 3 4 4" xfId="28715"/>
    <cellStyle name="메모 2 12 3 5" xfId="36887"/>
    <cellStyle name="메모 2 12 3 5 2" xfId="42802"/>
    <cellStyle name="메모 2 12 3 5 3" xfId="49636"/>
    <cellStyle name="메모 2 12 3 6" xfId="29394"/>
    <cellStyle name="메모 2 12 3 7" xfId="16083"/>
    <cellStyle name="메모 2 12 3 8" xfId="45483"/>
    <cellStyle name="메모 2 12 3 9" xfId="51023"/>
    <cellStyle name="메모 2 12 4" xfId="9576"/>
    <cellStyle name="메모 2 12 4 10" xfId="15451"/>
    <cellStyle name="메모 2 12 4 11" xfId="29097"/>
    <cellStyle name="메모 2 12 4 2" xfId="13213"/>
    <cellStyle name="메모 2 12 4 2 2" xfId="26441"/>
    <cellStyle name="메모 2 12 4 2 3" xfId="32693"/>
    <cellStyle name="메모 2 12 4 2 4" xfId="38913"/>
    <cellStyle name="메모 2 12 4 2 5" xfId="17927"/>
    <cellStyle name="메모 2 12 4 3" xfId="7543"/>
    <cellStyle name="메모 2 12 4 3 2" xfId="20771"/>
    <cellStyle name="메모 2 12 4 3 3" xfId="35189"/>
    <cellStyle name="메모 2 12 4 3 4" xfId="45979"/>
    <cellStyle name="메모 2 12 4 3 5" xfId="47892"/>
    <cellStyle name="메모 2 12 4 4" xfId="13668"/>
    <cellStyle name="메모 2 12 4 4 2" xfId="26896"/>
    <cellStyle name="메모 2 12 4 4 3" xfId="31003"/>
    <cellStyle name="메모 2 12 4 4 4" xfId="14713"/>
    <cellStyle name="메모 2 12 4 4 5" xfId="17707"/>
    <cellStyle name="메모 2 12 4 5" xfId="12870"/>
    <cellStyle name="메모 2 12 4 5 2" xfId="26098"/>
    <cellStyle name="메모 2 12 4 5 3" xfId="41761"/>
    <cellStyle name="메모 2 12 4 5 4" xfId="48595"/>
    <cellStyle name="메모 2 12 4 6" xfId="22804"/>
    <cellStyle name="메모 2 12 4 6 2" xfId="36804"/>
    <cellStyle name="메모 2 12 4 6 3" xfId="42715"/>
    <cellStyle name="메모 2 12 4 6 4" xfId="49549"/>
    <cellStyle name="메모 2 12 4 7" xfId="36883"/>
    <cellStyle name="메모 2 12 4 7 2" xfId="42798"/>
    <cellStyle name="메모 2 12 4 7 3" xfId="49632"/>
    <cellStyle name="메모 2 12 4 8" xfId="35685"/>
    <cellStyle name="메모 2 12 4 8 2" xfId="41565"/>
    <cellStyle name="메모 2 12 4 8 3" xfId="48399"/>
    <cellStyle name="메모 2 12 4 9" xfId="28382"/>
    <cellStyle name="메모 2 12 5" xfId="7859"/>
    <cellStyle name="메모 2 12 5 2" xfId="21087"/>
    <cellStyle name="메모 2 12 6" xfId="40520"/>
    <cellStyle name="메모 2 13" xfId="2769"/>
    <cellStyle name="메모 2 13 2" xfId="2770"/>
    <cellStyle name="메모 2 13 2 2" xfId="6345"/>
    <cellStyle name="메모 2 13 2 2 2" xfId="11079"/>
    <cellStyle name="메모 2 13 2 2 2 2" xfId="24307"/>
    <cellStyle name="메모 2 13 2 2 2 3" xfId="33709"/>
    <cellStyle name="메모 2 13 2 2 2 4" xfId="44843"/>
    <cellStyle name="메모 2 13 2 2 2 5" xfId="39901"/>
    <cellStyle name="메모 2 13 2 2 3" xfId="8756"/>
    <cellStyle name="메모 2 13 2 2 3 2" xfId="21984"/>
    <cellStyle name="메모 2 13 2 2 3 3" xfId="36135"/>
    <cellStyle name="메모 2 13 2 2 3 4" xfId="42028"/>
    <cellStyle name="메모 2 13 2 2 3 5" xfId="48862"/>
    <cellStyle name="메모 2 13 2 2 4" xfId="19573"/>
    <cellStyle name="메모 2 13 2 2 4 2" xfId="32320"/>
    <cellStyle name="메모 2 13 2 2 4 3" xfId="38538"/>
    <cellStyle name="메모 2 13 2 2 4 4" xfId="15541"/>
    <cellStyle name="메모 2 13 2 2 5" xfId="35802"/>
    <cellStyle name="메모 2 13 2 2 5 2" xfId="41686"/>
    <cellStyle name="메모 2 13 2 2 5 3" xfId="48520"/>
    <cellStyle name="메모 2 13 2 2 6" xfId="29397"/>
    <cellStyle name="메모 2 13 2 2 7" xfId="18648"/>
    <cellStyle name="메모 2 13 2 2 8" xfId="33213"/>
    <cellStyle name="메모 2 13 2 3" xfId="9579"/>
    <cellStyle name="메모 2 13 2 3 10" xfId="40093"/>
    <cellStyle name="메모 2 13 2 3 11" xfId="45157"/>
    <cellStyle name="메모 2 13 2 3 2" xfId="13216"/>
    <cellStyle name="메모 2 13 2 3 2 2" xfId="26444"/>
    <cellStyle name="메모 2 13 2 3 2 3" xfId="32696"/>
    <cellStyle name="메모 2 13 2 3 2 4" xfId="38916"/>
    <cellStyle name="메모 2 13 2 3 2 5" xfId="46319"/>
    <cellStyle name="메모 2 13 2 3 3" xfId="7545"/>
    <cellStyle name="메모 2 13 2 3 3 2" xfId="20773"/>
    <cellStyle name="메모 2 13 2 3 3 3" xfId="35192"/>
    <cellStyle name="메모 2 13 2 3 3 4" xfId="45982"/>
    <cellStyle name="메모 2 13 2 3 3 5" xfId="47895"/>
    <cellStyle name="메모 2 13 2 3 4" xfId="13485"/>
    <cellStyle name="메모 2 13 2 3 4 2" xfId="26713"/>
    <cellStyle name="메모 2 13 2 3 4 3" xfId="29828"/>
    <cellStyle name="메모 2 13 2 3 4 4" xfId="16350"/>
    <cellStyle name="메모 2 13 2 3 4 5" xfId="45528"/>
    <cellStyle name="메모 2 13 2 3 5" xfId="14318"/>
    <cellStyle name="메모 2 13 2 3 5 2" xfId="27546"/>
    <cellStyle name="메모 2 13 2 3 5 3" xfId="42621"/>
    <cellStyle name="메모 2 13 2 3 5 4" xfId="49455"/>
    <cellStyle name="메모 2 13 2 3 6" xfId="22807"/>
    <cellStyle name="메모 2 13 2 3 6 2" xfId="34796"/>
    <cellStyle name="메모 2 13 2 3 6 3" xfId="40792"/>
    <cellStyle name="메모 2 13 2 3 6 4" xfId="33372"/>
    <cellStyle name="메모 2 13 2 3 7" xfId="32038"/>
    <cellStyle name="메모 2 13 2 3 7 2" xfId="38261"/>
    <cellStyle name="메모 2 13 2 3 7 3" xfId="47568"/>
    <cellStyle name="메모 2 13 2 3 8" xfId="32054"/>
    <cellStyle name="메모 2 13 2 3 8 2" xfId="38277"/>
    <cellStyle name="메모 2 13 2 3 8 3" xfId="46183"/>
    <cellStyle name="메모 2 13 2 3 9" xfId="28385"/>
    <cellStyle name="메모 2 13 2 4" xfId="7862"/>
    <cellStyle name="메모 2 13 2 4 2" xfId="21090"/>
    <cellStyle name="메모 2 13 2 5" xfId="39194"/>
    <cellStyle name="메모 2 13 3" xfId="6344"/>
    <cellStyle name="메모 2 13 3 2" xfId="11078"/>
    <cellStyle name="메모 2 13 3 2 2" xfId="24306"/>
    <cellStyle name="메모 2 13 3 2 3" xfId="33708"/>
    <cellStyle name="메모 2 13 3 2 4" xfId="44842"/>
    <cellStyle name="메모 2 13 3 2 5" xfId="17467"/>
    <cellStyle name="메모 2 13 3 3" xfId="12706"/>
    <cellStyle name="메모 2 13 3 3 2" xfId="25934"/>
    <cellStyle name="메모 2 13 3 3 3" xfId="36134"/>
    <cellStyle name="메모 2 13 3 3 4" xfId="42027"/>
    <cellStyle name="메모 2 13 3 3 5" xfId="48861"/>
    <cellStyle name="메모 2 13 3 4" xfId="19572"/>
    <cellStyle name="메모 2 13 3 4 2" xfId="34668"/>
    <cellStyle name="메모 2 13 3 4 3" xfId="40657"/>
    <cellStyle name="메모 2 13 3 4 4" xfId="29114"/>
    <cellStyle name="메모 2 13 3 5" xfId="30337"/>
    <cellStyle name="메모 2 13 3 5 2" xfId="16758"/>
    <cellStyle name="메모 2 13 3 5 3" xfId="44526"/>
    <cellStyle name="메모 2 13 3 6" xfId="29396"/>
    <cellStyle name="메모 2 13 3 7" xfId="16085"/>
    <cellStyle name="메모 2 13 3 8" xfId="39343"/>
    <cellStyle name="메모 2 13 3 9" xfId="51024"/>
    <cellStyle name="메모 2 13 4" xfId="9578"/>
    <cellStyle name="메모 2 13 4 10" xfId="16467"/>
    <cellStyle name="메모 2 13 4 11" xfId="34108"/>
    <cellStyle name="메모 2 13 4 2" xfId="13215"/>
    <cellStyle name="메모 2 13 4 2 2" xfId="26443"/>
    <cellStyle name="메모 2 13 4 2 3" xfId="32695"/>
    <cellStyle name="메모 2 13 4 2 4" xfId="38915"/>
    <cellStyle name="메모 2 13 4 2 5" xfId="45796"/>
    <cellStyle name="메모 2 13 4 3" xfId="7544"/>
    <cellStyle name="메모 2 13 4 3 2" xfId="20772"/>
    <cellStyle name="메모 2 13 4 3 3" xfId="35191"/>
    <cellStyle name="메모 2 13 4 3 4" xfId="45981"/>
    <cellStyle name="메모 2 13 4 3 5" xfId="47894"/>
    <cellStyle name="메모 2 13 4 4" xfId="8531"/>
    <cellStyle name="메모 2 13 4 4 2" xfId="21759"/>
    <cellStyle name="메모 2 13 4 4 3" xfId="34688"/>
    <cellStyle name="메모 2 13 4 4 4" xfId="40678"/>
    <cellStyle name="메모 2 13 4 4 5" xfId="17484"/>
    <cellStyle name="메모 2 13 4 5" xfId="7762"/>
    <cellStyle name="메모 2 13 4 5 2" xfId="20990"/>
    <cellStyle name="메모 2 13 4 5 3" xfId="41404"/>
    <cellStyle name="메모 2 13 4 5 4" xfId="48238"/>
    <cellStyle name="메모 2 13 4 6" xfId="22806"/>
    <cellStyle name="메모 2 13 4 6 2" xfId="31963"/>
    <cellStyle name="메모 2 13 4 6 3" xfId="38186"/>
    <cellStyle name="메모 2 13 4 6 4" xfId="18115"/>
    <cellStyle name="메모 2 13 4 7" xfId="30200"/>
    <cellStyle name="메모 2 13 4 7 2" xfId="16655"/>
    <cellStyle name="메모 2 13 4 7 3" xfId="44528"/>
    <cellStyle name="메모 2 13 4 8" xfId="37480"/>
    <cellStyle name="메모 2 13 4 8 2" xfId="43400"/>
    <cellStyle name="메모 2 13 4 8 3" xfId="50234"/>
    <cellStyle name="메모 2 13 4 9" xfId="28384"/>
    <cellStyle name="메모 2 13 5" xfId="7861"/>
    <cellStyle name="메모 2 13 5 2" xfId="21089"/>
    <cellStyle name="메모 2 13 6" xfId="28861"/>
    <cellStyle name="메모 2 14" xfId="2771"/>
    <cellStyle name="메모 2 14 2" xfId="2772"/>
    <cellStyle name="메모 2 14 2 2" xfId="6347"/>
    <cellStyle name="메모 2 14 2 2 2" xfId="11081"/>
    <cellStyle name="메모 2 14 2 2 2 2" xfId="24309"/>
    <cellStyle name="메모 2 14 2 2 2 3" xfId="33711"/>
    <cellStyle name="메모 2 14 2 2 2 4" xfId="44845"/>
    <cellStyle name="메모 2 14 2 2 2 5" xfId="29047"/>
    <cellStyle name="메모 2 14 2 2 3" xfId="12703"/>
    <cellStyle name="메모 2 14 2 2 3 2" xfId="25931"/>
    <cellStyle name="메모 2 14 2 2 3 3" xfId="36137"/>
    <cellStyle name="메모 2 14 2 2 3 4" xfId="42030"/>
    <cellStyle name="메모 2 14 2 2 3 5" xfId="48864"/>
    <cellStyle name="메모 2 14 2 2 4" xfId="19575"/>
    <cellStyle name="메모 2 14 2 2 4 2" xfId="35707"/>
    <cellStyle name="메모 2 14 2 2 4 3" xfId="41591"/>
    <cellStyle name="메모 2 14 2 2 4 4" xfId="48425"/>
    <cellStyle name="메모 2 14 2 2 5" xfId="34723"/>
    <cellStyle name="메모 2 14 2 2 5 2" xfId="40713"/>
    <cellStyle name="메모 2 14 2 2 5 3" xfId="17499"/>
    <cellStyle name="메모 2 14 2 2 6" xfId="29399"/>
    <cellStyle name="메모 2 14 2 2 7" xfId="16088"/>
    <cellStyle name="메모 2 14 2 2 8" xfId="44056"/>
    <cellStyle name="메모 2 14 2 3" xfId="9581"/>
    <cellStyle name="메모 2 14 2 3 10" xfId="28648"/>
    <cellStyle name="메모 2 14 2 3 11" xfId="40586"/>
    <cellStyle name="메모 2 14 2 3 2" xfId="13218"/>
    <cellStyle name="메모 2 14 2 3 2 2" xfId="26446"/>
    <cellStyle name="메모 2 14 2 3 2 3" xfId="32698"/>
    <cellStyle name="메모 2 14 2 3 2 4" xfId="38918"/>
    <cellStyle name="메모 2 14 2 3 2 5" xfId="15566"/>
    <cellStyle name="메모 2 14 2 3 3" xfId="6724"/>
    <cellStyle name="메모 2 14 2 3 3 2" xfId="19952"/>
    <cellStyle name="메모 2 14 2 3 3 3" xfId="35194"/>
    <cellStyle name="메모 2 14 2 3 3 4" xfId="45984"/>
    <cellStyle name="메모 2 14 2 3 3 5" xfId="47897"/>
    <cellStyle name="메모 2 14 2 3 4" xfId="7195"/>
    <cellStyle name="메모 2 14 2 3 4 2" xfId="20423"/>
    <cellStyle name="메모 2 14 2 3 4 3" xfId="31005"/>
    <cellStyle name="메모 2 14 2 3 4 4" xfId="18539"/>
    <cellStyle name="메모 2 14 2 3 4 5" xfId="15469"/>
    <cellStyle name="메모 2 14 2 3 5" xfId="8319"/>
    <cellStyle name="메모 2 14 2 3 5 2" xfId="21547"/>
    <cellStyle name="메모 2 14 2 3 5 3" xfId="42757"/>
    <cellStyle name="메모 2 14 2 3 5 4" xfId="49591"/>
    <cellStyle name="메모 2 14 2 3 6" xfId="22809"/>
    <cellStyle name="메모 2 14 2 3 6 2" xfId="32369"/>
    <cellStyle name="메모 2 14 2 3 6 3" xfId="38587"/>
    <cellStyle name="메모 2 14 2 3 6 4" xfId="40376"/>
    <cellStyle name="메모 2 14 2 3 7" xfId="29766"/>
    <cellStyle name="메모 2 14 2 3 7 2" xfId="31748"/>
    <cellStyle name="메모 2 14 2 3 7 3" xfId="33400"/>
    <cellStyle name="메모 2 14 2 3 8" xfId="37747"/>
    <cellStyle name="메모 2 14 2 3 8 2" xfId="43671"/>
    <cellStyle name="메모 2 14 2 3 8 3" xfId="50505"/>
    <cellStyle name="메모 2 14 2 3 9" xfId="28387"/>
    <cellStyle name="메모 2 14 2 4" xfId="7864"/>
    <cellStyle name="메모 2 14 2 4 2" xfId="21092"/>
    <cellStyle name="메모 2 14 2 5" xfId="38415"/>
    <cellStyle name="메모 2 14 3" xfId="6346"/>
    <cellStyle name="메모 2 14 3 2" xfId="11080"/>
    <cellStyle name="메모 2 14 3 2 2" xfId="24308"/>
    <cellStyle name="메모 2 14 3 2 3" xfId="33710"/>
    <cellStyle name="메모 2 14 3 2 4" xfId="44844"/>
    <cellStyle name="메모 2 14 3 2 5" xfId="39460"/>
    <cellStyle name="메모 2 14 3 3" xfId="6789"/>
    <cellStyle name="메모 2 14 3 3 2" xfId="20017"/>
    <cellStyle name="메모 2 14 3 3 3" xfId="36136"/>
    <cellStyle name="메모 2 14 3 3 4" xfId="42029"/>
    <cellStyle name="메모 2 14 3 3 5" xfId="48863"/>
    <cellStyle name="메모 2 14 3 4" xfId="19574"/>
    <cellStyle name="메모 2 14 3 4 2" xfId="31928"/>
    <cellStyle name="메모 2 14 3 4 3" xfId="38150"/>
    <cellStyle name="메모 2 14 3 4 4" xfId="43928"/>
    <cellStyle name="메모 2 14 3 5" xfId="36837"/>
    <cellStyle name="메모 2 14 3 5 2" xfId="42748"/>
    <cellStyle name="메모 2 14 3 5 3" xfId="49582"/>
    <cellStyle name="메모 2 14 3 6" xfId="29398"/>
    <cellStyle name="메모 2 14 3 7" xfId="16118"/>
    <cellStyle name="메모 2 14 3 8" xfId="45189"/>
    <cellStyle name="메모 2 14 3 9" xfId="51025"/>
    <cellStyle name="메모 2 14 4" xfId="9580"/>
    <cellStyle name="메모 2 14 4 10" xfId="38673"/>
    <cellStyle name="메모 2 14 4 11" xfId="44024"/>
    <cellStyle name="메모 2 14 4 2" xfId="13217"/>
    <cellStyle name="메모 2 14 4 2 2" xfId="26445"/>
    <cellStyle name="메모 2 14 4 2 3" xfId="32697"/>
    <cellStyle name="메모 2 14 4 2 4" xfId="38917"/>
    <cellStyle name="메모 2 14 4 2 5" xfId="47561"/>
    <cellStyle name="메모 2 14 4 3" xfId="8569"/>
    <cellStyle name="메모 2 14 4 3 2" xfId="21797"/>
    <cellStyle name="메모 2 14 4 3 3" xfId="35193"/>
    <cellStyle name="메모 2 14 4 3 4" xfId="45983"/>
    <cellStyle name="메모 2 14 4 3 5" xfId="47896"/>
    <cellStyle name="메모 2 14 4 4" xfId="14237"/>
    <cellStyle name="메모 2 14 4 4 2" xfId="27465"/>
    <cellStyle name="메모 2 14 4 4 3" xfId="31006"/>
    <cellStyle name="메모 2 14 4 4 4" xfId="17048"/>
    <cellStyle name="메모 2 14 4 4 5" xfId="28684"/>
    <cellStyle name="메모 2 14 4 5" xfId="13983"/>
    <cellStyle name="메모 2 14 4 5 2" xfId="27211"/>
    <cellStyle name="메모 2 14 4 5 3" xfId="41573"/>
    <cellStyle name="메모 2 14 4 5 4" xfId="48407"/>
    <cellStyle name="메모 2 14 4 6" xfId="22808"/>
    <cellStyle name="메모 2 14 4 6 2" xfId="30714"/>
    <cellStyle name="메모 2 14 4 6 3" xfId="16903"/>
    <cellStyle name="메모 2 14 4 6 4" xfId="45782"/>
    <cellStyle name="메모 2 14 4 7" xfId="35857"/>
    <cellStyle name="메모 2 14 4 7 2" xfId="41746"/>
    <cellStyle name="메모 2 14 4 7 3" xfId="48580"/>
    <cellStyle name="메모 2 14 4 8" xfId="37068"/>
    <cellStyle name="메모 2 14 4 8 2" xfId="42987"/>
    <cellStyle name="메모 2 14 4 8 3" xfId="49821"/>
    <cellStyle name="메모 2 14 4 9" xfId="28386"/>
    <cellStyle name="메모 2 14 5" xfId="7863"/>
    <cellStyle name="메모 2 14 5 2" xfId="21091"/>
    <cellStyle name="메모 2 14 6" xfId="40280"/>
    <cellStyle name="메모 2 15" xfId="2773"/>
    <cellStyle name="메모 2 15 2" xfId="2774"/>
    <cellStyle name="메모 2 15 2 2" xfId="6349"/>
    <cellStyle name="메모 2 15 2 2 2" xfId="11083"/>
    <cellStyle name="메모 2 15 2 2 2 2" xfId="24311"/>
    <cellStyle name="메모 2 15 2 2 2 3" xfId="33713"/>
    <cellStyle name="메모 2 15 2 2 2 4" xfId="44847"/>
    <cellStyle name="메모 2 15 2 2 2 5" xfId="29982"/>
    <cellStyle name="메모 2 15 2 2 3" xfId="12704"/>
    <cellStyle name="메모 2 15 2 2 3 2" xfId="25932"/>
    <cellStyle name="메모 2 15 2 2 3 3" xfId="36139"/>
    <cellStyle name="메모 2 15 2 2 3 4" xfId="42032"/>
    <cellStyle name="메모 2 15 2 2 3 5" xfId="48866"/>
    <cellStyle name="메모 2 15 2 2 4" xfId="19577"/>
    <cellStyle name="메모 2 15 2 2 4 2" xfId="30816"/>
    <cellStyle name="메모 2 15 2 2 4 3" xfId="16949"/>
    <cellStyle name="메모 2 15 2 2 4 4" xfId="28706"/>
    <cellStyle name="메모 2 15 2 2 5" xfId="36545"/>
    <cellStyle name="메모 2 15 2 2 5 2" xfId="42443"/>
    <cellStyle name="메모 2 15 2 2 5 3" xfId="49277"/>
    <cellStyle name="메모 2 15 2 2 6" xfId="29401"/>
    <cellStyle name="메모 2 15 2 2 7" xfId="17648"/>
    <cellStyle name="메모 2 15 2 2 8" xfId="44457"/>
    <cellStyle name="메모 2 15 2 3" xfId="9583"/>
    <cellStyle name="메모 2 15 2 3 10" xfId="40395"/>
    <cellStyle name="메모 2 15 2 3 11" xfId="45410"/>
    <cellStyle name="메모 2 15 2 3 2" xfId="13220"/>
    <cellStyle name="메모 2 15 2 3 2 2" xfId="26448"/>
    <cellStyle name="메모 2 15 2 3 2 3" xfId="32700"/>
    <cellStyle name="메모 2 15 2 3 2 4" xfId="38920"/>
    <cellStyle name="메모 2 15 2 3 2 5" xfId="47601"/>
    <cellStyle name="메모 2 15 2 3 3" xfId="7546"/>
    <cellStyle name="메모 2 15 2 3 3 2" xfId="20774"/>
    <cellStyle name="메모 2 15 2 3 3 3" xfId="35196"/>
    <cellStyle name="메모 2 15 2 3 3 4" xfId="45986"/>
    <cellStyle name="메모 2 15 2 3 3 5" xfId="47899"/>
    <cellStyle name="메모 2 15 2 3 4" xfId="14102"/>
    <cellStyle name="메모 2 15 2 3 4 2" xfId="27330"/>
    <cellStyle name="메모 2 15 2 3 4 3" xfId="31008"/>
    <cellStyle name="메모 2 15 2 3 4 4" xfId="18541"/>
    <cellStyle name="메모 2 15 2 3 4 5" xfId="40553"/>
    <cellStyle name="메모 2 15 2 3 5" xfId="6693"/>
    <cellStyle name="메모 2 15 2 3 5 2" xfId="19921"/>
    <cellStyle name="메모 2 15 2 3 5 3" xfId="42468"/>
    <cellStyle name="메모 2 15 2 3 5 4" xfId="49302"/>
    <cellStyle name="메모 2 15 2 3 6" xfId="22811"/>
    <cellStyle name="메모 2 15 2 3 6 2" xfId="31278"/>
    <cellStyle name="메모 2 15 2 3 6 3" xfId="17168"/>
    <cellStyle name="메모 2 15 2 3 6 4" xfId="29043"/>
    <cellStyle name="메모 2 15 2 3 7" xfId="35697"/>
    <cellStyle name="메모 2 15 2 3 7 2" xfId="41581"/>
    <cellStyle name="메모 2 15 2 3 7 3" xfId="48415"/>
    <cellStyle name="메모 2 15 2 3 8" xfId="36690"/>
    <cellStyle name="메모 2 15 2 3 8 2" xfId="42593"/>
    <cellStyle name="메모 2 15 2 3 8 3" xfId="49427"/>
    <cellStyle name="메모 2 15 2 3 9" xfId="28389"/>
    <cellStyle name="메모 2 15 2 4" xfId="7866"/>
    <cellStyle name="메모 2 15 2 4 2" xfId="21094"/>
    <cellStyle name="메모 2 15 2 5" xfId="32968"/>
    <cellStyle name="메모 2 15 3" xfId="6348"/>
    <cellStyle name="메모 2 15 3 2" xfId="11082"/>
    <cellStyle name="메모 2 15 3 2 2" xfId="24310"/>
    <cellStyle name="메모 2 15 3 2 3" xfId="33712"/>
    <cellStyle name="메모 2 15 3 2 4" xfId="44846"/>
    <cellStyle name="메모 2 15 3 2 5" xfId="41211"/>
    <cellStyle name="메모 2 15 3 3" xfId="12818"/>
    <cellStyle name="메모 2 15 3 3 2" xfId="26046"/>
    <cellStyle name="메모 2 15 3 3 3" xfId="36138"/>
    <cellStyle name="메모 2 15 3 3 4" xfId="42031"/>
    <cellStyle name="메모 2 15 3 3 5" xfId="48865"/>
    <cellStyle name="메모 2 15 3 4" xfId="19576"/>
    <cellStyle name="메모 2 15 3 4 2" xfId="29896"/>
    <cellStyle name="메모 2 15 3 4 3" xfId="16438"/>
    <cellStyle name="메모 2 15 3 4 4" xfId="44041"/>
    <cellStyle name="메모 2 15 3 5" xfId="37559"/>
    <cellStyle name="메모 2 15 3 5 2" xfId="43480"/>
    <cellStyle name="메모 2 15 3 5 3" xfId="50314"/>
    <cellStyle name="메모 2 15 3 6" xfId="29400"/>
    <cellStyle name="메모 2 15 3 7" xfId="28047"/>
    <cellStyle name="메모 2 15 3 8" xfId="33399"/>
    <cellStyle name="메모 2 15 3 9" xfId="51026"/>
    <cellStyle name="메모 2 15 4" xfId="9582"/>
    <cellStyle name="메모 2 15 4 10" xfId="39331"/>
    <cellStyle name="메모 2 15 4 11" xfId="44425"/>
    <cellStyle name="메모 2 15 4 2" xfId="13219"/>
    <cellStyle name="메모 2 15 4 2 2" xfId="26447"/>
    <cellStyle name="메모 2 15 4 2 3" xfId="32699"/>
    <cellStyle name="메모 2 15 4 2 4" xfId="38919"/>
    <cellStyle name="메모 2 15 4 2 5" xfId="47602"/>
    <cellStyle name="메모 2 15 4 3" xfId="7547"/>
    <cellStyle name="메모 2 15 4 3 2" xfId="20775"/>
    <cellStyle name="메모 2 15 4 3 3" xfId="35195"/>
    <cellStyle name="메모 2 15 4 3 4" xfId="45985"/>
    <cellStyle name="메모 2 15 4 3 5" xfId="47898"/>
    <cellStyle name="메모 2 15 4 4" xfId="13574"/>
    <cellStyle name="메모 2 15 4 4 2" xfId="26802"/>
    <cellStyle name="메모 2 15 4 4 3" xfId="29829"/>
    <cellStyle name="메모 2 15 4 4 4" xfId="14608"/>
    <cellStyle name="메모 2 15 4 4 5" xfId="28694"/>
    <cellStyle name="메모 2 15 4 5" xfId="8655"/>
    <cellStyle name="메모 2 15 4 5 2" xfId="21883"/>
    <cellStyle name="메모 2 15 4 5 3" xfId="41044"/>
    <cellStyle name="메모 2 15 4 5 4" xfId="47740"/>
    <cellStyle name="메모 2 15 4 6" xfId="22810"/>
    <cellStyle name="메모 2 15 4 6 2" xfId="37465"/>
    <cellStyle name="메모 2 15 4 6 3" xfId="43385"/>
    <cellStyle name="메모 2 15 4 6 4" xfId="50219"/>
    <cellStyle name="메모 2 15 4 7" xfId="37640"/>
    <cellStyle name="메모 2 15 4 7 2" xfId="43563"/>
    <cellStyle name="메모 2 15 4 7 3" xfId="50397"/>
    <cellStyle name="메모 2 15 4 8" xfId="34885"/>
    <cellStyle name="메모 2 15 4 8 2" xfId="40883"/>
    <cellStyle name="메모 2 15 4 8 3" xfId="32187"/>
    <cellStyle name="메모 2 15 4 9" xfId="28388"/>
    <cellStyle name="메모 2 15 5" xfId="7865"/>
    <cellStyle name="메모 2 15 5 2" xfId="21093"/>
    <cellStyle name="메모 2 15 6" xfId="15795"/>
    <cellStyle name="메모 2 16" xfId="2775"/>
    <cellStyle name="메모 2 16 2" xfId="2776"/>
    <cellStyle name="메모 2 16 2 2" xfId="6351"/>
    <cellStyle name="메모 2 16 2 2 2" xfId="11085"/>
    <cellStyle name="메모 2 16 2 2 2 2" xfId="24313"/>
    <cellStyle name="메모 2 16 2 2 2 3" xfId="33715"/>
    <cellStyle name="메모 2 16 2 2 2 4" xfId="44849"/>
    <cellStyle name="메모 2 16 2 2 2 5" xfId="39461"/>
    <cellStyle name="메모 2 16 2 2 3" xfId="8079"/>
    <cellStyle name="메모 2 16 2 2 3 2" xfId="21307"/>
    <cellStyle name="메모 2 16 2 2 3 3" xfId="36141"/>
    <cellStyle name="메모 2 16 2 2 3 4" xfId="42034"/>
    <cellStyle name="메모 2 16 2 2 3 5" xfId="48868"/>
    <cellStyle name="메모 2 16 2 2 4" xfId="19579"/>
    <cellStyle name="메모 2 16 2 2 4 2" xfId="29976"/>
    <cellStyle name="메모 2 16 2 2 4 3" xfId="16488"/>
    <cellStyle name="메모 2 16 2 2 4 4" xfId="45376"/>
    <cellStyle name="메모 2 16 2 2 5" xfId="35009"/>
    <cellStyle name="메모 2 16 2 2 5 2" xfId="41013"/>
    <cellStyle name="메모 2 16 2 2 5 3" xfId="47709"/>
    <cellStyle name="메모 2 16 2 2 6" xfId="29403"/>
    <cellStyle name="메모 2 16 2 2 7" xfId="16089"/>
    <cellStyle name="메모 2 16 2 2 8" xfId="40366"/>
    <cellStyle name="메모 2 16 2 3" xfId="9585"/>
    <cellStyle name="메모 2 16 2 3 10" xfId="38404"/>
    <cellStyle name="메모 2 16 2 3 11" xfId="32212"/>
    <cellStyle name="메모 2 16 2 3 2" xfId="13222"/>
    <cellStyle name="메모 2 16 2 3 2 2" xfId="26450"/>
    <cellStyle name="메모 2 16 2 3 2 3" xfId="32702"/>
    <cellStyle name="메모 2 16 2 3 2 4" xfId="38922"/>
    <cellStyle name="메모 2 16 2 3 2 5" xfId="45591"/>
    <cellStyle name="메모 2 16 2 3 3" xfId="7549"/>
    <cellStyle name="메모 2 16 2 3 3 2" xfId="20777"/>
    <cellStyle name="메모 2 16 2 3 3 3" xfId="35198"/>
    <cellStyle name="메모 2 16 2 3 3 4" xfId="45988"/>
    <cellStyle name="메모 2 16 2 3 3 5" xfId="47901"/>
    <cellStyle name="메모 2 16 2 3 4" xfId="13042"/>
    <cellStyle name="메모 2 16 2 3 4 2" xfId="26270"/>
    <cellStyle name="메모 2 16 2 3 4 3" xfId="29830"/>
    <cellStyle name="메모 2 16 2 3 4 4" xfId="16353"/>
    <cellStyle name="메모 2 16 2 3 4 5" xfId="15459"/>
    <cellStyle name="메모 2 16 2 3 5" xfId="12858"/>
    <cellStyle name="메모 2 16 2 3 5 2" xfId="26086"/>
    <cellStyle name="메모 2 16 2 3 5 3" xfId="41753"/>
    <cellStyle name="메모 2 16 2 3 5 4" xfId="48587"/>
    <cellStyle name="메모 2 16 2 3 6" xfId="22813"/>
    <cellStyle name="메모 2 16 2 3 6 2" xfId="31316"/>
    <cellStyle name="메모 2 16 2 3 6 3" xfId="17193"/>
    <cellStyle name="메모 2 16 2 3 6 4" xfId="46728"/>
    <cellStyle name="메모 2 16 2 3 7" xfId="30821"/>
    <cellStyle name="메모 2 16 2 3 7 2" xfId="27724"/>
    <cellStyle name="메모 2 16 2 3 7 3" xfId="39264"/>
    <cellStyle name="메모 2 16 2 3 8" xfId="30487"/>
    <cellStyle name="메모 2 16 2 3 8 2" xfId="14671"/>
    <cellStyle name="메모 2 16 2 3 8 3" xfId="44492"/>
    <cellStyle name="메모 2 16 2 3 9" xfId="28391"/>
    <cellStyle name="메모 2 16 2 4" xfId="7868"/>
    <cellStyle name="메모 2 16 2 4 2" xfId="21096"/>
    <cellStyle name="메모 2 16 2 5" xfId="28745"/>
    <cellStyle name="메모 2 16 3" xfId="6350"/>
    <cellStyle name="메모 2 16 3 2" xfId="11084"/>
    <cellStyle name="메모 2 16 3 2 2" xfId="24312"/>
    <cellStyle name="메모 2 16 3 2 3" xfId="33714"/>
    <cellStyle name="메모 2 16 3 2 4" xfId="44848"/>
    <cellStyle name="메모 2 16 3 2 5" xfId="39902"/>
    <cellStyle name="메모 2 16 3 3" xfId="8080"/>
    <cellStyle name="메모 2 16 3 3 2" xfId="21308"/>
    <cellStyle name="메모 2 16 3 3 3" xfId="36140"/>
    <cellStyle name="메모 2 16 3 3 4" xfId="42033"/>
    <cellStyle name="메모 2 16 3 3 5" xfId="48867"/>
    <cellStyle name="메모 2 16 3 4" xfId="19578"/>
    <cellStyle name="메모 2 16 3 4 2" xfId="37259"/>
    <cellStyle name="메모 2 16 3 4 3" xfId="43179"/>
    <cellStyle name="메모 2 16 3 4 4" xfId="50013"/>
    <cellStyle name="메모 2 16 3 5" xfId="36524"/>
    <cellStyle name="메모 2 16 3 5 2" xfId="42422"/>
    <cellStyle name="메모 2 16 3 5 3" xfId="49256"/>
    <cellStyle name="메모 2 16 3 6" xfId="29402"/>
    <cellStyle name="메모 2 16 3 7" xfId="16090"/>
    <cellStyle name="메모 2 16 3 8" xfId="45443"/>
    <cellStyle name="메모 2 16 3 9" xfId="51027"/>
    <cellStyle name="메모 2 16 4" xfId="9584"/>
    <cellStyle name="메모 2 16 4 10" xfId="15778"/>
    <cellStyle name="메모 2 16 4 11" xfId="14760"/>
    <cellStyle name="메모 2 16 4 2" xfId="13221"/>
    <cellStyle name="메모 2 16 4 2 2" xfId="26449"/>
    <cellStyle name="메모 2 16 4 2 3" xfId="32701"/>
    <cellStyle name="메모 2 16 4 2 4" xfId="38921"/>
    <cellStyle name="메모 2 16 4 2 5" xfId="46907"/>
    <cellStyle name="메모 2 16 4 3" xfId="6725"/>
    <cellStyle name="메모 2 16 4 3 2" xfId="19953"/>
    <cellStyle name="메모 2 16 4 3 3" xfId="35197"/>
    <cellStyle name="메모 2 16 4 3 4" xfId="45987"/>
    <cellStyle name="메모 2 16 4 3 5" xfId="47900"/>
    <cellStyle name="메모 2 16 4 4" xfId="8640"/>
    <cellStyle name="메모 2 16 4 4 2" xfId="21868"/>
    <cellStyle name="메모 2 16 4 4 3" xfId="31007"/>
    <cellStyle name="메모 2 16 4 4 4" xfId="18540"/>
    <cellStyle name="메모 2 16 4 4 5" xfId="14552"/>
    <cellStyle name="메모 2 16 4 5" xfId="7357"/>
    <cellStyle name="메모 2 16 4 5 2" xfId="20585"/>
    <cellStyle name="메모 2 16 4 5 3" xfId="40786"/>
    <cellStyle name="메모 2 16 4 5 4" xfId="34277"/>
    <cellStyle name="메모 2 16 4 6" xfId="22812"/>
    <cellStyle name="메모 2 16 4 6 2" xfId="37234"/>
    <cellStyle name="메모 2 16 4 6 3" xfId="43153"/>
    <cellStyle name="메모 2 16 4 6 4" xfId="49987"/>
    <cellStyle name="메모 2 16 4 7" xfId="30300"/>
    <cellStyle name="메모 2 16 4 7 2" xfId="16734"/>
    <cellStyle name="메모 2 16 4 7 3" xfId="45319"/>
    <cellStyle name="메모 2 16 4 8" xfId="37153"/>
    <cellStyle name="메모 2 16 4 8 2" xfId="43072"/>
    <cellStyle name="메모 2 16 4 8 3" xfId="49906"/>
    <cellStyle name="메모 2 16 4 9" xfId="28390"/>
    <cellStyle name="메모 2 16 5" xfId="7867"/>
    <cellStyle name="메모 2 16 5 2" xfId="21095"/>
    <cellStyle name="메모 2 16 6" xfId="39188"/>
    <cellStyle name="메모 2 17" xfId="2777"/>
    <cellStyle name="메모 2 17 2" xfId="2778"/>
    <cellStyle name="메모 2 17 2 2" xfId="6353"/>
    <cellStyle name="메모 2 17 2 2 2" xfId="11087"/>
    <cellStyle name="메모 2 17 2 2 2 2" xfId="24315"/>
    <cellStyle name="메모 2 17 2 2 2 3" xfId="33717"/>
    <cellStyle name="메모 2 17 2 2 2 4" xfId="44851"/>
    <cellStyle name="메모 2 17 2 2 2 5" xfId="41212"/>
    <cellStyle name="메모 2 17 2 2 3" xfId="9071"/>
    <cellStyle name="메모 2 17 2 2 3 2" xfId="22299"/>
    <cellStyle name="메모 2 17 2 2 3 3" xfId="36143"/>
    <cellStyle name="메모 2 17 2 2 3 4" xfId="42036"/>
    <cellStyle name="메모 2 17 2 2 3 5" xfId="48870"/>
    <cellStyle name="메모 2 17 2 2 4" xfId="19581"/>
    <cellStyle name="메모 2 17 2 2 4 2" xfId="34963"/>
    <cellStyle name="메모 2 17 2 2 4 3" xfId="40961"/>
    <cellStyle name="메모 2 17 2 2 4 4" xfId="47657"/>
    <cellStyle name="메모 2 17 2 2 5" xfId="36820"/>
    <cellStyle name="메모 2 17 2 2 5 2" xfId="42731"/>
    <cellStyle name="메모 2 17 2 2 5 3" xfId="49565"/>
    <cellStyle name="메모 2 17 2 2 6" xfId="29405"/>
    <cellStyle name="메모 2 17 2 2 7" xfId="16092"/>
    <cellStyle name="메모 2 17 2 2 8" xfId="45305"/>
    <cellStyle name="메모 2 17 2 3" xfId="9587"/>
    <cellStyle name="메모 2 17 2 3 10" xfId="39181"/>
    <cellStyle name="메모 2 17 2 3 11" xfId="44311"/>
    <cellStyle name="메모 2 17 2 3 2" xfId="13224"/>
    <cellStyle name="메모 2 17 2 3 2 2" xfId="26452"/>
    <cellStyle name="메모 2 17 2 3 2 3" xfId="32704"/>
    <cellStyle name="메모 2 17 2 3 2 4" xfId="38924"/>
    <cellStyle name="메모 2 17 2 3 2 5" xfId="46892"/>
    <cellStyle name="메모 2 17 2 3 3" xfId="6726"/>
    <cellStyle name="메모 2 17 2 3 3 2" xfId="19954"/>
    <cellStyle name="메모 2 17 2 3 3 3" xfId="35200"/>
    <cellStyle name="메모 2 17 2 3 3 4" xfId="45990"/>
    <cellStyle name="메모 2 17 2 3 3 5" xfId="47903"/>
    <cellStyle name="메모 2 17 2 3 4" xfId="8530"/>
    <cellStyle name="메모 2 17 2 3 4 2" xfId="21758"/>
    <cellStyle name="메모 2 17 2 3 4 3" xfId="31009"/>
    <cellStyle name="메모 2 17 2 3 4 4" xfId="18542"/>
    <cellStyle name="메모 2 17 2 3 4 5" xfId="39571"/>
    <cellStyle name="메모 2 17 2 3 5" xfId="8582"/>
    <cellStyle name="메모 2 17 2 3 5 2" xfId="21810"/>
    <cellStyle name="메모 2 17 2 3 5 3" xfId="41398"/>
    <cellStyle name="메모 2 17 2 3 5 4" xfId="48232"/>
    <cellStyle name="메모 2 17 2 3 6" xfId="22815"/>
    <cellStyle name="메모 2 17 2 3 6 2" xfId="30869"/>
    <cellStyle name="메모 2 17 2 3 6 3" xfId="16969"/>
    <cellStyle name="메모 2 17 2 3 6 4" xfId="17527"/>
    <cellStyle name="메모 2 17 2 3 7" xfId="37577"/>
    <cellStyle name="메모 2 17 2 3 7 2" xfId="43499"/>
    <cellStyle name="메모 2 17 2 3 7 3" xfId="50333"/>
    <cellStyle name="메모 2 17 2 3 8" xfId="35598"/>
    <cellStyle name="메모 2 17 2 3 8 2" xfId="41474"/>
    <cellStyle name="메모 2 17 2 3 8 3" xfId="48308"/>
    <cellStyle name="메모 2 17 2 3 9" xfId="28393"/>
    <cellStyle name="메모 2 17 2 4" xfId="7870"/>
    <cellStyle name="메모 2 17 2 4 2" xfId="21098"/>
    <cellStyle name="메모 2 17 2 5" xfId="39636"/>
    <cellStyle name="메모 2 17 3" xfId="6352"/>
    <cellStyle name="메모 2 17 3 2" xfId="11086"/>
    <cellStyle name="메모 2 17 3 2 2" xfId="24314"/>
    <cellStyle name="메모 2 17 3 2 3" xfId="33716"/>
    <cellStyle name="메모 2 17 3 2 4" xfId="44850"/>
    <cellStyle name="메모 2 17 3 2 5" xfId="27875"/>
    <cellStyle name="메모 2 17 3 3" xfId="12817"/>
    <cellStyle name="메모 2 17 3 3 2" xfId="26045"/>
    <cellStyle name="메모 2 17 3 3 3" xfId="36142"/>
    <cellStyle name="메모 2 17 3 3 4" xfId="42035"/>
    <cellStyle name="메모 2 17 3 3 5" xfId="48869"/>
    <cellStyle name="메모 2 17 3 4" xfId="19580"/>
    <cellStyle name="메모 2 17 3 4 2" xfId="37186"/>
    <cellStyle name="메모 2 17 3 4 3" xfId="43105"/>
    <cellStyle name="메모 2 17 3 4 4" xfId="49939"/>
    <cellStyle name="메모 2 17 3 5" xfId="30302"/>
    <cellStyle name="메모 2 17 3 5 2" xfId="16736"/>
    <cellStyle name="메모 2 17 3 5 3" xfId="39552"/>
    <cellStyle name="메모 2 17 3 6" xfId="29404"/>
    <cellStyle name="메모 2 17 3 7" xfId="17643"/>
    <cellStyle name="메모 2 17 3 8" xfId="32528"/>
    <cellStyle name="메모 2 17 3 9" xfId="51028"/>
    <cellStyle name="메모 2 17 4" xfId="9586"/>
    <cellStyle name="메모 2 17 4 10" xfId="40269"/>
    <cellStyle name="메모 2 17 4 11" xfId="45317"/>
    <cellStyle name="메모 2 17 4 2" xfId="13223"/>
    <cellStyle name="메모 2 17 4 2 2" xfId="26451"/>
    <cellStyle name="메모 2 17 4 2 3" xfId="32703"/>
    <cellStyle name="메모 2 17 4 2 4" xfId="38923"/>
    <cellStyle name="메모 2 17 4 2 5" xfId="41108"/>
    <cellStyle name="메모 2 17 4 3" xfId="7548"/>
    <cellStyle name="메모 2 17 4 3 2" xfId="20776"/>
    <cellStyle name="메모 2 17 4 3 3" xfId="35199"/>
    <cellStyle name="메모 2 17 4 3 4" xfId="45989"/>
    <cellStyle name="메모 2 17 4 3 5" xfId="47902"/>
    <cellStyle name="메모 2 17 4 4" xfId="14181"/>
    <cellStyle name="메모 2 17 4 4 2" xfId="27409"/>
    <cellStyle name="메모 2 17 4 4 3" xfId="31010"/>
    <cellStyle name="메모 2 17 4 4 4" xfId="18543"/>
    <cellStyle name="메모 2 17 4 4 5" xfId="27796"/>
    <cellStyle name="메모 2 17 4 5" xfId="14376"/>
    <cellStyle name="메모 2 17 4 5 2" xfId="27604"/>
    <cellStyle name="메모 2 17 4 5 3" xfId="42849"/>
    <cellStyle name="메모 2 17 4 5 4" xfId="49683"/>
    <cellStyle name="메모 2 17 4 6" xfId="22814"/>
    <cellStyle name="메모 2 17 4 6 2" xfId="37343"/>
    <cellStyle name="메모 2 17 4 6 3" xfId="43263"/>
    <cellStyle name="메모 2 17 4 6 4" xfId="50097"/>
    <cellStyle name="메모 2 17 4 7" xfId="35888"/>
    <cellStyle name="메모 2 17 4 7 2" xfId="41780"/>
    <cellStyle name="메모 2 17 4 7 3" xfId="48614"/>
    <cellStyle name="메모 2 17 4 8" xfId="31714"/>
    <cellStyle name="메모 2 17 4 8 2" xfId="37935"/>
    <cellStyle name="메모 2 17 4 8 3" xfId="47212"/>
    <cellStyle name="메모 2 17 4 9" xfId="28392"/>
    <cellStyle name="메모 2 17 5" xfId="7869"/>
    <cellStyle name="메모 2 17 5 2" xfId="21097"/>
    <cellStyle name="메모 2 17 6" xfId="38689"/>
    <cellStyle name="메모 2 18" xfId="2779"/>
    <cellStyle name="메모 2 18 2" xfId="2780"/>
    <cellStyle name="메모 2 18 2 2" xfId="6355"/>
    <cellStyle name="메모 2 18 2 2 2" xfId="11089"/>
    <cellStyle name="메모 2 18 2 2 2 2" xfId="24317"/>
    <cellStyle name="메모 2 18 2 2 2 3" xfId="33719"/>
    <cellStyle name="메모 2 18 2 2 2 4" xfId="44853"/>
    <cellStyle name="메모 2 18 2 2 2 5" xfId="39903"/>
    <cellStyle name="메모 2 18 2 2 3" xfId="8081"/>
    <cellStyle name="메모 2 18 2 2 3 2" xfId="21309"/>
    <cellStyle name="메모 2 18 2 2 3 3" xfId="36145"/>
    <cellStyle name="메모 2 18 2 2 3 4" xfId="42038"/>
    <cellStyle name="메모 2 18 2 2 3 5" xfId="48872"/>
    <cellStyle name="메모 2 18 2 2 4" xfId="19583"/>
    <cellStyle name="메모 2 18 2 2 4 2" xfId="31242"/>
    <cellStyle name="메모 2 18 2 2 4 3" xfId="17143"/>
    <cellStyle name="메모 2 18 2 2 4 4" xfId="43937"/>
    <cellStyle name="메모 2 18 2 2 5" xfId="35664"/>
    <cellStyle name="메모 2 18 2 2 5 2" xfId="41544"/>
    <cellStyle name="메모 2 18 2 2 5 3" xfId="48378"/>
    <cellStyle name="메모 2 18 2 2 6" xfId="29407"/>
    <cellStyle name="메모 2 18 2 2 7" xfId="17649"/>
    <cellStyle name="메모 2 18 2 2 8" xfId="39271"/>
    <cellStyle name="메모 2 18 2 3" xfId="9589"/>
    <cellStyle name="메모 2 18 2 3 10" xfId="39527"/>
    <cellStyle name="메모 2 18 2 3 11" xfId="44550"/>
    <cellStyle name="메모 2 18 2 3 2" xfId="13226"/>
    <cellStyle name="메모 2 18 2 3 2 2" xfId="26454"/>
    <cellStyle name="메모 2 18 2 3 2 3" xfId="32706"/>
    <cellStyle name="메모 2 18 2 3 2 4" xfId="38926"/>
    <cellStyle name="메모 2 18 2 3 2 5" xfId="46814"/>
    <cellStyle name="메모 2 18 2 3 3" xfId="7569"/>
    <cellStyle name="메모 2 18 2 3 3 2" xfId="20797"/>
    <cellStyle name="메모 2 18 2 3 3 3" xfId="35202"/>
    <cellStyle name="메모 2 18 2 3 3 4" xfId="45992"/>
    <cellStyle name="메모 2 18 2 3 3 5" xfId="47905"/>
    <cellStyle name="메모 2 18 2 3 4" xfId="14039"/>
    <cellStyle name="메모 2 18 2 3 4 2" xfId="27267"/>
    <cellStyle name="메모 2 18 2 3 4 3" xfId="32337"/>
    <cellStyle name="메모 2 18 2 3 4 4" xfId="38555"/>
    <cellStyle name="메모 2 18 2 3 4 5" xfId="46573"/>
    <cellStyle name="메모 2 18 2 3 5" xfId="8748"/>
    <cellStyle name="메모 2 18 2 3 5 2" xfId="21976"/>
    <cellStyle name="메모 2 18 2 3 5 3" xfId="41505"/>
    <cellStyle name="메모 2 18 2 3 5 4" xfId="48339"/>
    <cellStyle name="메모 2 18 2 3 6" xfId="22817"/>
    <cellStyle name="메모 2 18 2 3 6 2" xfId="32144"/>
    <cellStyle name="메모 2 18 2 3 6 3" xfId="38369"/>
    <cellStyle name="메모 2 18 2 3 6 4" xfId="15932"/>
    <cellStyle name="메모 2 18 2 3 7" xfId="30332"/>
    <cellStyle name="메모 2 18 2 3 7 2" xfId="14785"/>
    <cellStyle name="메모 2 18 2 3 7 3" xfId="39218"/>
    <cellStyle name="메모 2 18 2 3 8" xfId="35005"/>
    <cellStyle name="메모 2 18 2 3 8 2" xfId="41009"/>
    <cellStyle name="메모 2 18 2 3 8 3" xfId="47705"/>
    <cellStyle name="메모 2 18 2 3 9" xfId="28395"/>
    <cellStyle name="메모 2 18 2 4" xfId="7872"/>
    <cellStyle name="메모 2 18 2 4 2" xfId="21100"/>
    <cellStyle name="메모 2 18 2 5" xfId="40617"/>
    <cellStyle name="메모 2 18 3" xfId="6354"/>
    <cellStyle name="메모 2 18 3 2" xfId="11088"/>
    <cellStyle name="메모 2 18 3 2 2" xfId="24316"/>
    <cellStyle name="메모 2 18 3 2 3" xfId="33718"/>
    <cellStyle name="메모 2 18 3 2 4" xfId="44852"/>
    <cellStyle name="메모 2 18 3 2 5" xfId="34096"/>
    <cellStyle name="메모 2 18 3 3" xfId="6790"/>
    <cellStyle name="메모 2 18 3 3 2" xfId="20018"/>
    <cellStyle name="메모 2 18 3 3 3" xfId="36144"/>
    <cellStyle name="메모 2 18 3 3 4" xfId="42037"/>
    <cellStyle name="메모 2 18 3 3 5" xfId="48871"/>
    <cellStyle name="메모 2 18 3 4" xfId="19582"/>
    <cellStyle name="메모 2 18 3 4 2" xfId="37134"/>
    <cellStyle name="메모 2 18 3 4 3" xfId="43053"/>
    <cellStyle name="메모 2 18 3 4 4" xfId="49887"/>
    <cellStyle name="메모 2 18 3 5" xfId="30642"/>
    <cellStyle name="메모 2 18 3 5 2" xfId="17836"/>
    <cellStyle name="메모 2 18 3 5 3" xfId="47348"/>
    <cellStyle name="메모 2 18 3 6" xfId="29406"/>
    <cellStyle name="메모 2 18 3 7" xfId="16091"/>
    <cellStyle name="메모 2 18 3 8" xfId="44299"/>
    <cellStyle name="메모 2 18 3 9" xfId="51029"/>
    <cellStyle name="메모 2 18 4" xfId="9588"/>
    <cellStyle name="메모 2 18 4 10" xfId="32502"/>
    <cellStyle name="메모 2 18 4 11" xfId="40291"/>
    <cellStyle name="메모 2 18 4 2" xfId="13225"/>
    <cellStyle name="메모 2 18 4 2 2" xfId="26453"/>
    <cellStyle name="메모 2 18 4 2 3" xfId="32705"/>
    <cellStyle name="메모 2 18 4 2 4" xfId="38925"/>
    <cellStyle name="메모 2 18 4 2 5" xfId="47057"/>
    <cellStyle name="메모 2 18 4 3" xfId="7551"/>
    <cellStyle name="메모 2 18 4 3 2" xfId="20779"/>
    <cellStyle name="메모 2 18 4 3 3" xfId="35201"/>
    <cellStyle name="메모 2 18 4 3 4" xfId="45991"/>
    <cellStyle name="메모 2 18 4 3 5" xfId="47904"/>
    <cellStyle name="메모 2 18 4 4" xfId="8497"/>
    <cellStyle name="메모 2 18 4 4 2" xfId="21725"/>
    <cellStyle name="메모 2 18 4 4 3" xfId="29831"/>
    <cellStyle name="메모 2 18 4 4 4" xfId="16352"/>
    <cellStyle name="메모 2 18 4 4 5" xfId="29996"/>
    <cellStyle name="메모 2 18 4 5" xfId="12955"/>
    <cellStyle name="메모 2 18 4 5 2" xfId="26183"/>
    <cellStyle name="메모 2 18 4 5 3" xfId="42611"/>
    <cellStyle name="메모 2 18 4 5 4" xfId="49445"/>
    <cellStyle name="메모 2 18 4 6" xfId="22816"/>
    <cellStyle name="메모 2 18 4 6 2" xfId="37058"/>
    <cellStyle name="메모 2 18 4 6 3" xfId="42977"/>
    <cellStyle name="메모 2 18 4 6 4" xfId="49811"/>
    <cellStyle name="메모 2 18 4 7" xfId="31692"/>
    <cellStyle name="메모 2 18 4 7 2" xfId="27995"/>
    <cellStyle name="메모 2 18 4 7 3" xfId="28749"/>
    <cellStyle name="메모 2 18 4 8" xfId="35595"/>
    <cellStyle name="메모 2 18 4 8 2" xfId="41471"/>
    <cellStyle name="메모 2 18 4 8 3" xfId="48305"/>
    <cellStyle name="메모 2 18 4 9" xfId="28394"/>
    <cellStyle name="메모 2 18 5" xfId="7871"/>
    <cellStyle name="메모 2 18 5 2" xfId="21099"/>
    <cellStyle name="메모 2 18 6" xfId="38516"/>
    <cellStyle name="메모 2 19" xfId="2781"/>
    <cellStyle name="메모 2 19 2" xfId="2782"/>
    <cellStyle name="메모 2 19 2 2" xfId="6357"/>
    <cellStyle name="메모 2 19 2 2 2" xfId="11091"/>
    <cellStyle name="메모 2 19 2 2 2 2" xfId="24319"/>
    <cellStyle name="메모 2 19 2 2 2 3" xfId="33721"/>
    <cellStyle name="메모 2 19 2 2 2 4" xfId="44855"/>
    <cellStyle name="메모 2 19 2 2 2 5" xfId="17435"/>
    <cellStyle name="메모 2 19 2 2 3" xfId="12772"/>
    <cellStyle name="메모 2 19 2 2 3 2" xfId="26000"/>
    <cellStyle name="메모 2 19 2 2 3 3" xfId="36147"/>
    <cellStyle name="메모 2 19 2 2 3 4" xfId="42040"/>
    <cellStyle name="메모 2 19 2 2 3 5" xfId="48874"/>
    <cellStyle name="메모 2 19 2 2 4" xfId="19585"/>
    <cellStyle name="메모 2 19 2 2 4 2" xfId="31380"/>
    <cellStyle name="메모 2 19 2 2 4 3" xfId="15241"/>
    <cellStyle name="메모 2 19 2 2 4 4" xfId="33376"/>
    <cellStyle name="메모 2 19 2 2 5" xfId="31591"/>
    <cellStyle name="메모 2 19 2 2 5 2" xfId="17823"/>
    <cellStyle name="메모 2 19 2 2 5 3" xfId="28663"/>
    <cellStyle name="메모 2 19 2 2 6" xfId="29409"/>
    <cellStyle name="메모 2 19 2 2 7" xfId="18119"/>
    <cellStyle name="메모 2 19 2 2 8" xfId="45507"/>
    <cellStyle name="메모 2 19 2 3" xfId="9591"/>
    <cellStyle name="메모 2 19 2 3 10" xfId="35502"/>
    <cellStyle name="메모 2 19 2 3 11" xfId="15745"/>
    <cellStyle name="메모 2 19 2 3 2" xfId="13228"/>
    <cellStyle name="메모 2 19 2 3 2 2" xfId="26456"/>
    <cellStyle name="메모 2 19 2 3 2 3" xfId="32708"/>
    <cellStyle name="메모 2 19 2 3 2 4" xfId="38928"/>
    <cellStyle name="메모 2 19 2 3 2 5" xfId="34361"/>
    <cellStyle name="메모 2 19 2 3 3" xfId="7550"/>
    <cellStyle name="메모 2 19 2 3 3 2" xfId="20778"/>
    <cellStyle name="메모 2 19 2 3 3 3" xfId="35204"/>
    <cellStyle name="메모 2 19 2 3 3 4" xfId="45994"/>
    <cellStyle name="메모 2 19 2 3 3 5" xfId="47907"/>
    <cellStyle name="메모 2 19 2 3 4" xfId="8467"/>
    <cellStyle name="메모 2 19 2 3 4 2" xfId="21695"/>
    <cellStyle name="메모 2 19 2 3 4 3" xfId="30973"/>
    <cellStyle name="메모 2 19 2 3 4 4" xfId="17021"/>
    <cellStyle name="메모 2 19 2 3 4 5" xfId="34570"/>
    <cellStyle name="메모 2 19 2 3 5" xfId="14147"/>
    <cellStyle name="메모 2 19 2 3 5 2" xfId="27375"/>
    <cellStyle name="메모 2 19 2 3 5 3" xfId="40978"/>
    <cellStyle name="메모 2 19 2 3 5 4" xfId="47674"/>
    <cellStyle name="메모 2 19 2 3 6" xfId="22819"/>
    <cellStyle name="메모 2 19 2 3 6 2" xfId="37373"/>
    <cellStyle name="메모 2 19 2 3 6 3" xfId="43293"/>
    <cellStyle name="메모 2 19 2 3 6 4" xfId="50127"/>
    <cellStyle name="메모 2 19 2 3 7" xfId="31788"/>
    <cellStyle name="메모 2 19 2 3 7 2" xfId="38009"/>
    <cellStyle name="메모 2 19 2 3 7 3" xfId="46776"/>
    <cellStyle name="메모 2 19 2 3 8" xfId="35597"/>
    <cellStyle name="메모 2 19 2 3 8 2" xfId="41473"/>
    <cellStyle name="메모 2 19 2 3 8 3" xfId="48307"/>
    <cellStyle name="메모 2 19 2 3 9" xfId="28397"/>
    <cellStyle name="메모 2 19 2 4" xfId="7874"/>
    <cellStyle name="메모 2 19 2 4 2" xfId="21102"/>
    <cellStyle name="메모 2 19 2 5" xfId="40277"/>
    <cellStyle name="메모 2 19 3" xfId="6356"/>
    <cellStyle name="메모 2 19 3 2" xfId="11090"/>
    <cellStyle name="메모 2 19 3 2 2" xfId="24318"/>
    <cellStyle name="메모 2 19 3 2 3" xfId="33720"/>
    <cellStyle name="메모 2 19 3 2 4" xfId="44854"/>
    <cellStyle name="메모 2 19 3 2 5" xfId="39462"/>
    <cellStyle name="메모 2 19 3 3" xfId="6791"/>
    <cellStyle name="메모 2 19 3 3 2" xfId="20019"/>
    <cellStyle name="메모 2 19 3 3 3" xfId="36146"/>
    <cellStyle name="메모 2 19 3 3 4" xfId="42039"/>
    <cellStyle name="메모 2 19 3 3 5" xfId="48873"/>
    <cellStyle name="메모 2 19 3 4" xfId="19584"/>
    <cellStyle name="메모 2 19 3 4 2" xfId="37417"/>
    <cellStyle name="메모 2 19 3 4 3" xfId="43337"/>
    <cellStyle name="메모 2 19 3 4 4" xfId="50171"/>
    <cellStyle name="메모 2 19 3 5" xfId="37588"/>
    <cellStyle name="메모 2 19 3 5 2" xfId="43511"/>
    <cellStyle name="메모 2 19 3 5 3" xfId="50345"/>
    <cellStyle name="메모 2 19 3 6" xfId="29408"/>
    <cellStyle name="메모 2 19 3 7" xfId="16072"/>
    <cellStyle name="메모 2 19 3 8" xfId="44537"/>
    <cellStyle name="메모 2 19 3 9" xfId="51030"/>
    <cellStyle name="메모 2 19 4" xfId="9590"/>
    <cellStyle name="메모 2 19 4 10" xfId="40506"/>
    <cellStyle name="메모 2 19 4 11" xfId="45520"/>
    <cellStyle name="메모 2 19 4 2" xfId="13227"/>
    <cellStyle name="메모 2 19 4 2 2" xfId="26455"/>
    <cellStyle name="메모 2 19 4 2 3" xfId="32707"/>
    <cellStyle name="메모 2 19 4 2 4" xfId="38927"/>
    <cellStyle name="메모 2 19 4 2 5" xfId="36685"/>
    <cellStyle name="메모 2 19 4 3" xfId="12873"/>
    <cellStyle name="메모 2 19 4 3 2" xfId="26101"/>
    <cellStyle name="메모 2 19 4 3 3" xfId="35203"/>
    <cellStyle name="메모 2 19 4 3 4" xfId="45993"/>
    <cellStyle name="메모 2 19 4 3 5" xfId="47906"/>
    <cellStyle name="메모 2 19 4 4" xfId="7193"/>
    <cellStyle name="메모 2 19 4 4 2" xfId="20421"/>
    <cellStyle name="메모 2 19 4 4 3" xfId="31011"/>
    <cellStyle name="메모 2 19 4 4 4" xfId="18544"/>
    <cellStyle name="메모 2 19 4 4 5" xfId="39221"/>
    <cellStyle name="메모 2 19 4 5" xfId="14338"/>
    <cellStyle name="메모 2 19 4 5 2" xfId="27566"/>
    <cellStyle name="메모 2 19 4 5 3" xfId="42696"/>
    <cellStyle name="메모 2 19 4 5 4" xfId="49530"/>
    <cellStyle name="메모 2 19 4 6" xfId="22818"/>
    <cellStyle name="메모 2 19 4 6 2" xfId="31360"/>
    <cellStyle name="메모 2 19 4 6 3" xfId="17217"/>
    <cellStyle name="메모 2 19 4 6 4" xfId="47499"/>
    <cellStyle name="메모 2 19 4 7" xfId="30233"/>
    <cellStyle name="메모 2 19 4 7 2" xfId="16683"/>
    <cellStyle name="메모 2 19 4 7 3" xfId="45497"/>
    <cellStyle name="메모 2 19 4 8" xfId="30279"/>
    <cellStyle name="메모 2 19 4 8 2" xfId="16746"/>
    <cellStyle name="메모 2 19 4 8 3" xfId="33117"/>
    <cellStyle name="메모 2 19 4 9" xfId="28396"/>
    <cellStyle name="메모 2 19 5" xfId="7873"/>
    <cellStyle name="메모 2 19 5 2" xfId="21101"/>
    <cellStyle name="메모 2 19 6" xfId="15840"/>
    <cellStyle name="메모 2 2" xfId="2783"/>
    <cellStyle name="메모 2 2 2" xfId="2784"/>
    <cellStyle name="메모 2 2 2 2" xfId="6359"/>
    <cellStyle name="메모 2 2 2 2 2" xfId="11093"/>
    <cellStyle name="메모 2 2 2 2 2 2" xfId="24321"/>
    <cellStyle name="메모 2 2 2 2 2 3" xfId="33723"/>
    <cellStyle name="메모 2 2 2 2 2 4" xfId="44857"/>
    <cellStyle name="메모 2 2 2 2 2 5" xfId="32478"/>
    <cellStyle name="메모 2 2 2 2 3" xfId="8082"/>
    <cellStyle name="메모 2 2 2 2 3 2" xfId="21310"/>
    <cellStyle name="메모 2 2 2 2 3 3" xfId="36149"/>
    <cellStyle name="메모 2 2 2 2 3 4" xfId="42042"/>
    <cellStyle name="메모 2 2 2 2 3 5" xfId="48876"/>
    <cellStyle name="메모 2 2 2 2 4" xfId="19587"/>
    <cellStyle name="메모 2 2 2 2 4 2" xfId="37036"/>
    <cellStyle name="메모 2 2 2 2 4 3" xfId="42955"/>
    <cellStyle name="메모 2 2 2 2 4 4" xfId="49789"/>
    <cellStyle name="메모 2 2 2 2 5" xfId="36832"/>
    <cellStyle name="메모 2 2 2 2 5 2" xfId="42743"/>
    <cellStyle name="메모 2 2 2 2 5 3" xfId="49577"/>
    <cellStyle name="메모 2 2 2 2 6" xfId="29411"/>
    <cellStyle name="메모 2 2 2 2 7" xfId="16094"/>
    <cellStyle name="메모 2 2 2 2 8" xfId="40513"/>
    <cellStyle name="메모 2 2 2 3" xfId="9593"/>
    <cellStyle name="메모 2 2 2 3 10" xfId="16513"/>
    <cellStyle name="메모 2 2 2 3 11" xfId="27866"/>
    <cellStyle name="메모 2 2 2 3 2" xfId="13230"/>
    <cellStyle name="메모 2 2 2 3 2 2" xfId="26458"/>
    <cellStyle name="메모 2 2 2 3 2 3" xfId="32710"/>
    <cellStyle name="메모 2 2 2 3 2 4" xfId="38930"/>
    <cellStyle name="메모 2 2 2 3 2 5" xfId="30003"/>
    <cellStyle name="메모 2 2 2 3 3" xfId="9077"/>
    <cellStyle name="메모 2 2 2 3 3 2" xfId="22305"/>
    <cellStyle name="메모 2 2 2 3 3 3" xfId="35206"/>
    <cellStyle name="메모 2 2 2 3 3 4" xfId="45996"/>
    <cellStyle name="메모 2 2 2 3 3 5" xfId="47909"/>
    <cellStyle name="메모 2 2 2 3 4" xfId="13683"/>
    <cellStyle name="메모 2 2 2 3 4 2" xfId="26911"/>
    <cellStyle name="메모 2 2 2 3 4 3" xfId="29833"/>
    <cellStyle name="메모 2 2 2 3 4 4" xfId="17681"/>
    <cellStyle name="메모 2 2 2 3 4 5" xfId="44043"/>
    <cellStyle name="메모 2 2 2 3 5" xfId="7337"/>
    <cellStyle name="메모 2 2 2 3 5 2" xfId="20565"/>
    <cellStyle name="메모 2 2 2 3 5 3" xfId="17362"/>
    <cellStyle name="메모 2 2 2 3 5 4" xfId="46613"/>
    <cellStyle name="메모 2 2 2 3 6" xfId="22821"/>
    <cellStyle name="메모 2 2 2 3 6 2" xfId="37144"/>
    <cellStyle name="메모 2 2 2 3 6 3" xfId="43063"/>
    <cellStyle name="메모 2 2 2 3 6 4" xfId="49897"/>
    <cellStyle name="메모 2 2 2 3 7" xfId="30558"/>
    <cellStyle name="메모 2 2 2 3 7 2" xfId="17829"/>
    <cellStyle name="메모 2 2 2 3 7 3" xfId="41161"/>
    <cellStyle name="메모 2 2 2 3 8" xfId="31811"/>
    <cellStyle name="메모 2 2 2 3 8 2" xfId="38032"/>
    <cellStyle name="메모 2 2 2 3 8 3" xfId="15664"/>
    <cellStyle name="메모 2 2 2 3 9" xfId="28399"/>
    <cellStyle name="메모 2 2 2 4" xfId="7876"/>
    <cellStyle name="메모 2 2 2 4 2" xfId="21104"/>
    <cellStyle name="메모 2 2 2 5" xfId="39190"/>
    <cellStyle name="메모 2 2 3" xfId="6358"/>
    <cellStyle name="메모 2 2 3 2" xfId="11092"/>
    <cellStyle name="메모 2 2 3 2 2" xfId="24320"/>
    <cellStyle name="메모 2 2 3 2 3" xfId="33722"/>
    <cellStyle name="메모 2 2 3 2 4" xfId="44856"/>
    <cellStyle name="메모 2 2 3 2 5" xfId="41213"/>
    <cellStyle name="메모 2 2 3 3" xfId="8083"/>
    <cellStyle name="메모 2 2 3 3 2" xfId="21311"/>
    <cellStyle name="메모 2 2 3 3 3" xfId="36148"/>
    <cellStyle name="메모 2 2 3 3 4" xfId="42041"/>
    <cellStyle name="메모 2 2 3 3 5" xfId="48875"/>
    <cellStyle name="메모 2 2 3 4" xfId="19586"/>
    <cellStyle name="메모 2 2 3 4 2" xfId="29787"/>
    <cellStyle name="메모 2 2 3 4 3" xfId="16317"/>
    <cellStyle name="메모 2 2 3 4 4" xfId="38679"/>
    <cellStyle name="메모 2 2 3 5" xfId="30579"/>
    <cellStyle name="메모 2 2 3 5 2" xfId="27764"/>
    <cellStyle name="메모 2 2 3 5 3" xfId="17625"/>
    <cellStyle name="메모 2 2 3 6" xfId="29410"/>
    <cellStyle name="메모 2 2 3 7" xfId="14765"/>
    <cellStyle name="메모 2 2 3 8" xfId="34603"/>
    <cellStyle name="메모 2 2 3 9" xfId="51031"/>
    <cellStyle name="메모 2 2 4" xfId="9592"/>
    <cellStyle name="메모 2 2 4 10" xfId="28882"/>
    <cellStyle name="메모 2 2 4 11" xfId="35626"/>
    <cellStyle name="메모 2 2 4 2" xfId="13229"/>
    <cellStyle name="메모 2 2 4 2 2" xfId="26457"/>
    <cellStyle name="메모 2 2 4 2 3" xfId="32709"/>
    <cellStyle name="메모 2 2 4 2 4" xfId="38929"/>
    <cellStyle name="메모 2 2 4 2 5" xfId="34432"/>
    <cellStyle name="메모 2 2 4 3" xfId="6727"/>
    <cellStyle name="메모 2 2 4 3 2" xfId="19955"/>
    <cellStyle name="메모 2 2 4 3 3" xfId="35205"/>
    <cellStyle name="메모 2 2 4 3 4" xfId="45995"/>
    <cellStyle name="메모 2 2 4 3 5" xfId="47908"/>
    <cellStyle name="메모 2 2 4 4" xfId="12913"/>
    <cellStyle name="메모 2 2 4 4 2" xfId="26141"/>
    <cellStyle name="메모 2 2 4 4 3" xfId="29832"/>
    <cellStyle name="메모 2 2 4 4 4" xfId="17680"/>
    <cellStyle name="메모 2 2 4 4 5" xfId="45176"/>
    <cellStyle name="메모 2 2 4 5" xfId="7449"/>
    <cellStyle name="메모 2 2 4 5 2" xfId="20677"/>
    <cellStyle name="메모 2 2 4 5 3" xfId="42413"/>
    <cellStyle name="메모 2 2 4 5 4" xfId="49247"/>
    <cellStyle name="메모 2 2 4 6" xfId="22820"/>
    <cellStyle name="메모 2 2 4 6 2" xfId="34850"/>
    <cellStyle name="메모 2 2 4 6 3" xfId="40849"/>
    <cellStyle name="메모 2 2 4 6 4" xfId="34316"/>
    <cellStyle name="메모 2 2 4 7" xfId="31647"/>
    <cellStyle name="메모 2 2 4 7 2" xfId="18630"/>
    <cellStyle name="메모 2 2 4 7 3" xfId="15558"/>
    <cellStyle name="메모 2 2 4 8" xfId="35552"/>
    <cellStyle name="메모 2 2 4 8 2" xfId="41427"/>
    <cellStyle name="메모 2 2 4 8 3" xfId="48261"/>
    <cellStyle name="메모 2 2 4 9" xfId="28398"/>
    <cellStyle name="메모 2 2 5" xfId="7875"/>
    <cellStyle name="메모 2 2 5 2" xfId="21103"/>
    <cellStyle name="메모 2 2 6" xfId="39408"/>
    <cellStyle name="메모 2 20" xfId="2785"/>
    <cellStyle name="메모 2 20 2" xfId="2786"/>
    <cellStyle name="메모 2 20 2 2" xfId="6361"/>
    <cellStyle name="메모 2 20 2 2 2" xfId="11095"/>
    <cellStyle name="메모 2 20 2 2 2 2" xfId="24323"/>
    <cellStyle name="메모 2 20 2 2 2 3" xfId="33725"/>
    <cellStyle name="메모 2 20 2 2 2 4" xfId="44859"/>
    <cellStyle name="메모 2 20 2 2 2 5" xfId="28661"/>
    <cellStyle name="메모 2 20 2 2 3" xfId="12816"/>
    <cellStyle name="메모 2 20 2 2 3 2" xfId="26044"/>
    <cellStyle name="메모 2 20 2 2 3 3" xfId="36151"/>
    <cellStyle name="메모 2 20 2 2 3 4" xfId="42044"/>
    <cellStyle name="메모 2 20 2 2 3 5" xfId="48878"/>
    <cellStyle name="메모 2 20 2 2 4" xfId="19589"/>
    <cellStyle name="메모 2 20 2 2 4 2" xfId="37320"/>
    <cellStyle name="메모 2 20 2 2 4 3" xfId="43240"/>
    <cellStyle name="메모 2 20 2 2 4 4" xfId="50074"/>
    <cellStyle name="메모 2 20 2 2 5" xfId="35675"/>
    <cellStyle name="메모 2 20 2 2 5 2" xfId="41555"/>
    <cellStyle name="메모 2 20 2 2 5 3" xfId="48389"/>
    <cellStyle name="메모 2 20 2 2 6" xfId="29413"/>
    <cellStyle name="메모 2 20 2 2 7" xfId="17651"/>
    <cellStyle name="메모 2 20 2 2 8" xfId="28768"/>
    <cellStyle name="메모 2 20 2 3" xfId="9595"/>
    <cellStyle name="메모 2 20 2 3 10" xfId="38734"/>
    <cellStyle name="메모 2 20 2 3 11" xfId="44074"/>
    <cellStyle name="메모 2 20 2 3 2" xfId="13232"/>
    <cellStyle name="메모 2 20 2 3 2 2" xfId="26460"/>
    <cellStyle name="메모 2 20 2 3 2 3" xfId="32712"/>
    <cellStyle name="메모 2 20 2 3 2 4" xfId="38932"/>
    <cellStyle name="메모 2 20 2 3 2 5" xfId="47322"/>
    <cellStyle name="메모 2 20 2 3 3" xfId="7514"/>
    <cellStyle name="메모 2 20 2 3 3 2" xfId="20742"/>
    <cellStyle name="메모 2 20 2 3 3 3" xfId="35208"/>
    <cellStyle name="메모 2 20 2 3 3 4" xfId="45998"/>
    <cellStyle name="메모 2 20 2 3 3 5" xfId="47911"/>
    <cellStyle name="메모 2 20 2 3 4" xfId="13501"/>
    <cellStyle name="메모 2 20 2 3 4 2" xfId="26729"/>
    <cellStyle name="메모 2 20 2 3 4 3" xfId="31013"/>
    <cellStyle name="메모 2 20 2 3 4 4" xfId="18546"/>
    <cellStyle name="메모 2 20 2 3 4 5" xfId="38443"/>
    <cellStyle name="메모 2 20 2 3 5" xfId="7370"/>
    <cellStyle name="메모 2 20 2 3 5 2" xfId="20598"/>
    <cellStyle name="메모 2 20 2 3 5 3" xfId="40758"/>
    <cellStyle name="메모 2 20 2 3 5 4" xfId="34303"/>
    <cellStyle name="메모 2 20 2 3 6" xfId="22823"/>
    <cellStyle name="메모 2 20 2 3 6 2" xfId="34665"/>
    <cellStyle name="메모 2 20 2 3 6 3" xfId="40654"/>
    <cellStyle name="메모 2 20 2 3 6 4" xfId="40411"/>
    <cellStyle name="메모 2 20 2 3 7" xfId="36911"/>
    <cellStyle name="메모 2 20 2 3 7 2" xfId="42826"/>
    <cellStyle name="메모 2 20 2 3 7 3" xfId="49660"/>
    <cellStyle name="메모 2 20 2 3 8" xfId="35479"/>
    <cellStyle name="메모 2 20 2 3 8 2" xfId="41350"/>
    <cellStyle name="메모 2 20 2 3 8 3" xfId="48184"/>
    <cellStyle name="메모 2 20 2 3 9" xfId="28401"/>
    <cellStyle name="메모 2 20 2 4" xfId="7878"/>
    <cellStyle name="메모 2 20 2 4 2" xfId="21106"/>
    <cellStyle name="메모 2 20 2 5" xfId="28872"/>
    <cellStyle name="메모 2 20 3" xfId="6360"/>
    <cellStyle name="메모 2 20 3 2" xfId="11094"/>
    <cellStyle name="메모 2 20 3 2 2" xfId="24322"/>
    <cellStyle name="메모 2 20 3 2 3" xfId="33724"/>
    <cellStyle name="메모 2 20 3 2 4" xfId="44858"/>
    <cellStyle name="메모 2 20 3 2 5" xfId="28655"/>
    <cellStyle name="메모 2 20 3 3" xfId="12701"/>
    <cellStyle name="메모 2 20 3 3 2" xfId="25929"/>
    <cellStyle name="메모 2 20 3 3 3" xfId="36150"/>
    <cellStyle name="메모 2 20 3 3 4" xfId="42043"/>
    <cellStyle name="메모 2 20 3 3 5" xfId="48877"/>
    <cellStyle name="메모 2 20 3 4" xfId="19588"/>
    <cellStyle name="메모 2 20 3 4 2" xfId="35899"/>
    <cellStyle name="메모 2 20 3 4 3" xfId="41792"/>
    <cellStyle name="메모 2 20 3 4 4" xfId="48626"/>
    <cellStyle name="메모 2 20 3 5" xfId="35051"/>
    <cellStyle name="메모 2 20 3 5 2" xfId="41058"/>
    <cellStyle name="메모 2 20 3 5 3" xfId="47754"/>
    <cellStyle name="메모 2 20 3 6" xfId="29412"/>
    <cellStyle name="메모 2 20 3 7" xfId="16093"/>
    <cellStyle name="메모 2 20 3 8" xfId="38720"/>
    <cellStyle name="메모 2 20 4" xfId="9594"/>
    <cellStyle name="메모 2 20 4 10" xfId="40155"/>
    <cellStyle name="메모 2 20 4 11" xfId="45207"/>
    <cellStyle name="메모 2 20 4 2" xfId="13231"/>
    <cellStyle name="메모 2 20 4 2 2" xfId="26459"/>
    <cellStyle name="메모 2 20 4 2 3" xfId="32711"/>
    <cellStyle name="메모 2 20 4 2 4" xfId="38931"/>
    <cellStyle name="메모 2 20 4 2 5" xfId="45775"/>
    <cellStyle name="메모 2 20 4 3" xfId="7552"/>
    <cellStyle name="메모 2 20 4 3 2" xfId="20780"/>
    <cellStyle name="메모 2 20 4 3 3" xfId="35207"/>
    <cellStyle name="메모 2 20 4 3 4" xfId="45997"/>
    <cellStyle name="메모 2 20 4 3 5" xfId="47910"/>
    <cellStyle name="메모 2 20 4 4" xfId="14254"/>
    <cellStyle name="메모 2 20 4 4 2" xfId="27482"/>
    <cellStyle name="메모 2 20 4 4 3" xfId="31012"/>
    <cellStyle name="메모 2 20 4 4 4" xfId="18545"/>
    <cellStyle name="메모 2 20 4 4 5" xfId="40308"/>
    <cellStyle name="메모 2 20 4 5" xfId="14065"/>
    <cellStyle name="메모 2 20 4 5 2" xfId="27293"/>
    <cellStyle name="메모 2 20 4 5 3" xfId="18013"/>
    <cellStyle name="메모 2 20 4 5 4" xfId="46619"/>
    <cellStyle name="메모 2 20 4 6" xfId="22822"/>
    <cellStyle name="메모 2 20 4 6 2" xfId="35464"/>
    <cellStyle name="메모 2 20 4 6 3" xfId="41333"/>
    <cellStyle name="메모 2 20 4 6 4" xfId="48167"/>
    <cellStyle name="메모 2 20 4 7" xfId="37668"/>
    <cellStyle name="메모 2 20 4 7 2" xfId="43591"/>
    <cellStyle name="메모 2 20 4 7 3" xfId="50425"/>
    <cellStyle name="메모 2 20 4 8" xfId="30673"/>
    <cellStyle name="메모 2 20 4 8 2" xfId="27749"/>
    <cellStyle name="메모 2 20 4 8 3" xfId="17590"/>
    <cellStyle name="메모 2 20 4 9" xfId="28400"/>
    <cellStyle name="메모 2 20 5" xfId="7877"/>
    <cellStyle name="메모 2 20 5 2" xfId="21105"/>
    <cellStyle name="메모 2 20 6" xfId="15925"/>
    <cellStyle name="메모 2 21" xfId="2787"/>
    <cellStyle name="메모 2 21 2" xfId="2788"/>
    <cellStyle name="메모 2 21 2 2" xfId="6363"/>
    <cellStyle name="메모 2 21 2 2 2" xfId="11097"/>
    <cellStyle name="메모 2 21 2 2 2 2" xfId="24325"/>
    <cellStyle name="메모 2 21 2 2 2 3" xfId="33727"/>
    <cellStyle name="메모 2 21 2 2 2 4" xfId="44861"/>
    <cellStyle name="메모 2 21 2 2 2 5" xfId="34605"/>
    <cellStyle name="메모 2 21 2 2 3" xfId="8757"/>
    <cellStyle name="메모 2 21 2 2 3 2" xfId="21985"/>
    <cellStyle name="메모 2 21 2 2 3 3" xfId="36153"/>
    <cellStyle name="메모 2 21 2 2 3 4" xfId="42046"/>
    <cellStyle name="메모 2 21 2 2 3 5" xfId="48880"/>
    <cellStyle name="메모 2 21 2 2 4" xfId="19591"/>
    <cellStyle name="메모 2 21 2 2 4 2" xfId="36726"/>
    <cellStyle name="메모 2 21 2 2 4 3" xfId="42631"/>
    <cellStyle name="메모 2 21 2 2 4 4" xfId="49465"/>
    <cellStyle name="메모 2 21 2 2 5" xfId="34722"/>
    <cellStyle name="메모 2 21 2 2 5 2" xfId="40712"/>
    <cellStyle name="메모 2 21 2 2 5 3" xfId="40547"/>
    <cellStyle name="메모 2 21 2 2 6" xfId="29415"/>
    <cellStyle name="메모 2 21 2 2 7" xfId="16096"/>
    <cellStyle name="메모 2 21 2 2 8" xfId="45138"/>
    <cellStyle name="메모 2 21 2 3" xfId="9597"/>
    <cellStyle name="메모 2 21 2 3 10" xfId="39391"/>
    <cellStyle name="메모 2 21 2 3 11" xfId="44475"/>
    <cellStyle name="메모 2 21 2 3 2" xfId="13234"/>
    <cellStyle name="메모 2 21 2 3 2 2" xfId="26462"/>
    <cellStyle name="메모 2 21 2 3 2 3" xfId="32714"/>
    <cellStyle name="메모 2 21 2 3 2 4" xfId="38934"/>
    <cellStyle name="메모 2 21 2 3 2 5" xfId="34167"/>
    <cellStyle name="메모 2 21 2 3 3" xfId="7555"/>
    <cellStyle name="메모 2 21 2 3 3 2" xfId="20783"/>
    <cellStyle name="메모 2 21 2 3 3 3" xfId="35210"/>
    <cellStyle name="메모 2 21 2 3 3 4" xfId="46000"/>
    <cellStyle name="메모 2 21 2 3 3 5" xfId="47913"/>
    <cellStyle name="메모 2 21 2 3 4" xfId="13608"/>
    <cellStyle name="메모 2 21 2 3 4 2" xfId="26836"/>
    <cellStyle name="메모 2 21 2 3 4 3" xfId="31015"/>
    <cellStyle name="메모 2 21 2 3 4 4" xfId="17746"/>
    <cellStyle name="메모 2 21 2 3 4 5" xfId="40487"/>
    <cellStyle name="메모 2 21 2 3 5" xfId="8602"/>
    <cellStyle name="메모 2 21 2 3 5 2" xfId="21830"/>
    <cellStyle name="메모 2 21 2 3 5 3" xfId="42820"/>
    <cellStyle name="메모 2 21 2 3 5 4" xfId="49654"/>
    <cellStyle name="메모 2 21 2 3 6" xfId="22825"/>
    <cellStyle name="메모 2 21 2 3 6 2" xfId="30836"/>
    <cellStyle name="메모 2 21 2 3 6 3" xfId="16937"/>
    <cellStyle name="메모 2 21 2 3 6 4" xfId="27908"/>
    <cellStyle name="메모 2 21 2 3 7" xfId="29857"/>
    <cellStyle name="메모 2 21 2 3 7 2" xfId="16441"/>
    <cellStyle name="메모 2 21 2 3 7 3" xfId="28711"/>
    <cellStyle name="메모 2 21 2 3 8" xfId="37796"/>
    <cellStyle name="메모 2 21 2 3 8 2" xfId="43720"/>
    <cellStyle name="메모 2 21 2 3 8 3" xfId="50554"/>
    <cellStyle name="메모 2 21 2 3 9" xfId="28403"/>
    <cellStyle name="메모 2 21 2 4" xfId="7880"/>
    <cellStyle name="메모 2 21 2 4 2" xfId="21108"/>
    <cellStyle name="메모 2 21 2 5" xfId="28656"/>
    <cellStyle name="메모 2 21 3" xfId="6362"/>
    <cellStyle name="메모 2 21 3 2" xfId="11096"/>
    <cellStyle name="메모 2 21 3 2 2" xfId="24324"/>
    <cellStyle name="메모 2 21 3 2 3" xfId="33726"/>
    <cellStyle name="메모 2 21 3 2 4" xfId="44860"/>
    <cellStyle name="메모 2 21 3 2 5" xfId="17534"/>
    <cellStyle name="메모 2 21 3 3" xfId="12702"/>
    <cellStyle name="메모 2 21 3 3 2" xfId="25930"/>
    <cellStyle name="메모 2 21 3 3 3" xfId="36152"/>
    <cellStyle name="메모 2 21 3 3 4" xfId="42045"/>
    <cellStyle name="메모 2 21 3 3 5" xfId="48879"/>
    <cellStyle name="메모 2 21 3 4" xfId="19590"/>
    <cellStyle name="메모 2 21 3 4 2" xfId="31304"/>
    <cellStyle name="메모 2 21 3 4 3" xfId="17188"/>
    <cellStyle name="메모 2 21 3 4 4" xfId="47078"/>
    <cellStyle name="메모 2 21 3 5" xfId="35488"/>
    <cellStyle name="메모 2 21 3 5 2" xfId="41359"/>
    <cellStyle name="메모 2 21 3 5 3" xfId="48193"/>
    <cellStyle name="메모 2 21 3 6" xfId="29414"/>
    <cellStyle name="메모 2 21 3 7" xfId="16095"/>
    <cellStyle name="메모 2 21 3 8" xfId="28236"/>
    <cellStyle name="메모 2 21 4" xfId="9596"/>
    <cellStyle name="메모 2 21 4 10" xfId="28730"/>
    <cellStyle name="메모 2 21 4 11" xfId="32292"/>
    <cellStyle name="메모 2 21 4 2" xfId="13233"/>
    <cellStyle name="메모 2 21 4 2 2" xfId="26461"/>
    <cellStyle name="메모 2 21 4 2 3" xfId="32713"/>
    <cellStyle name="메모 2 21 4 2 4" xfId="38933"/>
    <cellStyle name="메모 2 21 4 2 5" xfId="41069"/>
    <cellStyle name="메모 2 21 4 3" xfId="6728"/>
    <cellStyle name="메모 2 21 4 3 2" xfId="19956"/>
    <cellStyle name="메모 2 21 4 3 3" xfId="35209"/>
    <cellStyle name="메모 2 21 4 3 4" xfId="45999"/>
    <cellStyle name="메모 2 21 4 3 5" xfId="47912"/>
    <cellStyle name="메모 2 21 4 4" xfId="14121"/>
    <cellStyle name="메모 2 21 4 4 2" xfId="27349"/>
    <cellStyle name="메모 2 21 4 4 3" xfId="31014"/>
    <cellStyle name="메모 2 21 4 4 4" xfId="18547"/>
    <cellStyle name="메모 2 21 4 4 5" xfId="14538"/>
    <cellStyle name="메모 2 21 4 5" xfId="14351"/>
    <cellStyle name="메모 2 21 4 5 2" xfId="27579"/>
    <cellStyle name="메모 2 21 4 5 3" xfId="41725"/>
    <cellStyle name="메모 2 21 4 5 4" xfId="48559"/>
    <cellStyle name="메모 2 21 4 6" xfId="22824"/>
    <cellStyle name="메모 2 21 4 6 2" xfId="37284"/>
    <cellStyle name="메모 2 21 4 6 3" xfId="43204"/>
    <cellStyle name="메모 2 21 4 6 4" xfId="50038"/>
    <cellStyle name="메모 2 21 4 7" xfId="37498"/>
    <cellStyle name="메모 2 21 4 7 2" xfId="43418"/>
    <cellStyle name="메모 2 21 4 7 3" xfId="50252"/>
    <cellStyle name="메모 2 21 4 8" xfId="31651"/>
    <cellStyle name="메모 2 21 4 8 2" xfId="17346"/>
    <cellStyle name="메모 2 21 4 8 3" xfId="38772"/>
    <cellStyle name="메모 2 21 4 9" xfId="28402"/>
    <cellStyle name="메모 2 21 5" xfId="7879"/>
    <cellStyle name="메모 2 21 5 2" xfId="21107"/>
    <cellStyle name="메모 2 21 6" xfId="38681"/>
    <cellStyle name="메모 2 22" xfId="2789"/>
    <cellStyle name="메모 2 22 2" xfId="2790"/>
    <cellStyle name="메모 2 22 2 2" xfId="6365"/>
    <cellStyle name="메모 2 22 2 2 2" xfId="11099"/>
    <cellStyle name="메모 2 22 2 2 2 2" xfId="24327"/>
    <cellStyle name="메모 2 22 2 2 2 3" xfId="33729"/>
    <cellStyle name="메모 2 22 2 2 2 4" xfId="44863"/>
    <cellStyle name="메모 2 22 2 2 2 5" xfId="28169"/>
    <cellStyle name="메모 2 22 2 2 3" xfId="12699"/>
    <cellStyle name="메모 2 22 2 2 3 2" xfId="25927"/>
    <cellStyle name="메모 2 22 2 2 3 3" xfId="36155"/>
    <cellStyle name="메모 2 22 2 2 3 4" xfId="42048"/>
    <cellStyle name="메모 2 22 2 2 3 5" xfId="48882"/>
    <cellStyle name="메모 2 22 2 2 4" xfId="19593"/>
    <cellStyle name="메모 2 22 2 2 4 2" xfId="31617"/>
    <cellStyle name="메모 2 22 2 2 4 3" xfId="15269"/>
    <cellStyle name="메모 2 22 2 2 4 4" xfId="43914"/>
    <cellStyle name="메모 2 22 2 2 5" xfId="36891"/>
    <cellStyle name="메모 2 22 2 2 5 2" xfId="42806"/>
    <cellStyle name="메모 2 22 2 2 5 3" xfId="49640"/>
    <cellStyle name="메모 2 22 2 2 6" xfId="29417"/>
    <cellStyle name="메모 2 22 2 2 7" xfId="16098"/>
    <cellStyle name="메모 2 22 2 2 8" xfId="36787"/>
    <cellStyle name="메모 2 22 2 3" xfId="9599"/>
    <cellStyle name="메모 2 22 2 3 10" xfId="15828"/>
    <cellStyle name="메모 2 22 2 3 11" xfId="34132"/>
    <cellStyle name="메모 2 22 2 3 2" xfId="13236"/>
    <cellStyle name="메모 2 22 2 3 2 2" xfId="26464"/>
    <cellStyle name="메모 2 22 2 3 2 3" xfId="32716"/>
    <cellStyle name="메모 2 22 2 3 2 4" xfId="38936"/>
    <cellStyle name="메모 2 22 2 3 2 5" xfId="47553"/>
    <cellStyle name="메모 2 22 2 3 3" xfId="7557"/>
    <cellStyle name="메모 2 22 2 3 3 2" xfId="20785"/>
    <cellStyle name="메모 2 22 2 3 3 3" xfId="35212"/>
    <cellStyle name="메모 2 22 2 3 3 4" xfId="46002"/>
    <cellStyle name="메모 2 22 2 3 3 5" xfId="47915"/>
    <cellStyle name="메모 2 22 2 3 4" xfId="13072"/>
    <cellStyle name="메모 2 22 2 3 4 2" xfId="26300"/>
    <cellStyle name="메모 2 22 2 3 4 3" xfId="31850"/>
    <cellStyle name="메모 2 22 2 3 4 4" xfId="38071"/>
    <cellStyle name="메모 2 22 2 3 4 5" xfId="15471"/>
    <cellStyle name="메모 2 22 2 3 5" xfId="12674"/>
    <cellStyle name="메모 2 22 2 3 5 2" xfId="25902"/>
    <cellStyle name="메모 2 22 2 3 5 3" xfId="42590"/>
    <cellStyle name="메모 2 22 2 3 5 4" xfId="49424"/>
    <cellStyle name="메모 2 22 2 3 6" xfId="22827"/>
    <cellStyle name="메모 2 22 2 3 6 2" xfId="35642"/>
    <cellStyle name="메모 2 22 2 3 6 3" xfId="41522"/>
    <cellStyle name="메모 2 22 2 3 6 4" xfId="48356"/>
    <cellStyle name="메모 2 22 2 3 7" xfId="37618"/>
    <cellStyle name="메모 2 22 2 3 7 2" xfId="43541"/>
    <cellStyle name="메모 2 22 2 3 7 3" xfId="50375"/>
    <cellStyle name="메모 2 22 2 3 8" xfId="30273"/>
    <cellStyle name="메모 2 22 2 3 8 2" xfId="16711"/>
    <cellStyle name="메모 2 22 2 3 8 3" xfId="40405"/>
    <cellStyle name="메모 2 22 2 3 9" xfId="28405"/>
    <cellStyle name="메모 2 22 2 4" xfId="7882"/>
    <cellStyle name="메모 2 22 2 4 2" xfId="21110"/>
    <cellStyle name="메모 2 22 2 5" xfId="38697"/>
    <cellStyle name="메모 2 22 3" xfId="6364"/>
    <cellStyle name="메모 2 22 3 2" xfId="11098"/>
    <cellStyle name="메모 2 22 3 2 2" xfId="24326"/>
    <cellStyle name="메모 2 22 3 2 3" xfId="33728"/>
    <cellStyle name="메모 2 22 3 2 4" xfId="44862"/>
    <cellStyle name="메모 2 22 3 2 5" xfId="32967"/>
    <cellStyle name="메모 2 22 3 3" xfId="6792"/>
    <cellStyle name="메모 2 22 3 3 2" xfId="20020"/>
    <cellStyle name="메모 2 22 3 3 3" xfId="36154"/>
    <cellStyle name="메모 2 22 3 3 4" xfId="42047"/>
    <cellStyle name="메모 2 22 3 3 5" xfId="48881"/>
    <cellStyle name="메모 2 22 3 4" xfId="19592"/>
    <cellStyle name="메모 2 22 3 4 2" xfId="30398"/>
    <cellStyle name="메모 2 22 3 4 3" xfId="14781"/>
    <cellStyle name="메모 2 22 3 4 4" xfId="46036"/>
    <cellStyle name="메모 2 22 3 5" xfId="30600"/>
    <cellStyle name="메모 2 22 3 5 2" xfId="16858"/>
    <cellStyle name="메모 2 22 3 5 3" xfId="47319"/>
    <cellStyle name="메모 2 22 3 6" xfId="29416"/>
    <cellStyle name="메모 2 22 3 7" xfId="16097"/>
    <cellStyle name="메모 2 22 3 8" xfId="44006"/>
    <cellStyle name="메모 2 22 4" xfId="9598"/>
    <cellStyle name="메모 2 22 4 10" xfId="40453"/>
    <cellStyle name="메모 2 22 4 11" xfId="45461"/>
    <cellStyle name="메모 2 22 4 2" xfId="13235"/>
    <cellStyle name="메모 2 22 4 2 2" xfId="26463"/>
    <cellStyle name="메모 2 22 4 2 3" xfId="32715"/>
    <cellStyle name="메모 2 22 4 2 4" xfId="38935"/>
    <cellStyle name="메모 2 22 4 2 5" xfId="14524"/>
    <cellStyle name="메모 2 22 4 3" xfId="7556"/>
    <cellStyle name="메모 2 22 4 3 2" xfId="20784"/>
    <cellStyle name="메모 2 22 4 3 3" xfId="35211"/>
    <cellStyle name="메모 2 22 4 3 4" xfId="46001"/>
    <cellStyle name="메모 2 22 4 3 5" xfId="47914"/>
    <cellStyle name="메모 2 22 4 4" xfId="14214"/>
    <cellStyle name="메모 2 22 4 4 2" xfId="27442"/>
    <cellStyle name="메모 2 22 4 4 3" xfId="31016"/>
    <cellStyle name="메모 2 22 4 4 4" xfId="18600"/>
    <cellStyle name="메모 2 22 4 4 5" xfId="39426"/>
    <cellStyle name="메모 2 22 4 5" xfId="13535"/>
    <cellStyle name="메모 2 22 4 5 2" xfId="26763"/>
    <cellStyle name="메모 2 22 4 5 3" xfId="41372"/>
    <cellStyle name="메모 2 22 4 5 4" xfId="48206"/>
    <cellStyle name="메모 2 22 4 6" xfId="22826"/>
    <cellStyle name="메모 2 22 4 6 2" xfId="37001"/>
    <cellStyle name="메모 2 22 4 6 3" xfId="42920"/>
    <cellStyle name="메모 2 22 4 6 4" xfId="49754"/>
    <cellStyle name="메모 2 22 4 7" xfId="35478"/>
    <cellStyle name="메모 2 22 4 7 2" xfId="41349"/>
    <cellStyle name="메모 2 22 4 7 3" xfId="48183"/>
    <cellStyle name="메모 2 22 4 8" xfId="31321"/>
    <cellStyle name="메모 2 22 4 8 2" xfId="17196"/>
    <cellStyle name="메모 2 22 4 8 3" xfId="14516"/>
    <cellStyle name="메모 2 22 4 9" xfId="28404"/>
    <cellStyle name="메모 2 22 5" xfId="7881"/>
    <cellStyle name="메모 2 22 5 2" xfId="21109"/>
    <cellStyle name="메모 2 22 6" xfId="40116"/>
    <cellStyle name="메모 2 23" xfId="2791"/>
    <cellStyle name="메모 2 23 2" xfId="2792"/>
    <cellStyle name="메모 2 23 2 2" xfId="6367"/>
    <cellStyle name="메모 2 23 2 2 2" xfId="11101"/>
    <cellStyle name="메모 2 23 2 2 2 2" xfId="24329"/>
    <cellStyle name="메모 2 23 2 2 2 3" xfId="33731"/>
    <cellStyle name="메모 2 23 2 2 2 4" xfId="44865"/>
    <cellStyle name="메모 2 23 2 2 2 5" xfId="15402"/>
    <cellStyle name="메모 2 23 2 2 3" xfId="12700"/>
    <cellStyle name="메모 2 23 2 2 3 2" xfId="25928"/>
    <cellStyle name="메모 2 23 2 2 3 3" xfId="36157"/>
    <cellStyle name="메모 2 23 2 2 3 4" xfId="42050"/>
    <cellStyle name="메모 2 23 2 2 3 5" xfId="48884"/>
    <cellStyle name="메모 2 23 2 2 4" xfId="19595"/>
    <cellStyle name="메모 2 23 2 2 4 2" xfId="37161"/>
    <cellStyle name="메모 2 23 2 2 4 3" xfId="43080"/>
    <cellStyle name="메모 2 23 2 2 4 4" xfId="49914"/>
    <cellStyle name="메모 2 23 2 2 5" xfId="35471"/>
    <cellStyle name="메모 2 23 2 2 5 2" xfId="41340"/>
    <cellStyle name="메모 2 23 2 2 5 3" xfId="48174"/>
    <cellStyle name="메모 2 23 2 2 6" xfId="29419"/>
    <cellStyle name="메모 2 23 2 2 7" xfId="16100"/>
    <cellStyle name="메모 2 23 2 2 8" xfId="45392"/>
    <cellStyle name="메모 2 23 2 3" xfId="9601"/>
    <cellStyle name="메모 2 23 2 3 10" xfId="40339"/>
    <cellStyle name="메모 2 23 2 3 11" xfId="45366"/>
    <cellStyle name="메모 2 23 2 3 2" xfId="13238"/>
    <cellStyle name="메모 2 23 2 3 2 2" xfId="26466"/>
    <cellStyle name="메모 2 23 2 3 2 3" xfId="32718"/>
    <cellStyle name="메모 2 23 2 3 2 4" xfId="38938"/>
    <cellStyle name="메모 2 23 2 3 2 5" xfId="47599"/>
    <cellStyle name="메모 2 23 2 3 3" xfId="7559"/>
    <cellStyle name="메모 2 23 2 3 3 2" xfId="20787"/>
    <cellStyle name="메모 2 23 2 3 3 3" xfId="35214"/>
    <cellStyle name="메모 2 23 2 3 3 4" xfId="46004"/>
    <cellStyle name="메모 2 23 2 3 3 5" xfId="47917"/>
    <cellStyle name="메모 2 23 2 3 4" xfId="13071"/>
    <cellStyle name="메모 2 23 2 3 4 2" xfId="26299"/>
    <cellStyle name="메모 2 23 2 3 4 3" xfId="31019"/>
    <cellStyle name="메모 2 23 2 3 4 4" xfId="17747"/>
    <cellStyle name="메모 2 23 2 3 4 5" xfId="40189"/>
    <cellStyle name="메모 2 23 2 3 5" xfId="7371"/>
    <cellStyle name="메모 2 23 2 3 5 2" xfId="20599"/>
    <cellStyle name="메모 2 23 2 3 5 3" xfId="42758"/>
    <cellStyle name="메모 2 23 2 3 5 4" xfId="49592"/>
    <cellStyle name="메모 2 23 2 3 6" xfId="22829"/>
    <cellStyle name="메모 2 23 2 3 6 2" xfId="36708"/>
    <cellStyle name="메모 2 23 2 3 6 3" xfId="42613"/>
    <cellStyle name="메모 2 23 2 3 6 4" xfId="49447"/>
    <cellStyle name="메모 2 23 2 3 7" xfId="35449"/>
    <cellStyle name="메모 2 23 2 3 7 2" xfId="41318"/>
    <cellStyle name="메모 2 23 2 3 7 3" xfId="48152"/>
    <cellStyle name="메모 2 23 2 3 8" xfId="37767"/>
    <cellStyle name="메모 2 23 2 3 8 2" xfId="43691"/>
    <cellStyle name="메모 2 23 2 3 8 3" xfId="50525"/>
    <cellStyle name="메모 2 23 2 3 9" xfId="28407"/>
    <cellStyle name="메모 2 23 2 4" xfId="7884"/>
    <cellStyle name="메모 2 23 2 4 2" xfId="21112"/>
    <cellStyle name="메모 2 23 2 5" xfId="17561"/>
    <cellStyle name="메모 2 23 3" xfId="6366"/>
    <cellStyle name="메모 2 23 3 2" xfId="11100"/>
    <cellStyle name="메모 2 23 3 2 2" xfId="24328"/>
    <cellStyle name="메모 2 23 3 2 3" xfId="33730"/>
    <cellStyle name="메모 2 23 3 2 4" xfId="44864"/>
    <cellStyle name="메모 2 23 3 2 5" xfId="41214"/>
    <cellStyle name="메모 2 23 3 3" xfId="12815"/>
    <cellStyle name="메모 2 23 3 3 2" xfId="26043"/>
    <cellStyle name="메모 2 23 3 3 3" xfId="36156"/>
    <cellStyle name="메모 2 23 3 3 4" xfId="42049"/>
    <cellStyle name="메모 2 23 3 3 5" xfId="48883"/>
    <cellStyle name="메모 2 23 3 4" xfId="19594"/>
    <cellStyle name="메모 2 23 3 4 2" xfId="31219"/>
    <cellStyle name="메모 2 23 3 4 3" xfId="14728"/>
    <cellStyle name="메모 2 23 3 4 4" xfId="47448"/>
    <cellStyle name="메모 2 23 3 5" xfId="30111"/>
    <cellStyle name="메모 2 23 3 5 2" xfId="16586"/>
    <cellStyle name="메모 2 23 3 5 3" xfId="34453"/>
    <cellStyle name="메모 2 23 3 6" xfId="29418"/>
    <cellStyle name="메모 2 23 3 7" xfId="16099"/>
    <cellStyle name="메모 2 23 3 8" xfId="44408"/>
    <cellStyle name="메모 2 23 4" xfId="9600"/>
    <cellStyle name="메모 2 23 4 10" xfId="38477"/>
    <cellStyle name="메모 2 23 4 11" xfId="43895"/>
    <cellStyle name="메모 2 23 4 2" xfId="13237"/>
    <cellStyle name="메모 2 23 4 2 2" xfId="26465"/>
    <cellStyle name="메모 2 23 4 2 3" xfId="32717"/>
    <cellStyle name="메모 2 23 4 2 4" xfId="38937"/>
    <cellStyle name="메모 2 23 4 2 5" xfId="47600"/>
    <cellStyle name="메모 2 23 4 3" xfId="7558"/>
    <cellStyle name="메모 2 23 4 3 2" xfId="20786"/>
    <cellStyle name="메모 2 23 4 3 3" xfId="35213"/>
    <cellStyle name="메모 2 23 4 3 4" xfId="46003"/>
    <cellStyle name="메모 2 23 4 3 5" xfId="47916"/>
    <cellStyle name="메모 2 23 4 4" xfId="8736"/>
    <cellStyle name="메모 2 23 4 4 2" xfId="21964"/>
    <cellStyle name="메모 2 23 4 4 3" xfId="31056"/>
    <cellStyle name="메모 2 23 4 4 4" xfId="18575"/>
    <cellStyle name="메모 2 23 4 4 5" xfId="33033"/>
    <cellStyle name="메모 2 23 4 5" xfId="13782"/>
    <cellStyle name="메모 2 23 4 5 2" xfId="27010"/>
    <cellStyle name="메모 2 23 4 5 3" xfId="41574"/>
    <cellStyle name="메모 2 23 4 5 4" xfId="48408"/>
    <cellStyle name="메모 2 23 4 6" xfId="22828"/>
    <cellStyle name="메모 2 23 4 6 2" xfId="32140"/>
    <cellStyle name="메모 2 23 4 6 3" xfId="38365"/>
    <cellStyle name="메모 2 23 4 6 4" xfId="40130"/>
    <cellStyle name="메모 2 23 4 7" xfId="35687"/>
    <cellStyle name="메모 2 23 4 7 2" xfId="41567"/>
    <cellStyle name="메모 2 23 4 7 3" xfId="48401"/>
    <cellStyle name="메모 2 23 4 8" xfId="34755"/>
    <cellStyle name="메모 2 23 4 8 2" xfId="40747"/>
    <cellStyle name="메모 2 23 4 8 3" xfId="33019"/>
    <cellStyle name="메모 2 23 4 9" xfId="28406"/>
    <cellStyle name="메모 2 23 5" xfId="7883"/>
    <cellStyle name="메모 2 23 5 2" xfId="21111"/>
    <cellStyle name="메모 2 23 6" xfId="33335"/>
    <cellStyle name="메모 2 24" xfId="2793"/>
    <cellStyle name="메모 2 24 2" xfId="2794"/>
    <cellStyle name="메모 2 24 2 2" xfId="6369"/>
    <cellStyle name="메모 2 24 2 2 2" xfId="11103"/>
    <cellStyle name="메모 2 24 2 2 2 2" xfId="24331"/>
    <cellStyle name="메모 2 24 2 2 2 3" xfId="33733"/>
    <cellStyle name="메모 2 24 2 2 2 4" xfId="44867"/>
    <cellStyle name="메모 2 24 2 2 2 5" xfId="39905"/>
    <cellStyle name="메모 2 24 2 2 3" xfId="6794"/>
    <cellStyle name="메모 2 24 2 2 3 2" xfId="20022"/>
    <cellStyle name="메모 2 24 2 2 3 3" xfId="36159"/>
    <cellStyle name="메모 2 24 2 2 3 4" xfId="42052"/>
    <cellStyle name="메모 2 24 2 2 3 5" xfId="48886"/>
    <cellStyle name="메모 2 24 2 2 4" xfId="19597"/>
    <cellStyle name="메모 2 24 2 2 4 2" xfId="29869"/>
    <cellStyle name="메모 2 24 2 2 4 3" xfId="17688"/>
    <cellStyle name="메모 2 24 2 2 4 4" xfId="28200"/>
    <cellStyle name="메모 2 24 2 2 5" xfId="31555"/>
    <cellStyle name="메모 2 24 2 2 5 2" xfId="15136"/>
    <cellStyle name="메모 2 24 2 2 5 3" xfId="44197"/>
    <cellStyle name="메모 2 24 2 2 6" xfId="29421"/>
    <cellStyle name="메모 2 24 2 2 7" xfId="16102"/>
    <cellStyle name="메모 2 24 2 2 8" xfId="43883"/>
    <cellStyle name="메모 2 24 2 3" xfId="9603"/>
    <cellStyle name="메모 2 24 2 3 10" xfId="34054"/>
    <cellStyle name="메모 2 24 2 3 11" xfId="40321"/>
    <cellStyle name="메모 2 24 2 3 2" xfId="13240"/>
    <cellStyle name="메모 2 24 2 3 2 2" xfId="26468"/>
    <cellStyle name="메모 2 24 2 3 2 3" xfId="32720"/>
    <cellStyle name="메모 2 24 2 3 2 4" xfId="38940"/>
    <cellStyle name="메모 2 24 2 3 2 5" xfId="15559"/>
    <cellStyle name="메모 2 24 2 3 3" xfId="7561"/>
    <cellStyle name="메모 2 24 2 3 3 2" xfId="20789"/>
    <cellStyle name="메모 2 24 2 3 3 3" xfId="35216"/>
    <cellStyle name="메모 2 24 2 3 3 4" xfId="46006"/>
    <cellStyle name="메모 2 24 2 3 3 5" xfId="47919"/>
    <cellStyle name="메모 2 24 2 3 4" xfId="12898"/>
    <cellStyle name="메모 2 24 2 3 4 2" xfId="26126"/>
    <cellStyle name="메모 2 24 2 3 4 3" xfId="31851"/>
    <cellStyle name="메모 2 24 2 3 4 4" xfId="38072"/>
    <cellStyle name="메모 2 24 2 3 4 5" xfId="28683"/>
    <cellStyle name="메모 2 24 2 3 5" xfId="7761"/>
    <cellStyle name="메모 2 24 2 3 5 2" xfId="20989"/>
    <cellStyle name="메모 2 24 2 3 5 3" xfId="42469"/>
    <cellStyle name="메모 2 24 2 3 5 4" xfId="49303"/>
    <cellStyle name="메모 2 24 2 3 6" xfId="22831"/>
    <cellStyle name="메모 2 24 2 3 6 2" xfId="37473"/>
    <cellStyle name="메모 2 24 2 3 6 3" xfId="43393"/>
    <cellStyle name="메모 2 24 2 3 6 4" xfId="50227"/>
    <cellStyle name="메모 2 24 2 3 7" xfId="31800"/>
    <cellStyle name="메모 2 24 2 3 7 2" xfId="38021"/>
    <cellStyle name="메모 2 24 2 3 7 3" xfId="44177"/>
    <cellStyle name="메모 2 24 2 3 8" xfId="29907"/>
    <cellStyle name="메모 2 24 2 3 8 2" xfId="18128"/>
    <cellStyle name="메모 2 24 2 3 8 3" xfId="38750"/>
    <cellStyle name="메모 2 24 2 3 9" xfId="28409"/>
    <cellStyle name="메모 2 24 2 4" xfId="7886"/>
    <cellStyle name="메모 2 24 2 4 2" xfId="21114"/>
    <cellStyle name="메모 2 24 2 5" xfId="34504"/>
    <cellStyle name="메모 2 24 3" xfId="6368"/>
    <cellStyle name="메모 2 24 3 2" xfId="11102"/>
    <cellStyle name="메모 2 24 3 2 2" xfId="24330"/>
    <cellStyle name="메모 2 24 3 2 3" xfId="33732"/>
    <cellStyle name="메모 2 24 3 2 4" xfId="44866"/>
    <cellStyle name="메모 2 24 3 2 5" xfId="39464"/>
    <cellStyle name="메모 2 24 3 3" xfId="6793"/>
    <cellStyle name="메모 2 24 3 3 2" xfId="20021"/>
    <cellStyle name="메모 2 24 3 3 3" xfId="36158"/>
    <cellStyle name="메모 2 24 3 3 4" xfId="42051"/>
    <cellStyle name="메모 2 24 3 3 5" xfId="48885"/>
    <cellStyle name="메모 2 24 3 4" xfId="19596"/>
    <cellStyle name="메모 2 24 3 4 2" xfId="35650"/>
    <cellStyle name="메모 2 24 3 4 3" xfId="41530"/>
    <cellStyle name="메모 2 24 3 4 4" xfId="48364"/>
    <cellStyle name="메모 2 24 3 5" xfId="35827"/>
    <cellStyle name="메모 2 24 3 5 2" xfId="41714"/>
    <cellStyle name="메모 2 24 3 5 3" xfId="48548"/>
    <cellStyle name="메모 2 24 3 6" xfId="29420"/>
    <cellStyle name="메모 2 24 3 7" xfId="14569"/>
    <cellStyle name="메모 2 24 3 8" xfId="28809"/>
    <cellStyle name="메모 2 24 4" xfId="9602"/>
    <cellStyle name="메모 2 24 4 10" xfId="39254"/>
    <cellStyle name="메모 2 24 4 11" xfId="44360"/>
    <cellStyle name="메모 2 24 4 2" xfId="13239"/>
    <cellStyle name="메모 2 24 4 2 2" xfId="26467"/>
    <cellStyle name="메모 2 24 4 2 3" xfId="32719"/>
    <cellStyle name="메모 2 24 4 2 4" xfId="38939"/>
    <cellStyle name="메모 2 24 4 2 5" xfId="47296"/>
    <cellStyle name="메모 2 24 4 3" xfId="7560"/>
    <cellStyle name="메모 2 24 4 3 2" xfId="20788"/>
    <cellStyle name="메모 2 24 4 3 3" xfId="35215"/>
    <cellStyle name="메모 2 24 4 3 4" xfId="46005"/>
    <cellStyle name="메모 2 24 4 3 5" xfId="47918"/>
    <cellStyle name="메모 2 24 4 4" xfId="14074"/>
    <cellStyle name="메모 2 24 4 4 2" xfId="27302"/>
    <cellStyle name="메모 2 24 4 4 3" xfId="34854"/>
    <cellStyle name="메모 2 24 4 4 4" xfId="40853"/>
    <cellStyle name="메모 2 24 4 4 5" xfId="40373"/>
    <cellStyle name="메모 2 24 4 5" xfId="14319"/>
    <cellStyle name="메모 2 24 4 5 2" xfId="27547"/>
    <cellStyle name="메모 2 24 4 5 3" xfId="41045"/>
    <cellStyle name="메모 2 24 4 5 4" xfId="47741"/>
    <cellStyle name="메모 2 24 4 6" xfId="22830"/>
    <cellStyle name="메모 2 24 4 6 2" xfId="31395"/>
    <cellStyle name="메모 2 24 4 6 3" xfId="15242"/>
    <cellStyle name="메모 2 24 4 6 4" xfId="46250"/>
    <cellStyle name="메모 2 24 4 7" xfId="30206"/>
    <cellStyle name="메모 2 24 4 7 2" xfId="16659"/>
    <cellStyle name="메모 2 24 4 7 3" xfId="33025"/>
    <cellStyle name="메모 2 24 4 8" xfId="36995"/>
    <cellStyle name="메모 2 24 4 8 2" xfId="42914"/>
    <cellStyle name="메모 2 24 4 8 3" xfId="49748"/>
    <cellStyle name="메모 2 24 4 9" xfId="28408"/>
    <cellStyle name="메모 2 24 5" xfId="7885"/>
    <cellStyle name="메모 2 24 5 2" xfId="21113"/>
    <cellStyle name="메모 2 24 6" xfId="16493"/>
    <cellStyle name="메모 2 25" xfId="2795"/>
    <cellStyle name="메모 2 25 2" xfId="6370"/>
    <cellStyle name="메모 2 25 2 2" xfId="11104"/>
    <cellStyle name="메모 2 25 2 2 2" xfId="24332"/>
    <cellStyle name="메모 2 25 2 2 3" xfId="33734"/>
    <cellStyle name="메모 2 25 2 2 4" xfId="44868"/>
    <cellStyle name="메모 2 25 2 2 5" xfId="34502"/>
    <cellStyle name="메모 2 25 2 3" xfId="12814"/>
    <cellStyle name="메모 2 25 2 3 2" xfId="26042"/>
    <cellStyle name="메모 2 25 2 3 3" xfId="36160"/>
    <cellStyle name="메모 2 25 2 3 4" xfId="42053"/>
    <cellStyle name="메모 2 25 2 3 5" xfId="48887"/>
    <cellStyle name="메모 2 25 2 4" xfId="19598"/>
    <cellStyle name="메모 2 25 2 4 2" xfId="37392"/>
    <cellStyle name="메모 2 25 2 4 3" xfId="43312"/>
    <cellStyle name="메모 2 25 2 4 4" xfId="50146"/>
    <cellStyle name="메모 2 25 2 5" xfId="30173"/>
    <cellStyle name="메모 2 25 2 5 2" xfId="16634"/>
    <cellStyle name="메모 2 25 2 5 3" xfId="44567"/>
    <cellStyle name="메모 2 25 2 6" xfId="29422"/>
    <cellStyle name="메모 2 25 2 7" xfId="16117"/>
    <cellStyle name="메모 2 25 2 8" xfId="45353"/>
    <cellStyle name="메모 2 25 3" xfId="9604"/>
    <cellStyle name="메모 2 25 3 10" xfId="39601"/>
    <cellStyle name="메모 2 25 3 11" xfId="44600"/>
    <cellStyle name="메모 2 25 3 2" xfId="13241"/>
    <cellStyle name="메모 2 25 3 2 2" xfId="26469"/>
    <cellStyle name="메모 2 25 3 2 3" xfId="32721"/>
    <cellStyle name="메모 2 25 3 2 4" xfId="38941"/>
    <cellStyle name="메모 2 25 3 2 5" xfId="47490"/>
    <cellStyle name="메모 2 25 3 3" xfId="7562"/>
    <cellStyle name="메모 2 25 3 3 2" xfId="20790"/>
    <cellStyle name="메모 2 25 3 3 3" xfId="35217"/>
    <cellStyle name="메모 2 25 3 3 4" xfId="46007"/>
    <cellStyle name="메모 2 25 3 3 5" xfId="47920"/>
    <cellStyle name="메모 2 25 3 4" xfId="13669"/>
    <cellStyle name="메모 2 25 3 4 2" xfId="26897"/>
    <cellStyle name="메모 2 25 3 4 3" xfId="31021"/>
    <cellStyle name="메모 2 25 3 4 4" xfId="18550"/>
    <cellStyle name="메모 2 25 3 4 5" xfId="34310"/>
    <cellStyle name="메모 2 25 3 5" xfId="14285"/>
    <cellStyle name="메모 2 25 3 5 2" xfId="27513"/>
    <cellStyle name="메모 2 25 3 5 3" xfId="40816"/>
    <cellStyle name="메모 2 25 3 5 4" xfId="28830"/>
    <cellStyle name="메모 2 25 3 6" xfId="22832"/>
    <cellStyle name="메모 2 25 3 6 2" xfId="36808"/>
    <cellStyle name="메모 2 25 3 6 3" xfId="42719"/>
    <cellStyle name="메모 2 25 3 6 4" xfId="49553"/>
    <cellStyle name="메모 2 25 3 7" xfId="37641"/>
    <cellStyle name="메모 2 25 3 7 2" xfId="43564"/>
    <cellStyle name="메모 2 25 3 7 3" xfId="50398"/>
    <cellStyle name="메모 2 25 3 8" xfId="37272"/>
    <cellStyle name="메모 2 25 3 8 2" xfId="43192"/>
    <cellStyle name="메모 2 25 3 8 3" xfId="50026"/>
    <cellStyle name="메모 2 25 3 9" xfId="28410"/>
    <cellStyle name="메모 2 25 4" xfId="7887"/>
    <cellStyle name="메모 2 25 4 2" xfId="21115"/>
    <cellStyle name="메모 2 25 5" xfId="30020"/>
    <cellStyle name="메모 2 26" xfId="2796"/>
    <cellStyle name="메모 2 26 2" xfId="2797"/>
    <cellStyle name="메모 2 27" xfId="4858"/>
    <cellStyle name="메모 2 28" xfId="2762"/>
    <cellStyle name="메모 2 28 2" xfId="6337"/>
    <cellStyle name="메모 2 28 2 2" xfId="11071"/>
    <cellStyle name="메모 2 28 2 2 2" xfId="24299"/>
    <cellStyle name="메모 2 28 2 2 3" xfId="33701"/>
    <cellStyle name="메모 2 28 2 2 4" xfId="44835"/>
    <cellStyle name="메모 2 28 2 2 5" xfId="17399"/>
    <cellStyle name="메모 2 28 2 3" xfId="6788"/>
    <cellStyle name="메모 2 28 2 3 2" xfId="20016"/>
    <cellStyle name="메모 2 28 2 3 3" xfId="36127"/>
    <cellStyle name="메모 2 28 2 3 4" xfId="42020"/>
    <cellStyle name="메모 2 28 2 3 5" xfId="48854"/>
    <cellStyle name="메모 2 28 2 4" xfId="19565"/>
    <cellStyle name="메모 2 28 2 4 2" xfId="31250"/>
    <cellStyle name="메모 2 28 2 4 3" xfId="17129"/>
    <cellStyle name="메모 2 28 2 4 4" xfId="46423"/>
    <cellStyle name="메모 2 28 2 5" xfId="35605"/>
    <cellStyle name="메모 2 28 2 5 2" xfId="41481"/>
    <cellStyle name="메모 2 28 2 5 3" xfId="48315"/>
    <cellStyle name="메모 2 28 2 6" xfId="29389"/>
    <cellStyle name="메모 2 28 2 7" xfId="16078"/>
    <cellStyle name="메모 2 28 2 8" xfId="17891"/>
    <cellStyle name="메모 2 28 3" xfId="9571"/>
    <cellStyle name="메모 2 28 3 10" xfId="32204"/>
    <cellStyle name="메모 2 28 3 11" xfId="45546"/>
    <cellStyle name="메모 2 28 3 2" xfId="13208"/>
    <cellStyle name="메모 2 28 3 2 2" xfId="26436"/>
    <cellStyle name="메모 2 28 3 2 3" xfId="32688"/>
    <cellStyle name="메모 2 28 3 2 4" xfId="38908"/>
    <cellStyle name="메모 2 28 3 2 5" xfId="47397"/>
    <cellStyle name="메모 2 28 3 3" xfId="8566"/>
    <cellStyle name="메모 2 28 3 3 2" xfId="21794"/>
    <cellStyle name="메모 2 28 3 3 3" xfId="35184"/>
    <cellStyle name="메모 2 28 3 3 4" xfId="45974"/>
    <cellStyle name="메모 2 28 3 3 5" xfId="47887"/>
    <cellStyle name="메모 2 28 3 4" xfId="13607"/>
    <cellStyle name="메모 2 28 3 4 2" xfId="26835"/>
    <cellStyle name="메모 2 28 3 4 3" xfId="31000"/>
    <cellStyle name="메모 2 28 3 4 4" xfId="17044"/>
    <cellStyle name="메모 2 28 3 4 5" xfId="33110"/>
    <cellStyle name="메모 2 28 3 5" xfId="7446"/>
    <cellStyle name="메모 2 28 3 5 2" xfId="20674"/>
    <cellStyle name="메모 2 28 3 5 3" xfId="40977"/>
    <cellStyle name="메모 2 28 3 5 4" xfId="47673"/>
    <cellStyle name="메모 2 28 3 6" xfId="22799"/>
    <cellStyle name="메모 2 28 3 6 2" xfId="37165"/>
    <cellStyle name="메모 2 28 3 6 3" xfId="43084"/>
    <cellStyle name="메모 2 28 3 6 4" xfId="49918"/>
    <cellStyle name="메모 2 28 3 7" xfId="31701"/>
    <cellStyle name="메모 2 28 3 7 2" xfId="27988"/>
    <cellStyle name="메모 2 28 3 7 3" xfId="15641"/>
    <cellStyle name="메모 2 28 3 8" xfId="30825"/>
    <cellStyle name="메모 2 28 3 8 2" xfId="18040"/>
    <cellStyle name="메모 2 28 3 8 3" xfId="40482"/>
    <cellStyle name="메모 2 28 3 9" xfId="28377"/>
    <cellStyle name="메모 2 28 4" xfId="7854"/>
    <cellStyle name="메모 2 28 4 2" xfId="21082"/>
    <cellStyle name="메모 2 28 5" xfId="38759"/>
    <cellStyle name="메모 2 29" xfId="51275"/>
    <cellStyle name="메모 2 3" xfId="2798"/>
    <cellStyle name="메모 2 3 2" xfId="2799"/>
    <cellStyle name="메모 2 3 2 2" xfId="6372"/>
    <cellStyle name="메모 2 3 2 2 2" xfId="11106"/>
    <cellStyle name="메모 2 3 2 2 2 2" xfId="24334"/>
    <cellStyle name="메모 2 3 2 2 2 3" xfId="33736"/>
    <cellStyle name="메모 2 3 2 2 2 4" xfId="44870"/>
    <cellStyle name="메모 2 3 2 2 2 5" xfId="29927"/>
    <cellStyle name="메모 2 3 2 2 3" xfId="8086"/>
    <cellStyle name="메모 2 3 2 2 3 2" xfId="21314"/>
    <cellStyle name="메모 2 3 2 2 3 3" xfId="36162"/>
    <cellStyle name="메모 2 3 2 2 3 4" xfId="42055"/>
    <cellStyle name="메모 2 3 2 2 3 5" xfId="48889"/>
    <cellStyle name="메모 2 3 2 2 4" xfId="19600"/>
    <cellStyle name="메모 2 3 2 2 4 2" xfId="35508"/>
    <cellStyle name="메모 2 3 2 2 4 3" xfId="41379"/>
    <cellStyle name="메모 2 3 2 2 4 4" xfId="48213"/>
    <cellStyle name="메모 2 3 2 2 5" xfId="31751"/>
    <cellStyle name="메모 2 3 2 2 5 2" xfId="37972"/>
    <cellStyle name="메모 2 3 2 2 5 3" xfId="47546"/>
    <cellStyle name="메모 2 3 2 2 6" xfId="29424"/>
    <cellStyle name="메모 2 3 2 2 7" xfId="16101"/>
    <cellStyle name="메모 2 3 2 2 8" xfId="40358"/>
    <cellStyle name="메모 2 3 2 3" xfId="9606"/>
    <cellStyle name="메모 2 3 2 3 10" xfId="36655"/>
    <cellStyle name="메모 2 3 2 3 11" xfId="28229"/>
    <cellStyle name="메모 2 3 2 3 2" xfId="13243"/>
    <cellStyle name="메모 2 3 2 3 2 2" xfId="26471"/>
    <cellStyle name="메모 2 3 2 3 2 3" xfId="32723"/>
    <cellStyle name="메모 2 3 2 3 2 4" xfId="38943"/>
    <cellStyle name="메모 2 3 2 3 2 5" xfId="47396"/>
    <cellStyle name="메모 2 3 2 3 3" xfId="7564"/>
    <cellStyle name="메모 2 3 2 3 3 2" xfId="20792"/>
    <cellStyle name="메모 2 3 2 3 3 3" xfId="35219"/>
    <cellStyle name="메모 2 3 2 3 3 4" xfId="46009"/>
    <cellStyle name="메모 2 3 2 3 3 5" xfId="47922"/>
    <cellStyle name="메모 2 3 2 3 4" xfId="13486"/>
    <cellStyle name="메모 2 3 2 3 4 2" xfId="26714"/>
    <cellStyle name="메모 2 3 2 3 4 3" xfId="31852"/>
    <cellStyle name="메모 2 3 2 3 4 4" xfId="38073"/>
    <cellStyle name="메모 2 3 2 3 4 5" xfId="46402"/>
    <cellStyle name="메모 2 3 2 3 5" xfId="12793"/>
    <cellStyle name="메모 2 3 2 3 5 2" xfId="26021"/>
    <cellStyle name="메모 2 3 2 3 5 3" xfId="42877"/>
    <cellStyle name="메모 2 3 2 3 5 4" xfId="49711"/>
    <cellStyle name="메모 2 3 2 3 6" xfId="22834"/>
    <cellStyle name="메모 2 3 2 3 6 2" xfId="37436"/>
    <cellStyle name="메모 2 3 2 3 6 3" xfId="43356"/>
    <cellStyle name="메모 2 3 2 3 6 4" xfId="50190"/>
    <cellStyle name="메모 2 3 2 3 7" xfId="30717"/>
    <cellStyle name="메모 2 3 2 3 7 2" xfId="17963"/>
    <cellStyle name="메모 2 3 2 3 7 3" xfId="28742"/>
    <cellStyle name="메모 2 3 2 3 8" xfId="37808"/>
    <cellStyle name="메모 2 3 2 3 8 2" xfId="43732"/>
    <cellStyle name="메모 2 3 2 3 8 3" xfId="50566"/>
    <cellStyle name="메모 2 3 2 3 9" xfId="28412"/>
    <cellStyle name="메모 2 3 2 4" xfId="7889"/>
    <cellStyle name="메모 2 3 2 4 2" xfId="21117"/>
    <cellStyle name="메모 2 3 2 5" xfId="34827"/>
    <cellStyle name="메모 2 3 3" xfId="6371"/>
    <cellStyle name="메모 2 3 3 2" xfId="11105"/>
    <cellStyle name="메모 2 3 3 2 2" xfId="24333"/>
    <cellStyle name="메모 2 3 3 2 3" xfId="33735"/>
    <cellStyle name="메모 2 3 3 2 4" xfId="44869"/>
    <cellStyle name="메모 2 3 3 2 5" xfId="41215"/>
    <cellStyle name="메모 2 3 3 3" xfId="7181"/>
    <cellStyle name="메모 2 3 3 3 2" xfId="20409"/>
    <cellStyle name="메모 2 3 3 3 3" xfId="36161"/>
    <cellStyle name="메모 2 3 3 3 4" xfId="42054"/>
    <cellStyle name="메모 2 3 3 3 5" xfId="48888"/>
    <cellStyle name="메모 2 3 3 4" xfId="19599"/>
    <cellStyle name="메모 2 3 3 4 2" xfId="36810"/>
    <cellStyle name="메모 2 3 3 4 3" xfId="42721"/>
    <cellStyle name="메모 2 3 3 4 4" xfId="49555"/>
    <cellStyle name="메모 2 3 3 5" xfId="37598"/>
    <cellStyle name="메모 2 3 3 5 2" xfId="43521"/>
    <cellStyle name="메모 2 3 3 5 3" xfId="50355"/>
    <cellStyle name="메모 2 3 3 6" xfId="29423"/>
    <cellStyle name="메모 2 3 3 7" xfId="27816"/>
    <cellStyle name="메모 2 3 3 8" xfId="44347"/>
    <cellStyle name="메모 2 3 3 9" xfId="51032"/>
    <cellStyle name="메모 2 3 4" xfId="9605"/>
    <cellStyle name="메모 2 3 4 10" xfId="40583"/>
    <cellStyle name="메모 2 3 4 11" xfId="45570"/>
    <cellStyle name="메모 2 3 4 2" xfId="13242"/>
    <cellStyle name="메모 2 3 4 2 2" xfId="26470"/>
    <cellStyle name="메모 2 3 4 2 3" xfId="32722"/>
    <cellStyle name="메모 2 3 4 2 4" xfId="38942"/>
    <cellStyle name="메모 2 3 4 2 5" xfId="34420"/>
    <cellStyle name="메모 2 3 4 3" xfId="7563"/>
    <cellStyle name="메모 2 3 4 3 2" xfId="20791"/>
    <cellStyle name="메모 2 3 4 3 3" xfId="35218"/>
    <cellStyle name="메모 2 3 4 3 4" xfId="46008"/>
    <cellStyle name="메모 2 3 4 3 5" xfId="47921"/>
    <cellStyle name="메모 2 3 4 4" xfId="14238"/>
    <cellStyle name="메모 2 3 4 4 2" xfId="27466"/>
    <cellStyle name="메모 2 3 4 4 3" xfId="31020"/>
    <cellStyle name="메모 2 3 4 4 4" xfId="18551"/>
    <cellStyle name="메모 2 3 4 4 5" xfId="16537"/>
    <cellStyle name="메모 2 3 4 5" xfId="8324"/>
    <cellStyle name="메모 2 3 4 5 2" xfId="21552"/>
    <cellStyle name="메모 2 3 4 5 3" xfId="41779"/>
    <cellStyle name="메모 2 3 4 5 4" xfId="48613"/>
    <cellStyle name="메모 2 3 4 6" xfId="22833"/>
    <cellStyle name="메모 2 3 4 6 2" xfId="31251"/>
    <cellStyle name="메모 2 3 4 6 3" xfId="17150"/>
    <cellStyle name="메모 2 3 4 6 4" xfId="34499"/>
    <cellStyle name="메모 2 3 4 7" xfId="30182"/>
    <cellStyle name="메모 2 3 4 7 2" xfId="16643"/>
    <cellStyle name="메모 2 3 4 7 3" xfId="38742"/>
    <cellStyle name="메모 2 3 4 8" xfId="31298"/>
    <cellStyle name="메모 2 3 4 8 2" xfId="17185"/>
    <cellStyle name="메모 2 3 4 8 3" xfId="46762"/>
    <cellStyle name="메모 2 3 4 9" xfId="28411"/>
    <cellStyle name="메모 2 3 5" xfId="7888"/>
    <cellStyle name="메모 2 3 5 2" xfId="21116"/>
    <cellStyle name="메모 2 3 6" xfId="40602"/>
    <cellStyle name="메모 2 4" xfId="2800"/>
    <cellStyle name="메모 2 4 2" xfId="2801"/>
    <cellStyle name="메모 2 4 2 2" xfId="6374"/>
    <cellStyle name="메모 2 4 2 2 2" xfId="11108"/>
    <cellStyle name="메모 2 4 2 2 2 2" xfId="24336"/>
    <cellStyle name="메모 2 4 2 2 2 3" xfId="33738"/>
    <cellStyle name="메모 2 4 2 2 2 4" xfId="44872"/>
    <cellStyle name="메모 2 4 2 2 2 5" xfId="39906"/>
    <cellStyle name="메모 2 4 2 2 3" xfId="12771"/>
    <cellStyle name="메모 2 4 2 2 3 2" xfId="25999"/>
    <cellStyle name="메모 2 4 2 2 3 3" xfId="36164"/>
    <cellStyle name="메모 2 4 2 2 3 4" xfId="42057"/>
    <cellStyle name="메모 2 4 2 2 3 5" xfId="48891"/>
    <cellStyle name="메모 2 4 2 2 4" xfId="19602"/>
    <cellStyle name="메모 2 4 2 2 4 2" xfId="34997"/>
    <cellStyle name="메모 2 4 2 2 4 3" xfId="41001"/>
    <cellStyle name="메모 2 4 2 2 4 4" xfId="47697"/>
    <cellStyle name="메모 2 4 2 2 5" xfId="35828"/>
    <cellStyle name="메모 2 4 2 2 5 2" xfId="41715"/>
    <cellStyle name="메모 2 4 2 2 5 3" xfId="48549"/>
    <cellStyle name="메모 2 4 2 2 6" xfId="29426"/>
    <cellStyle name="메모 2 4 2 2 7" xfId="16104"/>
    <cellStyle name="메모 2 4 2 2 8" xfId="45556"/>
    <cellStyle name="메모 2 4 2 3" xfId="9608"/>
    <cellStyle name="메모 2 4 2 3 10" xfId="15450"/>
    <cellStyle name="메모 2 4 2 3 11" xfId="33417"/>
    <cellStyle name="메모 2 4 2 3 2" xfId="13245"/>
    <cellStyle name="메모 2 4 2 3 2 2" xfId="26473"/>
    <cellStyle name="메모 2 4 2 3 2 3" xfId="32725"/>
    <cellStyle name="메모 2 4 2 3 2 4" xfId="38945"/>
    <cellStyle name="메모 2 4 2 3 2 5" xfId="46774"/>
    <cellStyle name="메모 2 4 2 3 3" xfId="7566"/>
    <cellStyle name="메모 2 4 2 3 3 2" xfId="20794"/>
    <cellStyle name="메모 2 4 2 3 3 3" xfId="35221"/>
    <cellStyle name="메모 2 4 2 3 3 4" xfId="46011"/>
    <cellStyle name="메모 2 4 2 3 3 5" xfId="47924"/>
    <cellStyle name="메모 2 4 2 3 4" xfId="13575"/>
    <cellStyle name="메모 2 4 2 3 4 2" xfId="26803"/>
    <cellStyle name="메모 2 4 2 3 4 3" xfId="31022"/>
    <cellStyle name="메모 2 4 2 3 4 4" xfId="17748"/>
    <cellStyle name="메모 2 4 2 3 4 5" xfId="17641"/>
    <cellStyle name="메모 2 4 2 3 5" xfId="13014"/>
    <cellStyle name="메모 2 4 2 3 5 2" xfId="26242"/>
    <cellStyle name="메모 2 4 2 3 5 3" xfId="42642"/>
    <cellStyle name="메모 2 4 2 3 5 4" xfId="49476"/>
    <cellStyle name="메모 2 4 2 3 6" xfId="22836"/>
    <cellStyle name="메모 2 4 2 3 6 2" xfId="31317"/>
    <cellStyle name="메모 2 4 2 3 6 3" xfId="17194"/>
    <cellStyle name="메모 2 4 2 3 6 4" xfId="32983"/>
    <cellStyle name="메모 2 4 2 3 7" xfId="36960"/>
    <cellStyle name="메모 2 4 2 3 7 2" xfId="42878"/>
    <cellStyle name="메모 2 4 2 3 7 3" xfId="49712"/>
    <cellStyle name="메모 2 4 2 3 8" xfId="37723"/>
    <cellStyle name="메모 2 4 2 3 8 2" xfId="43646"/>
    <cellStyle name="메모 2 4 2 3 8 3" xfId="50480"/>
    <cellStyle name="메모 2 4 2 3 9" xfId="28414"/>
    <cellStyle name="메모 2 4 2 4" xfId="7891"/>
    <cellStyle name="메모 2 4 2 4 2" xfId="21119"/>
    <cellStyle name="메모 2 4 2 5" xfId="39620"/>
    <cellStyle name="메모 2 4 3" xfId="6373"/>
    <cellStyle name="메모 2 4 3 2" xfId="11107"/>
    <cellStyle name="메모 2 4 3 2 2" xfId="24335"/>
    <cellStyle name="메모 2 4 3 2 3" xfId="33737"/>
    <cellStyle name="메모 2 4 3 2 4" xfId="44871"/>
    <cellStyle name="메모 2 4 3 2 5" xfId="33333"/>
    <cellStyle name="메모 2 4 3 3" xfId="8087"/>
    <cellStyle name="메모 2 4 3 3 2" xfId="21315"/>
    <cellStyle name="메모 2 4 3 3 3" xfId="36163"/>
    <cellStyle name="메모 2 4 3 3 4" xfId="42056"/>
    <cellStyle name="메모 2 4 3 3 5" xfId="48890"/>
    <cellStyle name="메모 2 4 3 4" xfId="19601"/>
    <cellStyle name="메모 2 4 3 4 2" xfId="32433"/>
    <cellStyle name="메모 2 4 3 4 3" xfId="38651"/>
    <cellStyle name="메모 2 4 3 4 4" xfId="17924"/>
    <cellStyle name="메모 2 4 3 5" xfId="34751"/>
    <cellStyle name="메모 2 4 3 5 2" xfId="40743"/>
    <cellStyle name="메모 2 4 3 5 3" xfId="15841"/>
    <cellStyle name="메모 2 4 3 6" xfId="29425"/>
    <cellStyle name="메모 2 4 3 7" xfId="14570"/>
    <cellStyle name="메모 2 4 3 8" xfId="44586"/>
    <cellStyle name="메모 2 4 3 9" xfId="51033"/>
    <cellStyle name="메모 2 4 4" xfId="9607"/>
    <cellStyle name="메모 2 4 4 10" xfId="32460"/>
    <cellStyle name="메모 2 4 4 11" xfId="27955"/>
    <cellStyle name="메모 2 4 4 2" xfId="13244"/>
    <cellStyle name="메모 2 4 4 2 2" xfId="26472"/>
    <cellStyle name="메모 2 4 4 2 3" xfId="32724"/>
    <cellStyle name="메모 2 4 4 2 4" xfId="38944"/>
    <cellStyle name="메모 2 4 4 2 5" xfId="15578"/>
    <cellStyle name="메모 2 4 4 3" xfId="7565"/>
    <cellStyle name="메모 2 4 4 3 2" xfId="20793"/>
    <cellStyle name="메모 2 4 4 3 3" xfId="35220"/>
    <cellStyle name="메모 2 4 4 3 4" xfId="46010"/>
    <cellStyle name="메모 2 4 4 3 5" xfId="47923"/>
    <cellStyle name="메모 2 4 4 4" xfId="14103"/>
    <cellStyle name="메모 2 4 4 4 2" xfId="27331"/>
    <cellStyle name="메모 2 4 4 4 3" xfId="32338"/>
    <cellStyle name="메모 2 4 4 4 4" xfId="38556"/>
    <cellStyle name="메모 2 4 4 4 5" xfId="39867"/>
    <cellStyle name="메모 2 4 4 5" xfId="7372"/>
    <cellStyle name="메모 2 4 4 5 2" xfId="20600"/>
    <cellStyle name="메모 2 4 4 5 3" xfId="41424"/>
    <cellStyle name="메모 2 4 4 5 4" xfId="48258"/>
    <cellStyle name="메모 2 4 4 6" xfId="22835"/>
    <cellStyle name="메모 2 4 4 6 2" xfId="34994"/>
    <cellStyle name="메모 2 4 4 6 3" xfId="40998"/>
    <cellStyle name="메모 2 4 4 6 4" xfId="47694"/>
    <cellStyle name="메모 2 4 4 7" xfId="37267"/>
    <cellStyle name="메모 2 4 4 7 2" xfId="43187"/>
    <cellStyle name="메모 2 4 4 7 3" xfId="50021"/>
    <cellStyle name="메모 2 4 4 8" xfId="37009"/>
    <cellStyle name="메모 2 4 4 8 2" xfId="42928"/>
    <cellStyle name="메모 2 4 4 8 3" xfId="49762"/>
    <cellStyle name="메모 2 4 4 9" xfId="28413"/>
    <cellStyle name="메모 2 4 5" xfId="7890"/>
    <cellStyle name="메모 2 4 5 2" xfId="21118"/>
    <cellStyle name="메모 2 4 6" xfId="32180"/>
    <cellStyle name="메모 2 5" xfId="2802"/>
    <cellStyle name="메모 2 5 2" xfId="2803"/>
    <cellStyle name="메모 2 5 2 2" xfId="6376"/>
    <cellStyle name="메모 2 5 2 2 2" xfId="11110"/>
    <cellStyle name="메모 2 5 2 2 2 2" xfId="24338"/>
    <cellStyle name="메모 2 5 2 2 2 3" xfId="33740"/>
    <cellStyle name="메모 2 5 2 2 2 4" xfId="44874"/>
    <cellStyle name="메모 2 5 2 2 2 5" xfId="15407"/>
    <cellStyle name="메모 2 5 2 2 3" xfId="8089"/>
    <cellStyle name="메모 2 5 2 2 3 2" xfId="21317"/>
    <cellStyle name="메모 2 5 2 2 3 3" xfId="36166"/>
    <cellStyle name="메모 2 5 2 2 3 4" xfId="42059"/>
    <cellStyle name="메모 2 5 2 2 3 5" xfId="48893"/>
    <cellStyle name="메모 2 5 2 2 4" xfId="19604"/>
    <cellStyle name="메모 2 5 2 2 4 2" xfId="36863"/>
    <cellStyle name="메모 2 5 2 2 4 3" xfId="42775"/>
    <cellStyle name="메모 2 5 2 2 4 4" xfId="49609"/>
    <cellStyle name="메모 2 5 2 2 5" xfId="31552"/>
    <cellStyle name="메모 2 5 2 2 5 2" xfId="17862"/>
    <cellStyle name="메모 2 5 2 2 5 3" xfId="46888"/>
    <cellStyle name="메모 2 5 2 2 6" xfId="29428"/>
    <cellStyle name="메모 2 5 2 2 7" xfId="14571"/>
    <cellStyle name="메모 2 5 2 2 8" xfId="30017"/>
    <cellStyle name="메모 2 5 2 3" xfId="9610"/>
    <cellStyle name="메모 2 5 2 3 10" xfId="16466"/>
    <cellStyle name="메모 2 5 2 3 11" xfId="32492"/>
    <cellStyle name="메모 2 5 2 3 2" xfId="13247"/>
    <cellStyle name="메모 2 5 2 3 2 2" xfId="26475"/>
    <cellStyle name="메모 2 5 2 3 2 3" xfId="32727"/>
    <cellStyle name="메모 2 5 2 3 2 4" xfId="38947"/>
    <cellStyle name="메모 2 5 2 3 2 5" xfId="46204"/>
    <cellStyle name="메모 2 5 2 3 3" xfId="7568"/>
    <cellStyle name="메모 2 5 2 3 3 2" xfId="20796"/>
    <cellStyle name="메모 2 5 2 3 3 3" xfId="35223"/>
    <cellStyle name="메모 2 5 2 3 3 4" xfId="46013"/>
    <cellStyle name="메모 2 5 2 3 3 5" xfId="47926"/>
    <cellStyle name="메모 2 5 2 3 4" xfId="13043"/>
    <cellStyle name="메모 2 5 2 3 4 2" xfId="26271"/>
    <cellStyle name="메모 2 5 2 3 4 3" xfId="29834"/>
    <cellStyle name="메모 2 5 2 3 4 4" xfId="17682"/>
    <cellStyle name="메모 2 5 2 3 4 5" xfId="40161"/>
    <cellStyle name="메모 2 5 2 3 5" xfId="8554"/>
    <cellStyle name="메모 2 5 2 3 5 2" xfId="21782"/>
    <cellStyle name="메모 2 5 2 3 5 3" xfId="42697"/>
    <cellStyle name="메모 2 5 2 3 5 4" xfId="49531"/>
    <cellStyle name="메모 2 5 2 3 6" xfId="22838"/>
    <cellStyle name="메모 2 5 2 3 6 2" xfId="35646"/>
    <cellStyle name="메모 2 5 2 3 6 3" xfId="41526"/>
    <cellStyle name="메모 2 5 2 3 6 4" xfId="48360"/>
    <cellStyle name="메모 2 5 2 3 7" xfId="31813"/>
    <cellStyle name="메모 2 5 2 3 7 2" xfId="38034"/>
    <cellStyle name="메모 2 5 2 3 7 3" xfId="47445"/>
    <cellStyle name="메모 2 5 2 3 8" xfId="35486"/>
    <cellStyle name="메모 2 5 2 3 8 2" xfId="41357"/>
    <cellStyle name="메모 2 5 2 3 8 3" xfId="48191"/>
    <cellStyle name="메모 2 5 2 3 9" xfId="28416"/>
    <cellStyle name="메모 2 5 2 4" xfId="7893"/>
    <cellStyle name="메모 2 5 2 4 2" xfId="21121"/>
    <cellStyle name="메모 2 5 2 5" xfId="39274"/>
    <cellStyle name="메모 2 5 3" xfId="6375"/>
    <cellStyle name="메모 2 5 3 2" xfId="11109"/>
    <cellStyle name="메모 2 5 3 2 2" xfId="24337"/>
    <cellStyle name="메모 2 5 3 2 3" xfId="33739"/>
    <cellStyle name="메모 2 5 3 2 4" xfId="44873"/>
    <cellStyle name="메모 2 5 3 2 5" xfId="33136"/>
    <cellStyle name="메모 2 5 3 3" xfId="8088"/>
    <cellStyle name="메모 2 5 3 3 2" xfId="21316"/>
    <cellStyle name="메모 2 5 3 3 3" xfId="36165"/>
    <cellStyle name="메모 2 5 3 3 4" xfId="42058"/>
    <cellStyle name="메모 2 5 3 3 5" xfId="48892"/>
    <cellStyle name="메모 2 5 3 4" xfId="19603"/>
    <cellStyle name="메모 2 5 3 4 2" xfId="31606"/>
    <cellStyle name="메모 2 5 3 4 3" xfId="17329"/>
    <cellStyle name="메모 2 5 3 4 4" xfId="44194"/>
    <cellStyle name="메모 2 5 3 5" xfId="37524"/>
    <cellStyle name="메모 2 5 3 5 2" xfId="43445"/>
    <cellStyle name="메모 2 5 3 5 3" xfId="50279"/>
    <cellStyle name="메모 2 5 3 6" xfId="29427"/>
    <cellStyle name="메모 2 5 3 7" xfId="16103"/>
    <cellStyle name="메모 2 5 3 8" xfId="28228"/>
    <cellStyle name="메모 2 5 3 9" xfId="51034"/>
    <cellStyle name="메모 2 5 4" xfId="9609"/>
    <cellStyle name="메모 2 5 4 10" xfId="15420"/>
    <cellStyle name="메모 2 5 4 11" xfId="39641"/>
    <cellStyle name="메모 2 5 4 2" xfId="13246"/>
    <cellStyle name="메모 2 5 4 2 2" xfId="26474"/>
    <cellStyle name="메모 2 5 4 2 3" xfId="32726"/>
    <cellStyle name="메모 2 5 4 2 4" xfId="38946"/>
    <cellStyle name="메모 2 5 4 2 5" xfId="45797"/>
    <cellStyle name="메모 2 5 4 3" xfId="7567"/>
    <cellStyle name="메모 2 5 4 3 2" xfId="20795"/>
    <cellStyle name="메모 2 5 4 3 3" xfId="35222"/>
    <cellStyle name="메모 2 5 4 3 4" xfId="46012"/>
    <cellStyle name="메모 2 5 4 3 5" xfId="47925"/>
    <cellStyle name="메모 2 5 4 4" xfId="14182"/>
    <cellStyle name="메모 2 5 4 4 2" xfId="27410"/>
    <cellStyle name="메모 2 5 4 4 3" xfId="31853"/>
    <cellStyle name="메모 2 5 4 4 4" xfId="38074"/>
    <cellStyle name="메모 2 5 4 4 5" xfId="47317"/>
    <cellStyle name="메모 2 5 4 5" xfId="9074"/>
    <cellStyle name="메모 2 5 4 5 2" xfId="22302"/>
    <cellStyle name="메모 2 5 4 5 3" xfId="41506"/>
    <cellStyle name="메모 2 5 4 5 4" xfId="48340"/>
    <cellStyle name="메모 2 5 4 6" xfId="22837"/>
    <cellStyle name="메모 2 5 4 6 2" xfId="37210"/>
    <cellStyle name="메모 2 5 4 6 3" xfId="43129"/>
    <cellStyle name="메모 2 5 4 6 4" xfId="49963"/>
    <cellStyle name="메모 2 5 4 7" xfId="37578"/>
    <cellStyle name="메모 2 5 4 7 2" xfId="43500"/>
    <cellStyle name="메모 2 5 4 7 3" xfId="50334"/>
    <cellStyle name="메모 2 5 4 8" xfId="30710"/>
    <cellStyle name="메모 2 5 4 8 2" xfId="16902"/>
    <cellStyle name="메모 2 5 4 8 3" xfId="15716"/>
    <cellStyle name="메모 2 5 4 9" xfId="28415"/>
    <cellStyle name="메모 2 5 5" xfId="7892"/>
    <cellStyle name="메모 2 5 5 2" xfId="21120"/>
    <cellStyle name="메모 2 5 6" xfId="28797"/>
    <cellStyle name="메모 2 6" xfId="2804"/>
    <cellStyle name="메모 2 6 2" xfId="2805"/>
    <cellStyle name="메모 2 6 2 2" xfId="6378"/>
    <cellStyle name="메모 2 6 2 2 2" xfId="11112"/>
    <cellStyle name="메모 2 6 2 2 2 2" xfId="24340"/>
    <cellStyle name="메모 2 6 2 2 2 3" xfId="33742"/>
    <cellStyle name="메모 2 6 2 2 2 4" xfId="44876"/>
    <cellStyle name="메모 2 6 2 2 2 5" xfId="34060"/>
    <cellStyle name="메모 2 6 2 2 3" xfId="12813"/>
    <cellStyle name="메모 2 6 2 2 3 2" xfId="26041"/>
    <cellStyle name="메모 2 6 2 2 3 3" xfId="36168"/>
    <cellStyle name="메모 2 6 2 2 3 4" xfId="42061"/>
    <cellStyle name="메모 2 6 2 2 3 5" xfId="48895"/>
    <cellStyle name="메모 2 6 2 2 4" xfId="19606"/>
    <cellStyle name="메모 2 6 2 2 4 2" xfId="29776"/>
    <cellStyle name="메모 2 6 2 2 4 3" xfId="36950"/>
    <cellStyle name="메모 2 6 2 2 4 4" xfId="44332"/>
    <cellStyle name="메모 2 6 2 2 5" xfId="34778"/>
    <cellStyle name="메모 2 6 2 2 5 2" xfId="40774"/>
    <cellStyle name="메모 2 6 2 2 5 3" xfId="28221"/>
    <cellStyle name="메모 2 6 2 2 6" xfId="29430"/>
    <cellStyle name="메모 2 6 2 2 7" xfId="16105"/>
    <cellStyle name="메모 2 6 2 2 8" xfId="45188"/>
    <cellStyle name="메모 2 6 2 3" xfId="9612"/>
    <cellStyle name="메모 2 6 2 3 10" xfId="38672"/>
    <cellStyle name="메모 2 6 2 3 11" xfId="44023"/>
    <cellStyle name="메모 2 6 2 3 2" xfId="13249"/>
    <cellStyle name="메모 2 6 2 3 2 2" xfId="26477"/>
    <cellStyle name="메모 2 6 2 3 2 3" xfId="32729"/>
    <cellStyle name="메모 2 6 2 3 2 4" xfId="38949"/>
    <cellStyle name="메모 2 6 2 3 2 5" xfId="34070"/>
    <cellStyle name="메모 2 6 2 3 3" xfId="7596"/>
    <cellStyle name="메모 2 6 2 3 3 2" xfId="20824"/>
    <cellStyle name="메모 2 6 2 3 3 3" xfId="35225"/>
    <cellStyle name="메모 2 6 2 3 3 4" xfId="46015"/>
    <cellStyle name="메모 2 6 2 3 3 5" xfId="47928"/>
    <cellStyle name="메모 2 6 2 3 4" xfId="8496"/>
    <cellStyle name="메모 2 6 2 3 4 2" xfId="21724"/>
    <cellStyle name="메모 2 6 2 3 4 3" xfId="31854"/>
    <cellStyle name="메모 2 6 2 3 4 4" xfId="38075"/>
    <cellStyle name="메모 2 6 2 3 4 5" xfId="47050"/>
    <cellStyle name="메모 2 6 2 3 5" xfId="14385"/>
    <cellStyle name="메모 2 6 2 3 5 2" xfId="27613"/>
    <cellStyle name="메모 2 6 2 3 5 3" xfId="42414"/>
    <cellStyle name="메모 2 6 2 3 5 4" xfId="49248"/>
    <cellStyle name="메모 2 6 2 3 6" xfId="22840"/>
    <cellStyle name="메모 2 6 2 3 6 2" xfId="37344"/>
    <cellStyle name="메모 2 6 2 3 6 3" xfId="43264"/>
    <cellStyle name="메모 2 6 2 3 6 4" xfId="50098"/>
    <cellStyle name="메모 2 6 2 3 7" xfId="31664"/>
    <cellStyle name="메모 2 6 2 3 7 2" xfId="15274"/>
    <cellStyle name="메모 2 6 2 3 7 3" xfId="34374"/>
    <cellStyle name="메모 2 6 2 3 8" xfId="31780"/>
    <cellStyle name="메모 2 6 2 3 8 2" xfId="38001"/>
    <cellStyle name="메모 2 6 2 3 8 3" xfId="47301"/>
    <cellStyle name="메모 2 6 2 3 9" xfId="28418"/>
    <cellStyle name="메모 2 6 2 4" xfId="7895"/>
    <cellStyle name="메모 2 6 2 4 2" xfId="21123"/>
    <cellStyle name="메모 2 6 2 5" xfId="38497"/>
    <cellStyle name="메모 2 6 3" xfId="6377"/>
    <cellStyle name="메모 2 6 3 2" xfId="11111"/>
    <cellStyle name="메모 2 6 3 2 2" xfId="24339"/>
    <cellStyle name="메모 2 6 3 2 3" xfId="33741"/>
    <cellStyle name="메모 2 6 3 2 4" xfId="44875"/>
    <cellStyle name="메모 2 6 3 2 5" xfId="39465"/>
    <cellStyle name="메모 2 6 3 3" xfId="12697"/>
    <cellStyle name="메모 2 6 3 3 2" xfId="25925"/>
    <cellStyle name="메모 2 6 3 3 3" xfId="36167"/>
    <cellStyle name="메모 2 6 3 3 4" xfId="42060"/>
    <cellStyle name="메모 2 6 3 3 5" xfId="48894"/>
    <cellStyle name="메모 2 6 3 4" xfId="19605"/>
    <cellStyle name="메모 2 6 3 4 2" xfId="36534"/>
    <cellStyle name="메모 2 6 3 4 3" xfId="42432"/>
    <cellStyle name="메모 2 6 3 4 4" xfId="49266"/>
    <cellStyle name="메모 2 6 3 5" xfId="31807"/>
    <cellStyle name="메모 2 6 3 5 2" xfId="38028"/>
    <cellStyle name="메모 2 6 3 5 3" xfId="27867"/>
    <cellStyle name="메모 2 6 3 6" xfId="29429"/>
    <cellStyle name="메모 2 6 3 7" xfId="16106"/>
    <cellStyle name="메모 2 6 3 8" xfId="34474"/>
    <cellStyle name="메모 2 6 3 9" xfId="51035"/>
    <cellStyle name="메모 2 6 4" xfId="9611"/>
    <cellStyle name="메모 2 6 4 10" xfId="40092"/>
    <cellStyle name="메모 2 6 4 11" xfId="45156"/>
    <cellStyle name="메모 2 6 4 2" xfId="13248"/>
    <cellStyle name="메모 2 6 4 2 2" xfId="26476"/>
    <cellStyle name="메모 2 6 4 2 3" xfId="32728"/>
    <cellStyle name="메모 2 6 4 2 4" xfId="38948"/>
    <cellStyle name="메모 2 6 4 2 5" xfId="46395"/>
    <cellStyle name="메모 2 6 4 3" xfId="8570"/>
    <cellStyle name="메모 2 6 4 3 2" xfId="21798"/>
    <cellStyle name="메모 2 6 4 3 3" xfId="35224"/>
    <cellStyle name="메모 2 6 4 3 4" xfId="46014"/>
    <cellStyle name="메모 2 6 4 3 5" xfId="47927"/>
    <cellStyle name="메모 2 6 4 4" xfId="14040"/>
    <cellStyle name="메모 2 6 4 4 2" xfId="27268"/>
    <cellStyle name="메모 2 6 4 4 3" xfId="32339"/>
    <cellStyle name="메모 2 6 4 4 4" xfId="38557"/>
    <cellStyle name="메모 2 6 4 4 5" xfId="32549"/>
    <cellStyle name="메모 2 6 4 5" xfId="6769"/>
    <cellStyle name="메모 2 6 4 5 2" xfId="19997"/>
    <cellStyle name="메모 2 6 4 5 3" xfId="40979"/>
    <cellStyle name="메모 2 6 4 5 4" xfId="47675"/>
    <cellStyle name="메모 2 6 4 6" xfId="22839"/>
    <cellStyle name="메모 2 6 4 6 2" xfId="30870"/>
    <cellStyle name="메모 2 6 4 6 3" xfId="28010"/>
    <cellStyle name="메모 2 6 4 6 4" xfId="38766"/>
    <cellStyle name="메모 2 6 4 7" xfId="31982"/>
    <cellStyle name="메모 2 6 4 7 2" xfId="38205"/>
    <cellStyle name="메모 2 6 4 7 3" xfId="46380"/>
    <cellStyle name="메모 2 6 4 8" xfId="37748"/>
    <cellStyle name="메모 2 6 4 8 2" xfId="43672"/>
    <cellStyle name="메모 2 6 4 8 3" xfId="50506"/>
    <cellStyle name="메모 2 6 4 9" xfId="28417"/>
    <cellStyle name="메모 2 6 5" xfId="7894"/>
    <cellStyle name="메모 2 6 5 2" xfId="21122"/>
    <cellStyle name="메모 2 6 6" xfId="40357"/>
    <cellStyle name="메모 2 7" xfId="2806"/>
    <cellStyle name="메모 2 7 2" xfId="2807"/>
    <cellStyle name="메모 2 7 2 2" xfId="6380"/>
    <cellStyle name="메모 2 7 2 2 2" xfId="11114"/>
    <cellStyle name="메모 2 7 2 2 2 2" xfId="24342"/>
    <cellStyle name="메모 2 7 2 2 2 3" xfId="33744"/>
    <cellStyle name="메모 2 7 2 2 2 4" xfId="44878"/>
    <cellStyle name="메모 2 7 2 2 2 5" xfId="34396"/>
    <cellStyle name="메모 2 7 2 2 3" xfId="8090"/>
    <cellStyle name="메모 2 7 2 2 3 2" xfId="21318"/>
    <cellStyle name="메모 2 7 2 2 3 3" xfId="36170"/>
    <cellStyle name="메모 2 7 2 2 3 4" xfId="42063"/>
    <cellStyle name="메모 2 7 2 2 3 5" xfId="48897"/>
    <cellStyle name="메모 2 7 2 2 4" xfId="19608"/>
    <cellStyle name="메모 2 7 2 2 4 2" xfId="29977"/>
    <cellStyle name="메모 2 7 2 2 4 3" xfId="17704"/>
    <cellStyle name="메모 2 7 2 2 4 4" xfId="27810"/>
    <cellStyle name="메모 2 7 2 2 5" xfId="30473"/>
    <cellStyle name="메모 2 7 2 2 5 2" xfId="17825"/>
    <cellStyle name="메모 2 7 2 2 5 3" xfId="46650"/>
    <cellStyle name="메모 2 7 2 2 6" xfId="29432"/>
    <cellStyle name="메모 2 7 2 2 7" xfId="16108"/>
    <cellStyle name="메모 2 7 2 2 8" xfId="35696"/>
    <cellStyle name="메모 2 7 2 3" xfId="9614"/>
    <cellStyle name="메모 2 7 2 3 10" xfId="39330"/>
    <cellStyle name="메모 2 7 2 3 11" xfId="44424"/>
    <cellStyle name="메모 2 7 2 3 2" xfId="13251"/>
    <cellStyle name="메모 2 7 2 3 2 2" xfId="26479"/>
    <cellStyle name="메모 2 7 2 3 2 3" xfId="32731"/>
    <cellStyle name="메모 2 7 2 3 2 4" xfId="38951"/>
    <cellStyle name="메모 2 7 2 3 2 5" xfId="47496"/>
    <cellStyle name="메모 2 7 2 3 3" xfId="12987"/>
    <cellStyle name="메모 2 7 2 3 3 2" xfId="26215"/>
    <cellStyle name="메모 2 7 2 3 3 3" xfId="35227"/>
    <cellStyle name="메모 2 7 2 3 3 4" xfId="46017"/>
    <cellStyle name="메모 2 7 2 3 3 5" xfId="47930"/>
    <cellStyle name="메모 2 7 2 3 4" xfId="12937"/>
    <cellStyle name="메모 2 7 2 3 4 2" xfId="26165"/>
    <cellStyle name="메모 2 7 2 3 4 3" xfId="31025"/>
    <cellStyle name="메모 2 7 2 3 4 4" xfId="17749"/>
    <cellStyle name="메모 2 7 2 3 4 5" xfId="28858"/>
    <cellStyle name="메모 2 7 2 3 5" xfId="14304"/>
    <cellStyle name="메모 2 7 2 3 5 2" xfId="27532"/>
    <cellStyle name="메모 2 7 2 3 5 3" xfId="14745"/>
    <cellStyle name="메모 2 7 2 3 5 4" xfId="34428"/>
    <cellStyle name="메모 2 7 2 3 6" xfId="22842"/>
    <cellStyle name="메모 2 7 2 3 6 2" xfId="30086"/>
    <cellStyle name="메모 2 7 2 3 6 3" xfId="16566"/>
    <cellStyle name="메모 2 7 2 3 6 4" xfId="45375"/>
    <cellStyle name="메모 2 7 2 3 7" xfId="34797"/>
    <cellStyle name="메모 2 7 2 3 7 2" xfId="40793"/>
    <cellStyle name="메모 2 7 2 3 7 3" xfId="14548"/>
    <cellStyle name="메모 2 7 2 3 8" xfId="30803"/>
    <cellStyle name="메모 2 7 2 3 8 2" xfId="27727"/>
    <cellStyle name="메모 2 7 2 3 8 3" xfId="28728"/>
    <cellStyle name="메모 2 7 2 3 9" xfId="28420"/>
    <cellStyle name="메모 2 7 2 4" xfId="7897"/>
    <cellStyle name="메모 2 7 2 4 2" xfId="21125"/>
    <cellStyle name="메모 2 7 2 5" xfId="40476"/>
    <cellStyle name="메모 2 7 3" xfId="6379"/>
    <cellStyle name="메모 2 7 3 2" xfId="11113"/>
    <cellStyle name="메모 2 7 3 2 2" xfId="24341"/>
    <cellStyle name="메모 2 7 3 2 3" xfId="33743"/>
    <cellStyle name="메모 2 7 3 2 4" xfId="44877"/>
    <cellStyle name="메모 2 7 3 2 5" xfId="41216"/>
    <cellStyle name="메모 2 7 3 3" xfId="12698"/>
    <cellStyle name="메모 2 7 3 3 2" xfId="25926"/>
    <cellStyle name="메모 2 7 3 3 3" xfId="36169"/>
    <cellStyle name="메모 2 7 3 3 4" xfId="42062"/>
    <cellStyle name="메모 2 7 3 3 5" xfId="48896"/>
    <cellStyle name="메모 2 7 3 4" xfId="19607"/>
    <cellStyle name="메모 2 7 3 4 2" xfId="29804"/>
    <cellStyle name="메모 2 7 3 4 3" xfId="18654"/>
    <cellStyle name="메모 2 7 3 4 4" xfId="45431"/>
    <cellStyle name="메모 2 7 3 5" xfId="37695"/>
    <cellStyle name="메모 2 7 3 5 2" xfId="43618"/>
    <cellStyle name="메모 2 7 3 5 3" xfId="50452"/>
    <cellStyle name="메모 2 7 3 6" xfId="29431"/>
    <cellStyle name="메모 2 7 3 7" xfId="14572"/>
    <cellStyle name="메모 2 7 3 8" xfId="44055"/>
    <cellStyle name="메모 2 7 3 9" xfId="51036"/>
    <cellStyle name="메모 2 7 4" xfId="9613"/>
    <cellStyle name="메모 2 7 4 10" xfId="32959"/>
    <cellStyle name="메모 2 7 4 11" xfId="39604"/>
    <cellStyle name="메모 2 7 4 2" xfId="13250"/>
    <cellStyle name="메모 2 7 4 2 2" xfId="26478"/>
    <cellStyle name="메모 2 7 4 2 3" xfId="32730"/>
    <cellStyle name="메모 2 7 4 2 4" xfId="38950"/>
    <cellStyle name="메모 2 7 4 2 5" xfId="15554"/>
    <cellStyle name="메모 2 7 4 3" xfId="7571"/>
    <cellStyle name="메모 2 7 4 3 2" xfId="20799"/>
    <cellStyle name="메모 2 7 4 3 3" xfId="35226"/>
    <cellStyle name="메모 2 7 4 3 4" xfId="46016"/>
    <cellStyle name="메모 2 7 4 3 5" xfId="47929"/>
    <cellStyle name="메모 2 7 4 4" xfId="8466"/>
    <cellStyle name="메모 2 7 4 4 2" xfId="21694"/>
    <cellStyle name="메모 2 7 4 4 3" xfId="31026"/>
    <cellStyle name="메모 2 7 4 4 4" xfId="14714"/>
    <cellStyle name="메모 2 7 4 4 5" xfId="39246"/>
    <cellStyle name="메모 2 7 4 5" xfId="7742"/>
    <cellStyle name="메모 2 7 4 5 2" xfId="20970"/>
    <cellStyle name="메모 2 7 4 5 3" xfId="17363"/>
    <cellStyle name="메모 2 7 4 5 4" xfId="17393"/>
    <cellStyle name="메모 2 7 4 6" xfId="22841"/>
    <cellStyle name="메모 2 7 4 6 2" xfId="36667"/>
    <cellStyle name="메모 2 7 4 6 3" xfId="42570"/>
    <cellStyle name="메모 2 7 4 6 4" xfId="49404"/>
    <cellStyle name="메모 2 7 4 7" xfId="31787"/>
    <cellStyle name="메모 2 7 4 7 2" xfId="38008"/>
    <cellStyle name="메모 2 7 4 7 3" xfId="45710"/>
    <cellStyle name="메모 2 7 4 8" xfId="31488"/>
    <cellStyle name="메모 2 7 4 8 2" xfId="15290"/>
    <cellStyle name="메모 2 7 4 8 3" xfId="47611"/>
    <cellStyle name="메모 2 7 4 9" xfId="28419"/>
    <cellStyle name="메모 2 7 5" xfId="7896"/>
    <cellStyle name="메모 2 7 5 2" xfId="21124"/>
    <cellStyle name="메모 2 7 6" xfId="15846"/>
    <cellStyle name="메모 2 8" xfId="2808"/>
    <cellStyle name="메모 2 8 2" xfId="2809"/>
    <cellStyle name="메모 2 8 2 2" xfId="6382"/>
    <cellStyle name="메모 2 8 2 2 2" xfId="11116"/>
    <cellStyle name="메모 2 8 2 2 2 2" xfId="24344"/>
    <cellStyle name="메모 2 8 2 2 2 3" xfId="33746"/>
    <cellStyle name="메모 2 8 2 2 2 4" xfId="44880"/>
    <cellStyle name="메모 2 8 2 2 2 5" xfId="39466"/>
    <cellStyle name="메모 2 8 2 2 3" xfId="12695"/>
    <cellStyle name="메모 2 8 2 2 3 2" xfId="25923"/>
    <cellStyle name="메모 2 8 2 2 3 3" xfId="36172"/>
    <cellStyle name="메모 2 8 2 2 3 4" xfId="42065"/>
    <cellStyle name="메모 2 8 2 2 3 5" xfId="48899"/>
    <cellStyle name="메모 2 8 2 2 4" xfId="19610"/>
    <cellStyle name="메모 2 8 2 2 4 2" xfId="29975"/>
    <cellStyle name="메모 2 8 2 2 4 3" xfId="16489"/>
    <cellStyle name="메모 2 8 2 2 4 4" xfId="44392"/>
    <cellStyle name="메모 2 8 2 2 5" xfId="31658"/>
    <cellStyle name="메모 2 8 2 2 5 2" xfId="15144"/>
    <cellStyle name="메모 2 8 2 2 5 3" xfId="44155"/>
    <cellStyle name="메모 2 8 2 2 6" xfId="29434"/>
    <cellStyle name="메모 2 8 2 2 7" xfId="14573"/>
    <cellStyle name="메모 2 8 2 2 8" xfId="45442"/>
    <cellStyle name="메모 2 8 2 3" xfId="9616"/>
    <cellStyle name="메모 2 8 2 3 10" xfId="15777"/>
    <cellStyle name="메모 2 8 2 3 11" xfId="17642"/>
    <cellStyle name="메모 2 8 2 3 2" xfId="13253"/>
    <cellStyle name="메모 2 8 2 3 2 2" xfId="26481"/>
    <cellStyle name="메모 2 8 2 3 2 3" xfId="32733"/>
    <cellStyle name="메모 2 8 2 3 2 4" xfId="38953"/>
    <cellStyle name="메모 2 8 2 3 2 5" xfId="33349"/>
    <cellStyle name="메모 2 8 2 3 3" xfId="7573"/>
    <cellStyle name="메모 2 8 2 3 3 2" xfId="20801"/>
    <cellStyle name="메모 2 8 2 3 3 3" xfId="35229"/>
    <cellStyle name="메모 2 8 2 3 3 4" xfId="46019"/>
    <cellStyle name="메모 2 8 2 3 3 5" xfId="47932"/>
    <cellStyle name="메모 2 8 2 3 4" xfId="14278"/>
    <cellStyle name="메모 2 8 2 3 4 2" xfId="27506"/>
    <cellStyle name="메모 2 8 2 3 4 3" xfId="31027"/>
    <cellStyle name="메모 2 8 2 3 4 4" xfId="18554"/>
    <cellStyle name="메모 2 8 2 3 4 5" xfId="40330"/>
    <cellStyle name="메모 2 8 2 3 5" xfId="14340"/>
    <cellStyle name="메모 2 8 2 3 5 2" xfId="27568"/>
    <cellStyle name="메모 2 8 2 3 5 3" xfId="41726"/>
    <cellStyle name="메모 2 8 2 3 5 4" xfId="48560"/>
    <cellStyle name="메모 2 8 2 3 6" xfId="22844"/>
    <cellStyle name="메모 2 8 2 3 6 2" xfId="35481"/>
    <cellStyle name="메모 2 8 2 3 6 3" xfId="41352"/>
    <cellStyle name="메모 2 8 2 3 6 4" xfId="48186"/>
    <cellStyle name="메모 2 8 2 3 7" xfId="37669"/>
    <cellStyle name="메모 2 8 2 3 7 2" xfId="43592"/>
    <cellStyle name="메모 2 8 2 3 7 3" xfId="50426"/>
    <cellStyle name="메모 2 8 2 3 8" xfId="37549"/>
    <cellStyle name="메모 2 8 2 3 8 2" xfId="43470"/>
    <cellStyle name="메모 2 8 2 3 8 3" xfId="50304"/>
    <cellStyle name="메모 2 8 2 3 9" xfId="28422"/>
    <cellStyle name="메모 2 8 2 4" xfId="7899"/>
    <cellStyle name="메모 2 8 2 4 2" xfId="21127"/>
    <cellStyle name="메모 2 8 2 5" xfId="30021"/>
    <cellStyle name="메모 2 8 3" xfId="6381"/>
    <cellStyle name="메모 2 8 3 2" xfId="11115"/>
    <cellStyle name="메모 2 8 3 2 2" xfId="24343"/>
    <cellStyle name="메모 2 8 3 2 3" xfId="33745"/>
    <cellStyle name="메모 2 8 3 2 4" xfId="44879"/>
    <cellStyle name="메모 2 8 3 2 5" xfId="39907"/>
    <cellStyle name="메모 2 8 3 3" xfId="8091"/>
    <cellStyle name="메모 2 8 3 3 2" xfId="21319"/>
    <cellStyle name="메모 2 8 3 3 3" xfId="36171"/>
    <cellStyle name="메모 2 8 3 3 4" xfId="42064"/>
    <cellStyle name="메모 2 8 3 3 5" xfId="48898"/>
    <cellStyle name="메모 2 8 3 4" xfId="19609"/>
    <cellStyle name="메모 2 8 3 4 2" xfId="37258"/>
    <cellStyle name="메모 2 8 3 4 3" xfId="43178"/>
    <cellStyle name="메모 2 8 3 4 4" xfId="50012"/>
    <cellStyle name="메모 2 8 3 5" xfId="31727"/>
    <cellStyle name="메모 2 8 3 5 2" xfId="37948"/>
    <cellStyle name="메모 2 8 3 5 3" xfId="46609"/>
    <cellStyle name="메모 2 8 3 6" xfId="29433"/>
    <cellStyle name="메모 2 8 3 7" xfId="16107"/>
    <cellStyle name="메모 2 8 3 8" xfId="44456"/>
    <cellStyle name="메모 2 8 3 9" xfId="51037"/>
    <cellStyle name="메모 2 8 4" xfId="9615"/>
    <cellStyle name="메모 2 8 4 10" xfId="40394"/>
    <cellStyle name="메모 2 8 4 11" xfId="45409"/>
    <cellStyle name="메모 2 8 4 2" xfId="13252"/>
    <cellStyle name="메모 2 8 4 2 2" xfId="26480"/>
    <cellStyle name="메모 2 8 4 2 3" xfId="32732"/>
    <cellStyle name="메모 2 8 4 2 4" xfId="38952"/>
    <cellStyle name="메모 2 8 4 2 5" xfId="15734"/>
    <cellStyle name="메모 2 8 4 3" xfId="8571"/>
    <cellStyle name="메모 2 8 4 3 2" xfId="21799"/>
    <cellStyle name="메모 2 8 4 3 3" xfId="35228"/>
    <cellStyle name="메모 2 8 4 3 4" xfId="46018"/>
    <cellStyle name="메모 2 8 4 3 5" xfId="47931"/>
    <cellStyle name="메모 2 8 4 4" xfId="13706"/>
    <cellStyle name="메모 2 8 4 4 2" xfId="26934"/>
    <cellStyle name="메모 2 8 4 4 3" xfId="31855"/>
    <cellStyle name="메모 2 8 4 4 4" xfId="38076"/>
    <cellStyle name="메모 2 8 4 4 5" xfId="17596"/>
    <cellStyle name="메모 2 8 4 5" xfId="7907"/>
    <cellStyle name="메모 2 8 4 5 2" xfId="21135"/>
    <cellStyle name="메모 2 8 4 5 3" xfId="40759"/>
    <cellStyle name="메모 2 8 4 5 4" xfId="33024"/>
    <cellStyle name="메모 2 8 4 6" xfId="22843"/>
    <cellStyle name="메모 2 8 4 6 2" xfId="37059"/>
    <cellStyle name="메모 2 8 4 6 3" xfId="42978"/>
    <cellStyle name="메모 2 8 4 6 4" xfId="49812"/>
    <cellStyle name="메모 2 8 4 7" xfId="30629"/>
    <cellStyle name="메모 2 8 4 7 2" xfId="27756"/>
    <cellStyle name="메모 2 8 4 7 3" xfId="32527"/>
    <cellStyle name="메모 2 8 4 8" xfId="30161"/>
    <cellStyle name="메모 2 8 4 8 2" xfId="16621"/>
    <cellStyle name="메모 2 8 4 8 3" xfId="40300"/>
    <cellStyle name="메모 2 8 4 9" xfId="28421"/>
    <cellStyle name="메모 2 8 5" xfId="7898"/>
    <cellStyle name="메모 2 8 5 2" xfId="21126"/>
    <cellStyle name="메모 2 8 6" xfId="39414"/>
    <cellStyle name="메모 2 9" xfId="2810"/>
    <cellStyle name="메모 2 9 2" xfId="2811"/>
    <cellStyle name="메모 2 9 2 2" xfId="6384"/>
    <cellStyle name="메모 2 9 2 2 2" xfId="11118"/>
    <cellStyle name="메모 2 9 2 2 2 2" xfId="24346"/>
    <cellStyle name="메모 2 9 2 2 2 3" xfId="33748"/>
    <cellStyle name="메모 2 9 2 2 2 4" xfId="44882"/>
    <cellStyle name="메모 2 9 2 2 2 5" xfId="41217"/>
    <cellStyle name="메모 2 9 2 2 3" xfId="12696"/>
    <cellStyle name="메모 2 9 2 2 3 2" xfId="25924"/>
    <cellStyle name="메모 2 9 2 2 3 3" xfId="36174"/>
    <cellStyle name="메모 2 9 2 2 3 4" xfId="42067"/>
    <cellStyle name="메모 2 9 2 2 3 5" xfId="48901"/>
    <cellStyle name="메모 2 9 2 2 4" xfId="19612"/>
    <cellStyle name="메모 2 9 2 2 4 2" xfId="37221"/>
    <cellStyle name="메모 2 9 2 2 4 3" xfId="43140"/>
    <cellStyle name="메모 2 9 2 2 4 4" xfId="49974"/>
    <cellStyle name="메모 2 9 2 2 5" xfId="36493"/>
    <cellStyle name="메모 2 9 2 2 5 2" xfId="42386"/>
    <cellStyle name="메모 2 9 2 2 5 3" xfId="49220"/>
    <cellStyle name="메모 2 9 2 2 6" xfId="29436"/>
    <cellStyle name="메모 2 9 2 2 7" xfId="16109"/>
    <cellStyle name="메모 2 9 2 2 8" xfId="43878"/>
    <cellStyle name="메모 2 9 2 3" xfId="9618"/>
    <cellStyle name="메모 2 9 2 3 10" xfId="40268"/>
    <cellStyle name="메모 2 9 2 3 11" xfId="45291"/>
    <cellStyle name="메모 2 9 2 3 2" xfId="13255"/>
    <cellStyle name="메모 2 9 2 3 2 2" xfId="26483"/>
    <cellStyle name="메모 2 9 2 3 2 3" xfId="32735"/>
    <cellStyle name="메모 2 9 2 3 2 4" xfId="38955"/>
    <cellStyle name="메모 2 9 2 3 2 5" xfId="47598"/>
    <cellStyle name="메모 2 9 2 3 3" xfId="6838"/>
    <cellStyle name="메모 2 9 2 3 3 2" xfId="20066"/>
    <cellStyle name="메모 2 9 2 3 3 3" xfId="35231"/>
    <cellStyle name="메모 2 9 2 3 3 4" xfId="46021"/>
    <cellStyle name="메모 2 9 2 3 3 5" xfId="47934"/>
    <cellStyle name="메모 2 9 2 3 4" xfId="14140"/>
    <cellStyle name="메모 2 9 2 3 4 2" xfId="27368"/>
    <cellStyle name="메모 2 9 2 3 4 3" xfId="31029"/>
    <cellStyle name="메모 2 9 2 3 4 4" xfId="18556"/>
    <cellStyle name="메모 2 9 2 3 4 5" xfId="32192"/>
    <cellStyle name="메모 2 9 2 3 5" xfId="14339"/>
    <cellStyle name="메모 2 9 2 3 5 2" xfId="27567"/>
    <cellStyle name="메모 2 9 2 3 5 3" xfId="41373"/>
    <cellStyle name="메모 2 9 2 3 5 4" xfId="48207"/>
    <cellStyle name="메모 2 9 2 3 6" xfId="22846"/>
    <cellStyle name="메모 2 9 2 3 6 2" xfId="37440"/>
    <cellStyle name="메모 2 9 2 3 6 3" xfId="43360"/>
    <cellStyle name="메모 2 9 2 3 6 4" xfId="50194"/>
    <cellStyle name="메모 2 9 2 3 7" xfId="37499"/>
    <cellStyle name="메모 2 9 2 3 7 2" xfId="43419"/>
    <cellStyle name="메모 2 9 2 3 7 3" xfId="50253"/>
    <cellStyle name="메모 2 9 2 3 8" xfId="30249"/>
    <cellStyle name="메모 2 9 2 3 8 2" xfId="16699"/>
    <cellStyle name="메모 2 9 2 3 8 3" xfId="39568"/>
    <cellStyle name="메모 2 9 2 3 9" xfId="28424"/>
    <cellStyle name="메모 2 9 2 4" xfId="7901"/>
    <cellStyle name="메모 2 9 2 4 2" xfId="21129"/>
    <cellStyle name="메모 2 9 2 5" xfId="34362"/>
    <cellStyle name="메모 2 9 3" xfId="6383"/>
    <cellStyle name="메모 2 9 3 2" xfId="11117"/>
    <cellStyle name="메모 2 9 3 2 2" xfId="24345"/>
    <cellStyle name="메모 2 9 3 2 3" xfId="33747"/>
    <cellStyle name="메모 2 9 3 2 4" xfId="44881"/>
    <cellStyle name="메모 2 9 3 2 5" xfId="32448"/>
    <cellStyle name="메모 2 9 3 3" xfId="12812"/>
    <cellStyle name="메모 2 9 3 3 2" xfId="26040"/>
    <cellStyle name="메모 2 9 3 3 3" xfId="36173"/>
    <cellStyle name="메모 2 9 3 3 4" xfId="42066"/>
    <cellStyle name="메모 2 9 3 3 5" xfId="48900"/>
    <cellStyle name="메모 2 9 3 4" xfId="19611"/>
    <cellStyle name="메모 2 9 3 4 2" xfId="30403"/>
    <cellStyle name="메모 2 9 3 4 3" xfId="14866"/>
    <cellStyle name="메모 2 9 3 4 4" xfId="17389"/>
    <cellStyle name="메모 2 9 3 5" xfId="32394"/>
    <cellStyle name="메모 2 9 3 5 2" xfId="38612"/>
    <cellStyle name="메모 2 9 3 5 3" xfId="46381"/>
    <cellStyle name="메모 2 9 3 6" xfId="29435"/>
    <cellStyle name="메모 2 9 3 7" xfId="18506"/>
    <cellStyle name="메모 2 9 3 8" xfId="38509"/>
    <cellStyle name="메모 2 9 3 9" xfId="51038"/>
    <cellStyle name="메모 2 9 4" xfId="9617"/>
    <cellStyle name="메모 2 9 4 10" xfId="38403"/>
    <cellStyle name="메모 2 9 4 11" xfId="29058"/>
    <cellStyle name="메모 2 9 4 2" xfId="13254"/>
    <cellStyle name="메모 2 9 4 2 2" xfId="26482"/>
    <cellStyle name="메모 2 9 4 2 3" xfId="32734"/>
    <cellStyle name="메모 2 9 4 2 4" xfId="38954"/>
    <cellStyle name="메모 2 9 4 2 5" xfId="47420"/>
    <cellStyle name="메모 2 9 4 3" xfId="7572"/>
    <cellStyle name="메모 2 9 4 3 2" xfId="20800"/>
    <cellStyle name="메모 2 9 4 3 3" xfId="35230"/>
    <cellStyle name="메모 2 9 4 3 4" xfId="46020"/>
    <cellStyle name="메모 2 9 4 3 5" xfId="47933"/>
    <cellStyle name="메모 2 9 4 4" xfId="13526"/>
    <cellStyle name="메모 2 9 4 4 2" xfId="26754"/>
    <cellStyle name="메모 2 9 4 4 3" xfId="31028"/>
    <cellStyle name="메모 2 9 4 4 4" xfId="17750"/>
    <cellStyle name="메모 2 9 4 4 5" xfId="38469"/>
    <cellStyle name="메모 2 9 4 5" xfId="8506"/>
    <cellStyle name="메모 2 9 4 5 2" xfId="21734"/>
    <cellStyle name="메모 2 9 4 5 3" xfId="42821"/>
    <cellStyle name="메모 2 9 4 5 4" xfId="49655"/>
    <cellStyle name="메모 2 9 4 6" xfId="22845"/>
    <cellStyle name="메모 2 9 4 6 2" xfId="31400"/>
    <cellStyle name="메모 2 9 4 6 3" xfId="18045"/>
    <cellStyle name="메모 2 9 4 6 4" xfId="43932"/>
    <cellStyle name="메모 2 9 4 7" xfId="35505"/>
    <cellStyle name="메모 2 9 4 7 2" xfId="41376"/>
    <cellStyle name="메모 2 9 4 7 3" xfId="48210"/>
    <cellStyle name="메모 2 9 4 8" xfId="29812"/>
    <cellStyle name="메모 2 9 4 8 2" xfId="28034"/>
    <cellStyle name="메모 2 9 4 8 3" xfId="34100"/>
    <cellStyle name="메모 2 9 4 9" xfId="28423"/>
    <cellStyle name="메모 2 9 5" xfId="7900"/>
    <cellStyle name="메모 2 9 5 2" xfId="21128"/>
    <cellStyle name="메모 2 9 6" xfId="40326"/>
    <cellStyle name="메모 2_사업부문" xfId="53735"/>
    <cellStyle name="메모 20" xfId="53736"/>
    <cellStyle name="메모 21" xfId="53737"/>
    <cellStyle name="메모 22" xfId="53738"/>
    <cellStyle name="메모 22 2" xfId="53739"/>
    <cellStyle name="메모 22 2 2" xfId="53740"/>
    <cellStyle name="메모 22 3" xfId="53741"/>
    <cellStyle name="메모 23" xfId="53742"/>
    <cellStyle name="메모 23 2" xfId="53743"/>
    <cellStyle name="메모 23 2 2" xfId="53744"/>
    <cellStyle name="메모 23 3" xfId="53745"/>
    <cellStyle name="메모 24" xfId="53746"/>
    <cellStyle name="메모 24 2" xfId="53747"/>
    <cellStyle name="메모 24 2 2" xfId="53748"/>
    <cellStyle name="메모 24 3" xfId="53749"/>
    <cellStyle name="메모 25" xfId="53750"/>
    <cellStyle name="메모 25 2" xfId="53751"/>
    <cellStyle name="메모 25 2 2" xfId="53752"/>
    <cellStyle name="메모 25 3" xfId="53753"/>
    <cellStyle name="메모 26" xfId="53754"/>
    <cellStyle name="메모 26 2" xfId="53755"/>
    <cellStyle name="메모 26 2 2" xfId="53756"/>
    <cellStyle name="메모 26 3" xfId="53757"/>
    <cellStyle name="메모 3" xfId="191"/>
    <cellStyle name="메모 3 10" xfId="5273"/>
    <cellStyle name="메모 3 10 10" xfId="13698"/>
    <cellStyle name="메모 3 10 10 2" xfId="26926"/>
    <cellStyle name="메모 3 10 10 3" xfId="43071"/>
    <cellStyle name="메모 3 10 10 4" xfId="49905"/>
    <cellStyle name="메모 3 10 11" xfId="18516"/>
    <cellStyle name="메모 3 10 12" xfId="28054"/>
    <cellStyle name="메모 3 10 13" xfId="15937"/>
    <cellStyle name="메모 3 10 14" xfId="45162"/>
    <cellStyle name="메모 3 10 2" xfId="6646"/>
    <cellStyle name="메모 3 10 2 2" xfId="11380"/>
    <cellStyle name="메모 3 10 2 2 2" xfId="24608"/>
    <cellStyle name="메모 3 10 2 2 3" xfId="34010"/>
    <cellStyle name="메모 3 10 2 2 4" xfId="45075"/>
    <cellStyle name="메모 3 10 2 2 5" xfId="17536"/>
    <cellStyle name="메모 3 10 2 3" xfId="8302"/>
    <cellStyle name="메모 3 10 2 3 2" xfId="21530"/>
    <cellStyle name="메모 3 10 2 3 3" xfId="36435"/>
    <cellStyle name="메모 3 10 2 3 4" xfId="42328"/>
    <cellStyle name="메모 3 10 2 3 5" xfId="49162"/>
    <cellStyle name="메모 3 10 2 4" xfId="19874"/>
    <cellStyle name="메모 3 10 2 4 2" xfId="30504"/>
    <cellStyle name="메모 3 10 2 4 3" xfId="14673"/>
    <cellStyle name="메모 3 10 2 4 4" xfId="28072"/>
    <cellStyle name="메모 3 10 2 5" xfId="34928"/>
    <cellStyle name="메모 3 10 2 5 2" xfId="40926"/>
    <cellStyle name="메모 3 10 2 5 3" xfId="41301"/>
    <cellStyle name="메모 3 10 2 6" xfId="29698"/>
    <cellStyle name="메모 3 10 2 7" xfId="16303"/>
    <cellStyle name="메모 3 10 2 8" xfId="40604"/>
    <cellStyle name="메모 3 10 3" xfId="6672"/>
    <cellStyle name="메모 3 10 3 2" xfId="11406"/>
    <cellStyle name="메모 3 10 3 2 2" xfId="24634"/>
    <cellStyle name="메모 3 10 3 2 3" xfId="34036"/>
    <cellStyle name="메모 3 10 3 2 4" xfId="45098"/>
    <cellStyle name="메모 3 10 3 2 5" xfId="28898"/>
    <cellStyle name="메모 3 10 3 3" xfId="9130"/>
    <cellStyle name="메모 3 10 3 3 2" xfId="22358"/>
    <cellStyle name="메모 3 10 3 3 3" xfId="36461"/>
    <cellStyle name="메모 3 10 3 3 4" xfId="42354"/>
    <cellStyle name="메모 3 10 3 3 5" xfId="49188"/>
    <cellStyle name="메모 3 10 3 4" xfId="19900"/>
    <cellStyle name="메모 3 10 3 4 2" xfId="32312"/>
    <cellStyle name="메모 3 10 3 4 3" xfId="38530"/>
    <cellStyle name="메모 3 10 3 4 4" xfId="34518"/>
    <cellStyle name="메모 3 10 3 5" xfId="36504"/>
    <cellStyle name="메모 3 10 3 5 2" xfId="42397"/>
    <cellStyle name="메모 3 10 3 5 3" xfId="49231"/>
    <cellStyle name="메모 3 10 3 6" xfId="29724"/>
    <cellStyle name="메모 3 10 3 7" xfId="16311"/>
    <cellStyle name="메모 3 10 3 8" xfId="44399"/>
    <cellStyle name="메모 3 10 4" xfId="6126"/>
    <cellStyle name="메모 3 10 4 2" xfId="10860"/>
    <cellStyle name="메모 3 10 4 2 2" xfId="24088"/>
    <cellStyle name="메모 3 10 4 2 3" xfId="33490"/>
    <cellStyle name="메모 3 10 4 2 4" xfId="44628"/>
    <cellStyle name="메모 3 10 4 2 5" xfId="15438"/>
    <cellStyle name="메모 3 10 4 3" xfId="12854"/>
    <cellStyle name="메모 3 10 4 3 2" xfId="26082"/>
    <cellStyle name="메모 3 10 4 3 3" xfId="35916"/>
    <cellStyle name="메모 3 10 4 3 4" xfId="41809"/>
    <cellStyle name="메모 3 10 4 3 5" xfId="48643"/>
    <cellStyle name="메모 3 10 4 4" xfId="19354"/>
    <cellStyle name="메모 3 10 4 4 2" xfId="30410"/>
    <cellStyle name="메모 3 10 4 4 3" xfId="14870"/>
    <cellStyle name="메모 3 10 4 4 4" xfId="32271"/>
    <cellStyle name="메모 3 10 4 5" xfId="37044"/>
    <cellStyle name="메모 3 10 4 5 2" xfId="42963"/>
    <cellStyle name="메모 3 10 4 5 3" xfId="49797"/>
    <cellStyle name="메모 3 10 4 6" xfId="29178"/>
    <cellStyle name="메모 3 10 4 7" xfId="34765"/>
    <cellStyle name="메모 3 10 4 8" xfId="16494"/>
    <cellStyle name="메모 3 10 5" xfId="6101"/>
    <cellStyle name="메모 3 10 5 10" xfId="40464"/>
    <cellStyle name="메모 3 10 5 2" xfId="12654"/>
    <cellStyle name="메모 3 10 5 2 2" xfId="14393"/>
    <cellStyle name="메모 3 10 5 2 2 2" xfId="27621"/>
    <cellStyle name="메모 3 10 5 2 2 3" xfId="36975"/>
    <cellStyle name="메모 3 10 5 2 2 4" xfId="42894"/>
    <cellStyle name="메모 3 10 5 2 2 5" xfId="49728"/>
    <cellStyle name="메모 3 10 5 2 3" xfId="25882"/>
    <cellStyle name="메모 3 10 5 2 3 2" xfId="37843"/>
    <cellStyle name="메모 3 10 5 2 3 3" xfId="43768"/>
    <cellStyle name="메모 3 10 5 2 3 4" xfId="50602"/>
    <cellStyle name="메모 3 10 5 2 4" xfId="37921"/>
    <cellStyle name="메모 3 10 5 2 4 2" xfId="43846"/>
    <cellStyle name="메모 3 10 5 2 4 3" xfId="50680"/>
    <cellStyle name="메모 3 10 5 2 5" xfId="34634"/>
    <cellStyle name="메모 3 10 5 2 6" xfId="34458"/>
    <cellStyle name="메모 3 10 5 3" xfId="10835"/>
    <cellStyle name="메모 3 10 5 3 2" xfId="24063"/>
    <cellStyle name="메모 3 10 5 3 3" xfId="33465"/>
    <cellStyle name="메모 3 10 5 3 4" xfId="39650"/>
    <cellStyle name="메모 3 10 5 3 5" xfId="15750"/>
    <cellStyle name="메모 3 10 5 4" xfId="13727"/>
    <cellStyle name="메모 3 10 5 4 2" xfId="26955"/>
    <cellStyle name="메모 3 10 5 4 3" xfId="32372"/>
    <cellStyle name="메모 3 10 5 4 4" xfId="38590"/>
    <cellStyle name="메모 3 10 5 4 5" xfId="47380"/>
    <cellStyle name="메모 3 10 5 5" xfId="13910"/>
    <cellStyle name="메모 3 10 5 5 2" xfId="27138"/>
    <cellStyle name="메모 3 10 5 5 3" xfId="30464"/>
    <cellStyle name="메모 3 10 5 5 4" xfId="27783"/>
    <cellStyle name="메모 3 10 5 5 5" xfId="41072"/>
    <cellStyle name="메모 3 10 5 6" xfId="13519"/>
    <cellStyle name="메모 3 10 5 6 2" xfId="26747"/>
    <cellStyle name="메모 3 10 5 6 3" xfId="17993"/>
    <cellStyle name="메모 3 10 5 6 4" xfId="33058"/>
    <cellStyle name="메모 3 10 5 7" xfId="37431"/>
    <cellStyle name="메모 3 10 5 7 2" xfId="43351"/>
    <cellStyle name="메모 3 10 5 7 3" xfId="50185"/>
    <cellStyle name="메모 3 10 5 8" xfId="29153"/>
    <cellStyle name="메모 3 10 5 9" xfId="17462"/>
    <cellStyle name="메모 3 10 6" xfId="10136"/>
    <cellStyle name="메모 3 10 6 2" xfId="7748"/>
    <cellStyle name="메모 3 10 6 2 2" xfId="20976"/>
    <cellStyle name="메모 3 10 6 2 3" xfId="33082"/>
    <cellStyle name="메모 3 10 6 2 4" xfId="44367"/>
    <cellStyle name="메모 3 10 6 2 5" xfId="39369"/>
    <cellStyle name="메모 3 10 6 3" xfId="23364"/>
    <cellStyle name="메모 3 10 6 3 2" xfId="35568"/>
    <cellStyle name="메모 3 10 6 3 3" xfId="41444"/>
    <cellStyle name="메모 3 10 6 3 4" xfId="48278"/>
    <cellStyle name="메모 3 10 6 4" xfId="36860"/>
    <cellStyle name="메모 3 10 6 4 2" xfId="42772"/>
    <cellStyle name="메모 3 10 6 4 3" xfId="49606"/>
    <cellStyle name="메모 3 10 6 5" xfId="37569"/>
    <cellStyle name="메모 3 10 6 5 2" xfId="43490"/>
    <cellStyle name="메모 3 10 6 5 3" xfId="50324"/>
    <cellStyle name="메모 3 10 6 6" xfId="28779"/>
    <cellStyle name="메모 3 10 6 7" xfId="34935"/>
    <cellStyle name="메모 3 10 6 8" xfId="40540"/>
    <cellStyle name="메모 3 10 7" xfId="9095"/>
    <cellStyle name="메모 3 10 7 2" xfId="22323"/>
    <cellStyle name="메모 3 10 7 3" xfId="31814"/>
    <cellStyle name="메모 3 10 7 4" xfId="38035"/>
    <cellStyle name="메모 3 10 7 5" xfId="47354"/>
    <cellStyle name="메모 3 10 8" xfId="12994"/>
    <cellStyle name="메모 3 10 8 2" xfId="26222"/>
    <cellStyle name="메모 3 10 8 3" xfId="36651"/>
    <cellStyle name="메모 3 10 8 4" xfId="42553"/>
    <cellStyle name="메모 3 10 8 5" xfId="49387"/>
    <cellStyle name="메모 3 10 9" xfId="8473"/>
    <cellStyle name="메모 3 10 9 2" xfId="21701"/>
    <cellStyle name="메모 3 10 9 3" xfId="30087"/>
    <cellStyle name="메모 3 10 9 4" xfId="16567"/>
    <cellStyle name="메모 3 10 9 5" xfId="39251"/>
    <cellStyle name="메모 3 11" xfId="5274"/>
    <cellStyle name="메모 3 11 10" xfId="12796"/>
    <cellStyle name="메모 3 11 10 2" xfId="26024"/>
    <cellStyle name="메모 3 11 10 3" xfId="40957"/>
    <cellStyle name="메모 3 11 10 4" xfId="47653"/>
    <cellStyle name="메모 3 11 11" xfId="18517"/>
    <cellStyle name="메모 3 11 12" xfId="28055"/>
    <cellStyle name="메모 3 11 13" xfId="28814"/>
    <cellStyle name="메모 3 11 14" xfId="44029"/>
    <cellStyle name="메모 3 11 2" xfId="6647"/>
    <cellStyle name="메모 3 11 2 2" xfId="11381"/>
    <cellStyle name="메모 3 11 2 2 2" xfId="24609"/>
    <cellStyle name="메모 3 11 2 2 3" xfId="34011"/>
    <cellStyle name="메모 3 11 2 2 4" xfId="45076"/>
    <cellStyle name="메모 3 11 2 2 5" xfId="41263"/>
    <cellStyle name="메모 3 11 2 3" xfId="8303"/>
    <cellStyle name="메모 3 11 2 3 2" xfId="21531"/>
    <cellStyle name="메모 3 11 2 3 3" xfId="36436"/>
    <cellStyle name="메모 3 11 2 3 4" xfId="42329"/>
    <cellStyle name="메모 3 11 2 3 5" xfId="49163"/>
    <cellStyle name="메모 3 11 2 4" xfId="19875"/>
    <cellStyle name="메모 3 11 2 4 2" xfId="35453"/>
    <cellStyle name="메모 3 11 2 4 3" xfId="41322"/>
    <cellStyle name="메모 3 11 2 4 4" xfId="48156"/>
    <cellStyle name="메모 3 11 2 5" xfId="35544"/>
    <cellStyle name="메모 3 11 2 5 2" xfId="41419"/>
    <cellStyle name="메모 3 11 2 5 3" xfId="48253"/>
    <cellStyle name="메모 3 11 2 6" xfId="29699"/>
    <cellStyle name="메모 3 11 2 7" xfId="16302"/>
    <cellStyle name="메모 3 11 2 8" xfId="44508"/>
    <cellStyle name="메모 3 11 3" xfId="6673"/>
    <cellStyle name="메모 3 11 3 2" xfId="11407"/>
    <cellStyle name="메모 3 11 3 2 2" xfId="24635"/>
    <cellStyle name="메모 3 11 3 2 3" xfId="34037"/>
    <cellStyle name="메모 3 11 3 2 4" xfId="45099"/>
    <cellStyle name="메모 3 11 3 2 5" xfId="17518"/>
    <cellStyle name="메모 3 11 3 3" xfId="6831"/>
    <cellStyle name="메모 3 11 3 3 2" xfId="20059"/>
    <cellStyle name="메모 3 11 3 3 3" xfId="36462"/>
    <cellStyle name="메모 3 11 3 3 4" xfId="42355"/>
    <cellStyle name="메모 3 11 3 3 5" xfId="49189"/>
    <cellStyle name="메모 3 11 3 4" xfId="19901"/>
    <cellStyle name="메모 3 11 3 4 2" xfId="34873"/>
    <cellStyle name="메모 3 11 3 4 3" xfId="40871"/>
    <cellStyle name="메모 3 11 3 4 4" xfId="32473"/>
    <cellStyle name="메모 3 11 3 5" xfId="31803"/>
    <cellStyle name="메모 3 11 3 5 2" xfId="38024"/>
    <cellStyle name="메모 3 11 3 5 3" xfId="46604"/>
    <cellStyle name="메모 3 11 3 6" xfId="29725"/>
    <cellStyle name="메모 3 11 3 7" xfId="16312"/>
    <cellStyle name="메모 3 11 3 8" xfId="45383"/>
    <cellStyle name="메모 3 11 4" xfId="6135"/>
    <cellStyle name="메모 3 11 4 2" xfId="10869"/>
    <cellStyle name="메모 3 11 4 2 2" xfId="24097"/>
    <cellStyle name="메모 3 11 4 2 3" xfId="33499"/>
    <cellStyle name="메모 3 11 4 2 4" xfId="44637"/>
    <cellStyle name="메모 3 11 4 2 5" xfId="32262"/>
    <cellStyle name="메모 3 11 4 3" xfId="12785"/>
    <cellStyle name="메모 3 11 4 3 2" xfId="26013"/>
    <cellStyle name="메모 3 11 4 3 3" xfId="35925"/>
    <cellStyle name="메모 3 11 4 3 4" xfId="41818"/>
    <cellStyle name="메모 3 11 4 3 5" xfId="48652"/>
    <cellStyle name="메모 3 11 4 4" xfId="19363"/>
    <cellStyle name="메모 3 11 4 4 2" xfId="36854"/>
    <cellStyle name="메모 3 11 4 4 3" xfId="42766"/>
    <cellStyle name="메모 3 11 4 4 4" xfId="49600"/>
    <cellStyle name="메모 3 11 4 5" xfId="30472"/>
    <cellStyle name="메모 3 11 4 5 2" xfId="27782"/>
    <cellStyle name="메모 3 11 4 5 3" xfId="33176"/>
    <cellStyle name="메모 3 11 4 6" xfId="29187"/>
    <cellStyle name="메모 3 11 4 7" xfId="36704"/>
    <cellStyle name="메모 3 11 4 8" xfId="14507"/>
    <cellStyle name="메모 3 11 5" xfId="6102"/>
    <cellStyle name="메모 3 11 5 10" xfId="15346"/>
    <cellStyle name="메모 3 11 5 2" xfId="12655"/>
    <cellStyle name="메모 3 11 5 2 2" xfId="14394"/>
    <cellStyle name="메모 3 11 5 2 2 2" xfId="27622"/>
    <cellStyle name="메모 3 11 5 2 2 3" xfId="36976"/>
    <cellStyle name="메모 3 11 5 2 2 4" xfId="42895"/>
    <cellStyle name="메모 3 11 5 2 2 5" xfId="49729"/>
    <cellStyle name="메모 3 11 5 2 3" xfId="25883"/>
    <cellStyle name="메모 3 11 5 2 3 2" xfId="37844"/>
    <cellStyle name="메모 3 11 5 2 3 3" xfId="43769"/>
    <cellStyle name="메모 3 11 5 2 3 4" xfId="50603"/>
    <cellStyle name="메모 3 11 5 2 4" xfId="37922"/>
    <cellStyle name="메모 3 11 5 2 4 2" xfId="43847"/>
    <cellStyle name="메모 3 11 5 2 4 3" xfId="50681"/>
    <cellStyle name="메모 3 11 5 2 5" xfId="34635"/>
    <cellStyle name="메모 3 11 5 2 6" xfId="40327"/>
    <cellStyle name="메모 3 11 5 3" xfId="10836"/>
    <cellStyle name="메모 3 11 5 3 2" xfId="24064"/>
    <cellStyle name="메모 3 11 5 3 3" xfId="33466"/>
    <cellStyle name="메모 3 11 5 3 4" xfId="39651"/>
    <cellStyle name="메모 3 11 5 3 5" xfId="15923"/>
    <cellStyle name="메모 3 11 5 4" xfId="13728"/>
    <cellStyle name="메모 3 11 5 4 2" xfId="26956"/>
    <cellStyle name="메모 3 11 5 4 3" xfId="32373"/>
    <cellStyle name="메모 3 11 5 4 4" xfId="38591"/>
    <cellStyle name="메모 3 11 5 4 5" xfId="45701"/>
    <cellStyle name="메모 3 11 5 5" xfId="7307"/>
    <cellStyle name="메모 3 11 5 5 2" xfId="20535"/>
    <cellStyle name="메모 3 11 5 5 3" xfId="30572"/>
    <cellStyle name="메모 3 11 5 5 4" xfId="16847"/>
    <cellStyle name="메모 3 11 5 5 5" xfId="47494"/>
    <cellStyle name="메모 3 11 5 6" xfId="14225"/>
    <cellStyle name="메모 3 11 5 6 2" xfId="27453"/>
    <cellStyle name="메모 3 11 5 6 3" xfId="40745"/>
    <cellStyle name="메모 3 11 5 6 4" xfId="17400"/>
    <cellStyle name="메모 3 11 5 7" xfId="31252"/>
    <cellStyle name="메모 3 11 5 7 2" xfId="17151"/>
    <cellStyle name="메모 3 11 5 7 3" xfId="46785"/>
    <cellStyle name="메모 3 11 5 8" xfId="29154"/>
    <cellStyle name="메모 3 11 5 9" xfId="17394"/>
    <cellStyle name="메모 3 11 6" xfId="10137"/>
    <cellStyle name="메모 3 11 6 2" xfId="12981"/>
    <cellStyle name="메모 3 11 6 2 2" xfId="26209"/>
    <cellStyle name="메모 3 11 6 2 3" xfId="33083"/>
    <cellStyle name="메모 3 11 6 2 4" xfId="44368"/>
    <cellStyle name="메모 3 11 6 2 5" xfId="34434"/>
    <cellStyle name="메모 3 11 6 3" xfId="23365"/>
    <cellStyle name="메모 3 11 6 3 2" xfId="35569"/>
    <cellStyle name="메모 3 11 6 3 3" xfId="41445"/>
    <cellStyle name="메모 3 11 6 3 4" xfId="48279"/>
    <cellStyle name="메모 3 11 6 4" xfId="37623"/>
    <cellStyle name="메모 3 11 6 4 2" xfId="43546"/>
    <cellStyle name="메모 3 11 6 4 3" xfId="50380"/>
    <cellStyle name="메모 3 11 6 5" xfId="34930"/>
    <cellStyle name="메모 3 11 6 5 2" xfId="40928"/>
    <cellStyle name="메모 3 11 6 5 3" xfId="47624"/>
    <cellStyle name="메모 3 11 6 6" xfId="28780"/>
    <cellStyle name="메모 3 11 6 7" xfId="15763"/>
    <cellStyle name="메모 3 11 6 8" xfId="44468"/>
    <cellStyle name="메모 3 11 7" xfId="9096"/>
    <cellStyle name="메모 3 11 7 2" xfId="22324"/>
    <cellStyle name="메모 3 11 7 3" xfId="30749"/>
    <cellStyle name="메모 3 11 7 4" xfId="15164"/>
    <cellStyle name="메모 3 11 7 5" xfId="15797"/>
    <cellStyle name="메모 3 11 8" xfId="12995"/>
    <cellStyle name="메모 3 11 8 2" xfId="26223"/>
    <cellStyle name="메모 3 11 8 3" xfId="35614"/>
    <cellStyle name="메모 3 11 8 4" xfId="41491"/>
    <cellStyle name="메모 3 11 8 5" xfId="48325"/>
    <cellStyle name="메모 3 11 9" xfId="12910"/>
    <cellStyle name="메모 3 11 9 2" xfId="26138"/>
    <cellStyle name="메모 3 11 9 3" xfId="37273"/>
    <cellStyle name="메모 3 11 9 4" xfId="43193"/>
    <cellStyle name="메모 3 11 9 5" xfId="50027"/>
    <cellStyle name="메모 3 12" xfId="5275"/>
    <cellStyle name="메모 3 12 10" xfId="12923"/>
    <cellStyle name="메모 3 12 10 2" xfId="26151"/>
    <cellStyle name="메모 3 12 10 3" xfId="43438"/>
    <cellStyle name="메모 3 12 10 4" xfId="50272"/>
    <cellStyle name="메모 3 12 11" xfId="18518"/>
    <cellStyle name="메모 3 12 12" xfId="28056"/>
    <cellStyle name="메모 3 12 13" xfId="14784"/>
    <cellStyle name="메모 3 12 14" xfId="31685"/>
    <cellStyle name="메모 3 12 2" xfId="6648"/>
    <cellStyle name="메모 3 12 2 2" xfId="11382"/>
    <cellStyle name="메모 3 12 2 2 2" xfId="24610"/>
    <cellStyle name="메모 3 12 2 2 3" xfId="34012"/>
    <cellStyle name="메모 3 12 2 2 4" xfId="45077"/>
    <cellStyle name="메모 3 12 2 2 5" xfId="34508"/>
    <cellStyle name="메모 3 12 2 3" xfId="8304"/>
    <cellStyle name="메모 3 12 2 3 2" xfId="21532"/>
    <cellStyle name="메모 3 12 2 3 3" xfId="36437"/>
    <cellStyle name="메모 3 12 2 3 4" xfId="42330"/>
    <cellStyle name="메모 3 12 2 3 5" xfId="49164"/>
    <cellStyle name="메모 3 12 2 4" xfId="19876"/>
    <cellStyle name="메모 3 12 2 4 2" xfId="30811"/>
    <cellStyle name="메모 3 12 2 4 3" xfId="16946"/>
    <cellStyle name="메모 3 12 2 4 4" xfId="17526"/>
    <cellStyle name="메모 3 12 2 5" xfId="31967"/>
    <cellStyle name="메모 3 12 2 5 2" xfId="38190"/>
    <cellStyle name="메모 3 12 2 5 3" xfId="46587"/>
    <cellStyle name="메모 3 12 2 6" xfId="29700"/>
    <cellStyle name="메모 3 12 2 7" xfId="14603"/>
    <cellStyle name="메모 3 12 2 8" xfId="45477"/>
    <cellStyle name="메모 3 12 3" xfId="6674"/>
    <cellStyle name="메모 3 12 3 2" xfId="11408"/>
    <cellStyle name="메모 3 12 3 2 2" xfId="24636"/>
    <cellStyle name="메모 3 12 3 2 3" xfId="34038"/>
    <cellStyle name="메모 3 12 3 2 4" xfId="45100"/>
    <cellStyle name="메모 3 12 3 2 5" xfId="29140"/>
    <cellStyle name="메모 3 12 3 3" xfId="9131"/>
    <cellStyle name="메모 3 12 3 3 2" xfId="22359"/>
    <cellStyle name="메모 3 12 3 3 3" xfId="36463"/>
    <cellStyle name="메모 3 12 3 3 4" xfId="42356"/>
    <cellStyle name="메모 3 12 3 3 5" xfId="49190"/>
    <cellStyle name="메모 3 12 3 4" xfId="19902"/>
    <cellStyle name="메모 3 12 3 4 2" xfId="37029"/>
    <cellStyle name="메모 3 12 3 4 3" xfId="42948"/>
    <cellStyle name="메모 3 12 3 4 4" xfId="49782"/>
    <cellStyle name="메모 3 12 3 5" xfId="36511"/>
    <cellStyle name="메모 3 12 3 5 2" xfId="42404"/>
    <cellStyle name="메모 3 12 3 5 3" xfId="49238"/>
    <cellStyle name="메모 3 12 3 6" xfId="29726"/>
    <cellStyle name="메모 3 12 3 7" xfId="16313"/>
    <cellStyle name="메모 3 12 3 8" xfId="39175"/>
    <cellStyle name="메모 3 12 4" xfId="6130"/>
    <cellStyle name="메모 3 12 4 2" xfId="10864"/>
    <cellStyle name="메모 3 12 4 2 2" xfId="24092"/>
    <cellStyle name="메모 3 12 4 2 3" xfId="33494"/>
    <cellStyle name="메모 3 12 4 2 4" xfId="44632"/>
    <cellStyle name="메모 3 12 4 2 5" xfId="33188"/>
    <cellStyle name="메모 3 12 4 3" xfId="12755"/>
    <cellStyle name="메모 3 12 4 3 2" xfId="25983"/>
    <cellStyle name="메모 3 12 4 3 3" xfId="35920"/>
    <cellStyle name="메모 3 12 4 3 4" xfId="41813"/>
    <cellStyle name="메모 3 12 4 3 5" xfId="48647"/>
    <cellStyle name="메모 3 12 4 4" xfId="19358"/>
    <cellStyle name="메모 3 12 4 4 2" xfId="35054"/>
    <cellStyle name="메모 3 12 4 4 3" xfId="41061"/>
    <cellStyle name="메모 3 12 4 4 4" xfId="47757"/>
    <cellStyle name="메모 3 12 4 5" xfId="37566"/>
    <cellStyle name="메모 3 12 4 5 2" xfId="43487"/>
    <cellStyle name="메모 3 12 4 5 3" xfId="50321"/>
    <cellStyle name="메모 3 12 4 6" xfId="29182"/>
    <cellStyle name="메모 3 12 4 7" xfId="36851"/>
    <cellStyle name="메모 3 12 4 8" xfId="39522"/>
    <cellStyle name="메모 3 12 5" xfId="6103"/>
    <cellStyle name="메모 3 12 5 10" xfId="45196"/>
    <cellStyle name="메모 3 12 5 2" xfId="12656"/>
    <cellStyle name="메모 3 12 5 2 2" xfId="14395"/>
    <cellStyle name="메모 3 12 5 2 2 2" xfId="27623"/>
    <cellStyle name="메모 3 12 5 2 2 3" xfId="36977"/>
    <cellStyle name="메모 3 12 5 2 2 4" xfId="42896"/>
    <cellStyle name="메모 3 12 5 2 2 5" xfId="49730"/>
    <cellStyle name="메모 3 12 5 2 3" xfId="25884"/>
    <cellStyle name="메모 3 12 5 2 3 2" xfId="37845"/>
    <cellStyle name="메모 3 12 5 2 3 3" xfId="43770"/>
    <cellStyle name="메모 3 12 5 2 3 4" xfId="50604"/>
    <cellStyle name="메모 3 12 5 2 4" xfId="37923"/>
    <cellStyle name="메모 3 12 5 2 4 2" xfId="43848"/>
    <cellStyle name="메모 3 12 5 2 4 3" xfId="50682"/>
    <cellStyle name="메모 3 12 5 2 5" xfId="34636"/>
    <cellStyle name="메모 3 12 5 2 6" xfId="40473"/>
    <cellStyle name="메모 3 12 5 3" xfId="10837"/>
    <cellStyle name="메모 3 12 5 3 2" xfId="24065"/>
    <cellStyle name="메모 3 12 5 3 3" xfId="33467"/>
    <cellStyle name="메모 3 12 5 3 4" xfId="39652"/>
    <cellStyle name="메모 3 12 5 3 5" xfId="40543"/>
    <cellStyle name="메모 3 12 5 4" xfId="13729"/>
    <cellStyle name="메모 3 12 5 4 2" xfId="26957"/>
    <cellStyle name="메모 3 12 5 4 3" xfId="32374"/>
    <cellStyle name="메모 3 12 5 4 4" xfId="38592"/>
    <cellStyle name="메모 3 12 5 4 5" xfId="46210"/>
    <cellStyle name="메모 3 12 5 5" xfId="13911"/>
    <cellStyle name="메모 3 12 5 5 2" xfId="27139"/>
    <cellStyle name="메모 3 12 5 5 3" xfId="29760"/>
    <cellStyle name="메모 3 12 5 5 4" xfId="30197"/>
    <cellStyle name="메모 3 12 5 5 5" xfId="45325"/>
    <cellStyle name="메모 3 12 5 6" xfId="14291"/>
    <cellStyle name="메모 3 12 5 6 2" xfId="27519"/>
    <cellStyle name="메모 3 12 5 6 3" xfId="16697"/>
    <cellStyle name="메모 3 12 5 6 4" xfId="40439"/>
    <cellStyle name="메모 3 12 5 7" xfId="37205"/>
    <cellStyle name="메모 3 12 5 7 2" xfId="43124"/>
    <cellStyle name="메모 3 12 5 7 3" xfId="49958"/>
    <cellStyle name="메모 3 12 5 8" xfId="29155"/>
    <cellStyle name="메모 3 12 5 9" xfId="27895"/>
    <cellStyle name="메모 3 12 6" xfId="10138"/>
    <cellStyle name="메모 3 12 6 2" xfId="8588"/>
    <cellStyle name="메모 3 12 6 2 2" xfId="21816"/>
    <cellStyle name="메모 3 12 6 2 3" xfId="33084"/>
    <cellStyle name="메모 3 12 6 2 4" xfId="44369"/>
    <cellStyle name="메모 3 12 6 2 5" xfId="38715"/>
    <cellStyle name="메모 3 12 6 3" xfId="23366"/>
    <cellStyle name="메모 3 12 6 3 2" xfId="35570"/>
    <cellStyle name="메모 3 12 6 3 3" xfId="41446"/>
    <cellStyle name="메모 3 12 6 3 4" xfId="48280"/>
    <cellStyle name="메모 3 12 6 4" xfId="31636"/>
    <cellStyle name="메모 3 12 6 4 2" xfId="15177"/>
    <cellStyle name="메모 3 12 6 4 3" xfId="44189"/>
    <cellStyle name="메모 3 12 6 5" xfId="31364"/>
    <cellStyle name="메모 3 12 6 5 2" xfId="17852"/>
    <cellStyle name="메모 3 12 6 5 3" xfId="47455"/>
    <cellStyle name="메모 3 12 6 6" xfId="28781"/>
    <cellStyle name="메모 3 12 6 7" xfId="34789"/>
    <cellStyle name="메모 3 12 6 8" xfId="45454"/>
    <cellStyle name="메모 3 12 7" xfId="9097"/>
    <cellStyle name="메모 3 12 7 2" xfId="22325"/>
    <cellStyle name="메모 3 12 7 3" xfId="30750"/>
    <cellStyle name="메모 3 12 7 4" xfId="16923"/>
    <cellStyle name="메모 3 12 7 5" xfId="40178"/>
    <cellStyle name="메모 3 12 8" xfId="12996"/>
    <cellStyle name="메모 3 12 8 2" xfId="26224"/>
    <cellStyle name="메모 3 12 8 3" xfId="36775"/>
    <cellStyle name="메모 3 12 8 4" xfId="42682"/>
    <cellStyle name="메모 3 12 8 5" xfId="49516"/>
    <cellStyle name="메모 3 12 9" xfId="13680"/>
    <cellStyle name="메모 3 12 9 2" xfId="26908"/>
    <cellStyle name="메모 3 12 9 3" xfId="34919"/>
    <cellStyle name="메모 3 12 9 4" xfId="40917"/>
    <cellStyle name="메모 3 12 9 5" xfId="32533"/>
    <cellStyle name="메모 3 13" xfId="5276"/>
    <cellStyle name="메모 3 13 10" xfId="8654"/>
    <cellStyle name="메모 3 13 10 2" xfId="21882"/>
    <cellStyle name="메모 3 13 10 3" xfId="40868"/>
    <cellStyle name="메모 3 13 10 4" xfId="28807"/>
    <cellStyle name="메모 3 13 11" xfId="18519"/>
    <cellStyle name="메모 3 13 12" xfId="28057"/>
    <cellStyle name="메모 3 13 13" xfId="40164"/>
    <cellStyle name="메모 3 13 14" xfId="44430"/>
    <cellStyle name="메모 3 13 2" xfId="6649"/>
    <cellStyle name="메모 3 13 2 2" xfId="11383"/>
    <cellStyle name="메모 3 13 2 2 2" xfId="24611"/>
    <cellStyle name="메모 3 13 2 2 3" xfId="34013"/>
    <cellStyle name="메모 3 13 2 2 4" xfId="45078"/>
    <cellStyle name="메모 3 13 2 2 5" xfId="39954"/>
    <cellStyle name="메모 3 13 2 3" xfId="8305"/>
    <cellStyle name="메모 3 13 2 3 2" xfId="21533"/>
    <cellStyle name="메모 3 13 2 3 3" xfId="36438"/>
    <cellStyle name="메모 3 13 2 3 4" xfId="42331"/>
    <cellStyle name="메모 3 13 2 3 5" xfId="49165"/>
    <cellStyle name="메모 3 13 2 4" xfId="19877"/>
    <cellStyle name="메모 3 13 2 4 2" xfId="31603"/>
    <cellStyle name="메모 3 13 2 4 3" xfId="17804"/>
    <cellStyle name="메모 3 13 2 4 4" xfId="46302"/>
    <cellStyle name="메모 3 13 2 5" xfId="32335"/>
    <cellStyle name="메모 3 13 2 5 2" xfId="38553"/>
    <cellStyle name="메모 3 13 2 5 3" xfId="46379"/>
    <cellStyle name="메모 3 13 2 6" xfId="29701"/>
    <cellStyle name="메모 3 13 2 7" xfId="31639"/>
    <cellStyle name="메모 3 13 2 8" xfId="17397"/>
    <cellStyle name="메모 3 13 3" xfId="6675"/>
    <cellStyle name="메모 3 13 3 2" xfId="11409"/>
    <cellStyle name="메모 3 13 3 2 2" xfId="24637"/>
    <cellStyle name="메모 3 13 3 2 3" xfId="34039"/>
    <cellStyle name="메모 3 13 3 2 4" xfId="45101"/>
    <cellStyle name="메모 3 13 3 2 5" xfId="39958"/>
    <cellStyle name="메모 3 13 3 3" xfId="9132"/>
    <cellStyle name="메모 3 13 3 3 2" xfId="22360"/>
    <cellStyle name="메모 3 13 3 3 3" xfId="36464"/>
    <cellStyle name="메모 3 13 3 3 4" xfId="42357"/>
    <cellStyle name="메모 3 13 3 3 5" xfId="49191"/>
    <cellStyle name="메모 3 13 3 4" xfId="19903"/>
    <cellStyle name="메모 3 13 3 4 2" xfId="30855"/>
    <cellStyle name="메모 3 13 3 4 3" xfId="28021"/>
    <cellStyle name="메모 3 13 3 4 4" xfId="33409"/>
    <cellStyle name="메모 3 13 3 5" xfId="30679"/>
    <cellStyle name="메모 3 13 3 5 2" xfId="18034"/>
    <cellStyle name="메모 3 13 3 5 3" xfId="45673"/>
    <cellStyle name="메모 3 13 3 6" xfId="29727"/>
    <cellStyle name="메모 3 13 3 7" xfId="36784"/>
    <cellStyle name="메모 3 13 3 8" xfId="34385"/>
    <cellStyle name="메모 3 13 4" xfId="6134"/>
    <cellStyle name="메모 3 13 4 2" xfId="10868"/>
    <cellStyle name="메모 3 13 4 2 2" xfId="24096"/>
    <cellStyle name="메모 3 13 4 2 3" xfId="33498"/>
    <cellStyle name="메모 3 13 4 2 4" xfId="44636"/>
    <cellStyle name="메모 3 13 4 2 5" xfId="34315"/>
    <cellStyle name="메모 3 13 4 3" xfId="8041"/>
    <cellStyle name="메모 3 13 4 3 2" xfId="21269"/>
    <cellStyle name="메모 3 13 4 3 3" xfId="35924"/>
    <cellStyle name="메모 3 13 4 3 4" xfId="41817"/>
    <cellStyle name="메모 3 13 4 3 5" xfId="48651"/>
    <cellStyle name="메모 3 13 4 4" xfId="19362"/>
    <cellStyle name="메모 3 13 4 4 2" xfId="31644"/>
    <cellStyle name="메모 3 13 4 4 3" xfId="15272"/>
    <cellStyle name="메모 3 13 4 4 4" xfId="47062"/>
    <cellStyle name="메모 3 13 4 5" xfId="37699"/>
    <cellStyle name="메모 3 13 4 5 2" xfId="43622"/>
    <cellStyle name="메모 3 13 4 5 3" xfId="50456"/>
    <cellStyle name="메모 3 13 4 6" xfId="29186"/>
    <cellStyle name="메모 3 13 4 7" xfId="35044"/>
    <cellStyle name="메모 3 13 4 8" xfId="38685"/>
    <cellStyle name="메모 3 13 5" xfId="6104"/>
    <cellStyle name="메모 3 13 5 10" xfId="44063"/>
    <cellStyle name="메모 3 13 5 2" xfId="12657"/>
    <cellStyle name="메모 3 13 5 2 2" xfId="14396"/>
    <cellStyle name="메모 3 13 5 2 2 2" xfId="27624"/>
    <cellStyle name="메모 3 13 5 2 2 3" xfId="36978"/>
    <cellStyle name="메모 3 13 5 2 2 4" xfId="42897"/>
    <cellStyle name="메모 3 13 5 2 2 5" xfId="49731"/>
    <cellStyle name="메모 3 13 5 2 3" xfId="25885"/>
    <cellStyle name="메모 3 13 5 2 3 2" xfId="37846"/>
    <cellStyle name="메모 3 13 5 2 3 3" xfId="43771"/>
    <cellStyle name="메모 3 13 5 2 3 4" xfId="50605"/>
    <cellStyle name="메모 3 13 5 2 4" xfId="37924"/>
    <cellStyle name="메모 3 13 5 2 4 2" xfId="43849"/>
    <cellStyle name="메모 3 13 5 2 4 3" xfId="50683"/>
    <cellStyle name="메모 3 13 5 2 5" xfId="34637"/>
    <cellStyle name="메모 3 13 5 2 6" xfId="28896"/>
    <cellStyle name="메모 3 13 5 3" xfId="10838"/>
    <cellStyle name="메모 3 13 5 3 2" xfId="24066"/>
    <cellStyle name="메모 3 13 5 3 3" xfId="33468"/>
    <cellStyle name="메모 3 13 5 3 4" xfId="39653"/>
    <cellStyle name="메모 3 13 5 3 5" xfId="39560"/>
    <cellStyle name="메모 3 13 5 4" xfId="13730"/>
    <cellStyle name="메모 3 13 5 4 2" xfId="26958"/>
    <cellStyle name="메모 3 13 5 4 3" xfId="32375"/>
    <cellStyle name="메모 3 13 5 4 4" xfId="38593"/>
    <cellStyle name="메모 3 13 5 4 5" xfId="32523"/>
    <cellStyle name="메모 3 13 5 5" xfId="6703"/>
    <cellStyle name="메모 3 13 5 5 2" xfId="19931"/>
    <cellStyle name="메모 3 13 5 5 3" xfId="30461"/>
    <cellStyle name="메모 3 13 5 5 4" xfId="16803"/>
    <cellStyle name="메모 3 13 5 5 5" xfId="44222"/>
    <cellStyle name="메모 3 13 5 6" xfId="8485"/>
    <cellStyle name="메모 3 13 5 6 2" xfId="21713"/>
    <cellStyle name="메모 3 13 5 6 3" xfId="16560"/>
    <cellStyle name="메모 3 13 5 6 4" xfId="28250"/>
    <cellStyle name="메모 3 13 5 7" xfId="30106"/>
    <cellStyle name="메모 3 13 5 7 2" xfId="14631"/>
    <cellStyle name="메모 3 13 5 7 3" xfId="44566"/>
    <cellStyle name="메모 3 13 5 8" xfId="29156"/>
    <cellStyle name="메모 3 13 5 9" xfId="29066"/>
    <cellStyle name="메모 3 13 6" xfId="10139"/>
    <cellStyle name="메모 3 13 6 2" xfId="7750"/>
    <cellStyle name="메모 3 13 6 2 2" xfId="20978"/>
    <cellStyle name="메모 3 13 6 2 3" xfId="33085"/>
    <cellStyle name="메모 3 13 6 2 4" xfId="44370"/>
    <cellStyle name="메모 3 13 6 2 5" xfId="40133"/>
    <cellStyle name="메모 3 13 6 3" xfId="23367"/>
    <cellStyle name="메모 3 13 6 3 2" xfId="35571"/>
    <cellStyle name="메모 3 13 6 3 3" xfId="41447"/>
    <cellStyle name="메모 3 13 6 3 4" xfId="48281"/>
    <cellStyle name="메모 3 13 6 4" xfId="30599"/>
    <cellStyle name="메모 3 13 6 4 2" xfId="15199"/>
    <cellStyle name="메모 3 13 6 4 3" xfId="46890"/>
    <cellStyle name="메모 3 13 6 5" xfId="36495"/>
    <cellStyle name="메모 3 13 6 5 2" xfId="42388"/>
    <cellStyle name="메모 3 13 6 5 3" xfId="49222"/>
    <cellStyle name="메모 3 13 6 6" xfId="28782"/>
    <cellStyle name="메모 3 13 6 7" xfId="35862"/>
    <cellStyle name="메모 3 13 6 8" xfId="40436"/>
    <cellStyle name="메모 3 13 7" xfId="9098"/>
    <cellStyle name="메모 3 13 7 2" xfId="22326"/>
    <cellStyle name="메모 3 13 7 3" xfId="30751"/>
    <cellStyle name="메모 3 13 7 4" xfId="16924"/>
    <cellStyle name="메모 3 13 7 5" xfId="40589"/>
    <cellStyle name="메모 3 13 8" xfId="12997"/>
    <cellStyle name="메모 3 13 8 2" xfId="26225"/>
    <cellStyle name="메모 3 13 8 3" xfId="34966"/>
    <cellStyle name="메모 3 13 8 4" xfId="40964"/>
    <cellStyle name="메모 3 13 8 5" xfId="47660"/>
    <cellStyle name="메모 3 13 9" xfId="14251"/>
    <cellStyle name="메모 3 13 9 2" xfId="27479"/>
    <cellStyle name="메모 3 13 9 3" xfId="34920"/>
    <cellStyle name="메모 3 13 9 4" xfId="40918"/>
    <cellStyle name="메모 3 13 9 5" xfId="15788"/>
    <cellStyle name="메모 3 14" xfId="5277"/>
    <cellStyle name="메모 3 14 10" xfId="8486"/>
    <cellStyle name="메모 3 14 10 2" xfId="21714"/>
    <cellStyle name="메모 3 14 10 3" xfId="16579"/>
    <cellStyle name="메모 3 14 10 4" xfId="43863"/>
    <cellStyle name="메모 3 14 11" xfId="18520"/>
    <cellStyle name="메모 3 14 12" xfId="28058"/>
    <cellStyle name="메모 3 14 13" xfId="38745"/>
    <cellStyle name="메모 3 14 14" xfId="45415"/>
    <cellStyle name="메모 3 14 2" xfId="6650"/>
    <cellStyle name="메모 3 14 2 2" xfId="11384"/>
    <cellStyle name="메모 3 14 2 2 2" xfId="24612"/>
    <cellStyle name="메모 3 14 2 2 3" xfId="34014"/>
    <cellStyle name="메모 3 14 2 2 4" xfId="45079"/>
    <cellStyle name="메모 3 14 2 2 5" xfId="29925"/>
    <cellStyle name="메모 3 14 2 3" xfId="8306"/>
    <cellStyle name="메모 3 14 2 3 2" xfId="21534"/>
    <cellStyle name="메모 3 14 2 3 3" xfId="36439"/>
    <cellStyle name="메모 3 14 2 3 4" xfId="42332"/>
    <cellStyle name="메모 3 14 2 3 5" xfId="49166"/>
    <cellStyle name="메모 3 14 2 4" xfId="19878"/>
    <cellStyle name="메모 3 14 2 4 2" xfId="32114"/>
    <cellStyle name="메모 3 14 2 4 3" xfId="38337"/>
    <cellStyle name="메모 3 14 2 4 4" xfId="29922"/>
    <cellStyle name="메모 3 14 2 5" xfId="30327"/>
    <cellStyle name="메모 3 14 2 5 2" xfId="16751"/>
    <cellStyle name="메모 3 14 2 5 3" xfId="44031"/>
    <cellStyle name="메모 3 14 2 6" xfId="29702"/>
    <cellStyle name="메모 3 14 2 7" xfId="31687"/>
    <cellStyle name="메모 3 14 2 8" xfId="15461"/>
    <cellStyle name="메모 3 14 3" xfId="6676"/>
    <cellStyle name="메모 3 14 3 2" xfId="11410"/>
    <cellStyle name="메모 3 14 3 2 2" xfId="24638"/>
    <cellStyle name="메모 3 14 3 2 3" xfId="34040"/>
    <cellStyle name="메모 3 14 3 2 4" xfId="45102"/>
    <cellStyle name="메모 3 14 3 2 5" xfId="34460"/>
    <cellStyle name="메모 3 14 3 3" xfId="8310"/>
    <cellStyle name="메모 3 14 3 3 2" xfId="21538"/>
    <cellStyle name="메모 3 14 3 3 3" xfId="36465"/>
    <cellStyle name="메모 3 14 3 3 4" xfId="42358"/>
    <cellStyle name="메모 3 14 3 3 5" xfId="49192"/>
    <cellStyle name="메모 3 14 3 4" xfId="19904"/>
    <cellStyle name="메모 3 14 3 4 2" xfId="37313"/>
    <cellStyle name="메모 3 14 3 4 3" xfId="43233"/>
    <cellStyle name="메모 3 14 3 4 4" xfId="50067"/>
    <cellStyle name="메모 3 14 3 5" xfId="34832"/>
    <cellStyle name="메모 3 14 3 5 2" xfId="40831"/>
    <cellStyle name="메모 3 14 3 5 3" xfId="29033"/>
    <cellStyle name="메모 3 14 3 6" xfId="29728"/>
    <cellStyle name="메모 3 14 3 7" xfId="16314"/>
    <cellStyle name="메모 3 14 3 8" xfId="45277"/>
    <cellStyle name="메모 3 14 4" xfId="6482"/>
    <cellStyle name="메모 3 14 4 2" xfId="11216"/>
    <cellStyle name="메모 3 14 4 2 2" xfId="24444"/>
    <cellStyle name="메모 3 14 4 2 3" xfId="33846"/>
    <cellStyle name="메모 3 14 4 2 4" xfId="44954"/>
    <cellStyle name="메모 3 14 4 2 5" xfId="28833"/>
    <cellStyle name="메모 3 14 4 3" xfId="6815"/>
    <cellStyle name="메모 3 14 4 3 2" xfId="20043"/>
    <cellStyle name="메모 3 14 4 3 3" xfId="36272"/>
    <cellStyle name="메모 3 14 4 3 4" xfId="42165"/>
    <cellStyle name="메모 3 14 4 3 5" xfId="48999"/>
    <cellStyle name="메모 3 14 4 4" xfId="19710"/>
    <cellStyle name="메모 3 14 4 4 2" xfId="32013"/>
    <cellStyle name="메모 3 14 4 4 3" xfId="38236"/>
    <cellStyle name="메모 3 14 4 4 4" xfId="47542"/>
    <cellStyle name="메모 3 14 4 5" xfId="37303"/>
    <cellStyle name="메모 3 14 4 5 2" xfId="43223"/>
    <cellStyle name="메모 3 14 4 5 3" xfId="50057"/>
    <cellStyle name="메모 3 14 4 6" xfId="29534"/>
    <cellStyle name="메모 3 14 4 7" xfId="16179"/>
    <cellStyle name="메모 3 14 4 8" xfId="44333"/>
    <cellStyle name="메모 3 14 5" xfId="6105"/>
    <cellStyle name="메모 3 14 5 10" xfId="40400"/>
    <cellStyle name="메모 3 14 5 2" xfId="12658"/>
    <cellStyle name="메모 3 14 5 2 2" xfId="14397"/>
    <cellStyle name="메모 3 14 5 2 2 2" xfId="27625"/>
    <cellStyle name="메모 3 14 5 2 2 3" xfId="36979"/>
    <cellStyle name="메모 3 14 5 2 2 4" xfId="42898"/>
    <cellStyle name="메모 3 14 5 2 2 5" xfId="49732"/>
    <cellStyle name="메모 3 14 5 2 3" xfId="25886"/>
    <cellStyle name="메모 3 14 5 2 3 2" xfId="37847"/>
    <cellStyle name="메모 3 14 5 2 3 3" xfId="43772"/>
    <cellStyle name="메모 3 14 5 2 3 4" xfId="50606"/>
    <cellStyle name="메모 3 14 5 2 4" xfId="37925"/>
    <cellStyle name="메모 3 14 5 2 4 2" xfId="43850"/>
    <cellStyle name="메모 3 14 5 2 4 3" xfId="50684"/>
    <cellStyle name="메모 3 14 5 2 5" xfId="34638"/>
    <cellStyle name="메모 3 14 5 2 6" xfId="28222"/>
    <cellStyle name="메모 3 14 5 3" xfId="10839"/>
    <cellStyle name="메모 3 14 5 3 2" xfId="24067"/>
    <cellStyle name="메모 3 14 5 3 3" xfId="33469"/>
    <cellStyle name="메모 3 14 5 3 4" xfId="39654"/>
    <cellStyle name="메모 3 14 5 3 5" xfId="17439"/>
    <cellStyle name="메모 3 14 5 4" xfId="13731"/>
    <cellStyle name="메모 3 14 5 4 2" xfId="26959"/>
    <cellStyle name="메모 3 14 5 4 3" xfId="32376"/>
    <cellStyle name="메모 3 14 5 4 4" xfId="38594"/>
    <cellStyle name="메모 3 14 5 4 5" xfId="44263"/>
    <cellStyle name="메모 3 14 5 5" xfId="13912"/>
    <cellStyle name="메모 3 14 5 5 2" xfId="27140"/>
    <cellStyle name="메모 3 14 5 5 3" xfId="30549"/>
    <cellStyle name="메모 3 14 5 5 4" xfId="17869"/>
    <cellStyle name="메모 3 14 5 5 5" xfId="46338"/>
    <cellStyle name="메모 3 14 5 6" xfId="14050"/>
    <cellStyle name="메모 3 14 5 6 2" xfId="27278"/>
    <cellStyle name="메모 3 14 5 6 3" xfId="42551"/>
    <cellStyle name="메모 3 14 5 6 4" xfId="49385"/>
    <cellStyle name="메모 3 14 5 7" xfId="30798"/>
    <cellStyle name="메모 3 14 5 7 2" xfId="16940"/>
    <cellStyle name="메모 3 14 5 7 3" xfId="39608"/>
    <cellStyle name="메모 3 14 5 8" xfId="29157"/>
    <cellStyle name="메모 3 14 5 9" xfId="34547"/>
    <cellStyle name="메모 3 14 6" xfId="10140"/>
    <cellStyle name="메모 3 14 6 2" xfId="6754"/>
    <cellStyle name="메모 3 14 6 2 2" xfId="19982"/>
    <cellStyle name="메모 3 14 6 2 3" xfId="33086"/>
    <cellStyle name="메모 3 14 6 2 4" xfId="44371"/>
    <cellStyle name="메모 3 14 6 2 5" xfId="27809"/>
    <cellStyle name="메모 3 14 6 3" xfId="23368"/>
    <cellStyle name="메모 3 14 6 3 2" xfId="35572"/>
    <cellStyle name="메모 3 14 6 3 3" xfId="41448"/>
    <cellStyle name="메모 3 14 6 3 4" xfId="48282"/>
    <cellStyle name="메모 3 14 6 4" xfId="31718"/>
    <cellStyle name="메모 3 14 6 4 2" xfId="37939"/>
    <cellStyle name="메모 3 14 6 4 3" xfId="39200"/>
    <cellStyle name="메모 3 14 6 5" xfId="37608"/>
    <cellStyle name="메모 3 14 6 5 2" xfId="43531"/>
    <cellStyle name="메모 3 14 6 5 3" xfId="50365"/>
    <cellStyle name="메모 3 14 6 6" xfId="28783"/>
    <cellStyle name="메모 3 14 6 7" xfId="15728"/>
    <cellStyle name="메모 3 14 6 8" xfId="27958"/>
    <cellStyle name="메모 3 14 7" xfId="9099"/>
    <cellStyle name="메모 3 14 7 2" xfId="22327"/>
    <cellStyle name="메모 3 14 7 3" xfId="30752"/>
    <cellStyle name="메모 3 14 7 4" xfId="15217"/>
    <cellStyle name="메모 3 14 7 5" xfId="40416"/>
    <cellStyle name="메모 3 14 8" xfId="12998"/>
    <cellStyle name="메모 3 14 8 2" xfId="26226"/>
    <cellStyle name="메모 3 14 8 3" xfId="34828"/>
    <cellStyle name="메모 3 14 8 4" xfId="40827"/>
    <cellStyle name="메모 3 14 8 5" xfId="33339"/>
    <cellStyle name="메모 3 14 9" xfId="13497"/>
    <cellStyle name="메모 3 14 9 2" xfId="26725"/>
    <cellStyle name="메모 3 14 9 3" xfId="30827"/>
    <cellStyle name="메모 3 14 9 4" xfId="17846"/>
    <cellStyle name="메모 3 14 9 5" xfId="27847"/>
    <cellStyle name="메모 3 15" xfId="5278"/>
    <cellStyle name="메모 3 15 10" xfId="13691"/>
    <cellStyle name="메모 3 15 10 2" xfId="26919"/>
    <cellStyle name="메모 3 15 10 3" xfId="43611"/>
    <cellStyle name="메모 3 15 10 4" xfId="50445"/>
    <cellStyle name="메모 3 15 11" xfId="18521"/>
    <cellStyle name="메모 3 15 12" xfId="28059"/>
    <cellStyle name="메모 3 15 13" xfId="33436"/>
    <cellStyle name="메모 3 15 14" xfId="16509"/>
    <cellStyle name="메모 3 15 2" xfId="6651"/>
    <cellStyle name="메모 3 15 2 2" xfId="11385"/>
    <cellStyle name="메모 3 15 2 2 2" xfId="24613"/>
    <cellStyle name="메모 3 15 2 2 3" xfId="34015"/>
    <cellStyle name="메모 3 15 2 2 4" xfId="45080"/>
    <cellStyle name="메모 3 15 2 2 5" xfId="41264"/>
    <cellStyle name="메모 3 15 2 3" xfId="6830"/>
    <cellStyle name="메모 3 15 2 3 2" xfId="20058"/>
    <cellStyle name="메모 3 15 2 3 3" xfId="36440"/>
    <cellStyle name="메모 3 15 2 3 4" xfId="42333"/>
    <cellStyle name="메모 3 15 2 3 5" xfId="49167"/>
    <cellStyle name="메모 3 15 2 4" xfId="19879"/>
    <cellStyle name="메모 3 15 2 4 2" xfId="29904"/>
    <cellStyle name="메모 3 15 2 4 3" xfId="16442"/>
    <cellStyle name="메모 3 15 2 4 4" xfId="44553"/>
    <cellStyle name="메모 3 15 2 5" xfId="36715"/>
    <cellStyle name="메모 3 15 2 5 2" xfId="42620"/>
    <cellStyle name="메모 3 15 2 5 3" xfId="49454"/>
    <cellStyle name="메모 3 15 2 6" xfId="29703"/>
    <cellStyle name="메모 3 15 2 7" xfId="18511"/>
    <cellStyle name="메모 3 15 2 8" xfId="29083"/>
    <cellStyle name="메모 3 15 3" xfId="6677"/>
    <cellStyle name="메모 3 15 3 2" xfId="11411"/>
    <cellStyle name="메모 3 15 3 2 2" xfId="24639"/>
    <cellStyle name="메모 3 15 3 2 3" xfId="34041"/>
    <cellStyle name="메모 3 15 3 2 4" xfId="45103"/>
    <cellStyle name="메모 3 15 3 2 5" xfId="27973"/>
    <cellStyle name="메모 3 15 3 3" xfId="9133"/>
    <cellStyle name="메모 3 15 3 3 2" xfId="22361"/>
    <cellStyle name="메모 3 15 3 3 3" xfId="36466"/>
    <cellStyle name="메모 3 15 3 3 4" xfId="42359"/>
    <cellStyle name="메모 3 15 3 3 5" xfId="49193"/>
    <cellStyle name="메모 3 15 3 4" xfId="19905"/>
    <cellStyle name="메모 3 15 3 4 2" xfId="32002"/>
    <cellStyle name="메모 3 15 3 4 3" xfId="38225"/>
    <cellStyle name="메모 3 15 3 4 4" xfId="40192"/>
    <cellStyle name="메모 3 15 3 5" xfId="37550"/>
    <cellStyle name="메모 3 15 3 5 2" xfId="43471"/>
    <cellStyle name="메모 3 15 3 5 3" xfId="50305"/>
    <cellStyle name="메모 3 15 3 6" xfId="29729"/>
    <cellStyle name="메모 3 15 3 7" xfId="35623"/>
    <cellStyle name="메모 3 15 3 8" xfId="44270"/>
    <cellStyle name="메모 3 15 4" xfId="6481"/>
    <cellStyle name="메모 3 15 4 2" xfId="11215"/>
    <cellStyle name="메모 3 15 4 2 2" xfId="24443"/>
    <cellStyle name="메모 3 15 4 2 3" xfId="33845"/>
    <cellStyle name="메모 3 15 4 2 4" xfId="44953"/>
    <cellStyle name="메모 3 15 4 2 5" xfId="41233"/>
    <cellStyle name="메모 3 15 4 3" xfId="6814"/>
    <cellStyle name="메모 3 15 4 3 2" xfId="20042"/>
    <cellStyle name="메모 3 15 4 3 3" xfId="36271"/>
    <cellStyle name="메모 3 15 4 3 4" xfId="42164"/>
    <cellStyle name="메모 3 15 4 3 5" xfId="48998"/>
    <cellStyle name="메모 3 15 4 4" xfId="19709"/>
    <cellStyle name="메모 3 15 4 4 2" xfId="31330"/>
    <cellStyle name="메모 3 15 4 4 3" xfId="17201"/>
    <cellStyle name="메모 3 15 4 4 4" xfId="16520"/>
    <cellStyle name="메모 3 15 4 5" xfId="31300"/>
    <cellStyle name="메모 3 15 4 5 2" xfId="15231"/>
    <cellStyle name="메모 3 15 4 5 3" xfId="43935"/>
    <cellStyle name="메모 3 15 4 6" xfId="29533"/>
    <cellStyle name="메모 3 15 4 7" xfId="16180"/>
    <cellStyle name="메모 3 15 4 8" xfId="45339"/>
    <cellStyle name="메모 3 15 5" xfId="6106"/>
    <cellStyle name="메모 3 15 5 10" xfId="44464"/>
    <cellStyle name="메모 3 15 5 2" xfId="12659"/>
    <cellStyle name="메모 3 15 5 2 2" xfId="14398"/>
    <cellStyle name="메모 3 15 5 2 2 2" xfId="27626"/>
    <cellStyle name="메모 3 15 5 2 2 3" xfId="36980"/>
    <cellStyle name="메모 3 15 5 2 2 4" xfId="42899"/>
    <cellStyle name="메모 3 15 5 2 2 5" xfId="49733"/>
    <cellStyle name="메모 3 15 5 2 3" xfId="25887"/>
    <cellStyle name="메모 3 15 5 2 3 2" xfId="37848"/>
    <cellStyle name="메모 3 15 5 2 3 3" xfId="43773"/>
    <cellStyle name="메모 3 15 5 2 3 4" xfId="50607"/>
    <cellStyle name="메모 3 15 5 2 4" xfId="37926"/>
    <cellStyle name="메모 3 15 5 2 4 2" xfId="43851"/>
    <cellStyle name="메모 3 15 5 2 4 3" xfId="50685"/>
    <cellStyle name="메모 3 15 5 2 5" xfId="34639"/>
    <cellStyle name="메모 3 15 5 2 6" xfId="17559"/>
    <cellStyle name="메모 3 15 5 3" xfId="10840"/>
    <cellStyle name="메모 3 15 5 3 2" xfId="24068"/>
    <cellStyle name="메모 3 15 5 3 3" xfId="33470"/>
    <cellStyle name="메모 3 15 5 3 4" xfId="39655"/>
    <cellStyle name="메모 3 15 5 3 5" xfId="39212"/>
    <cellStyle name="메모 3 15 5 4" xfId="13732"/>
    <cellStyle name="메모 3 15 5 4 2" xfId="26960"/>
    <cellStyle name="메모 3 15 5 4 3" xfId="32377"/>
    <cellStyle name="메모 3 15 5 4 4" xfId="38595"/>
    <cellStyle name="메모 3 15 5 4 5" xfId="45667"/>
    <cellStyle name="메모 3 15 5 5" xfId="7304"/>
    <cellStyle name="메모 3 15 5 5 2" xfId="20532"/>
    <cellStyle name="메모 3 15 5 5 3" xfId="30621"/>
    <cellStyle name="메모 3 15 5 5 4" xfId="16864"/>
    <cellStyle name="메모 3 15 5 5 5" xfId="27927"/>
    <cellStyle name="메모 3 15 5 6" xfId="8508"/>
    <cellStyle name="메모 3 15 5 6 2" xfId="21736"/>
    <cellStyle name="메모 3 15 5 6 3" xfId="16344"/>
    <cellStyle name="메모 3 15 5 6 4" xfId="44044"/>
    <cellStyle name="메모 3 15 5 7" xfId="36533"/>
    <cellStyle name="메모 3 15 5 7 2" xfId="42431"/>
    <cellStyle name="메모 3 15 5 7 3" xfId="49265"/>
    <cellStyle name="메모 3 15 5 8" xfId="29158"/>
    <cellStyle name="메모 3 15 5 9" xfId="33378"/>
    <cellStyle name="메모 3 15 6" xfId="10141"/>
    <cellStyle name="메모 3 15 6 2" xfId="8589"/>
    <cellStyle name="메모 3 15 6 2 2" xfId="21817"/>
    <cellStyle name="메모 3 15 6 2 3" xfId="33087"/>
    <cellStyle name="메모 3 15 6 2 4" xfId="44372"/>
    <cellStyle name="메모 3 15 6 2 5" xfId="15437"/>
    <cellStyle name="메모 3 15 6 3" xfId="23369"/>
    <cellStyle name="메모 3 15 6 3 2" xfId="35573"/>
    <cellStyle name="메모 3 15 6 3 3" xfId="41449"/>
    <cellStyle name="메모 3 15 6 3 4" xfId="48283"/>
    <cellStyle name="메모 3 15 6 4" xfId="31797"/>
    <cellStyle name="메모 3 15 6 4 2" xfId="38018"/>
    <cellStyle name="메모 3 15 6 4 3" xfId="47199"/>
    <cellStyle name="메모 3 15 6 5" xfId="37516"/>
    <cellStyle name="메모 3 15 6 5 2" xfId="43436"/>
    <cellStyle name="메모 3 15 6 5 3" xfId="50270"/>
    <cellStyle name="메모 3 15 6 6" xfId="28784"/>
    <cellStyle name="메모 3 15 6 7" xfId="14530"/>
    <cellStyle name="메모 3 15 6 8" xfId="45310"/>
    <cellStyle name="메모 3 15 7" xfId="9100"/>
    <cellStyle name="메모 3 15 7 2" xfId="22328"/>
    <cellStyle name="메모 3 15 7 3" xfId="30753"/>
    <cellStyle name="메모 3 15 7 4" xfId="27735"/>
    <cellStyle name="메모 3 15 7 5" xfId="39355"/>
    <cellStyle name="메모 3 15 8" xfId="12999"/>
    <cellStyle name="메모 3 15 8 2" xfId="26227"/>
    <cellStyle name="메모 3 15 8 3" xfId="34829"/>
    <cellStyle name="메모 3 15 8 4" xfId="40828"/>
    <cellStyle name="메모 3 15 8 5" xfId="38413"/>
    <cellStyle name="메모 3 15 9" xfId="8710"/>
    <cellStyle name="메모 3 15 9 2" xfId="21938"/>
    <cellStyle name="메모 3 15 9 3" xfId="36989"/>
    <cellStyle name="메모 3 15 9 4" xfId="42908"/>
    <cellStyle name="메모 3 15 9 5" xfId="49742"/>
    <cellStyle name="메모 3 16" xfId="51039"/>
    <cellStyle name="메모 3 17" xfId="51276"/>
    <cellStyle name="메모 3 2" xfId="2813"/>
    <cellStyle name="메모 3 2 2" xfId="2814"/>
    <cellStyle name="메모 3 2 3" xfId="51040"/>
    <cellStyle name="메모 3 3" xfId="4859"/>
    <cellStyle name="메모 3 3 2" xfId="51041"/>
    <cellStyle name="메모 3 4" xfId="2812"/>
    <cellStyle name="메모 3 4 2" xfId="6385"/>
    <cellStyle name="메모 3 4 2 2" xfId="11119"/>
    <cellStyle name="메모 3 4 2 2 2" xfId="24347"/>
    <cellStyle name="메모 3 4 2 2 3" xfId="33749"/>
    <cellStyle name="메모 3 4 2 2 4" xfId="44883"/>
    <cellStyle name="메모 3 4 2 2 5" xfId="41221"/>
    <cellStyle name="메모 3 4 2 3" xfId="8092"/>
    <cellStyle name="메모 3 4 2 3 2" xfId="21320"/>
    <cellStyle name="메모 3 4 2 3 3" xfId="36175"/>
    <cellStyle name="메모 3 4 2 3 4" xfId="42068"/>
    <cellStyle name="메모 3 4 2 3 5" xfId="48902"/>
    <cellStyle name="메모 3 4 2 4" xfId="19613"/>
    <cellStyle name="메모 3 4 2 4 2" xfId="32023"/>
    <cellStyle name="메모 3 4 2 4 3" xfId="38246"/>
    <cellStyle name="메모 3 4 2 4 4" xfId="16540"/>
    <cellStyle name="메모 3 4 2 5" xfId="34962"/>
    <cellStyle name="메모 3 4 2 5 2" xfId="40960"/>
    <cellStyle name="메모 3 4 2 5 3" xfId="47656"/>
    <cellStyle name="메모 3 4 2 6" xfId="29437"/>
    <cellStyle name="메모 3 4 2 7" xfId="16071"/>
    <cellStyle name="메모 3 4 2 8" xfId="45348"/>
    <cellStyle name="메모 3 4 3" xfId="9619"/>
    <cellStyle name="메모 3 4 3 10" xfId="39180"/>
    <cellStyle name="메모 3 4 3 11" xfId="44285"/>
    <cellStyle name="메모 3 4 3 2" xfId="13256"/>
    <cellStyle name="메모 3 4 3 2 2" xfId="26484"/>
    <cellStyle name="메모 3 4 3 2 3" xfId="32736"/>
    <cellStyle name="메모 3 4 3 2 4" xfId="38956"/>
    <cellStyle name="메모 3 4 3 2 5" xfId="47597"/>
    <cellStyle name="메모 3 4 3 3" xfId="8742"/>
    <cellStyle name="메모 3 4 3 3 2" xfId="21970"/>
    <cellStyle name="메모 3 4 3 3 3" xfId="35232"/>
    <cellStyle name="메모 3 4 3 3 4" xfId="46022"/>
    <cellStyle name="메모 3 4 3 3 5" xfId="47935"/>
    <cellStyle name="메모 3 4 3 4" xfId="13609"/>
    <cellStyle name="메모 3 4 3 4 2" xfId="26837"/>
    <cellStyle name="메모 3 4 3 4 3" xfId="31030"/>
    <cellStyle name="메모 3 4 3 4 4" xfId="18555"/>
    <cellStyle name="메모 3 4 3 4 5" xfId="15801"/>
    <cellStyle name="메모 3 4 3 5" xfId="7448"/>
    <cellStyle name="메모 3 4 3 5 2" xfId="20676"/>
    <cellStyle name="메모 3 4 3 5 3" xfId="42591"/>
    <cellStyle name="메모 3 4 3 5 4" xfId="49425"/>
    <cellStyle name="메모 3 4 3 6" xfId="22847"/>
    <cellStyle name="메모 3 4 3 6 2" xfId="31259"/>
    <cellStyle name="메모 3 4 3 6 3" xfId="17156"/>
    <cellStyle name="메모 3 4 3 6 4" xfId="34104"/>
    <cellStyle name="메모 3 4 3 7" xfId="36665"/>
    <cellStyle name="메모 3 4 3 7 2" xfId="42568"/>
    <cellStyle name="메모 3 4 3 7 3" xfId="49402"/>
    <cellStyle name="메모 3 4 3 8" xfId="36720"/>
    <cellStyle name="메모 3 4 3 8 2" xfId="42625"/>
    <cellStyle name="메모 3 4 3 8 3" xfId="49459"/>
    <cellStyle name="메모 3 4 3 9" xfId="28425"/>
    <cellStyle name="메모 3 4 4" xfId="7902"/>
    <cellStyle name="메모 3 4 4 2" xfId="21130"/>
    <cellStyle name="메모 3 4 5" xfId="38760"/>
    <cellStyle name="메모 3 4 6" xfId="51042"/>
    <cellStyle name="메모 3 5" xfId="5279"/>
    <cellStyle name="메모 3 5 10" xfId="7340"/>
    <cellStyle name="메모 3 5 10 2" xfId="20568"/>
    <cellStyle name="메모 3 5 10 3" xfId="41054"/>
    <cellStyle name="메모 3 5 10 4" xfId="47750"/>
    <cellStyle name="메모 3 5 11" xfId="18522"/>
    <cellStyle name="메모 3 5 12" xfId="28060"/>
    <cellStyle name="메모 3 5 13" xfId="39400"/>
    <cellStyle name="메모 3 5 14" xfId="28877"/>
    <cellStyle name="메모 3 5 2" xfId="6652"/>
    <cellStyle name="메모 3 5 2 2" xfId="11386"/>
    <cellStyle name="메모 3 5 2 2 2" xfId="24614"/>
    <cellStyle name="메모 3 5 2 2 3" xfId="34016"/>
    <cellStyle name="메모 3 5 2 2 4" xfId="45081"/>
    <cellStyle name="메모 3 5 2 2 5" xfId="29034"/>
    <cellStyle name="메모 3 5 2 3" xfId="9114"/>
    <cellStyle name="메모 3 5 2 3 2" xfId="22342"/>
    <cellStyle name="메모 3 5 2 3 3" xfId="36441"/>
    <cellStyle name="메모 3 5 2 3 4" xfId="42334"/>
    <cellStyle name="메모 3 5 2 3 5" xfId="49168"/>
    <cellStyle name="메모 3 5 2 4" xfId="19880"/>
    <cellStyle name="메모 3 5 2 4 2" xfId="36642"/>
    <cellStyle name="메모 3 5 2 4 3" xfId="42544"/>
    <cellStyle name="메모 3 5 2 4 4" xfId="49378"/>
    <cellStyle name="메모 3 5 2 5" xfId="35610"/>
    <cellStyle name="메모 3 5 2 5 2" xfId="41487"/>
    <cellStyle name="메모 3 5 2 5 3" xfId="48321"/>
    <cellStyle name="메모 3 5 2 6" xfId="29704"/>
    <cellStyle name="메모 3 5 2 7" xfId="16304"/>
    <cellStyle name="메모 3 5 2 8" xfId="45180"/>
    <cellStyle name="메모 3 5 3" xfId="6678"/>
    <cellStyle name="메모 3 5 3 2" xfId="11412"/>
    <cellStyle name="메모 3 5 3 2 2" xfId="24640"/>
    <cellStyle name="메모 3 5 3 2 3" xfId="34042"/>
    <cellStyle name="메모 3 5 3 2 4" xfId="45104"/>
    <cellStyle name="메모 3 5 3 2 5" xfId="41268"/>
    <cellStyle name="메모 3 5 3 3" xfId="9134"/>
    <cellStyle name="메모 3 5 3 3 2" xfId="22362"/>
    <cellStyle name="메모 3 5 3 3 3" xfId="36467"/>
    <cellStyle name="메모 3 5 3 3 4" xfId="42360"/>
    <cellStyle name="메모 3 5 3 3 5" xfId="49194"/>
    <cellStyle name="메모 3 5 3 4" xfId="19906"/>
    <cellStyle name="메모 3 5 3 4 2" xfId="37645"/>
    <cellStyle name="메모 3 5 3 4 3" xfId="43568"/>
    <cellStyle name="메모 3 5 3 4 4" xfId="50402"/>
    <cellStyle name="메모 3 5 3 5" xfId="36576"/>
    <cellStyle name="메모 3 5 3 5 2" xfId="42478"/>
    <cellStyle name="메모 3 5 3 5 3" xfId="49312"/>
    <cellStyle name="메모 3 5 3 6" xfId="29730"/>
    <cellStyle name="메모 3 5 3 7" xfId="16315"/>
    <cellStyle name="메모 3 5 3 8" xfId="39621"/>
    <cellStyle name="메모 3 5 4" xfId="6131"/>
    <cellStyle name="메모 3 5 4 2" xfId="10865"/>
    <cellStyle name="메모 3 5 4 2 2" xfId="24093"/>
    <cellStyle name="메모 3 5 4 2 3" xfId="33495"/>
    <cellStyle name="메모 3 5 4 2 4" xfId="44633"/>
    <cellStyle name="메모 3 5 4 2 5" xfId="34452"/>
    <cellStyle name="메모 3 5 4 3" xfId="12853"/>
    <cellStyle name="메모 3 5 4 3 2" xfId="26081"/>
    <cellStyle name="메모 3 5 4 3 3" xfId="35921"/>
    <cellStyle name="메모 3 5 4 3 4" xfId="41814"/>
    <cellStyle name="메모 3 5 4 3 5" xfId="48648"/>
    <cellStyle name="메모 3 5 4 4" xfId="19359"/>
    <cellStyle name="메모 3 5 4 4 2" xfId="34825"/>
    <cellStyle name="메모 3 5 4 4 3" xfId="40823"/>
    <cellStyle name="메모 3 5 4 4 4" xfId="31684"/>
    <cellStyle name="메모 3 5 4 5" xfId="36693"/>
    <cellStyle name="메모 3 5 4 5 2" xfId="42596"/>
    <cellStyle name="메모 3 5 4 5 3" xfId="49430"/>
    <cellStyle name="메모 3 5 4 6" xfId="29183"/>
    <cellStyle name="메모 3 5 4 7" xfId="35625"/>
    <cellStyle name="메모 3 5 4 8" xfId="44561"/>
    <cellStyle name="메모 3 5 5" xfId="6107"/>
    <cellStyle name="메모 3 5 5 10" xfId="45450"/>
    <cellStyle name="메모 3 5 5 2" xfId="12660"/>
    <cellStyle name="메모 3 5 5 2 2" xfId="14399"/>
    <cellStyle name="메모 3 5 5 2 2 2" xfId="27627"/>
    <cellStyle name="메모 3 5 5 2 2 3" xfId="36981"/>
    <cellStyle name="메모 3 5 5 2 2 4" xfId="42900"/>
    <cellStyle name="메모 3 5 5 2 2 5" xfId="49734"/>
    <cellStyle name="메모 3 5 5 2 3" xfId="25888"/>
    <cellStyle name="메모 3 5 5 2 3 2" xfId="37849"/>
    <cellStyle name="메모 3 5 5 2 3 3" xfId="43774"/>
    <cellStyle name="메모 3 5 5 2 3 4" xfId="50608"/>
    <cellStyle name="메모 3 5 5 2 4" xfId="37927"/>
    <cellStyle name="메모 3 5 5 2 4 2" xfId="43852"/>
    <cellStyle name="메모 3 5 5 2 4 3" xfId="50686"/>
    <cellStyle name="메모 3 5 5 2 5" xfId="34640"/>
    <cellStyle name="메모 3 5 5 2 6" xfId="34278"/>
    <cellStyle name="메모 3 5 5 3" xfId="10841"/>
    <cellStyle name="메모 3 5 5 3 2" xfId="24069"/>
    <cellStyle name="메모 3 5 5 3 3" xfId="33471"/>
    <cellStyle name="메모 3 5 5 3 4" xfId="39656"/>
    <cellStyle name="메모 3 5 5 3 5" xfId="40431"/>
    <cellStyle name="메모 3 5 5 4" xfId="13733"/>
    <cellStyle name="메모 3 5 5 4 2" xfId="26961"/>
    <cellStyle name="메모 3 5 5 4 3" xfId="32378"/>
    <cellStyle name="메모 3 5 5 4 4" xfId="38596"/>
    <cellStyle name="메모 3 5 5 4 5" xfId="34291"/>
    <cellStyle name="메모 3 5 5 5" xfId="13913"/>
    <cellStyle name="메모 3 5 5 5 2" xfId="27141"/>
    <cellStyle name="메모 3 5 5 5 3" xfId="30550"/>
    <cellStyle name="메모 3 5 5 5 4" xfId="16837"/>
    <cellStyle name="메모 3 5 5 5 5" xfId="44485"/>
    <cellStyle name="메모 3 5 5 6" xfId="13677"/>
    <cellStyle name="메모 3 5 5 6 2" xfId="26905"/>
    <cellStyle name="메모 3 5 5 6 3" xfId="42390"/>
    <cellStyle name="메모 3 5 5 6 4" xfId="49224"/>
    <cellStyle name="메모 3 5 5 7" xfId="37204"/>
    <cellStyle name="메모 3 5 5 7 2" xfId="43123"/>
    <cellStyle name="메모 3 5 5 7 3" xfId="49957"/>
    <cellStyle name="메모 3 5 5 8" xfId="29159"/>
    <cellStyle name="메모 3 5 5 9" xfId="27979"/>
    <cellStyle name="메모 3 5 6" xfId="10142"/>
    <cellStyle name="메모 3 5 6 2" xfId="6755"/>
    <cellStyle name="메모 3 5 6 2 2" xfId="19983"/>
    <cellStyle name="메모 3 5 6 2 3" xfId="33088"/>
    <cellStyle name="메모 3 5 6 2 4" xfId="44373"/>
    <cellStyle name="메모 3 5 6 2 5" xfId="15473"/>
    <cellStyle name="메모 3 5 6 3" xfId="23370"/>
    <cellStyle name="메모 3 5 6 3 2" xfId="35574"/>
    <cellStyle name="메모 3 5 6 3 3" xfId="41450"/>
    <cellStyle name="메모 3 5 6 3 4" xfId="48284"/>
    <cellStyle name="메모 3 5 6 4" xfId="37644"/>
    <cellStyle name="메모 3 5 6 4 2" xfId="43567"/>
    <cellStyle name="메모 3 5 6 4 3" xfId="50401"/>
    <cellStyle name="메모 3 5 6 5" xfId="34741"/>
    <cellStyle name="메모 3 5 6 5 2" xfId="40733"/>
    <cellStyle name="메모 3 5 6 5 3" xfId="34363"/>
    <cellStyle name="메모 3 5 6 6" xfId="28785"/>
    <cellStyle name="메모 3 5 6 7" xfId="15764"/>
    <cellStyle name="메모 3 5 6 8" xfId="44304"/>
    <cellStyle name="메모 3 5 7" xfId="9101"/>
    <cellStyle name="메모 3 5 7 2" xfId="22329"/>
    <cellStyle name="메모 3 5 7 3" xfId="30754"/>
    <cellStyle name="메모 3 5 7 4" xfId="17841"/>
    <cellStyle name="메모 3 5 7 5" xfId="17427"/>
    <cellStyle name="메모 3 5 8" xfId="13000"/>
    <cellStyle name="메모 3 5 8 2" xfId="26228"/>
    <cellStyle name="메모 3 5 8 3" xfId="36776"/>
    <cellStyle name="메모 3 5 8 4" xfId="42683"/>
    <cellStyle name="메모 3 5 8 5" xfId="49517"/>
    <cellStyle name="메모 3 5 9" xfId="14136"/>
    <cellStyle name="메모 3 5 9 2" xfId="27364"/>
    <cellStyle name="메모 3 5 9 3" xfId="30158"/>
    <cellStyle name="메모 3 5 9 4" xfId="16618"/>
    <cellStyle name="메모 3 5 9 5" xfId="44555"/>
    <cellStyle name="메모 3 6" xfId="5280"/>
    <cellStyle name="메모 3 6 10" xfId="7237"/>
    <cellStyle name="메모 3 6 10 2" xfId="20465"/>
    <cellStyle name="메모 3 6 10 3" xfId="43221"/>
    <cellStyle name="메모 3 6 10 4" xfId="50055"/>
    <cellStyle name="메모 3 6 11" xfId="18523"/>
    <cellStyle name="메모 3 6 12" xfId="28061"/>
    <cellStyle name="메모 3 6 13" xfId="40462"/>
    <cellStyle name="메모 3 6 14" xfId="45318"/>
    <cellStyle name="메모 3 6 2" xfId="6653"/>
    <cellStyle name="메모 3 6 2 2" xfId="11387"/>
    <cellStyle name="메모 3 6 2 2 2" xfId="24615"/>
    <cellStyle name="메모 3 6 2 2 3" xfId="34017"/>
    <cellStyle name="메모 3 6 2 2 4" xfId="45082"/>
    <cellStyle name="메모 3 6 2 2 5" xfId="18480"/>
    <cellStyle name="메모 3 6 2 3" xfId="9115"/>
    <cellStyle name="메모 3 6 2 3 2" xfId="22343"/>
    <cellStyle name="메모 3 6 2 3 3" xfId="36442"/>
    <cellStyle name="메모 3 6 2 3 4" xfId="42335"/>
    <cellStyle name="메모 3 6 2 3 5" xfId="49169"/>
    <cellStyle name="메모 3 6 2 4" xfId="19881"/>
    <cellStyle name="메모 3 6 2 4 2" xfId="31991"/>
    <cellStyle name="메모 3 6 2 4 3" xfId="38214"/>
    <cellStyle name="메모 3 6 2 4 4" xfId="46947"/>
    <cellStyle name="메모 3 6 2 5" xfId="36814"/>
    <cellStyle name="메모 3 6 2 5 2" xfId="42725"/>
    <cellStyle name="메모 3 6 2 5 3" xfId="49559"/>
    <cellStyle name="메모 3 6 2 6" xfId="29705"/>
    <cellStyle name="메모 3 6 2 7" xfId="16266"/>
    <cellStyle name="메모 3 6 2 8" xfId="44047"/>
    <cellStyle name="메모 3 6 3" xfId="6679"/>
    <cellStyle name="메모 3 6 3 2" xfId="11413"/>
    <cellStyle name="메모 3 6 3 2 2" xfId="24641"/>
    <cellStyle name="메모 3 6 3 2 3" xfId="34043"/>
    <cellStyle name="메모 3 6 3 2 4" xfId="45105"/>
    <cellStyle name="메모 3 6 3 2 5" xfId="33102"/>
    <cellStyle name="메모 3 6 3 3" xfId="9135"/>
    <cellStyle name="메모 3 6 3 3 2" xfId="22363"/>
    <cellStyle name="메모 3 6 3 3 3" xfId="36468"/>
    <cellStyle name="메모 3 6 3 3 4" xfId="42361"/>
    <cellStyle name="메모 3 6 3 3 5" xfId="49195"/>
    <cellStyle name="메모 3 6 3 4" xfId="19907"/>
    <cellStyle name="메모 3 6 3 4 2" xfId="31214"/>
    <cellStyle name="메모 3 6 3 4 3" xfId="17123"/>
    <cellStyle name="메모 3 6 3 4 4" xfId="44613"/>
    <cellStyle name="메모 3 6 3 5" xfId="30252"/>
    <cellStyle name="메모 3 6 3 5 2" xfId="16701"/>
    <cellStyle name="메모 3 6 3 5 3" xfId="44265"/>
    <cellStyle name="메모 3 6 3 6" xfId="29731"/>
    <cellStyle name="메모 3 6 3 7" xfId="36705"/>
    <cellStyle name="메모 3 6 3 8" xfId="44507"/>
    <cellStyle name="메모 3 6 4" xfId="6596"/>
    <cellStyle name="메모 3 6 4 2" xfId="11330"/>
    <cellStyle name="메모 3 6 4 2 2" xfId="24558"/>
    <cellStyle name="메모 3 6 4 2 3" xfId="33960"/>
    <cellStyle name="메모 3 6 4 2 4" xfId="45025"/>
    <cellStyle name="메모 3 6 4 2 5" xfId="32293"/>
    <cellStyle name="메모 3 6 4 3" xfId="8273"/>
    <cellStyle name="메모 3 6 4 3 2" xfId="21501"/>
    <cellStyle name="메모 3 6 4 3 3" xfId="36385"/>
    <cellStyle name="메모 3 6 4 3 4" xfId="42278"/>
    <cellStyle name="메모 3 6 4 3 5" xfId="49112"/>
    <cellStyle name="메모 3 6 4 4" xfId="19824"/>
    <cellStyle name="메모 3 6 4 4 2" xfId="30377"/>
    <cellStyle name="메모 3 6 4 4 3" xfId="16786"/>
    <cellStyle name="메모 3 6 4 4 4" xfId="40615"/>
    <cellStyle name="메모 3 6 4 5" xfId="31354"/>
    <cellStyle name="메모 3 6 4 5 2" xfId="18060"/>
    <cellStyle name="메모 3 6 4 5 3" xfId="32234"/>
    <cellStyle name="메모 3 6 4 6" xfId="29648"/>
    <cellStyle name="메모 3 6 4 7" xfId="16262"/>
    <cellStyle name="메모 3 6 4 8" xfId="44296"/>
    <cellStyle name="메모 3 6 5" xfId="6108"/>
    <cellStyle name="메모 3 6 5 10" xfId="15409"/>
    <cellStyle name="메모 3 6 5 2" xfId="12661"/>
    <cellStyle name="메모 3 6 5 2 2" xfId="14400"/>
    <cellStyle name="메모 3 6 5 2 2 2" xfId="27628"/>
    <cellStyle name="메모 3 6 5 2 2 3" xfId="36982"/>
    <cellStyle name="메모 3 6 5 2 2 4" xfId="42901"/>
    <cellStyle name="메모 3 6 5 2 2 5" xfId="49735"/>
    <cellStyle name="메모 3 6 5 2 3" xfId="25889"/>
    <cellStyle name="메모 3 6 5 2 3 2" xfId="37850"/>
    <cellStyle name="메모 3 6 5 2 3 3" xfId="43775"/>
    <cellStyle name="메모 3 6 5 2 3 4" xfId="50609"/>
    <cellStyle name="메모 3 6 5 2 4" xfId="37928"/>
    <cellStyle name="메모 3 6 5 2 4 2" xfId="43853"/>
    <cellStyle name="메모 3 6 5 2 4 3" xfId="50687"/>
    <cellStyle name="메모 3 6 5 2 5" xfId="34641"/>
    <cellStyle name="메모 3 6 5 2 6" xfId="32996"/>
    <cellStyle name="메모 3 6 5 3" xfId="10842"/>
    <cellStyle name="메모 3 6 5 3 2" xfId="24070"/>
    <cellStyle name="메모 3 6 5 3 3" xfId="33472"/>
    <cellStyle name="메모 3 6 5 3 4" xfId="39657"/>
    <cellStyle name="메모 3 6 5 3 5" xfId="40298"/>
    <cellStyle name="메모 3 6 5 4" xfId="13734"/>
    <cellStyle name="메모 3 6 5 4 2" xfId="26962"/>
    <cellStyle name="메모 3 6 5 4 3" xfId="32379"/>
    <cellStyle name="메모 3 6 5 4 4" xfId="38597"/>
    <cellStyle name="메모 3 6 5 4 5" xfId="46709"/>
    <cellStyle name="메모 3 6 5 5" xfId="7305"/>
    <cellStyle name="메모 3 6 5 5 2" xfId="20533"/>
    <cellStyle name="메모 3 6 5 5 3" xfId="30462"/>
    <cellStyle name="메모 3 6 5 5 4" xfId="14669"/>
    <cellStyle name="메모 3 6 5 5 5" xfId="47321"/>
    <cellStyle name="메모 3 6 5 6" xfId="8507"/>
    <cellStyle name="메모 3 6 5 6 2" xfId="21735"/>
    <cellStyle name="메모 3 6 5 6 3" xfId="38644"/>
    <cellStyle name="메모 3 6 5 6 4" xfId="44258"/>
    <cellStyle name="메모 3 6 5 7" xfId="37332"/>
    <cellStyle name="메모 3 6 5 7 2" xfId="43252"/>
    <cellStyle name="메모 3 6 5 7 3" xfId="50086"/>
    <cellStyle name="메모 3 6 5 8" xfId="29160"/>
    <cellStyle name="메모 3 6 5 9" xfId="34073"/>
    <cellStyle name="메모 3 6 6" xfId="10143"/>
    <cellStyle name="메모 3 6 6 2" xfId="7749"/>
    <cellStyle name="메모 3 6 6 2 2" xfId="20977"/>
    <cellStyle name="메모 3 6 6 2 3" xfId="33089"/>
    <cellStyle name="메모 3 6 6 2 4" xfId="44374"/>
    <cellStyle name="메모 3 6 6 2 5" xfId="29137"/>
    <cellStyle name="메모 3 6 6 3" xfId="23371"/>
    <cellStyle name="메모 3 6 6 3 2" xfId="35575"/>
    <cellStyle name="메모 3 6 6 3 3" xfId="41451"/>
    <cellStyle name="메모 3 6 6 3 4" xfId="48285"/>
    <cellStyle name="메모 3 6 6 4" xfId="30518"/>
    <cellStyle name="메모 3 6 6 4 2" xfId="14675"/>
    <cellStyle name="메모 3 6 6 4 3" xfId="32468"/>
    <cellStyle name="메모 3 6 6 5" xfId="37247"/>
    <cellStyle name="메모 3 6 6 5 2" xfId="43167"/>
    <cellStyle name="메모 3 6 6 5 3" xfId="50001"/>
    <cellStyle name="메모 3 6 6 6" xfId="28786"/>
    <cellStyle name="메모 3 6 6 7" xfId="31431"/>
    <cellStyle name="메모 3 6 6 8" xfId="38399"/>
    <cellStyle name="메모 3 6 7" xfId="9102"/>
    <cellStyle name="메모 3 6 7 2" xfId="22330"/>
    <cellStyle name="메모 3 6 7 3" xfId="30755"/>
    <cellStyle name="메모 3 6 7 4" xfId="16925"/>
    <cellStyle name="메모 3 6 7 5" xfId="38700"/>
    <cellStyle name="메모 3 6 8" xfId="13001"/>
    <cellStyle name="메모 3 6 8 2" xfId="26229"/>
    <cellStyle name="메모 3 6 8 3" xfId="36505"/>
    <cellStyle name="메모 3 6 8 4" xfId="42398"/>
    <cellStyle name="메모 3 6 8 5" xfId="49232"/>
    <cellStyle name="메모 3 6 9" xfId="14206"/>
    <cellStyle name="메모 3 6 9 2" xfId="27434"/>
    <cellStyle name="메모 3 6 9 3" xfId="37191"/>
    <cellStyle name="메모 3 6 9 4" xfId="43110"/>
    <cellStyle name="메모 3 6 9 5" xfId="49944"/>
    <cellStyle name="메모 3 7" xfId="5281"/>
    <cellStyle name="메모 3 7 10" xfId="7236"/>
    <cellStyle name="메모 3 7 10 2" xfId="20464"/>
    <cellStyle name="메모 3 7 10 3" xfId="40691"/>
    <cellStyle name="메모 3 7 10 4" xfId="17490"/>
    <cellStyle name="메모 3 7 11" xfId="18524"/>
    <cellStyle name="메모 3 7 12" xfId="28062"/>
    <cellStyle name="메모 3 7 13" xfId="15836"/>
    <cellStyle name="메모 3 7 14" xfId="44312"/>
    <cellStyle name="메모 3 7 2" xfId="6654"/>
    <cellStyle name="메모 3 7 2 2" xfId="11388"/>
    <cellStyle name="메모 3 7 2 2 2" xfId="24616"/>
    <cellStyle name="메모 3 7 2 2 3" xfId="34018"/>
    <cellStyle name="메모 3 7 2 2 4" xfId="45083"/>
    <cellStyle name="메모 3 7 2 2 5" xfId="30038"/>
    <cellStyle name="메모 3 7 2 3" xfId="8308"/>
    <cellStyle name="메모 3 7 2 3 2" xfId="21536"/>
    <cellStyle name="메모 3 7 2 3 3" xfId="36443"/>
    <cellStyle name="메모 3 7 2 3 4" xfId="42336"/>
    <cellStyle name="메모 3 7 2 3 5" xfId="49170"/>
    <cellStyle name="메모 3 7 2 4" xfId="19882"/>
    <cellStyle name="메모 3 7 2 4 2" xfId="30343"/>
    <cellStyle name="메모 3 7 2 4 3" xfId="16764"/>
    <cellStyle name="메모 3 7 2 4 4" xfId="15849"/>
    <cellStyle name="메모 3 7 2 5" xfId="37045"/>
    <cellStyle name="메모 3 7 2 5 2" xfId="42964"/>
    <cellStyle name="메모 3 7 2 5 3" xfId="49798"/>
    <cellStyle name="메모 3 7 2 6" xfId="29706"/>
    <cellStyle name="메모 3 7 2 7" xfId="16305"/>
    <cellStyle name="메모 3 7 2 8" xfId="40458"/>
    <cellStyle name="메모 3 7 3" xfId="6680"/>
    <cellStyle name="메모 3 7 3 2" xfId="11414"/>
    <cellStyle name="메모 3 7 3 2 2" xfId="24642"/>
    <cellStyle name="메모 3 7 3 2 3" xfId="34044"/>
    <cellStyle name="메모 3 7 3 2 4" xfId="45106"/>
    <cellStyle name="메모 3 7 3 2 5" xfId="17408"/>
    <cellStyle name="메모 3 7 3 3" xfId="9136"/>
    <cellStyle name="메모 3 7 3 3 2" xfId="22364"/>
    <cellStyle name="메모 3 7 3 3 3" xfId="36469"/>
    <cellStyle name="메모 3 7 3 3 4" xfId="42362"/>
    <cellStyle name="메모 3 7 3 3 5" xfId="49196"/>
    <cellStyle name="메모 3 7 3 4" xfId="19908"/>
    <cellStyle name="메모 3 7 3 4 2" xfId="37387"/>
    <cellStyle name="메모 3 7 3 4 3" xfId="43307"/>
    <cellStyle name="메모 3 7 3 4 4" xfId="50141"/>
    <cellStyle name="메모 3 7 3 5" xfId="36531"/>
    <cellStyle name="메모 3 7 3 5 2" xfId="42429"/>
    <cellStyle name="메모 3 7 3 5 3" xfId="49263"/>
    <cellStyle name="메모 3 7 3 6" xfId="29732"/>
    <cellStyle name="메모 3 7 3 7" xfId="14604"/>
    <cellStyle name="메모 3 7 3 8" xfId="45476"/>
    <cellStyle name="메모 3 7 4" xfId="6127"/>
    <cellStyle name="메모 3 7 4 2" xfId="10861"/>
    <cellStyle name="메모 3 7 4 2 2" xfId="24089"/>
    <cellStyle name="메모 3 7 4 2 3" xfId="33491"/>
    <cellStyle name="메모 3 7 4 2 4" xfId="44629"/>
    <cellStyle name="메모 3 7 4 2 5" xfId="18067"/>
    <cellStyle name="메모 3 7 4 3" xfId="12758"/>
    <cellStyle name="메모 3 7 4 3 2" xfId="25986"/>
    <cellStyle name="메모 3 7 4 3 3" xfId="35917"/>
    <cellStyle name="메모 3 7 4 3 4" xfId="41810"/>
    <cellStyle name="메모 3 7 4 3 5" xfId="48644"/>
    <cellStyle name="메모 3 7 4 4" xfId="19355"/>
    <cellStyle name="메모 3 7 4 4 2" xfId="29903"/>
    <cellStyle name="메모 3 7 4 4 3" xfId="16469"/>
    <cellStyle name="메모 3 7 4 4 4" xfId="40533"/>
    <cellStyle name="메모 3 7 4 5" xfId="31732"/>
    <cellStyle name="메모 3 7 4 5 2" xfId="37953"/>
    <cellStyle name="메모 3 7 4 5 3" xfId="46902"/>
    <cellStyle name="메모 3 7 4 6" xfId="29179"/>
    <cellStyle name="메모 3 7 4 7" xfId="36786"/>
    <cellStyle name="메모 3 7 4 8" xfId="28813"/>
    <cellStyle name="메모 3 7 5" xfId="6109"/>
    <cellStyle name="메모 3 7 5 10" xfId="43892"/>
    <cellStyle name="메모 3 7 5 2" xfId="12662"/>
    <cellStyle name="메모 3 7 5 2 2" xfId="14401"/>
    <cellStyle name="메모 3 7 5 2 2 2" xfId="27629"/>
    <cellStyle name="메모 3 7 5 2 2 3" xfId="36983"/>
    <cellStyle name="메모 3 7 5 2 2 4" xfId="42902"/>
    <cellStyle name="메모 3 7 5 2 2 5" xfId="49736"/>
    <cellStyle name="메모 3 7 5 2 3" xfId="25890"/>
    <cellStyle name="메모 3 7 5 2 3 2" xfId="37851"/>
    <cellStyle name="메모 3 7 5 2 3 3" xfId="43776"/>
    <cellStyle name="메모 3 7 5 2 3 4" xfId="50610"/>
    <cellStyle name="메모 3 7 5 2 4" xfId="37929"/>
    <cellStyle name="메모 3 7 5 2 4 2" xfId="43854"/>
    <cellStyle name="메모 3 7 5 2 4 3" xfId="50688"/>
    <cellStyle name="메모 3 7 5 2 5" xfId="34642"/>
    <cellStyle name="메모 3 7 5 2 6" xfId="34799"/>
    <cellStyle name="메모 3 7 5 3" xfId="10843"/>
    <cellStyle name="메모 3 7 5 3 2" xfId="24071"/>
    <cellStyle name="메모 3 7 5 3 3" xfId="33473"/>
    <cellStyle name="메모 3 7 5 3 4" xfId="39658"/>
    <cellStyle name="메모 3 7 5 3 5" xfId="39371"/>
    <cellStyle name="메모 3 7 5 4" xfId="13735"/>
    <cellStyle name="메모 3 7 5 4 2" xfId="26963"/>
    <cellStyle name="메모 3 7 5 4 3" xfId="32380"/>
    <cellStyle name="메모 3 7 5 4 4" xfId="38598"/>
    <cellStyle name="메모 3 7 5 4 5" xfId="17532"/>
    <cellStyle name="메모 3 7 5 5" xfId="13914"/>
    <cellStyle name="메모 3 7 5 5 2" xfId="27142"/>
    <cellStyle name="메모 3 7 5 5 3" xfId="29759"/>
    <cellStyle name="메모 3 7 5 5 4" xfId="16325"/>
    <cellStyle name="메모 3 7 5 5 5" xfId="28650"/>
    <cellStyle name="메모 3 7 5 6" xfId="13716"/>
    <cellStyle name="메모 3 7 5 6 2" xfId="26944"/>
    <cellStyle name="메모 3 7 5 6 3" xfId="41334"/>
    <cellStyle name="메모 3 7 5 6 4" xfId="48168"/>
    <cellStyle name="메모 3 7 5 7" xfId="35810"/>
    <cellStyle name="메모 3 7 5 7 2" xfId="41694"/>
    <cellStyle name="메모 3 7 5 7 3" xfId="48528"/>
    <cellStyle name="메모 3 7 5 8" xfId="29161"/>
    <cellStyle name="메모 3 7 5 9" xfId="28695"/>
    <cellStyle name="메모 3 7 6" xfId="10144"/>
    <cellStyle name="메모 3 7 6 2" xfId="6839"/>
    <cellStyle name="메모 3 7 6 2 2" xfId="20067"/>
    <cellStyle name="메모 3 7 6 2 3" xfId="33090"/>
    <cellStyle name="메모 3 7 6 2 4" xfId="44375"/>
    <cellStyle name="메모 3 7 6 2 5" xfId="15949"/>
    <cellStyle name="메모 3 7 6 3" xfId="23372"/>
    <cellStyle name="메모 3 7 6 3 2" xfId="35576"/>
    <cellStyle name="메모 3 7 6 3 3" xfId="41452"/>
    <cellStyle name="메모 3 7 6 3 4" xfId="48286"/>
    <cellStyle name="메모 3 7 6 4" xfId="30716"/>
    <cellStyle name="메모 3 7 6 4 2" xfId="27741"/>
    <cellStyle name="메모 3 7 6 4 3" xfId="46636"/>
    <cellStyle name="메모 3 7 6 5" xfId="37685"/>
    <cellStyle name="메모 3 7 6 5 2" xfId="43608"/>
    <cellStyle name="메모 3 7 6 5 3" xfId="50442"/>
    <cellStyle name="메모 3 7 6 6" xfId="28787"/>
    <cellStyle name="메모 3 7 6 7" xfId="35040"/>
    <cellStyle name="메모 3 7 6 8" xfId="44542"/>
    <cellStyle name="메모 3 7 7" xfId="9103"/>
    <cellStyle name="메모 3 7 7 2" xfId="22331"/>
    <cellStyle name="메모 3 7 7 3" xfId="30756"/>
    <cellStyle name="메모 3 7 7 4" xfId="14692"/>
    <cellStyle name="메모 3 7 7 5" xfId="40119"/>
    <cellStyle name="메모 3 7 8" xfId="13002"/>
    <cellStyle name="메모 3 7 8 2" xfId="26230"/>
    <cellStyle name="메모 3 7 8 3" xfId="29909"/>
    <cellStyle name="메모 3 7 8 4" xfId="17693"/>
    <cellStyle name="메모 3 7 8 5" xfId="34247"/>
    <cellStyle name="메모 3 7 9" xfId="7362"/>
    <cellStyle name="메모 3 7 9 2" xfId="20590"/>
    <cellStyle name="메모 3 7 9 3" xfId="31653"/>
    <cellStyle name="메모 3 7 9 4" xfId="17347"/>
    <cellStyle name="메모 3 7 9 5" xfId="15723"/>
    <cellStyle name="메모 3 8" xfId="5282"/>
    <cellStyle name="메모 3 8 10" xfId="7995"/>
    <cellStyle name="메모 3 8 10 2" xfId="21223"/>
    <cellStyle name="메모 3 8 10 3" xfId="14744"/>
    <cellStyle name="메모 3 8 10 4" xfId="47248"/>
    <cellStyle name="메모 3 8 11" xfId="18525"/>
    <cellStyle name="메모 3 8 12" xfId="28063"/>
    <cellStyle name="메모 3 8 13" xfId="38481"/>
    <cellStyle name="메모 3 8 14" xfId="39205"/>
    <cellStyle name="메모 3 8 2" xfId="6655"/>
    <cellStyle name="메모 3 8 2 2" xfId="11389"/>
    <cellStyle name="메모 3 8 2 2 2" xfId="24617"/>
    <cellStyle name="메모 3 8 2 2 3" xfId="34019"/>
    <cellStyle name="메모 3 8 2 2 4" xfId="45084"/>
    <cellStyle name="메모 3 8 2 2 5" xfId="27858"/>
    <cellStyle name="메모 3 8 2 3" xfId="9116"/>
    <cellStyle name="메모 3 8 2 3 2" xfId="22344"/>
    <cellStyle name="메모 3 8 2 3 3" xfId="36444"/>
    <cellStyle name="메모 3 8 2 3 4" xfId="42337"/>
    <cellStyle name="메모 3 8 2 3 5" xfId="49171"/>
    <cellStyle name="메모 3 8 2 4" xfId="19883"/>
    <cellStyle name="메모 3 8 2 4 2" xfId="30354"/>
    <cellStyle name="메모 3 8 2 4 3" xfId="14495"/>
    <cellStyle name="메모 3 8 2 4 4" xfId="40479"/>
    <cellStyle name="메모 3 8 2 5" xfId="37590"/>
    <cellStyle name="메모 3 8 2 5 2" xfId="43513"/>
    <cellStyle name="메모 3 8 2 5 3" xfId="50347"/>
    <cellStyle name="메모 3 8 2 6" xfId="29707"/>
    <cellStyle name="메모 3 8 2 7" xfId="18650"/>
    <cellStyle name="메모 3 8 2 8" xfId="44448"/>
    <cellStyle name="메모 3 8 3" xfId="6681"/>
    <cellStyle name="메모 3 8 3 2" xfId="11415"/>
    <cellStyle name="메모 3 8 3 2 2" xfId="24643"/>
    <cellStyle name="메모 3 8 3 2 3" xfId="34045"/>
    <cellStyle name="메모 3 8 3 2 4" xfId="45107"/>
    <cellStyle name="메모 3 8 3 2 5" xfId="28145"/>
    <cellStyle name="메모 3 8 3 3" xfId="9137"/>
    <cellStyle name="메모 3 8 3 3 2" xfId="22365"/>
    <cellStyle name="메모 3 8 3 3 3" xfId="36470"/>
    <cellStyle name="메모 3 8 3 3 4" xfId="42363"/>
    <cellStyle name="메모 3 8 3 3 5" xfId="49197"/>
    <cellStyle name="메모 3 8 3 4" xfId="19909"/>
    <cellStyle name="메모 3 8 3 4 2" xfId="30474"/>
    <cellStyle name="메모 3 8 3 4 3" xfId="16807"/>
    <cellStyle name="메모 3 8 3 4 4" xfId="44903"/>
    <cellStyle name="메모 3 8 3 5" xfId="29900"/>
    <cellStyle name="메모 3 8 3 5 2" xfId="18308"/>
    <cellStyle name="메모 3 8 3 5 3" xfId="33173"/>
    <cellStyle name="메모 3 8 3 6" xfId="29733"/>
    <cellStyle name="메모 3 8 3 7" xfId="35524"/>
    <cellStyle name="메모 3 8 3 8" xfId="17465"/>
    <cellStyle name="메모 3 8 4" xfId="6484"/>
    <cellStyle name="메모 3 8 4 2" xfId="11218"/>
    <cellStyle name="메모 3 8 4 2 2" xfId="24446"/>
    <cellStyle name="메모 3 8 4 2 3" xfId="33848"/>
    <cellStyle name="메모 3 8 4 2 4" xfId="44956"/>
    <cellStyle name="메모 3 8 4 2 5" xfId="34325"/>
    <cellStyle name="메모 3 8 4 3" xfId="8200"/>
    <cellStyle name="메모 3 8 4 3 2" xfId="21428"/>
    <cellStyle name="메모 3 8 4 3 3" xfId="36274"/>
    <cellStyle name="메모 3 8 4 3 4" xfId="42167"/>
    <cellStyle name="메모 3 8 4 3 5" xfId="49001"/>
    <cellStyle name="메모 3 8 4 4" xfId="19712"/>
    <cellStyle name="메모 3 8 4 4 2" xfId="37033"/>
    <cellStyle name="메모 3 8 4 4 3" xfId="42952"/>
    <cellStyle name="메모 3 8 4 4 4" xfId="49786"/>
    <cellStyle name="메모 3 8 4 5" xfId="37594"/>
    <cellStyle name="메모 3 8 4 5 2" xfId="43517"/>
    <cellStyle name="메모 3 8 4 5 3" xfId="50351"/>
    <cellStyle name="메모 3 8 4 6" xfId="29536"/>
    <cellStyle name="메모 3 8 4 7" xfId="16182"/>
    <cellStyle name="메모 3 8 4 8" xfId="44571"/>
    <cellStyle name="메모 3 8 5" xfId="6110"/>
    <cellStyle name="메모 3 8 5 10" xfId="45363"/>
    <cellStyle name="메모 3 8 5 2" xfId="12663"/>
    <cellStyle name="메모 3 8 5 2 2" xfId="14402"/>
    <cellStyle name="메모 3 8 5 2 2 2" xfId="27630"/>
    <cellStyle name="메모 3 8 5 2 2 3" xfId="36984"/>
    <cellStyle name="메모 3 8 5 2 2 4" xfId="42903"/>
    <cellStyle name="메모 3 8 5 2 2 5" xfId="49737"/>
    <cellStyle name="메모 3 8 5 2 3" xfId="25891"/>
    <cellStyle name="메모 3 8 5 2 3 2" xfId="37852"/>
    <cellStyle name="메모 3 8 5 2 3 3" xfId="43777"/>
    <cellStyle name="메모 3 8 5 2 3 4" xfId="50611"/>
    <cellStyle name="메모 3 8 5 2 4" xfId="37930"/>
    <cellStyle name="메모 3 8 5 2 4 2" xfId="43855"/>
    <cellStyle name="메모 3 8 5 2 4 3" xfId="50689"/>
    <cellStyle name="메모 3 8 5 2 5" xfId="34643"/>
    <cellStyle name="메모 3 8 5 2 6" xfId="28691"/>
    <cellStyle name="메모 3 8 5 3" xfId="10844"/>
    <cellStyle name="메모 3 8 5 3 2" xfId="24072"/>
    <cellStyle name="메모 3 8 5 3 3" xfId="33474"/>
    <cellStyle name="메모 3 8 5 3 4" xfId="39659"/>
    <cellStyle name="메모 3 8 5 3 5" xfId="28763"/>
    <cellStyle name="메모 3 8 5 4" xfId="13736"/>
    <cellStyle name="메모 3 8 5 4 2" xfId="26964"/>
    <cellStyle name="메모 3 8 5 4 3" xfId="31405"/>
    <cellStyle name="메모 3 8 5 4 4" xfId="17238"/>
    <cellStyle name="메모 3 8 5 4 5" xfId="45577"/>
    <cellStyle name="메모 3 8 5 5" xfId="6702"/>
    <cellStyle name="메모 3 8 5 5 2" xfId="19930"/>
    <cellStyle name="메모 3 8 5 5 3" xfId="30547"/>
    <cellStyle name="메모 3 8 5 5 4" xfId="16836"/>
    <cellStyle name="메모 3 8 5 5 5" xfId="46990"/>
    <cellStyle name="메모 3 8 5 6" xfId="7205"/>
    <cellStyle name="메모 3 8 5 6 2" xfId="20433"/>
    <cellStyle name="메모 3 8 5 6 3" xfId="18470"/>
    <cellStyle name="메모 3 8 5 6 4" xfId="47425"/>
    <cellStyle name="메모 3 8 5 7" xfId="36641"/>
    <cellStyle name="메모 3 8 5 7 2" xfId="42543"/>
    <cellStyle name="메모 3 8 5 7 3" xfId="49377"/>
    <cellStyle name="메모 3 8 5 8" xfId="29162"/>
    <cellStyle name="메모 3 8 5 9" xfId="33000"/>
    <cellStyle name="메모 3 8 6" xfId="10145"/>
    <cellStyle name="메모 3 8 6 2" xfId="7751"/>
    <cellStyle name="메모 3 8 6 2 2" xfId="20979"/>
    <cellStyle name="메모 3 8 6 2 3" xfId="33091"/>
    <cellStyle name="메모 3 8 6 2 4" xfId="44376"/>
    <cellStyle name="메모 3 8 6 2 5" xfId="34087"/>
    <cellStyle name="메모 3 8 6 3" xfId="23373"/>
    <cellStyle name="메모 3 8 6 3 2" xfId="35577"/>
    <cellStyle name="메모 3 8 6 3 3" xfId="41453"/>
    <cellStyle name="메모 3 8 6 3 4" xfId="48287"/>
    <cellStyle name="메모 3 8 6 4" xfId="31745"/>
    <cellStyle name="메모 3 8 6 4 2" xfId="37966"/>
    <cellStyle name="메모 3 8 6 4 3" xfId="17595"/>
    <cellStyle name="메모 3 8 6 5" xfId="31785"/>
    <cellStyle name="메모 3 8 6 5 2" xfId="38006"/>
    <cellStyle name="메모 3 8 6 5 3" xfId="46239"/>
    <cellStyle name="메모 3 8 6 6" xfId="28788"/>
    <cellStyle name="메모 3 8 6 7" xfId="15765"/>
    <cellStyle name="메모 3 8 6 8" xfId="45512"/>
    <cellStyle name="메모 3 8 7" xfId="9104"/>
    <cellStyle name="메모 3 8 7 2" xfId="22332"/>
    <cellStyle name="메모 3 8 7 3" xfId="30768"/>
    <cellStyle name="메모 3 8 7 4" xfId="14694"/>
    <cellStyle name="메모 3 8 7 5" xfId="40477"/>
    <cellStyle name="메모 3 8 8" xfId="13003"/>
    <cellStyle name="메모 3 8 8 2" xfId="26231"/>
    <cellStyle name="메모 3 8 8 3" xfId="34830"/>
    <cellStyle name="메모 3 8 8 4" xfId="40829"/>
    <cellStyle name="메모 3 8 8 5" xfId="39591"/>
    <cellStyle name="메모 3 8 9" xfId="13019"/>
    <cellStyle name="메모 3 8 9 2" xfId="26247"/>
    <cellStyle name="메모 3 8 9 3" xfId="30255"/>
    <cellStyle name="메모 3 8 9 4" xfId="14642"/>
    <cellStyle name="메모 3 8 9 5" xfId="45471"/>
    <cellStyle name="메모 3 9" xfId="5283"/>
    <cellStyle name="메모 3 9 10" xfId="14356"/>
    <cellStyle name="메모 3 9 10 2" xfId="27584"/>
    <cellStyle name="메모 3 9 10 3" xfId="16716"/>
    <cellStyle name="메모 3 9 10 4" xfId="43983"/>
    <cellStyle name="메모 3 9 11" xfId="18526"/>
    <cellStyle name="메모 3 9 12" xfId="28064"/>
    <cellStyle name="메모 3 9 13" xfId="40343"/>
    <cellStyle name="메모 3 9 14" xfId="44551"/>
    <cellStyle name="메모 3 9 2" xfId="6656"/>
    <cellStyle name="메모 3 9 2 2" xfId="11390"/>
    <cellStyle name="메모 3 9 2 2 2" xfId="24618"/>
    <cellStyle name="메모 3 9 2 2 3" xfId="34020"/>
    <cellStyle name="메모 3 9 2 2 4" xfId="45085"/>
    <cellStyle name="메모 3 9 2 2 5" xfId="39955"/>
    <cellStyle name="메모 3 9 2 3" xfId="6832"/>
    <cellStyle name="메모 3 9 2 3 2" xfId="20060"/>
    <cellStyle name="메모 3 9 2 3 3" xfId="36445"/>
    <cellStyle name="메모 3 9 2 3 4" xfId="42338"/>
    <cellStyle name="메모 3 9 2 3 5" xfId="49172"/>
    <cellStyle name="메모 3 9 2 4" xfId="19884"/>
    <cellStyle name="메모 3 9 2 4 2" xfId="35507"/>
    <cellStyle name="메모 3 9 2 4 3" xfId="41378"/>
    <cellStyle name="메모 3 9 2 4 4" xfId="48212"/>
    <cellStyle name="메모 3 9 2 5" xfId="36934"/>
    <cellStyle name="메모 3 9 2 5 2" xfId="42850"/>
    <cellStyle name="메모 3 9 2 5 3" xfId="49684"/>
    <cellStyle name="메모 3 9 2 6" xfId="29708"/>
    <cellStyle name="메모 3 9 2 7" xfId="17672"/>
    <cellStyle name="메모 3 9 2 8" xfId="45434"/>
    <cellStyle name="메모 3 9 3" xfId="6682"/>
    <cellStyle name="메모 3 9 3 2" xfId="11416"/>
    <cellStyle name="메모 3 9 3 2 2" xfId="24644"/>
    <cellStyle name="메모 3 9 3 2 3" xfId="34046"/>
    <cellStyle name="메모 3 9 3 2 4" xfId="45108"/>
    <cellStyle name="메모 3 9 3 2 5" xfId="17558"/>
    <cellStyle name="메모 3 9 3 3" xfId="9138"/>
    <cellStyle name="메모 3 9 3 3 2" xfId="22366"/>
    <cellStyle name="메모 3 9 3 3 3" xfId="36471"/>
    <cellStyle name="메모 3 9 3 3 4" xfId="42364"/>
    <cellStyle name="메모 3 9 3 3 5" xfId="49198"/>
    <cellStyle name="메모 3 9 3 4" xfId="19910"/>
    <cellStyle name="메모 3 9 3 4 2" xfId="31611"/>
    <cellStyle name="메모 3 9 3 4 3" xfId="15140"/>
    <cellStyle name="메모 3 9 3 4 4" xfId="15854"/>
    <cellStyle name="메모 3 9 3 5" xfId="37439"/>
    <cellStyle name="메모 3 9 3 5 2" xfId="43359"/>
    <cellStyle name="메모 3 9 3 5 3" xfId="50193"/>
    <cellStyle name="메모 3 9 3 6" xfId="29734"/>
    <cellStyle name="메모 3 9 3 7" xfId="16318"/>
    <cellStyle name="메모 3 9 3 8" xfId="27917"/>
    <cellStyle name="메모 3 9 4" xfId="6483"/>
    <cellStyle name="메모 3 9 4 2" xfId="11217"/>
    <cellStyle name="메모 3 9 4 2 2" xfId="24445"/>
    <cellStyle name="메모 3 9 4 2 3" xfId="33847"/>
    <cellStyle name="메모 3 9 4 2 4" xfId="44955"/>
    <cellStyle name="메모 3 9 4 2 5" xfId="15379"/>
    <cellStyle name="메모 3 9 4 3" xfId="6816"/>
    <cellStyle name="메모 3 9 4 3 2" xfId="20044"/>
    <cellStyle name="메모 3 9 4 3 3" xfId="36273"/>
    <cellStyle name="메모 3 9 4 3 4" xfId="42166"/>
    <cellStyle name="메모 3 9 4 3 5" xfId="49000"/>
    <cellStyle name="메모 3 9 4 4" xfId="19711"/>
    <cellStyle name="메모 3 9 4 4 2" xfId="29964"/>
    <cellStyle name="메모 3 9 4 4 3" xfId="28029"/>
    <cellStyle name="메모 3 9 4 4 4" xfId="17710"/>
    <cellStyle name="메모 3 9 4 5" xfId="29813"/>
    <cellStyle name="메모 3 9 4 5 2" xfId="28033"/>
    <cellStyle name="메모 3 9 4 5 3" xfId="38411"/>
    <cellStyle name="메모 3 9 4 6" xfId="29535"/>
    <cellStyle name="메모 3 9 4 7" xfId="14582"/>
    <cellStyle name="메모 3 9 4 8" xfId="39287"/>
    <cellStyle name="메모 3 9 5" xfId="6111"/>
    <cellStyle name="메모 3 9 5 10" xfId="44357"/>
    <cellStyle name="메모 3 9 5 2" xfId="12664"/>
    <cellStyle name="메모 3 9 5 2 2" xfId="14403"/>
    <cellStyle name="메모 3 9 5 2 2 2" xfId="27631"/>
    <cellStyle name="메모 3 9 5 2 2 3" xfId="36985"/>
    <cellStyle name="메모 3 9 5 2 2 4" xfId="42904"/>
    <cellStyle name="메모 3 9 5 2 2 5" xfId="49738"/>
    <cellStyle name="메모 3 9 5 2 3" xfId="25892"/>
    <cellStyle name="메모 3 9 5 2 3 2" xfId="37853"/>
    <cellStyle name="메모 3 9 5 2 3 3" xfId="43778"/>
    <cellStyle name="메모 3 9 5 2 3 4" xfId="50612"/>
    <cellStyle name="메모 3 9 5 2 4" xfId="37931"/>
    <cellStyle name="메모 3 9 5 2 4 2" xfId="43856"/>
    <cellStyle name="메모 3 9 5 2 4 3" xfId="50690"/>
    <cellStyle name="메모 3 9 5 2 5" xfId="34644"/>
    <cellStyle name="메모 3 9 5 2 6" xfId="33373"/>
    <cellStyle name="메모 3 9 5 3" xfId="10845"/>
    <cellStyle name="메모 3 9 5 3 2" xfId="24073"/>
    <cellStyle name="메모 3 9 5 3 3" xfId="33475"/>
    <cellStyle name="메모 3 9 5 3 4" xfId="39660"/>
    <cellStyle name="메모 3 9 5 3 5" xfId="38716"/>
    <cellStyle name="메모 3 9 5 4" xfId="13737"/>
    <cellStyle name="메모 3 9 5 4 2" xfId="26965"/>
    <cellStyle name="메모 3 9 5 4 3" xfId="32381"/>
    <cellStyle name="메모 3 9 5 4 4" xfId="38599"/>
    <cellStyle name="메모 3 9 5 4 5" xfId="38412"/>
    <cellStyle name="메모 3 9 5 5" xfId="13967"/>
    <cellStyle name="메모 3 9 5 5 2" xfId="27195"/>
    <cellStyle name="메모 3 9 5 5 3" xfId="30620"/>
    <cellStyle name="메모 3 9 5 5 4" xfId="15160"/>
    <cellStyle name="메모 3 9 5 5 5" xfId="39354"/>
    <cellStyle name="메모 3 9 5 6" xfId="7583"/>
    <cellStyle name="메모 3 9 5 6 2" xfId="20811"/>
    <cellStyle name="메모 3 9 5 6 3" xfId="16670"/>
    <cellStyle name="메모 3 9 5 6 4" xfId="27962"/>
    <cellStyle name="메모 3 9 5 7" xfId="37048"/>
    <cellStyle name="메모 3 9 5 7 2" xfId="42967"/>
    <cellStyle name="메모 3 9 5 7 3" xfId="49801"/>
    <cellStyle name="메모 3 9 5 8" xfId="29163"/>
    <cellStyle name="메모 3 9 5 9" xfId="34282"/>
    <cellStyle name="메모 3 9 6" xfId="10146"/>
    <cellStyle name="메모 3 9 6 2" xfId="7752"/>
    <cellStyle name="메모 3 9 6 2 2" xfId="20980"/>
    <cellStyle name="메모 3 9 6 2 3" xfId="33092"/>
    <cellStyle name="메모 3 9 6 2 4" xfId="44377"/>
    <cellStyle name="메모 3 9 6 2 5" xfId="39434"/>
    <cellStyle name="메모 3 9 6 3" xfId="23374"/>
    <cellStyle name="메모 3 9 6 3 2" xfId="35578"/>
    <cellStyle name="메모 3 9 6 3 3" xfId="41454"/>
    <cellStyle name="메모 3 9 6 3 4" xfId="48288"/>
    <cellStyle name="메모 3 9 6 4" xfId="37582"/>
    <cellStyle name="메모 3 9 6 4 2" xfId="43504"/>
    <cellStyle name="메모 3 9 6 4 3" xfId="50338"/>
    <cellStyle name="메모 3 9 6 5" xfId="30806"/>
    <cellStyle name="메모 3 9 6 5 2" xfId="16944"/>
    <cellStyle name="메모 3 9 6 5 3" xfId="38417"/>
    <cellStyle name="메모 3 9 6 6" xfId="28789"/>
    <cellStyle name="메모 3 9 6 7" xfId="31324"/>
    <cellStyle name="메모 3 9 6 8" xfId="30042"/>
    <cellStyle name="메모 3 9 7" xfId="9105"/>
    <cellStyle name="메모 3 9 7 2" xfId="22333"/>
    <cellStyle name="메모 3 9 7 3" xfId="34695"/>
    <cellStyle name="메모 3 9 7 4" xfId="40685"/>
    <cellStyle name="메모 3 9 7 5" xfId="17487"/>
    <cellStyle name="메모 3 9 8" xfId="13004"/>
    <cellStyle name="메모 3 9 8 2" xfId="26232"/>
    <cellStyle name="메모 3 9 8 3" xfId="31645"/>
    <cellStyle name="메모 3 9 8 4" xfId="15143"/>
    <cellStyle name="메모 3 9 8 5" xfId="34270"/>
    <cellStyle name="메모 3 9 9" xfId="14066"/>
    <cellStyle name="메모 3 9 9 2" xfId="27294"/>
    <cellStyle name="메모 3 9 9 3" xfId="32326"/>
    <cellStyle name="메모 3 9 9 4" xfId="38544"/>
    <cellStyle name="메모 3 9 9 5" xfId="46575"/>
    <cellStyle name="메모 3_사업부문" xfId="53758"/>
    <cellStyle name="메모 4" xfId="192"/>
    <cellStyle name="메모 4 2" xfId="2816"/>
    <cellStyle name="메모 4 2 2" xfId="2817"/>
    <cellStyle name="메모 4 3" xfId="4860"/>
    <cellStyle name="메모 4 3 2" xfId="51043"/>
    <cellStyle name="메모 4 4" xfId="2815"/>
    <cellStyle name="메모 4 4 2" xfId="6386"/>
    <cellStyle name="메모 4 4 2 2" xfId="11120"/>
    <cellStyle name="메모 4 4 2 2 2" xfId="24348"/>
    <cellStyle name="메모 4 4 2 2 3" xfId="33750"/>
    <cellStyle name="메모 4 4 2 2 4" xfId="44884"/>
    <cellStyle name="메모 4 4 2 2 5" xfId="28719"/>
    <cellStyle name="메모 4 4 2 3" xfId="8093"/>
    <cellStyle name="메모 4 4 2 3 2" xfId="21321"/>
    <cellStyle name="메모 4 4 2 3 3" xfId="36176"/>
    <cellStyle name="메모 4 4 2 3 4" xfId="42069"/>
    <cellStyle name="메모 4 4 2 3 5" xfId="48903"/>
    <cellStyle name="메모 4 4 2 4" xfId="19614"/>
    <cellStyle name="메모 4 4 2 4 2" xfId="31266"/>
    <cellStyle name="메모 4 4 2 4 3" xfId="17160"/>
    <cellStyle name="메모 4 4 2 4 4" xfId="46254"/>
    <cellStyle name="메모 4 4 2 5" xfId="34803"/>
    <cellStyle name="메모 4 4 2 5 2" xfId="40799"/>
    <cellStyle name="메모 4 4 2 5 3" xfId="17401"/>
    <cellStyle name="메모 4 4 2 6" xfId="29438"/>
    <cellStyle name="메모 4 4 2 7" xfId="14574"/>
    <cellStyle name="메모 4 4 2 8" xfId="44342"/>
    <cellStyle name="메모 4 4 3" xfId="9620"/>
    <cellStyle name="메모 4 4 3 10" xfId="34124"/>
    <cellStyle name="메모 4 4 3 11" xfId="40323"/>
    <cellStyle name="메모 4 4 3 2" xfId="13257"/>
    <cellStyle name="메모 4 4 3 2 2" xfId="26485"/>
    <cellStyle name="메모 4 4 3 2 3" xfId="32737"/>
    <cellStyle name="메모 4 4 3 2 4" xfId="38957"/>
    <cellStyle name="메모 4 4 3 2 5" xfId="17604"/>
    <cellStyle name="메모 4 4 3 3" xfId="7574"/>
    <cellStyle name="메모 4 4 3 3 2" xfId="20802"/>
    <cellStyle name="메모 4 4 3 3 3" xfId="35233"/>
    <cellStyle name="메모 4 4 3 3 4" xfId="46023"/>
    <cellStyle name="메모 4 4 3 3 5" xfId="47936"/>
    <cellStyle name="메모 4 4 3 4" xfId="14215"/>
    <cellStyle name="메모 4 4 3 4 2" xfId="27443"/>
    <cellStyle name="메모 4 4 3 4 3" xfId="31031"/>
    <cellStyle name="메모 4 4 3 4 4" xfId="17751"/>
    <cellStyle name="메모 4 4 3 4 5" xfId="40423"/>
    <cellStyle name="메모 4 4 3 5" xfId="8765"/>
    <cellStyle name="메모 4 4 3 5 2" xfId="21993"/>
    <cellStyle name="메모 4 4 3 5 3" xfId="41575"/>
    <cellStyle name="메모 4 4 3 5 4" xfId="48409"/>
    <cellStyle name="메모 4 4 3 6" xfId="22848"/>
    <cellStyle name="메모 4 4 3 6 2" xfId="37214"/>
    <cellStyle name="메모 4 4 3 6 3" xfId="43133"/>
    <cellStyle name="메모 4 4 3 6 4" xfId="49967"/>
    <cellStyle name="메모 4 4 3 7" xfId="37619"/>
    <cellStyle name="메모 4 4 3 7 2" xfId="43542"/>
    <cellStyle name="메모 4 4 3 7 3" xfId="50376"/>
    <cellStyle name="메모 4 4 3 8" xfId="35900"/>
    <cellStyle name="메모 4 4 3 8 2" xfId="41793"/>
    <cellStyle name="메모 4 4 3 8 3" xfId="48627"/>
    <cellStyle name="메모 4 4 3 9" xfId="28426"/>
    <cellStyle name="메모 4 4 4" xfId="7903"/>
    <cellStyle name="메모 4 4 4 2" xfId="21131"/>
    <cellStyle name="메모 4 4 5" xfId="34439"/>
    <cellStyle name="메모 4 5" xfId="51277"/>
    <cellStyle name="메모 4_사업부문" xfId="53759"/>
    <cellStyle name="메모 5" xfId="193"/>
    <cellStyle name="메모 5 2" xfId="2819"/>
    <cellStyle name="메모 5 2 2" xfId="2820"/>
    <cellStyle name="메모 5 2 3" xfId="51044"/>
    <cellStyle name="메모 5 3" xfId="4861"/>
    <cellStyle name="메모 5 3 2" xfId="51045"/>
    <cellStyle name="메모 5 4" xfId="2818"/>
    <cellStyle name="메모 5 4 2" xfId="6387"/>
    <cellStyle name="메모 5 4 2 2" xfId="11121"/>
    <cellStyle name="메모 5 4 2 2 2" xfId="24349"/>
    <cellStyle name="메모 5 4 2 2 3" xfId="33751"/>
    <cellStyle name="메모 5 4 2 2 4" xfId="44885"/>
    <cellStyle name="메모 5 4 2 2 5" xfId="28834"/>
    <cellStyle name="메모 5 4 2 3" xfId="12811"/>
    <cellStyle name="메모 5 4 2 3 2" xfId="26039"/>
    <cellStyle name="메모 5 4 2 3 3" xfId="36177"/>
    <cellStyle name="메모 5 4 2 3 4" xfId="42070"/>
    <cellStyle name="메모 5 4 2 3 5" xfId="48904"/>
    <cellStyle name="메모 5 4 2 4" xfId="19615"/>
    <cellStyle name="메모 5 4 2 4 2" xfId="31768"/>
    <cellStyle name="메모 5 4 2 4 3" xfId="37989"/>
    <cellStyle name="메모 5 4 2 4 4" xfId="44178"/>
    <cellStyle name="메모 5 4 2 5" xfId="36643"/>
    <cellStyle name="메모 5 4 2 5 2" xfId="42545"/>
    <cellStyle name="메모 5 4 2 5 3" xfId="49379"/>
    <cellStyle name="메모 5 4 2 6" xfId="29439"/>
    <cellStyle name="메모 5 4 2 7" xfId="16112"/>
    <cellStyle name="메모 5 4 2 8" xfId="34074"/>
    <cellStyle name="메모 5 4 3" xfId="9621"/>
    <cellStyle name="메모 5 4 3 10" xfId="39526"/>
    <cellStyle name="메모 5 4 3 11" xfId="44522"/>
    <cellStyle name="메모 5 4 3 2" xfId="13258"/>
    <cellStyle name="메모 5 4 3 2 2" xfId="26486"/>
    <cellStyle name="메모 5 4 3 2 3" xfId="32738"/>
    <cellStyle name="메모 5 4 3 2 4" xfId="38958"/>
    <cellStyle name="메모 5 4 3 2 5" xfId="47109"/>
    <cellStyle name="메모 5 4 3 3" xfId="8573"/>
    <cellStyle name="메모 5 4 3 3 2" xfId="21801"/>
    <cellStyle name="메모 5 4 3 3 3" xfId="35234"/>
    <cellStyle name="메모 5 4 3 3 4" xfId="46024"/>
    <cellStyle name="메모 5 4 3 3 5" xfId="47937"/>
    <cellStyle name="메모 5 4 3 4" xfId="7194"/>
    <cellStyle name="메모 5 4 3 4 2" xfId="20422"/>
    <cellStyle name="메모 5 4 3 4 3" xfId="31032"/>
    <cellStyle name="메모 5 4 3 4 4" xfId="17050"/>
    <cellStyle name="메모 5 4 3 4 5" xfId="39362"/>
    <cellStyle name="메모 5 4 3 5" xfId="7336"/>
    <cellStyle name="메모 5 4 3 5 2" xfId="20564"/>
    <cellStyle name="메모 5 4 3 5 3" xfId="42759"/>
    <cellStyle name="메모 5 4 3 5 4" xfId="49593"/>
    <cellStyle name="메모 5 4 3 6" xfId="22849"/>
    <cellStyle name="메모 5 4 3 6 2" xfId="36871"/>
    <cellStyle name="메모 5 4 3 6 3" xfId="42783"/>
    <cellStyle name="메모 5 4 3 6 4" xfId="49617"/>
    <cellStyle name="메모 5 4 3 7" xfId="36684"/>
    <cellStyle name="메모 5 4 3 7 2" xfId="42587"/>
    <cellStyle name="메모 5 4 3 7 3" xfId="49421"/>
    <cellStyle name="메모 5 4 3 8" xfId="31693"/>
    <cellStyle name="메모 5 4 3 8 2" xfId="27994"/>
    <cellStyle name="메모 5 4 3 8 3" xfId="46614"/>
    <cellStyle name="메모 5 4 3 9" xfId="28427"/>
    <cellStyle name="메모 5 4 4" xfId="7904"/>
    <cellStyle name="메모 5 4 4 2" xfId="21132"/>
    <cellStyle name="메모 5 4 5" xfId="39592"/>
    <cellStyle name="메모 5 5" xfId="51278"/>
    <cellStyle name="메모 5_사업부문" xfId="53760"/>
    <cellStyle name="메모 6" xfId="194"/>
    <cellStyle name="메모 6 2" xfId="2822"/>
    <cellStyle name="메모 6 2 2" xfId="51046"/>
    <cellStyle name="메모 6 3" xfId="4862"/>
    <cellStyle name="메모 6 3 2" xfId="51047"/>
    <cellStyle name="메모 6 4" xfId="2821"/>
    <cellStyle name="메모 6 5" xfId="51279"/>
    <cellStyle name="메모 6_사업부문" xfId="53761"/>
    <cellStyle name="메모 7" xfId="195"/>
    <cellStyle name="메모 7 2" xfId="2824"/>
    <cellStyle name="메모 7 2 2" xfId="51048"/>
    <cellStyle name="메모 7 3" xfId="4863"/>
    <cellStyle name="메모 7 3 2" xfId="51049"/>
    <cellStyle name="메모 7 4" xfId="2823"/>
    <cellStyle name="메모 7 5" xfId="51280"/>
    <cellStyle name="메모 7_사업부문" xfId="53762"/>
    <cellStyle name="메모 8" xfId="2825"/>
    <cellStyle name="메모 8 2" xfId="5284"/>
    <cellStyle name="메모 8 2 10" xfId="7238"/>
    <cellStyle name="메모 8 2 10 2" xfId="20466"/>
    <cellStyle name="메모 8 2 10 3" xfId="40687"/>
    <cellStyle name="메모 8 2 10 4" xfId="15931"/>
    <cellStyle name="메모 8 2 11" xfId="18527"/>
    <cellStyle name="메모 8 2 12" xfId="28065"/>
    <cellStyle name="메모 8 2 13" xfId="39259"/>
    <cellStyle name="메모 8 2 14" xfId="45521"/>
    <cellStyle name="메모 8 2 2" xfId="6657"/>
    <cellStyle name="메모 8 2 2 2" xfId="11391"/>
    <cellStyle name="메모 8 2 2 2 2" xfId="24619"/>
    <cellStyle name="메모 8 2 2 2 3" xfId="34021"/>
    <cellStyle name="메모 8 2 2 2 4" xfId="45086"/>
    <cellStyle name="메모 8 2 2 2 5" xfId="34058"/>
    <cellStyle name="메모 8 2 2 3" xfId="12863"/>
    <cellStyle name="메모 8 2 2 3 2" xfId="26091"/>
    <cellStyle name="메모 8 2 2 3 3" xfId="36446"/>
    <cellStyle name="메모 8 2 2 3 4" xfId="42339"/>
    <cellStyle name="메모 8 2 2 3 5" xfId="49173"/>
    <cellStyle name="메모 8 2 2 4" xfId="19885"/>
    <cellStyle name="메모 8 2 2 4 2" xfId="37252"/>
    <cellStyle name="메모 8 2 2 4 3" xfId="43172"/>
    <cellStyle name="메모 8 2 2 4 4" xfId="50006"/>
    <cellStyle name="메모 8 2 2 5" xfId="35653"/>
    <cellStyle name="메모 8 2 2 5 2" xfId="41533"/>
    <cellStyle name="메모 8 2 2 5 3" xfId="48367"/>
    <cellStyle name="메모 8 2 2 6" xfId="29709"/>
    <cellStyle name="메모 8 2 2 7" xfId="18651"/>
    <cellStyle name="메모 8 2 2 8" xfId="19338"/>
    <cellStyle name="메모 8 2 3" xfId="6683"/>
    <cellStyle name="메모 8 2 3 2" xfId="11417"/>
    <cellStyle name="메모 8 2 3 2 2" xfId="24645"/>
    <cellStyle name="메모 8 2 3 2 3" xfId="34047"/>
    <cellStyle name="메모 8 2 3 2 4" xfId="45109"/>
    <cellStyle name="메모 8 2 3 2 5" xfId="17513"/>
    <cellStyle name="메모 8 2 3 3" xfId="9139"/>
    <cellStyle name="메모 8 2 3 3 2" xfId="22367"/>
    <cellStyle name="메모 8 2 3 3 3" xfId="36472"/>
    <cellStyle name="메모 8 2 3 3 4" xfId="42365"/>
    <cellStyle name="메모 8 2 3 3 5" xfId="49199"/>
    <cellStyle name="메모 8 2 3 4" xfId="19911"/>
    <cellStyle name="메모 8 2 3 4 2" xfId="30125"/>
    <cellStyle name="메모 8 2 3 4 3" xfId="16592"/>
    <cellStyle name="메모 8 2 3 4 4" xfId="15360"/>
    <cellStyle name="메모 8 2 3 5" xfId="31650"/>
    <cellStyle name="메모 8 2 3 5 2" xfId="15295"/>
    <cellStyle name="메모 8 2 3 5 3" xfId="41170"/>
    <cellStyle name="메모 8 2 3 6" xfId="29735"/>
    <cellStyle name="메모 8 2 3 7" xfId="36932"/>
    <cellStyle name="메모 8 2 3 8" xfId="27913"/>
    <cellStyle name="메모 8 2 4" xfId="6128"/>
    <cellStyle name="메모 8 2 4 2" xfId="10862"/>
    <cellStyle name="메모 8 2 4 2 2" xfId="24090"/>
    <cellStyle name="메모 8 2 4 2 3" xfId="33492"/>
    <cellStyle name="메모 8 2 4 2 4" xfId="44630"/>
    <cellStyle name="메모 8 2 4 2 5" xfId="34372"/>
    <cellStyle name="메모 8 2 4 3" xfId="8751"/>
    <cellStyle name="메모 8 2 4 3 2" xfId="21979"/>
    <cellStyle name="메모 8 2 4 3 3" xfId="35918"/>
    <cellStyle name="메모 8 2 4 3 4" xfId="41811"/>
    <cellStyle name="메모 8 2 4 3 5" xfId="48645"/>
    <cellStyle name="메모 8 2 4 4" xfId="19356"/>
    <cellStyle name="메모 8 2 4 4 2" xfId="31513"/>
    <cellStyle name="메모 8 2 4 4 3" xfId="14742"/>
    <cellStyle name="메모 8 2 4 4 4" xfId="33005"/>
    <cellStyle name="메모 8 2 4 5" xfId="30602"/>
    <cellStyle name="메모 8 2 4 5 2" xfId="17814"/>
    <cellStyle name="메모 8 2 4 5 3" xfId="15649"/>
    <cellStyle name="메모 8 2 4 6" xfId="29180"/>
    <cellStyle name="메모 8 2 4 7" xfId="36506"/>
    <cellStyle name="메모 8 2 4 8" xfId="45329"/>
    <cellStyle name="메모 8 2 5" xfId="6112"/>
    <cellStyle name="메모 8 2 5 10" xfId="38662"/>
    <cellStyle name="메모 8 2 5 2" xfId="12665"/>
    <cellStyle name="메모 8 2 5 2 2" xfId="14404"/>
    <cellStyle name="메모 8 2 5 2 2 2" xfId="27632"/>
    <cellStyle name="메모 8 2 5 2 2 3" xfId="36986"/>
    <cellStyle name="메모 8 2 5 2 2 4" xfId="42905"/>
    <cellStyle name="메모 8 2 5 2 2 5" xfId="49739"/>
    <cellStyle name="메모 8 2 5 2 3" xfId="25893"/>
    <cellStyle name="메모 8 2 5 2 3 2" xfId="37854"/>
    <cellStyle name="메모 8 2 5 2 3 3" xfId="43779"/>
    <cellStyle name="메모 8 2 5 2 3 4" xfId="50613"/>
    <cellStyle name="메모 8 2 5 2 4" xfId="37932"/>
    <cellStyle name="메모 8 2 5 2 4 2" xfId="43857"/>
    <cellStyle name="메모 8 2 5 2 4 3" xfId="50691"/>
    <cellStyle name="메모 8 2 5 2 5" xfId="34645"/>
    <cellStyle name="메모 8 2 5 2 6" xfId="28193"/>
    <cellStyle name="메모 8 2 5 3" xfId="10846"/>
    <cellStyle name="메모 8 2 5 3 2" xfId="24074"/>
    <cellStyle name="메모 8 2 5 3 3" xfId="33476"/>
    <cellStyle name="메모 8 2 5 3 4" xfId="39661"/>
    <cellStyle name="메모 8 2 5 3 5" xfId="40134"/>
    <cellStyle name="메모 8 2 5 4" xfId="13738"/>
    <cellStyle name="메모 8 2 5 4 2" xfId="26966"/>
    <cellStyle name="메모 8 2 5 4 3" xfId="32382"/>
    <cellStyle name="메모 8 2 5 4 4" xfId="38600"/>
    <cellStyle name="메모 8 2 5 4 5" xfId="17964"/>
    <cellStyle name="메모 8 2 5 5" xfId="7266"/>
    <cellStyle name="메모 8 2 5 5 2" xfId="20494"/>
    <cellStyle name="메모 8 2 5 5 3" xfId="30548"/>
    <cellStyle name="메모 8 2 5 5 4" xfId="27769"/>
    <cellStyle name="메모 8 2 5 5 5" xfId="15519"/>
    <cellStyle name="메모 8 2 5 6" xfId="12908"/>
    <cellStyle name="메모 8 2 5 6 2" xfId="26136"/>
    <cellStyle name="메모 8 2 5 6 3" xfId="42673"/>
    <cellStyle name="메모 8 2 5 6 4" xfId="49507"/>
    <cellStyle name="메모 8 2 5 7" xfId="31257"/>
    <cellStyle name="메모 8 2 5 7 2" xfId="17154"/>
    <cellStyle name="메모 8 2 5 7 3" xfId="32978"/>
    <cellStyle name="메모 8 2 5 8" xfId="29164"/>
    <cellStyle name="메모 8 2 5 9" xfId="32220"/>
    <cellStyle name="메모 8 2 6" xfId="10147"/>
    <cellStyle name="메모 8 2 6 2" xfId="8590"/>
    <cellStyle name="메모 8 2 6 2 2" xfId="21818"/>
    <cellStyle name="메모 8 2 6 2 3" xfId="33093"/>
    <cellStyle name="메모 8 2 6 2 4" xfId="44378"/>
    <cellStyle name="메모 8 2 6 2 5" xfId="28676"/>
    <cellStyle name="메모 8 2 6 3" xfId="23375"/>
    <cellStyle name="메모 8 2 6 3 2" xfId="35579"/>
    <cellStyle name="메모 8 2 6 3 3" xfId="41455"/>
    <cellStyle name="메모 8 2 6 3 4" xfId="48289"/>
    <cellStyle name="메모 8 2 6 4" xfId="35537"/>
    <cellStyle name="메모 8 2 6 4 2" xfId="41411"/>
    <cellStyle name="메모 8 2 6 4 3" xfId="48245"/>
    <cellStyle name="메모 8 2 6 5" xfId="37398"/>
    <cellStyle name="메모 8 2 6 5 2" xfId="43318"/>
    <cellStyle name="메모 8 2 6 5 3" xfId="50152"/>
    <cellStyle name="메모 8 2 6 6" xfId="28790"/>
    <cellStyle name="메모 8 2 6 7" xfId="31432"/>
    <cellStyle name="메모 8 2 6 8" xfId="40565"/>
    <cellStyle name="메모 8 2 7" xfId="9106"/>
    <cellStyle name="메모 8 2 7 2" xfId="22334"/>
    <cellStyle name="메모 8 2 7 3" xfId="30757"/>
    <cellStyle name="메모 8 2 7 4" xfId="17844"/>
    <cellStyle name="메모 8 2 7 5" xfId="17705"/>
    <cellStyle name="메모 8 2 8" xfId="13005"/>
    <cellStyle name="메모 8 2 8 2" xfId="26233"/>
    <cellStyle name="메모 8 2 8 3" xfId="31699"/>
    <cellStyle name="메모 8 2 8 4" xfId="17369"/>
    <cellStyle name="메모 8 2 8 5" xfId="33403"/>
    <cellStyle name="메모 8 2 9" xfId="13064"/>
    <cellStyle name="메모 8 2 9 2" xfId="26292"/>
    <cellStyle name="메모 8 2 9 3" xfId="34918"/>
    <cellStyle name="메모 8 2 9 4" xfId="40916"/>
    <cellStyle name="메모 8 2 9 5" xfId="38409"/>
    <cellStyle name="메모 8 3" xfId="6388"/>
    <cellStyle name="메모 8 3 2" xfId="11122"/>
    <cellStyle name="메모 8 3 2 2" xfId="24350"/>
    <cellStyle name="메모 8 3 2 3" xfId="33752"/>
    <cellStyle name="메모 8 3 2 4" xfId="44886"/>
    <cellStyle name="메모 8 3 2 5" xfId="39908"/>
    <cellStyle name="메모 8 3 3" xfId="9072"/>
    <cellStyle name="메모 8 3 3 2" xfId="22300"/>
    <cellStyle name="메모 8 3 3 3" xfId="36178"/>
    <cellStyle name="메모 8 3 3 4" xfId="42071"/>
    <cellStyle name="메모 8 3 3 5" xfId="48905"/>
    <cellStyle name="메모 8 3 4" xfId="19616"/>
    <cellStyle name="메모 8 3 4 2" xfId="37447"/>
    <cellStyle name="메모 8 3 4 3" xfId="43367"/>
    <cellStyle name="메모 8 3 4 4" xfId="50201"/>
    <cellStyle name="메모 8 3 5" xfId="30482"/>
    <cellStyle name="메모 8 3 5 2" xfId="15278"/>
    <cellStyle name="메모 8 3 5 3" xfId="46880"/>
    <cellStyle name="메모 8 3 6" xfId="29440"/>
    <cellStyle name="메모 8 3 7" xfId="16113"/>
    <cellStyle name="메모 8 3 8" xfId="44581"/>
    <cellStyle name="메모 8 4" xfId="7911"/>
    <cellStyle name="메모 8 4 2" xfId="21139"/>
    <cellStyle name="메모 8 5" xfId="39352"/>
    <cellStyle name="메모 8_사업부문" xfId="53763"/>
    <cellStyle name="메모 9" xfId="2761"/>
    <cellStyle name="메모 9 2" xfId="5285"/>
    <cellStyle name="메모 9 2 10" xfId="8520"/>
    <cellStyle name="메모 9 2 10 2" xfId="21748"/>
    <cellStyle name="메모 9 2 10 3" xfId="18041"/>
    <cellStyle name="메모 9 2 10 4" xfId="47238"/>
    <cellStyle name="메모 9 2 11" xfId="18528"/>
    <cellStyle name="메모 9 2 12" xfId="28066"/>
    <cellStyle name="메모 9 2 13" xfId="15755"/>
    <cellStyle name="메모 9 2 14" xfId="28839"/>
    <cellStyle name="메모 9 2 2" xfId="6658"/>
    <cellStyle name="메모 9 2 2 2" xfId="11392"/>
    <cellStyle name="메모 9 2 2 2 2" xfId="24620"/>
    <cellStyle name="메모 9 2 2 2 3" xfId="34022"/>
    <cellStyle name="메모 9 2 2 2 4" xfId="45087"/>
    <cellStyle name="메모 9 2 2 2 5" xfId="41265"/>
    <cellStyle name="메모 9 2 2 3" xfId="9117"/>
    <cellStyle name="메모 9 2 2 3 2" xfId="22345"/>
    <cellStyle name="메모 9 2 2 3 3" xfId="36447"/>
    <cellStyle name="메모 9 2 2 3 4" xfId="42340"/>
    <cellStyle name="메모 9 2 2 3 5" xfId="49174"/>
    <cellStyle name="메모 9 2 2 4" xfId="19886"/>
    <cellStyle name="메모 9 2 2 4 2" xfId="32008"/>
    <cellStyle name="메모 9 2 2 4 3" xfId="38231"/>
    <cellStyle name="메모 9 2 2 4 4" xfId="44156"/>
    <cellStyle name="메모 9 2 2 5" xfId="37308"/>
    <cellStyle name="메모 9 2 2 5 2" xfId="43228"/>
    <cellStyle name="메모 9 2 2 5 3" xfId="50062"/>
    <cellStyle name="메모 9 2 2 6" xfId="29710"/>
    <cellStyle name="메모 9 2 2 7" xfId="16306"/>
    <cellStyle name="메모 9 2 2 8" xfId="43866"/>
    <cellStyle name="메모 9 2 3" xfId="6684"/>
    <cellStyle name="메모 9 2 3 2" xfId="11418"/>
    <cellStyle name="메모 9 2 3 2 2" xfId="24646"/>
    <cellStyle name="메모 9 2 3 2 3" xfId="34048"/>
    <cellStyle name="메모 9 2 3 2 4" xfId="45110"/>
    <cellStyle name="메모 9 2 3 2 5" xfId="40075"/>
    <cellStyle name="메모 9 2 3 3" xfId="9140"/>
    <cellStyle name="메모 9 2 3 3 2" xfId="22368"/>
    <cellStyle name="메모 9 2 3 3 3" xfId="36473"/>
    <cellStyle name="메모 9 2 3 3 4" xfId="42366"/>
    <cellStyle name="메모 9 2 3 3 5" xfId="49200"/>
    <cellStyle name="메모 9 2 3 4" xfId="19912"/>
    <cellStyle name="메모 9 2 3 4 2" xfId="29868"/>
    <cellStyle name="메모 9 2 3 4 3" xfId="16402"/>
    <cellStyle name="메모 9 2 3 4 4" xfId="45427"/>
    <cellStyle name="메모 9 2 3 5" xfId="37739"/>
    <cellStyle name="메모 9 2 3 5 2" xfId="43663"/>
    <cellStyle name="메모 9 2 3 5 3" xfId="50497"/>
    <cellStyle name="메모 9 2 3 6" xfId="29736"/>
    <cellStyle name="메모 9 2 3 7" xfId="16319"/>
    <cellStyle name="메모 9 2 3 8" xfId="45179"/>
    <cellStyle name="메모 9 2 4" xfId="6485"/>
    <cellStyle name="메모 9 2 4 2" xfId="11219"/>
    <cellStyle name="메모 9 2 4 2 2" xfId="24447"/>
    <cellStyle name="메모 9 2 4 2 3" xfId="33849"/>
    <cellStyle name="메모 9 2 4 2 4" xfId="44957"/>
    <cellStyle name="메모 9 2 4 2 5" xfId="32277"/>
    <cellStyle name="메모 9 2 4 3" xfId="8201"/>
    <cellStyle name="메모 9 2 4 3 2" xfId="21429"/>
    <cellStyle name="메모 9 2 4 3 3" xfId="36275"/>
    <cellStyle name="메모 9 2 4 3 4" xfId="42168"/>
    <cellStyle name="메모 9 2 4 3 5" xfId="49002"/>
    <cellStyle name="메모 9 2 4 4" xfId="19713"/>
    <cellStyle name="메모 9 2 4 4 2" xfId="34872"/>
    <cellStyle name="메모 9 2 4 4 3" xfId="40870"/>
    <cellStyle name="메모 9 2 4 4 4" xfId="39411"/>
    <cellStyle name="메모 9 2 4 5" xfId="30251"/>
    <cellStyle name="메모 9 2 4 5 2" xfId="17724"/>
    <cellStyle name="메모 9 2 4 5 3" xfId="45271"/>
    <cellStyle name="메모 9 2 4 6" xfId="29537"/>
    <cellStyle name="메모 9 2 4 7" xfId="16181"/>
    <cellStyle name="메모 9 2 4 8" xfId="45541"/>
    <cellStyle name="메모 9 2 5" xfId="6113"/>
    <cellStyle name="메모 9 2 5 10" xfId="44597"/>
    <cellStyle name="메모 9 2 5 2" xfId="12666"/>
    <cellStyle name="메모 9 2 5 2 2" xfId="14405"/>
    <cellStyle name="메모 9 2 5 2 2 2" xfId="27633"/>
    <cellStyle name="메모 9 2 5 2 2 3" xfId="36987"/>
    <cellStyle name="메모 9 2 5 2 2 4" xfId="42906"/>
    <cellStyle name="메모 9 2 5 2 2 5" xfId="49740"/>
    <cellStyle name="메모 9 2 5 2 3" xfId="25894"/>
    <cellStyle name="메모 9 2 5 2 3 2" xfId="37855"/>
    <cellStyle name="메모 9 2 5 2 3 3" xfId="43780"/>
    <cellStyle name="메모 9 2 5 2 3 4" xfId="50614"/>
    <cellStyle name="메모 9 2 5 2 4" xfId="37933"/>
    <cellStyle name="메모 9 2 5 2 4 2" xfId="43858"/>
    <cellStyle name="메모 9 2 5 2 4 3" xfId="50692"/>
    <cellStyle name="메모 9 2 5 2 5" xfId="34646"/>
    <cellStyle name="메모 9 2 5 2 6" xfId="38466"/>
    <cellStyle name="메모 9 2 5 3" xfId="10847"/>
    <cellStyle name="메모 9 2 5 3 2" xfId="24075"/>
    <cellStyle name="메모 9 2 5 3 3" xfId="33477"/>
    <cellStyle name="메모 9 2 5 3 4" xfId="39662"/>
    <cellStyle name="메모 9 2 5 3 5" xfId="16504"/>
    <cellStyle name="메모 9 2 5 4" xfId="13739"/>
    <cellStyle name="메모 9 2 5 4 2" xfId="26967"/>
    <cellStyle name="메모 9 2 5 4 3" xfId="32383"/>
    <cellStyle name="메모 9 2 5 4 4" xfId="38601"/>
    <cellStyle name="메모 9 2 5 4 5" xfId="15735"/>
    <cellStyle name="메모 9 2 5 5" xfId="7302"/>
    <cellStyle name="메모 9 2 5 5 2" xfId="20530"/>
    <cellStyle name="메모 9 2 5 5 3" xfId="30459"/>
    <cellStyle name="메모 9 2 5 5 4" xfId="27784"/>
    <cellStyle name="메모 9 2 5 5 5" xfId="15636"/>
    <cellStyle name="메모 9 2 5 6" xfId="8509"/>
    <cellStyle name="메모 9 2 5 6 2" xfId="21737"/>
    <cellStyle name="메모 9 2 5 6 3" xfId="17109"/>
    <cellStyle name="메모 9 2 5 6 4" xfId="47051"/>
    <cellStyle name="메모 9 2 5 7" xfId="35534"/>
    <cellStyle name="메모 9 2 5 7 2" xfId="41408"/>
    <cellStyle name="메모 9 2 5 7 3" xfId="48242"/>
    <cellStyle name="메모 9 2 5 8" xfId="29165"/>
    <cellStyle name="메모 9 2 5 9" xfId="28904"/>
    <cellStyle name="메모 9 2 6" xfId="10148"/>
    <cellStyle name="메모 9 2 6 2" xfId="7754"/>
    <cellStyle name="메모 9 2 6 2 2" xfId="20982"/>
    <cellStyle name="메모 9 2 6 2 3" xfId="33094"/>
    <cellStyle name="메모 9 2 6 2 4" xfId="44379"/>
    <cellStyle name="메모 9 2 6 2 5" xfId="38682"/>
    <cellStyle name="메모 9 2 6 3" xfId="23376"/>
    <cellStyle name="메모 9 2 6 3 2" xfId="35580"/>
    <cellStyle name="메모 9 2 6 3 3" xfId="41456"/>
    <cellStyle name="메모 9 2 6 3 4" xfId="48290"/>
    <cellStyle name="메모 9 2 6 4" xfId="31981"/>
    <cellStyle name="메모 9 2 6 4 2" xfId="38204"/>
    <cellStyle name="메모 9 2 6 4 3" xfId="47233"/>
    <cellStyle name="메모 9 2 6 5" xfId="30478"/>
    <cellStyle name="메모 9 2 6 5 2" xfId="15184"/>
    <cellStyle name="메모 9 2 6 5 3" xfId="15620"/>
    <cellStyle name="메모 9 2 6 6" xfId="28791"/>
    <cellStyle name="메모 9 2 6 7" xfId="15766"/>
    <cellStyle name="메모 9 2 6 8" xfId="34345"/>
    <cellStyle name="메모 9 2 7" xfId="9107"/>
    <cellStyle name="메모 9 2 7 2" xfId="22335"/>
    <cellStyle name="메모 9 2 7 3" xfId="30758"/>
    <cellStyle name="메모 9 2 7 4" xfId="27734"/>
    <cellStyle name="메모 9 2 7 5" xfId="32560"/>
    <cellStyle name="메모 9 2 8" xfId="13006"/>
    <cellStyle name="메모 9 2 8 2" xfId="26234"/>
    <cellStyle name="메모 9 2 8 3" xfId="35896"/>
    <cellStyle name="메모 9 2 8 4" xfId="41789"/>
    <cellStyle name="메모 9 2 8 5" xfId="48623"/>
    <cellStyle name="메모 9 2 9" xfId="7202"/>
    <cellStyle name="메모 9 2 9 2" xfId="20430"/>
    <cellStyle name="메모 9 2 9 3" xfId="30674"/>
    <cellStyle name="메모 9 2 9 4" xfId="15208"/>
    <cellStyle name="메모 9 2 9 5" xfId="44212"/>
    <cellStyle name="메모 9 3" xfId="6336"/>
    <cellStyle name="메모 9 3 2" xfId="11070"/>
    <cellStyle name="메모 9 3 2 2" xfId="24298"/>
    <cellStyle name="메모 9 3 2 3" xfId="33700"/>
    <cellStyle name="메모 9 3 2 4" xfId="44834"/>
    <cellStyle name="메모 9 3 2 5" xfId="41209"/>
    <cellStyle name="메모 9 3 3" xfId="12708"/>
    <cellStyle name="메모 9 3 3 2" xfId="25936"/>
    <cellStyle name="메모 9 3 3 3" xfId="36126"/>
    <cellStyle name="메모 9 3 3 4" xfId="42019"/>
    <cellStyle name="메모 9 3 3 5" xfId="48853"/>
    <cellStyle name="메모 9 3 4" xfId="19564"/>
    <cellStyle name="메모 9 3 4 2" xfId="35651"/>
    <cellStyle name="메모 9 3 4 3" xfId="41531"/>
    <cellStyle name="메모 9 3 4 4" xfId="48365"/>
    <cellStyle name="메모 9 3 5" xfId="37651"/>
    <cellStyle name="메모 9 3 5 2" xfId="43574"/>
    <cellStyle name="메모 9 3 5 3" xfId="50408"/>
    <cellStyle name="메모 9 3 6" xfId="29388"/>
    <cellStyle name="메모 9 3 7" xfId="16077"/>
    <cellStyle name="메모 9 3 8" xfId="39377"/>
    <cellStyle name="메모 9 4" xfId="7853"/>
    <cellStyle name="메모 9 4 2" xfId="21081"/>
    <cellStyle name="메모 9 5" xfId="33109"/>
    <cellStyle name="메모 9_사업부문" xfId="53764"/>
    <cellStyle name="묮뎋 [0.00]_Revenue Forecast Q1 (2)" xfId="53765"/>
    <cellStyle name="묮뎋_Revenue Forecast Q1 (2)" xfId="53766"/>
    <cellStyle name="믅됞 [0.00]_laroux" xfId="53767"/>
    <cellStyle name="믅됞_laroux" xfId="53768"/>
    <cellStyle name="백분율" xfId="369" builtinId="5"/>
    <cellStyle name="백분율 10" xfId="196"/>
    <cellStyle name="백분율 10 2" xfId="197"/>
    <cellStyle name="백분율 10 2 2" xfId="2827"/>
    <cellStyle name="백분율 10 2 2 2" xfId="2828"/>
    <cellStyle name="백분율 10 2 3" xfId="198"/>
    <cellStyle name="백분율 10 2 3 2" xfId="2830"/>
    <cellStyle name="백분율 10 2 3 3" xfId="4865"/>
    <cellStyle name="백분율 10 2 3 4" xfId="2829"/>
    <cellStyle name="백분율 10 2 3 5" xfId="51281"/>
    <cellStyle name="백분율 10 2 4" xfId="4864"/>
    <cellStyle name="백분율 10 2 5" xfId="2826"/>
    <cellStyle name="백분율 10 2 6" xfId="51282"/>
    <cellStyle name="백분율 10 3" xfId="199"/>
    <cellStyle name="백분율 10 3 2" xfId="2832"/>
    <cellStyle name="백분율 10 3 3" xfId="2831"/>
    <cellStyle name="백분율 10 4" xfId="2833"/>
    <cellStyle name="백분율 10 5" xfId="2834"/>
    <cellStyle name="백분율 10 6" xfId="2835"/>
    <cellStyle name="백분율 11" xfId="2836"/>
    <cellStyle name="백분율 12" xfId="2837"/>
    <cellStyle name="백분율 13" xfId="2838"/>
    <cellStyle name="백분율 14" xfId="2839"/>
    <cellStyle name="백분율 14 2" xfId="53769"/>
    <cellStyle name="백분율 15" xfId="2840"/>
    <cellStyle name="백분율 16" xfId="2841"/>
    <cellStyle name="백분율 17" xfId="2842"/>
    <cellStyle name="백분율 18" xfId="2843"/>
    <cellStyle name="백분율 18 2" xfId="2844"/>
    <cellStyle name="백분율 19" xfId="5129"/>
    <cellStyle name="백분율 2" xfId="200"/>
    <cellStyle name="백분율 2 10" xfId="2845"/>
    <cellStyle name="백분율 2 11" xfId="2846"/>
    <cellStyle name="백분율 2 12" xfId="2847"/>
    <cellStyle name="백분율 2 13" xfId="2848"/>
    <cellStyle name="백분율 2 14" xfId="2849"/>
    <cellStyle name="백분율 2 15" xfId="2850"/>
    <cellStyle name="백분율 2 16" xfId="2851"/>
    <cellStyle name="백분율 2 17" xfId="2852"/>
    <cellStyle name="백분율 2 18" xfId="2853"/>
    <cellStyle name="백분율 2 19" xfId="2854"/>
    <cellStyle name="백분율 2 2" xfId="2855"/>
    <cellStyle name="백분율 2 2 2" xfId="53770"/>
    <cellStyle name="백분율 2 2 2 2" xfId="53771"/>
    <cellStyle name="백분율 2 20" xfId="2856"/>
    <cellStyle name="백분율 2 21" xfId="2857"/>
    <cellStyle name="백분율 2 22" xfId="2858"/>
    <cellStyle name="백분율 2 23" xfId="2859"/>
    <cellStyle name="백분율 2 24" xfId="2860"/>
    <cellStyle name="백분율 2 25" xfId="2861"/>
    <cellStyle name="백분율 2 26" xfId="2862"/>
    <cellStyle name="백분율 2 27" xfId="2863"/>
    <cellStyle name="백분율 2 28" xfId="2864"/>
    <cellStyle name="백분율 2 29" xfId="2865"/>
    <cellStyle name="백분율 2 3" xfId="2866"/>
    <cellStyle name="백분율 2 30" xfId="2867"/>
    <cellStyle name="백분율 2 31" xfId="2868"/>
    <cellStyle name="백분율 2 32" xfId="2869"/>
    <cellStyle name="백분율 2 33" xfId="2870"/>
    <cellStyle name="백분율 2 34" xfId="2871"/>
    <cellStyle name="백분율 2 35" xfId="2872"/>
    <cellStyle name="백분율 2 36" xfId="2873"/>
    <cellStyle name="백분율 2 37" xfId="2874"/>
    <cellStyle name="백분율 2 38" xfId="2875"/>
    <cellStyle name="백분율 2 39" xfId="2876"/>
    <cellStyle name="백분율 2 4" xfId="2877"/>
    <cellStyle name="백분율 2 40" xfId="2878"/>
    <cellStyle name="백분율 2 41" xfId="2879"/>
    <cellStyle name="백분율 2 42" xfId="2880"/>
    <cellStyle name="백분율 2 43" xfId="2881"/>
    <cellStyle name="백분율 2 44" xfId="2882"/>
    <cellStyle name="백분율 2 45" xfId="2883"/>
    <cellStyle name="백분율 2 46" xfId="2884"/>
    <cellStyle name="백분율 2 47" xfId="2885"/>
    <cellStyle name="백분율 2 48" xfId="2886"/>
    <cellStyle name="백분율 2 49" xfId="2887"/>
    <cellStyle name="백분율 2 5" xfId="2888"/>
    <cellStyle name="백분율 2 50" xfId="2889"/>
    <cellStyle name="백분율 2 51" xfId="2890"/>
    <cellStyle name="백분율 2 52" xfId="2891"/>
    <cellStyle name="백분율 2 53" xfId="2892"/>
    <cellStyle name="백분율 2 54" xfId="2893"/>
    <cellStyle name="백분율 2 55" xfId="2894"/>
    <cellStyle name="백분율 2 56" xfId="2895"/>
    <cellStyle name="백분율 2 57" xfId="2896"/>
    <cellStyle name="백분율 2 58" xfId="2897"/>
    <cellStyle name="백분율 2 59" xfId="2898"/>
    <cellStyle name="백분율 2 6" xfId="2899"/>
    <cellStyle name="백분율 2 60" xfId="2900"/>
    <cellStyle name="백분율 2 61" xfId="2901"/>
    <cellStyle name="백분율 2 62" xfId="2902"/>
    <cellStyle name="백분율 2 63" xfId="2903"/>
    <cellStyle name="백분율 2 64" xfId="2904"/>
    <cellStyle name="백분율 2 65" xfId="2905"/>
    <cellStyle name="백분율 2 66" xfId="2906"/>
    <cellStyle name="백분율 2 67" xfId="2907"/>
    <cellStyle name="백분율 2 68" xfId="2908"/>
    <cellStyle name="백분율 2 69" xfId="2909"/>
    <cellStyle name="백분율 2 7" xfId="2910"/>
    <cellStyle name="백분율 2 70" xfId="2911"/>
    <cellStyle name="백분율 2 71" xfId="2912"/>
    <cellStyle name="백분율 2 72" xfId="51050"/>
    <cellStyle name="백분율 2 8" xfId="2913"/>
    <cellStyle name="백분율 2 9" xfId="2914"/>
    <cellStyle name="백분율 20" xfId="2915"/>
    <cellStyle name="백분율 21" xfId="2916"/>
    <cellStyle name="백분율 22" xfId="5421"/>
    <cellStyle name="백분율 23" xfId="50696"/>
    <cellStyle name="백분율 23 2" xfId="53772"/>
    <cellStyle name="백분율 23 2 2" xfId="53773"/>
    <cellStyle name="백분율 23 3" xfId="53774"/>
    <cellStyle name="백분율 24" xfId="2917"/>
    <cellStyle name="백분율 24 2" xfId="53775"/>
    <cellStyle name="백분율 25" xfId="2918"/>
    <cellStyle name="백분율 26" xfId="2919"/>
    <cellStyle name="백분율 27" xfId="2920"/>
    <cellStyle name="백분율 28" xfId="2921"/>
    <cellStyle name="백분율 29" xfId="2922"/>
    <cellStyle name="백분율 3" xfId="201"/>
    <cellStyle name="백분율 3 10" xfId="2924"/>
    <cellStyle name="백분율 3 11" xfId="2925"/>
    <cellStyle name="백분율 3 12" xfId="2926"/>
    <cellStyle name="백분율 3 13" xfId="2927"/>
    <cellStyle name="백분율 3 14" xfId="2923"/>
    <cellStyle name="백분율 3 2" xfId="2928"/>
    <cellStyle name="백분율 3 2 2" xfId="53776"/>
    <cellStyle name="백분율 3 3" xfId="2929"/>
    <cellStyle name="백분율 3 4" xfId="2930"/>
    <cellStyle name="백분율 3 5" xfId="2931"/>
    <cellStyle name="백분율 3 6" xfId="2932"/>
    <cellStyle name="백분율 3 7" xfId="2933"/>
    <cellStyle name="백분율 3 8" xfId="2934"/>
    <cellStyle name="백분율 3 9" xfId="2935"/>
    <cellStyle name="백분율 30" xfId="2936"/>
    <cellStyle name="백분율 31" xfId="2937"/>
    <cellStyle name="백분율 4" xfId="202"/>
    <cellStyle name="백분율 4 10" xfId="2939"/>
    <cellStyle name="백분율 4 11" xfId="2940"/>
    <cellStyle name="백분율 4 12" xfId="2941"/>
    <cellStyle name="백분율 4 13" xfId="2942"/>
    <cellStyle name="백분율 4 14" xfId="2938"/>
    <cellStyle name="백분율 4 2" xfId="203"/>
    <cellStyle name="백분율 4 2 2" xfId="2944"/>
    <cellStyle name="백분율 4 2 2 2" xfId="2945"/>
    <cellStyle name="백분율 4 2 3" xfId="4866"/>
    <cellStyle name="백분율 4 2 4" xfId="2943"/>
    <cellStyle name="백분율 4 2 5" xfId="51283"/>
    <cellStyle name="백분율 4 3" xfId="204"/>
    <cellStyle name="백분율 4 4" xfId="2946"/>
    <cellStyle name="백분율 4 5" xfId="2947"/>
    <cellStyle name="백분율 4 6" xfId="2948"/>
    <cellStyle name="백분율 4 7" xfId="2949"/>
    <cellStyle name="백분율 4 8" xfId="2950"/>
    <cellStyle name="백분율 4 9" xfId="2951"/>
    <cellStyle name="백분율 5" xfId="205"/>
    <cellStyle name="백분율 5 2" xfId="206"/>
    <cellStyle name="백분율 5 2 2" xfId="53777"/>
    <cellStyle name="백분율 5 3" xfId="2952"/>
    <cellStyle name="백분율 5 4" xfId="2953"/>
    <cellStyle name="백분율 5 5" xfId="2954"/>
    <cellStyle name="백분율 5 5 2" xfId="2955"/>
    <cellStyle name="백분율 5 6" xfId="4867"/>
    <cellStyle name="백분율 5 7" xfId="51284"/>
    <cellStyle name="백분율 6" xfId="207"/>
    <cellStyle name="백분율 6 2" xfId="2957"/>
    <cellStyle name="백분율 6 2 2" xfId="2958"/>
    <cellStyle name="백분율 6 3" xfId="4868"/>
    <cellStyle name="백분율 6 4" xfId="2956"/>
    <cellStyle name="백분율 6 5" xfId="51285"/>
    <cellStyle name="백분율 7" xfId="208"/>
    <cellStyle name="백분율 7 10" xfId="2960"/>
    <cellStyle name="백분율 7 11" xfId="2961"/>
    <cellStyle name="백분율 7 12" xfId="2962"/>
    <cellStyle name="백분율 7 13" xfId="2963"/>
    <cellStyle name="백분율 7 14" xfId="2964"/>
    <cellStyle name="백분율 7 15" xfId="2965"/>
    <cellStyle name="백분율 7 16" xfId="2966"/>
    <cellStyle name="백분율 7 17" xfId="2967"/>
    <cellStyle name="백분율 7 18" xfId="2968"/>
    <cellStyle name="백분율 7 19" xfId="2969"/>
    <cellStyle name="백분율 7 2" xfId="2970"/>
    <cellStyle name="백분율 7 20" xfId="2971"/>
    <cellStyle name="백분율 7 21" xfId="2972"/>
    <cellStyle name="백분율 7 22" xfId="2973"/>
    <cellStyle name="백분율 7 23" xfId="2974"/>
    <cellStyle name="백분율 7 24" xfId="2975"/>
    <cellStyle name="백분율 7 25" xfId="2976"/>
    <cellStyle name="백분율 7 26" xfId="2977"/>
    <cellStyle name="백분율 7 27" xfId="2959"/>
    <cellStyle name="백분율 7 3" xfId="2978"/>
    <cellStyle name="백분율 7 4" xfId="2979"/>
    <cellStyle name="백분율 7 5" xfId="2980"/>
    <cellStyle name="백분율 7 6" xfId="2981"/>
    <cellStyle name="백분율 7 7" xfId="2982"/>
    <cellStyle name="백분율 7 8" xfId="2983"/>
    <cellStyle name="백분율 7 9" xfId="2984"/>
    <cellStyle name="백분율 8" xfId="556"/>
    <cellStyle name="백분율 8 2" xfId="5137"/>
    <cellStyle name="백분율 8 3" xfId="2985"/>
    <cellStyle name="백분율 8 4" xfId="51286"/>
    <cellStyle name="백분율 9" xfId="2986"/>
    <cellStyle name="백분율 9 2" xfId="2987"/>
    <cellStyle name="백분율 9 3" xfId="2988"/>
    <cellStyle name="백분율 9 4" xfId="2989"/>
    <cellStyle name="백분율 9 5" xfId="2990"/>
    <cellStyle name="백분율 9 6" xfId="2991"/>
    <cellStyle name="백분율 9 7" xfId="2992"/>
    <cellStyle name="보통 10" xfId="53778"/>
    <cellStyle name="보통 10 2" xfId="53779"/>
    <cellStyle name="보통 11" xfId="53780"/>
    <cellStyle name="보통 11 2" xfId="53781"/>
    <cellStyle name="보통 12" xfId="53782"/>
    <cellStyle name="보통 13" xfId="53783"/>
    <cellStyle name="보통 14" xfId="53784"/>
    <cellStyle name="보통 15" xfId="53785"/>
    <cellStyle name="보통 16" xfId="53786"/>
    <cellStyle name="보통 17" xfId="53787"/>
    <cellStyle name="보통 18" xfId="53788"/>
    <cellStyle name="보통 19" xfId="53789"/>
    <cellStyle name="보통 2" xfId="209"/>
    <cellStyle name="보통 2 10" xfId="2995"/>
    <cellStyle name="보통 2 11" xfId="2996"/>
    <cellStyle name="보통 2 12" xfId="2997"/>
    <cellStyle name="보통 2 13" xfId="2998"/>
    <cellStyle name="보통 2 14" xfId="2999"/>
    <cellStyle name="보통 2 15" xfId="3000"/>
    <cellStyle name="보통 2 16" xfId="3001"/>
    <cellStyle name="보통 2 17" xfId="3002"/>
    <cellStyle name="보통 2 18" xfId="3003"/>
    <cellStyle name="보통 2 19" xfId="3004"/>
    <cellStyle name="보통 2 2" xfId="3005"/>
    <cellStyle name="보통 2 2 2" xfId="3006"/>
    <cellStyle name="보통 2 2_CRM팀 1단계 정보확인 DB 검색코드_110425" xfId="3007"/>
    <cellStyle name="보통 2 20" xfId="3008"/>
    <cellStyle name="보통 2 21" xfId="3009"/>
    <cellStyle name="보통 2 22" xfId="3010"/>
    <cellStyle name="보통 2 23" xfId="3011"/>
    <cellStyle name="보통 2 24" xfId="3012"/>
    <cellStyle name="보통 2 25" xfId="3013"/>
    <cellStyle name="보통 2 26" xfId="3014"/>
    <cellStyle name="보통 2 27" xfId="4869"/>
    <cellStyle name="보통 2 28" xfId="2994"/>
    <cellStyle name="보통 2 29" xfId="51287"/>
    <cellStyle name="보통 2 3" xfId="3015"/>
    <cellStyle name="보통 2 4" xfId="3016"/>
    <cellStyle name="보통 2 5" xfId="3017"/>
    <cellStyle name="보통 2 6" xfId="3018"/>
    <cellStyle name="보통 2 7" xfId="3019"/>
    <cellStyle name="보통 2 8" xfId="3020"/>
    <cellStyle name="보통 2 9" xfId="3021"/>
    <cellStyle name="보통 2_CRM팀 1단계 정보확인 DB 검색코드_110425" xfId="3022"/>
    <cellStyle name="보통 20" xfId="53790"/>
    <cellStyle name="보통 21" xfId="53791"/>
    <cellStyle name="보통 22" xfId="53792"/>
    <cellStyle name="보통 23" xfId="53793"/>
    <cellStyle name="보통 24" xfId="53794"/>
    <cellStyle name="보통 25" xfId="53795"/>
    <cellStyle name="보통 26" xfId="53796"/>
    <cellStyle name="보통 3" xfId="210"/>
    <cellStyle name="보통 3 2" xfId="3024"/>
    <cellStyle name="보통 3 2 2" xfId="51051"/>
    <cellStyle name="보통 3 3" xfId="3023"/>
    <cellStyle name="보통 3 4" xfId="53797"/>
    <cellStyle name="보통 3 5" xfId="53798"/>
    <cellStyle name="보통 3_사업부문" xfId="53799"/>
    <cellStyle name="보통 4" xfId="211"/>
    <cellStyle name="보통 4 2" xfId="3026"/>
    <cellStyle name="보통 4 2 2" xfId="51052"/>
    <cellStyle name="보통 4 3" xfId="3025"/>
    <cellStyle name="보통 4 4" xfId="53800"/>
    <cellStyle name="보통 4 5" xfId="53801"/>
    <cellStyle name="보통 4_사업부문" xfId="53802"/>
    <cellStyle name="보통 5" xfId="212"/>
    <cellStyle name="보통 5 2" xfId="3028"/>
    <cellStyle name="보통 5 2 2" xfId="51053"/>
    <cellStyle name="보통 5 3" xfId="3027"/>
    <cellStyle name="보통 5_사업부문" xfId="53803"/>
    <cellStyle name="보통 6" xfId="213"/>
    <cellStyle name="보통 6 2" xfId="3030"/>
    <cellStyle name="보통 6 2 2" xfId="51054"/>
    <cellStyle name="보통 6 3" xfId="3029"/>
    <cellStyle name="보통 6_사업부문" xfId="53804"/>
    <cellStyle name="보통 7" xfId="214"/>
    <cellStyle name="보통 7 2" xfId="5286"/>
    <cellStyle name="보통 7 3" xfId="51055"/>
    <cellStyle name="보통 7_사업부문" xfId="53805"/>
    <cellStyle name="보통 8" xfId="3031"/>
    <cellStyle name="보통 8 2" xfId="53806"/>
    <cellStyle name="보통 8 3" xfId="53807"/>
    <cellStyle name="보통 9" xfId="2993"/>
    <cellStyle name="보통 9 2" xfId="53808"/>
    <cellStyle name="부제목" xfId="53809"/>
    <cellStyle name="뷭?" xfId="53810"/>
    <cellStyle name="常规 2" xfId="3032"/>
    <cellStyle name="常规 2 2" xfId="3033"/>
    <cellStyle name="常规 2 2 2" xfId="3034"/>
    <cellStyle name="常规 2 2 2 2" xfId="3035"/>
    <cellStyle name="常规 2 2 3" xfId="3036"/>
    <cellStyle name="常规 2 3" xfId="3037"/>
    <cellStyle name="常规 2 3 2" xfId="3038"/>
    <cellStyle name="常规 2 3 2 2" xfId="3039"/>
    <cellStyle name="常规 2 3 3" xfId="3040"/>
    <cellStyle name="常规 2 4" xfId="3041"/>
    <cellStyle name="常规 2 4 2" xfId="3042"/>
    <cellStyle name="常规_2003qingdao" xfId="53811"/>
    <cellStyle name="선택영역의 가운데로" xfId="53812"/>
    <cellStyle name="설명 텍스트 10" xfId="53813"/>
    <cellStyle name="설명 텍스트 10 2" xfId="53814"/>
    <cellStyle name="설명 텍스트 11" xfId="53815"/>
    <cellStyle name="설명 텍스트 11 2" xfId="53816"/>
    <cellStyle name="설명 텍스트 12" xfId="53817"/>
    <cellStyle name="설명 텍스트 13" xfId="53818"/>
    <cellStyle name="설명 텍스트 14" xfId="53819"/>
    <cellStyle name="설명 텍스트 15" xfId="53820"/>
    <cellStyle name="설명 텍스트 16" xfId="53821"/>
    <cellStyle name="설명 텍스트 17" xfId="53822"/>
    <cellStyle name="설명 텍스트 18" xfId="53823"/>
    <cellStyle name="설명 텍스트 19" xfId="53824"/>
    <cellStyle name="설명 텍스트 2" xfId="215"/>
    <cellStyle name="설명 텍스트 2 10" xfId="3045"/>
    <cellStyle name="설명 텍스트 2 11" xfId="3046"/>
    <cellStyle name="설명 텍스트 2 12" xfId="3047"/>
    <cellStyle name="설명 텍스트 2 13" xfId="3048"/>
    <cellStyle name="설명 텍스트 2 14" xfId="3049"/>
    <cellStyle name="설명 텍스트 2 15" xfId="3050"/>
    <cellStyle name="설명 텍스트 2 16" xfId="3051"/>
    <cellStyle name="설명 텍스트 2 17" xfId="3052"/>
    <cellStyle name="설명 텍스트 2 18" xfId="3053"/>
    <cellStyle name="설명 텍스트 2 19" xfId="3054"/>
    <cellStyle name="설명 텍스트 2 2" xfId="3055"/>
    <cellStyle name="설명 텍스트 2 2 2" xfId="3056"/>
    <cellStyle name="설명 텍스트 2 2_CRM팀 1단계 정보확인 DB 검색코드_110425" xfId="3057"/>
    <cellStyle name="설명 텍스트 2 20" xfId="3058"/>
    <cellStyle name="설명 텍스트 2 21" xfId="3059"/>
    <cellStyle name="설명 텍스트 2 22" xfId="3060"/>
    <cellStyle name="설명 텍스트 2 23" xfId="3061"/>
    <cellStyle name="설명 텍스트 2 24" xfId="3062"/>
    <cellStyle name="설명 텍스트 2 25" xfId="3063"/>
    <cellStyle name="설명 텍스트 2 26" xfId="3064"/>
    <cellStyle name="설명 텍스트 2 27" xfId="4870"/>
    <cellStyle name="설명 텍스트 2 28" xfId="3044"/>
    <cellStyle name="설명 텍스트 2 29" xfId="51288"/>
    <cellStyle name="설명 텍스트 2 3" xfId="3065"/>
    <cellStyle name="설명 텍스트 2 4" xfId="3066"/>
    <cellStyle name="설명 텍스트 2 5" xfId="3067"/>
    <cellStyle name="설명 텍스트 2 6" xfId="3068"/>
    <cellStyle name="설명 텍스트 2 7" xfId="3069"/>
    <cellStyle name="설명 텍스트 2 8" xfId="3070"/>
    <cellStyle name="설명 텍스트 2 9" xfId="3071"/>
    <cellStyle name="설명 텍스트 2_CRM팀 1단계 정보확인 DB 검색코드_110425" xfId="3072"/>
    <cellStyle name="설명 텍스트 20" xfId="53825"/>
    <cellStyle name="설명 텍스트 21" xfId="53826"/>
    <cellStyle name="설명 텍스트 22" xfId="53827"/>
    <cellStyle name="설명 텍스트 23" xfId="53828"/>
    <cellStyle name="설명 텍스트 24" xfId="53829"/>
    <cellStyle name="설명 텍스트 25" xfId="53830"/>
    <cellStyle name="설명 텍스트 26" xfId="53831"/>
    <cellStyle name="설명 텍스트 3" xfId="216"/>
    <cellStyle name="설명 텍스트 3 2" xfId="3074"/>
    <cellStyle name="설명 텍스트 3 2 2" xfId="51056"/>
    <cellStyle name="설명 텍스트 3 3" xfId="3073"/>
    <cellStyle name="설명 텍스트 3 4" xfId="53832"/>
    <cellStyle name="설명 텍스트 3 5" xfId="53833"/>
    <cellStyle name="설명 텍스트 3_사업부문" xfId="53834"/>
    <cellStyle name="설명 텍스트 4" xfId="217"/>
    <cellStyle name="설명 텍스트 4 2" xfId="3076"/>
    <cellStyle name="설명 텍스트 4 2 2" xfId="51057"/>
    <cellStyle name="설명 텍스트 4 3" xfId="3075"/>
    <cellStyle name="설명 텍스트 4 4" xfId="53835"/>
    <cellStyle name="설명 텍스트 4 5" xfId="53836"/>
    <cellStyle name="설명 텍스트 4_사업부문" xfId="53837"/>
    <cellStyle name="설명 텍스트 5" xfId="218"/>
    <cellStyle name="설명 텍스트 5 2" xfId="3078"/>
    <cellStyle name="설명 텍스트 5 2 2" xfId="51058"/>
    <cellStyle name="설명 텍스트 5 3" xfId="3077"/>
    <cellStyle name="설명 텍스트 5_사업부문" xfId="53838"/>
    <cellStyle name="설명 텍스트 6" xfId="219"/>
    <cellStyle name="설명 텍스트 6 2" xfId="3080"/>
    <cellStyle name="설명 텍스트 6 2 2" xfId="51059"/>
    <cellStyle name="설명 텍스트 6 3" xfId="3079"/>
    <cellStyle name="설명 텍스트 6_사업부문" xfId="53839"/>
    <cellStyle name="설명 텍스트 7" xfId="220"/>
    <cellStyle name="설명 텍스트 7 2" xfId="5287"/>
    <cellStyle name="설명 텍스트 7 3" xfId="51060"/>
    <cellStyle name="설명 텍스트 7_사업부문" xfId="53840"/>
    <cellStyle name="설명 텍스트 8" xfId="3081"/>
    <cellStyle name="설명 텍스트 8 2" xfId="53841"/>
    <cellStyle name="설명 텍스트 8 3" xfId="53842"/>
    <cellStyle name="설명 텍스트 9" xfId="3043"/>
    <cellStyle name="설명 텍스트 9 2" xfId="53843"/>
    <cellStyle name="셀 확인 10" xfId="53844"/>
    <cellStyle name="셀 확인 10 2" xfId="53845"/>
    <cellStyle name="셀 확인 10 2 2" xfId="53846"/>
    <cellStyle name="셀 확인 10 3" xfId="53847"/>
    <cellStyle name="셀 확인 11" xfId="53848"/>
    <cellStyle name="셀 확인 11 2" xfId="53849"/>
    <cellStyle name="셀 확인 11 2 2" xfId="53850"/>
    <cellStyle name="셀 확인 11 3" xfId="53851"/>
    <cellStyle name="셀 확인 12" xfId="53852"/>
    <cellStyle name="셀 확인 12 2" xfId="53853"/>
    <cellStyle name="셀 확인 13" xfId="53854"/>
    <cellStyle name="셀 확인 13 2" xfId="53855"/>
    <cellStyle name="셀 확인 14" xfId="53856"/>
    <cellStyle name="셀 확인 14 2" xfId="53857"/>
    <cellStyle name="셀 확인 15" xfId="53858"/>
    <cellStyle name="셀 확인 15 2" xfId="53859"/>
    <cellStyle name="셀 확인 16" xfId="53860"/>
    <cellStyle name="셀 확인 16 2" xfId="53861"/>
    <cellStyle name="셀 확인 17" xfId="53862"/>
    <cellStyle name="셀 확인 17 2" xfId="53863"/>
    <cellStyle name="셀 확인 18" xfId="53864"/>
    <cellStyle name="셀 확인 18 2" xfId="53865"/>
    <cellStyle name="셀 확인 19" xfId="53866"/>
    <cellStyle name="셀 확인 19 2" xfId="53867"/>
    <cellStyle name="셀 확인 2" xfId="221"/>
    <cellStyle name="셀 확인 2 10" xfId="3084"/>
    <cellStyle name="셀 확인 2 11" xfId="3085"/>
    <cellStyle name="셀 확인 2 12" xfId="3086"/>
    <cellStyle name="셀 확인 2 13" xfId="3087"/>
    <cellStyle name="셀 확인 2 14" xfId="3088"/>
    <cellStyle name="셀 확인 2 15" xfId="3089"/>
    <cellStyle name="셀 확인 2 16" xfId="3090"/>
    <cellStyle name="셀 확인 2 17" xfId="3091"/>
    <cellStyle name="셀 확인 2 18" xfId="3092"/>
    <cellStyle name="셀 확인 2 19" xfId="3093"/>
    <cellStyle name="셀 확인 2 2" xfId="3094"/>
    <cellStyle name="셀 확인 2 2 2" xfId="3095"/>
    <cellStyle name="셀 확인 2 2_CRM팀 1단계 정보확인 DB 검색코드_110425" xfId="3096"/>
    <cellStyle name="셀 확인 2 20" xfId="3097"/>
    <cellStyle name="셀 확인 2 21" xfId="3098"/>
    <cellStyle name="셀 확인 2 22" xfId="3099"/>
    <cellStyle name="셀 확인 2 23" xfId="3100"/>
    <cellStyle name="셀 확인 2 24" xfId="3101"/>
    <cellStyle name="셀 확인 2 25" xfId="3102"/>
    <cellStyle name="셀 확인 2 26" xfId="3103"/>
    <cellStyle name="셀 확인 2 27" xfId="4871"/>
    <cellStyle name="셀 확인 2 28" xfId="3083"/>
    <cellStyle name="셀 확인 2 29" xfId="51289"/>
    <cellStyle name="셀 확인 2 3" xfId="3104"/>
    <cellStyle name="셀 확인 2 3 2" xfId="53868"/>
    <cellStyle name="셀 확인 2 4" xfId="3105"/>
    <cellStyle name="셀 확인 2 5" xfId="3106"/>
    <cellStyle name="셀 확인 2 6" xfId="3107"/>
    <cellStyle name="셀 확인 2 7" xfId="3108"/>
    <cellStyle name="셀 확인 2 8" xfId="3109"/>
    <cellStyle name="셀 확인 2 9" xfId="3110"/>
    <cellStyle name="셀 확인 2_CRM팀 1단계 정보확인 DB 검색코드_110425" xfId="3111"/>
    <cellStyle name="셀 확인 20" xfId="53869"/>
    <cellStyle name="셀 확인 20 2" xfId="53870"/>
    <cellStyle name="셀 확인 21" xfId="53871"/>
    <cellStyle name="셀 확인 21 2" xfId="53872"/>
    <cellStyle name="셀 확인 22" xfId="53873"/>
    <cellStyle name="셀 확인 23" xfId="53874"/>
    <cellStyle name="셀 확인 24" xfId="53875"/>
    <cellStyle name="셀 확인 25" xfId="53876"/>
    <cellStyle name="셀 확인 26" xfId="53877"/>
    <cellStyle name="셀 확인 3" xfId="222"/>
    <cellStyle name="셀 확인 3 2" xfId="3113"/>
    <cellStyle name="셀 확인 3 2 2" xfId="51061"/>
    <cellStyle name="셀 확인 3 3" xfId="3112"/>
    <cellStyle name="셀 확인 3 3 2" xfId="53878"/>
    <cellStyle name="셀 확인 3 4" xfId="53879"/>
    <cellStyle name="셀 확인 3 5" xfId="53880"/>
    <cellStyle name="셀 확인 3_사업부문" xfId="53881"/>
    <cellStyle name="셀 확인 4" xfId="223"/>
    <cellStyle name="셀 확인 4 2" xfId="3115"/>
    <cellStyle name="셀 확인 4 2 2" xfId="51062"/>
    <cellStyle name="셀 확인 4 3" xfId="3114"/>
    <cellStyle name="셀 확인 4 3 2" xfId="53882"/>
    <cellStyle name="셀 확인 4 4" xfId="53883"/>
    <cellStyle name="셀 확인 4 5" xfId="53884"/>
    <cellStyle name="셀 확인 4_사업부문" xfId="53885"/>
    <cellStyle name="셀 확인 5" xfId="224"/>
    <cellStyle name="셀 확인 5 2" xfId="3117"/>
    <cellStyle name="셀 확인 5 2 2" xfId="51063"/>
    <cellStyle name="셀 확인 5 3" xfId="3116"/>
    <cellStyle name="셀 확인 5 3 2" xfId="53886"/>
    <cellStyle name="셀 확인 5 4" xfId="53887"/>
    <cellStyle name="셀 확인 5_사업부문" xfId="53888"/>
    <cellStyle name="셀 확인 6" xfId="225"/>
    <cellStyle name="셀 확인 6 2" xfId="3119"/>
    <cellStyle name="셀 확인 6 2 2" xfId="51064"/>
    <cellStyle name="셀 확인 6 3" xfId="3118"/>
    <cellStyle name="셀 확인 6 3 2" xfId="53889"/>
    <cellStyle name="셀 확인 6 4" xfId="53890"/>
    <cellStyle name="셀 확인 6_사업부문" xfId="53891"/>
    <cellStyle name="셀 확인 7" xfId="226"/>
    <cellStyle name="셀 확인 7 2" xfId="5288"/>
    <cellStyle name="셀 확인 7 2 2" xfId="53892"/>
    <cellStyle name="셀 확인 7 3" xfId="51065"/>
    <cellStyle name="셀 확인 7 3 2" xfId="53893"/>
    <cellStyle name="셀 확인 7 4" xfId="53894"/>
    <cellStyle name="셀 확인 7_사업부문" xfId="53895"/>
    <cellStyle name="셀 확인 8" xfId="3120"/>
    <cellStyle name="셀 확인 8 2" xfId="53896"/>
    <cellStyle name="셀 확인 8 2 2" xfId="53897"/>
    <cellStyle name="셀 확인 8 3" xfId="53898"/>
    <cellStyle name="셀 확인 8 3 2" xfId="53899"/>
    <cellStyle name="셀 확인 8 4" xfId="53900"/>
    <cellStyle name="셀 확인 9" xfId="3082"/>
    <cellStyle name="셀 확인 9 2" xfId="53901"/>
    <cellStyle name="셀 확인 9 2 2" xfId="53902"/>
    <cellStyle name="셀 확인 9 3" xfId="53903"/>
    <cellStyle name="输入" xfId="3121"/>
    <cellStyle name="输入 2" xfId="3122"/>
    <cellStyle name="输入 2 2" xfId="3123"/>
    <cellStyle name="输入 2 2 2" xfId="3124"/>
    <cellStyle name="输入 2 2 2 2" xfId="6392"/>
    <cellStyle name="输入 2 2 2 2 2" xfId="11126"/>
    <cellStyle name="输入 2 2 2 2 2 2" xfId="24354"/>
    <cellStyle name="输入 2 2 2 2 2 3" xfId="33756"/>
    <cellStyle name="输入 2 2 2 2 2 4" xfId="44890"/>
    <cellStyle name="输入 2 2 2 2 2 5" xfId="15746"/>
    <cellStyle name="输入 2 2 2 2 3" xfId="8097"/>
    <cellStyle name="输入 2 2 2 2 3 2" xfId="21325"/>
    <cellStyle name="输入 2 2 2 2 3 3" xfId="36182"/>
    <cellStyle name="输入 2 2 2 2 3 4" xfId="42075"/>
    <cellStyle name="输入 2 2 2 2 3 5" xfId="48909"/>
    <cellStyle name="输入 2 2 2 2 4" xfId="19620"/>
    <cellStyle name="输入 2 2 2 2 4 2" xfId="30707"/>
    <cellStyle name="输入 2 2 2 2 4 3" xfId="27743"/>
    <cellStyle name="输入 2 2 2 2 4 4" xfId="41163"/>
    <cellStyle name="输入 2 2 2 2 5" xfId="30338"/>
    <cellStyle name="输入 2 2 2 2 5 2" xfId="16759"/>
    <cellStyle name="输入 2 2 2 2 5 3" xfId="45496"/>
    <cellStyle name="输入 2 2 2 2 6" xfId="29444"/>
    <cellStyle name="输入 2 2 2 2 7" xfId="17652"/>
    <cellStyle name="输入 2 2 2 2 8" xfId="40139"/>
    <cellStyle name="输入 2 2 2 3" xfId="9625"/>
    <cellStyle name="输入 2 2 2 3 10" xfId="30052"/>
    <cellStyle name="输入 2 2 2 3 2" xfId="13262"/>
    <cellStyle name="输入 2 2 2 3 2 2" xfId="26490"/>
    <cellStyle name="输入 2 2 2 3 2 3" xfId="32742"/>
    <cellStyle name="输入 2 2 2 3 2 4" xfId="38962"/>
    <cellStyle name="输入 2 2 2 3 2 5" xfId="34260"/>
    <cellStyle name="输入 2 2 2 3 3" xfId="7577"/>
    <cellStyle name="输入 2 2 2 3 3 2" xfId="20805"/>
    <cellStyle name="输入 2 2 2 3 3 3" xfId="35238"/>
    <cellStyle name="输入 2 2 2 3 3 4" xfId="46028"/>
    <cellStyle name="输入 2 2 2 3 3 5" xfId="47941"/>
    <cellStyle name="输入 2 2 2 3 4" xfId="8529"/>
    <cellStyle name="输入 2 2 2 3 4 2" xfId="21757"/>
    <cellStyle name="输入 2 2 2 3 4 3" xfId="34687"/>
    <cellStyle name="输入 2 2 2 3 4 4" xfId="40677"/>
    <cellStyle name="输入 2 2 2 3 4 5" xfId="17483"/>
    <cellStyle name="输入 2 2 2 3 5" xfId="8446"/>
    <cellStyle name="输入 2 2 2 3 5 2" xfId="21674"/>
    <cellStyle name="输入 2 2 2 3 5 3" xfId="17254"/>
    <cellStyle name="输入 2 2 2 3 5 4" xfId="47074"/>
    <cellStyle name="输入 2 2 2 3 6" xfId="22853"/>
    <cellStyle name="输入 2 2 2 3 6 2" xfId="37003"/>
    <cellStyle name="输入 2 2 2 3 6 3" xfId="42922"/>
    <cellStyle name="输入 2 2 2 3 6 4" xfId="49756"/>
    <cellStyle name="输入 2 2 2 3 7" xfId="30562"/>
    <cellStyle name="输入 2 2 2 3 7 2" xfId="27767"/>
    <cellStyle name="输入 2 2 2 3 7 3" xfId="15648"/>
    <cellStyle name="输入 2 2 2 3 8" xfId="28431"/>
    <cellStyle name="输入 2 2 2 3 9" xfId="17711"/>
    <cellStyle name="输入 2 2 2 4" xfId="8017"/>
    <cellStyle name="输入 2 2 2 4 2" xfId="21245"/>
    <cellStyle name="输入 2 2 2 5" xfId="46809"/>
    <cellStyle name="输入 2 2 3" xfId="6391"/>
    <cellStyle name="输入 2 2 3 2" xfId="11125"/>
    <cellStyle name="输入 2 2 3 2 2" xfId="24353"/>
    <cellStyle name="输入 2 2 3 2 3" xfId="33755"/>
    <cellStyle name="输入 2 2 3 2 4" xfId="44889"/>
    <cellStyle name="输入 2 2 3 2 5" xfId="41218"/>
    <cellStyle name="输入 2 2 3 3" xfId="8096"/>
    <cellStyle name="输入 2 2 3 3 2" xfId="21324"/>
    <cellStyle name="输入 2 2 3 3 3" xfId="36181"/>
    <cellStyle name="输入 2 2 3 3 4" xfId="42074"/>
    <cellStyle name="输入 2 2 3 3 5" xfId="48908"/>
    <cellStyle name="输入 2 2 3 4" xfId="19619"/>
    <cellStyle name="输入 2 2 3 4 2" xfId="32022"/>
    <cellStyle name="输入 2 2 3 4 3" xfId="38245"/>
    <cellStyle name="输入 2 2 3 4 4" xfId="39864"/>
    <cellStyle name="输入 2 2 3 5" xfId="34952"/>
    <cellStyle name="输入 2 2 3 5 2" xfId="40950"/>
    <cellStyle name="输入 2 2 3 5 3" xfId="47646"/>
    <cellStyle name="输入 2 2 3 6" xfId="29443"/>
    <cellStyle name="输入 2 2 3 7" xfId="16116"/>
    <cellStyle name="输入 2 2 3 8" xfId="38410"/>
    <cellStyle name="输入 2 2 4" xfId="9624"/>
    <cellStyle name="输入 2 2 4 10" xfId="39564"/>
    <cellStyle name="输入 2 2 4 2" xfId="13261"/>
    <cellStyle name="输入 2 2 4 2 2" xfId="26489"/>
    <cellStyle name="输入 2 2 4 2 3" xfId="32741"/>
    <cellStyle name="输入 2 2 4 2 4" xfId="38961"/>
    <cellStyle name="输入 2 2 4 2 5" xfId="47486"/>
    <cellStyle name="输入 2 2 4 3" xfId="8572"/>
    <cellStyle name="输入 2 2 4 3 2" xfId="21800"/>
    <cellStyle name="输入 2 2 4 3 3" xfId="35237"/>
    <cellStyle name="输入 2 2 4 3 4" xfId="46027"/>
    <cellStyle name="输入 2 2 4 3 5" xfId="47940"/>
    <cellStyle name="输入 2 2 4 4" xfId="14004"/>
    <cellStyle name="输入 2 2 4 4 2" xfId="27232"/>
    <cellStyle name="输入 2 2 4 4 3" xfId="31055"/>
    <cellStyle name="输入 2 2 4 4 4" xfId="18574"/>
    <cellStyle name="输入 2 2 4 4 5" xfId="40190"/>
    <cellStyle name="输入 2 2 4 5" xfId="7719"/>
    <cellStyle name="输入 2 2 4 5 2" xfId="20947"/>
    <cellStyle name="输入 2 2 4 5 3" xfId="17198"/>
    <cellStyle name="输入 2 2 4 5 4" xfId="44203"/>
    <cellStyle name="输入 2 2 4 6" xfId="22852"/>
    <cellStyle name="输入 2 2 4 6 2" xfId="30835"/>
    <cellStyle name="输入 2 2 4 6 3" xfId="18152"/>
    <cellStyle name="输入 2 2 4 6 4" xfId="40598"/>
    <cellStyle name="输入 2 2 4 7" xfId="31379"/>
    <cellStyle name="输入 2 2 4 7 2" xfId="17226"/>
    <cellStyle name="输入 2 2 4 7 3" xfId="46672"/>
    <cellStyle name="输入 2 2 4 8" xfId="28430"/>
    <cellStyle name="输入 2 2 4 9" xfId="34442"/>
    <cellStyle name="输入 2 2 5" xfId="8016"/>
    <cellStyle name="输入 2 2 5 2" xfId="21244"/>
    <cellStyle name="输入 2 2 6" xfId="47285"/>
    <cellStyle name="输入 2 3" xfId="3125"/>
    <cellStyle name="输入 2 3 2" xfId="6393"/>
    <cellStyle name="输入 2 3 2 2" xfId="11127"/>
    <cellStyle name="输入 2 3 2 2 2" xfId="24355"/>
    <cellStyle name="输入 2 3 2 2 3" xfId="33757"/>
    <cellStyle name="输入 2 3 2 2 4" xfId="44891"/>
    <cellStyle name="输入 2 3 2 2 5" xfId="32190"/>
    <cellStyle name="输入 2 3 2 3" xfId="8098"/>
    <cellStyle name="输入 2 3 2 3 2" xfId="21326"/>
    <cellStyle name="输入 2 3 2 3 3" xfId="36183"/>
    <cellStyle name="输入 2 3 2 3 4" xfId="42076"/>
    <cellStyle name="输入 2 3 2 3 5" xfId="48910"/>
    <cellStyle name="输入 2 3 2 4" xfId="19621"/>
    <cellStyle name="输入 2 3 2 4 2" xfId="30401"/>
    <cellStyle name="输入 2 3 2 4 3" xfId="17733"/>
    <cellStyle name="输入 2 3 2 4 4" xfId="46267"/>
    <cellStyle name="输入 2 3 2 5" xfId="35604"/>
    <cellStyle name="输入 2 3 2 5 2" xfId="41480"/>
    <cellStyle name="输入 2 3 2 5 3" xfId="48314"/>
    <cellStyle name="输入 2 3 2 6" xfId="29445"/>
    <cellStyle name="输入 2 3 2 7" xfId="16110"/>
    <cellStyle name="输入 2 3 2 8" xfId="33453"/>
    <cellStyle name="输入 2 3 3" xfId="9626"/>
    <cellStyle name="输入 2 3 3 10" xfId="45206"/>
    <cellStyle name="输入 2 3 3 2" xfId="13263"/>
    <cellStyle name="输入 2 3 3 2 2" xfId="26491"/>
    <cellStyle name="输入 2 3 3 2 3" xfId="32743"/>
    <cellStyle name="输入 2 3 3 2 4" xfId="38963"/>
    <cellStyle name="输入 2 3 3 2 5" xfId="46967"/>
    <cellStyle name="输入 2 3 3 3" xfId="7576"/>
    <cellStyle name="输入 2 3 3 3 2" xfId="20804"/>
    <cellStyle name="输入 2 3 3 3 3" xfId="35239"/>
    <cellStyle name="输入 2 3 3 3 4" xfId="46029"/>
    <cellStyle name="输入 2 3 3 3 5" xfId="47942"/>
    <cellStyle name="输入 2 3 3 4" xfId="14261"/>
    <cellStyle name="输入 2 3 3 4 2" xfId="27489"/>
    <cellStyle name="输入 2 3 3 4 3" xfId="31035"/>
    <cellStyle name="输入 2 3 3 4 4" xfId="18559"/>
    <cellStyle name="输入 2 3 3 4 5" xfId="40126"/>
    <cellStyle name="输入 2 3 3 5" xfId="6760"/>
    <cellStyle name="输入 2 3 3 5 2" xfId="19988"/>
    <cellStyle name="输入 2 3 3 5 3" xfId="41046"/>
    <cellStyle name="输入 2 3 3 5 4" xfId="47742"/>
    <cellStyle name="输入 2 3 3 6" xfId="22854"/>
    <cellStyle name="输入 2 3 3 6 2" xfId="34816"/>
    <cellStyle name="输入 2 3 3 6 3" xfId="40812"/>
    <cellStyle name="输入 2 3 3 6 4" xfId="40575"/>
    <cellStyle name="输入 2 3 3 7" xfId="37454"/>
    <cellStyle name="输入 2 3 3 7 2" xfId="43374"/>
    <cellStyle name="输入 2 3 3 7 3" xfId="50208"/>
    <cellStyle name="输入 2 3 3 8" xfId="28432"/>
    <cellStyle name="输入 2 3 3 9" xfId="40154"/>
    <cellStyle name="输入 2 3 4" xfId="8018"/>
    <cellStyle name="输入 2 3 4 2" xfId="21246"/>
    <cellStyle name="输入 2 3 5" xfId="43918"/>
    <cellStyle name="输入 2 4" xfId="6390"/>
    <cellStyle name="输入 2 4 2" xfId="11124"/>
    <cellStyle name="输入 2 4 2 2" xfId="24352"/>
    <cellStyle name="输入 2 4 2 3" xfId="33754"/>
    <cellStyle name="输入 2 4 2 4" xfId="44888"/>
    <cellStyle name="输入 2 4 2 5" xfId="28138"/>
    <cellStyle name="输入 2 4 3" xfId="8095"/>
    <cellStyle name="输入 2 4 3 2" xfId="21323"/>
    <cellStyle name="输入 2 4 3 3" xfId="36180"/>
    <cellStyle name="输入 2 4 3 4" xfId="42073"/>
    <cellStyle name="输入 2 4 3 5" xfId="48907"/>
    <cellStyle name="输入 2 4 4" xfId="19618"/>
    <cellStyle name="输入 2 4 4 2" xfId="32358"/>
    <cellStyle name="输入 2 4 4 3" xfId="38576"/>
    <cellStyle name="输入 2 4 4 4" xfId="46571"/>
    <cellStyle name="输入 2 4 5" xfId="36764"/>
    <cellStyle name="输入 2 4 5 2" xfId="42671"/>
    <cellStyle name="输入 2 4 5 3" xfId="49505"/>
    <cellStyle name="输入 2 4 6" xfId="29442"/>
    <cellStyle name="输入 2 4 7" xfId="16115"/>
    <cellStyle name="输入 2 4 8" xfId="27975"/>
    <cellStyle name="输入 2 5" xfId="9623"/>
    <cellStyle name="输入 2 5 10" xfId="17525"/>
    <cellStyle name="输入 2 5 2" xfId="13260"/>
    <cellStyle name="输入 2 5 2 2" xfId="26488"/>
    <cellStyle name="输入 2 5 2 3" xfId="32740"/>
    <cellStyle name="输入 2 5 2 4" xfId="38960"/>
    <cellStyle name="输入 2 5 2 5" xfId="47522"/>
    <cellStyle name="输入 2 5 3" xfId="7554"/>
    <cellStyle name="输入 2 5 3 2" xfId="20782"/>
    <cellStyle name="输入 2 5 3 3" xfId="35236"/>
    <cellStyle name="输入 2 5 3 4" xfId="46026"/>
    <cellStyle name="输入 2 5 3 5" xfId="47939"/>
    <cellStyle name="输入 2 5 4" xfId="12920"/>
    <cellStyle name="输入 2 5 4 2" xfId="26148"/>
    <cellStyle name="输入 2 5 4 3" xfId="31034"/>
    <cellStyle name="输入 2 5 4 4" xfId="18558"/>
    <cellStyle name="输入 2 5 4 5" xfId="38707"/>
    <cellStyle name="输入 2 5 5" xfId="14352"/>
    <cellStyle name="输入 2 5 5 2" xfId="27580"/>
    <cellStyle name="输入 2 5 5 3" xfId="15245"/>
    <cellStyle name="输入 2 5 5 4" xfId="47572"/>
    <cellStyle name="输入 2 5 6" xfId="22851"/>
    <cellStyle name="输入 2 5 6 2" xfId="37285"/>
    <cellStyle name="输入 2 5 6 3" xfId="43205"/>
    <cellStyle name="输入 2 5 6 4" xfId="50039"/>
    <cellStyle name="输入 2 5 7" xfId="30826"/>
    <cellStyle name="输入 2 5 7 2" xfId="27723"/>
    <cellStyle name="输入 2 5 7 3" xfId="39421"/>
    <cellStyle name="输入 2 5 8" xfId="28429"/>
    <cellStyle name="输入 2 5 9" xfId="36906"/>
    <cellStyle name="输入 2 6" xfId="8015"/>
    <cellStyle name="输入 2 6 2" xfId="21243"/>
    <cellStyle name="输入 2 7" xfId="46272"/>
    <cellStyle name="输入 3" xfId="3126"/>
    <cellStyle name="输入 3 2" xfId="3127"/>
    <cellStyle name="输入 3 2 2" xfId="3128"/>
    <cellStyle name="输入 3 2 2 2" xfId="6396"/>
    <cellStyle name="输入 3 2 2 2 2" xfId="11130"/>
    <cellStyle name="输入 3 2 2 2 2 2" xfId="24358"/>
    <cellStyle name="输入 3 2 2 2 2 3" xfId="33760"/>
    <cellStyle name="输入 3 2 2 2 2 4" xfId="44894"/>
    <cellStyle name="输入 3 2 2 2 2 5" xfId="34356"/>
    <cellStyle name="输入 3 2 2 2 3" xfId="12976"/>
    <cellStyle name="输入 3 2 2 2 3 2" xfId="26204"/>
    <cellStyle name="输入 3 2 2 2 3 3" xfId="36186"/>
    <cellStyle name="输入 3 2 2 2 3 4" xfId="42079"/>
    <cellStyle name="输入 3 2 2 2 3 5" xfId="48913"/>
    <cellStyle name="输入 3 2 2 2 4" xfId="19624"/>
    <cellStyle name="输入 3 2 2 2 4 2" xfId="30858"/>
    <cellStyle name="输入 3 2 2 2 4 3" xfId="28019"/>
    <cellStyle name="输入 3 2 2 2 4 4" xfId="34271"/>
    <cellStyle name="输入 3 2 2 2 5" xfId="36723"/>
    <cellStyle name="输入 3 2 2 2 5 2" xfId="42628"/>
    <cellStyle name="输入 3 2 2 2 5 3" xfId="49462"/>
    <cellStyle name="输入 3 2 2 2 6" xfId="29448"/>
    <cellStyle name="输入 3 2 2 2 7" xfId="17653"/>
    <cellStyle name="输入 3 2 2 2 8" xfId="44005"/>
    <cellStyle name="输入 3 2 2 3" xfId="9629"/>
    <cellStyle name="输入 3 2 2 3 10" xfId="44474"/>
    <cellStyle name="输入 3 2 2 3 2" xfId="13266"/>
    <cellStyle name="输入 3 2 2 3 2 2" xfId="26494"/>
    <cellStyle name="输入 3 2 2 3 2 3" xfId="32746"/>
    <cellStyle name="输入 3 2 2 3 2 4" xfId="38966"/>
    <cellStyle name="输入 3 2 2 3 2 5" xfId="47245"/>
    <cellStyle name="输入 3 2 2 3 3" xfId="7579"/>
    <cellStyle name="输入 3 2 2 3 3 2" xfId="20807"/>
    <cellStyle name="输入 3 2 2 3 3 3" xfId="35242"/>
    <cellStyle name="输入 3 2 2 3 3 4" xfId="46032"/>
    <cellStyle name="输入 3 2 2 3 3 5" xfId="47945"/>
    <cellStyle name="输入 3 2 2 3 4" xfId="14128"/>
    <cellStyle name="输入 3 2 2 3 4 2" xfId="27356"/>
    <cellStyle name="输入 3 2 2 3 4 3" xfId="31038"/>
    <cellStyle name="输入 3 2 2 3 4 4" xfId="18562"/>
    <cellStyle name="输入 3 2 2 3 4 5" xfId="17375"/>
    <cellStyle name="输入 3 2 2 3 5" xfId="12862"/>
    <cellStyle name="输入 3 2 2 3 5 2" xfId="26090"/>
    <cellStyle name="输入 3 2 2 3 5 3" xfId="41752"/>
    <cellStyle name="输入 3 2 2 3 5 4" xfId="48586"/>
    <cellStyle name="输入 3 2 2 3 6" xfId="22857"/>
    <cellStyle name="输入 3 2 2 3 6 2" xfId="30293"/>
    <cellStyle name="输入 3 2 2 3 6 3" xfId="16729"/>
    <cellStyle name="输入 3 2 2 3 6 4" xfId="45165"/>
    <cellStyle name="输入 3 2 2 3 7" xfId="34794"/>
    <cellStyle name="输入 3 2 2 3 7 2" xfId="40790"/>
    <cellStyle name="输入 3 2 2 3 7 3" xfId="40412"/>
    <cellStyle name="输入 3 2 2 3 8" xfId="28435"/>
    <cellStyle name="输入 3 2 2 3 9" xfId="39390"/>
    <cellStyle name="输入 3 2 2 4" xfId="8021"/>
    <cellStyle name="输入 3 2 2 4 2" xfId="21249"/>
    <cellStyle name="输入 3 2 2 5" xfId="15341"/>
    <cellStyle name="输入 3 2 3" xfId="6395"/>
    <cellStyle name="输入 3 2 3 2" xfId="11129"/>
    <cellStyle name="输入 3 2 3 2 2" xfId="24357"/>
    <cellStyle name="输入 3 2 3 2 3" xfId="33759"/>
    <cellStyle name="输入 3 2 3 2 4" xfId="44893"/>
    <cellStyle name="输入 3 2 3 2 5" xfId="39469"/>
    <cellStyle name="输入 3 2 3 3" xfId="12977"/>
    <cellStyle name="输入 3 2 3 3 2" xfId="26205"/>
    <cellStyle name="输入 3 2 3 3 3" xfId="36185"/>
    <cellStyle name="输入 3 2 3 3 4" xfId="42078"/>
    <cellStyle name="输入 3 2 3 3 5" xfId="48912"/>
    <cellStyle name="输入 3 2 3 4" xfId="19623"/>
    <cellStyle name="输入 3 2 3 4 2" xfId="30400"/>
    <cellStyle name="输入 3 2 3 4 3" xfId="16792"/>
    <cellStyle name="输入 3 2 3 4 4" xfId="17813"/>
    <cellStyle name="输入 3 2 3 5" xfId="35683"/>
    <cellStyle name="输入 3 2 3 5 2" xfId="41563"/>
    <cellStyle name="输入 3 2 3 5 3" xfId="48397"/>
    <cellStyle name="输入 3 2 3 6" xfId="29447"/>
    <cellStyle name="输入 3 2 3 7" xfId="28046"/>
    <cellStyle name="输入 3 2 3 8" xfId="45137"/>
    <cellStyle name="输入 3 2 4" xfId="9628"/>
    <cellStyle name="输入 3 2 4 10" xfId="39184"/>
    <cellStyle name="输入 3 2 4 2" xfId="13265"/>
    <cellStyle name="输入 3 2 4 2 2" xfId="26493"/>
    <cellStyle name="输入 3 2 4 2 3" xfId="32745"/>
    <cellStyle name="输入 3 2 4 2 4" xfId="38965"/>
    <cellStyle name="输入 3 2 4 2 5" xfId="45765"/>
    <cellStyle name="输入 3 2 4 3" xfId="7578"/>
    <cellStyle name="输入 3 2 4 3 2" xfId="20806"/>
    <cellStyle name="输入 3 2 4 3 3" xfId="35241"/>
    <cellStyle name="输入 3 2 4 3 4" xfId="46031"/>
    <cellStyle name="输入 3 2 4 3 5" xfId="47944"/>
    <cellStyle name="输入 3 2 4 4" xfId="7191"/>
    <cellStyle name="输入 3 2 4 4 2" xfId="20419"/>
    <cellStyle name="输入 3 2 4 4 3" xfId="31037"/>
    <cellStyle name="输入 3 2 4 4 4" xfId="18561"/>
    <cellStyle name="输入 3 2 4 4 5" xfId="15435"/>
    <cellStyle name="输入 3 2 4 5" xfId="13985"/>
    <cellStyle name="输入 3 2 4 5 2" xfId="27213"/>
    <cellStyle name="输入 3 2 4 5 3" xfId="40785"/>
    <cellStyle name="输入 3 2 4 5 4" xfId="38414"/>
    <cellStyle name="输入 3 2 4 6" xfId="22856"/>
    <cellStyle name="输入 3 2 4 6 2" xfId="32321"/>
    <cellStyle name="输入 3 2 4 6 3" xfId="38539"/>
    <cellStyle name="输入 3 2 4 6 4" xfId="46882"/>
    <cellStyle name="输入 3 2 4 7" xfId="37351"/>
    <cellStyle name="输入 3 2 4 7 2" xfId="43271"/>
    <cellStyle name="输入 3 2 4 7 3" xfId="50105"/>
    <cellStyle name="输入 3 2 4 8" xfId="28434"/>
    <cellStyle name="输入 3 2 4 9" xfId="33032"/>
    <cellStyle name="输入 3 2 5" xfId="8020"/>
    <cellStyle name="输入 3 2 5 2" xfId="21248"/>
    <cellStyle name="输入 3 2 6" xfId="45845"/>
    <cellStyle name="输入 3 3" xfId="3129"/>
    <cellStyle name="输入 3 3 2" xfId="6397"/>
    <cellStyle name="输入 3 3 2 2" xfId="11131"/>
    <cellStyle name="输入 3 3 2 2 2" xfId="24359"/>
    <cellStyle name="输入 3 3 2 2 3" xfId="33761"/>
    <cellStyle name="输入 3 3 2 2 4" xfId="44895"/>
    <cellStyle name="输入 3 3 2 2 5" xfId="41220"/>
    <cellStyle name="输入 3 3 2 3" xfId="8099"/>
    <cellStyle name="输入 3 3 2 3 2" xfId="21327"/>
    <cellStyle name="输入 3 3 2 3 3" xfId="36187"/>
    <cellStyle name="输入 3 3 2 3 4" xfId="42080"/>
    <cellStyle name="输入 3 3 2 3 5" xfId="48914"/>
    <cellStyle name="输入 3 3 2 4" xfId="19625"/>
    <cellStyle name="输入 3 3 2 4 2" xfId="32046"/>
    <cellStyle name="输入 3 3 2 4 3" xfId="38269"/>
    <cellStyle name="输入 3 3 2 4 4" xfId="32286"/>
    <cellStyle name="输入 3 3 2 5" xfId="37558"/>
    <cellStyle name="输入 3 3 2 5 2" xfId="43479"/>
    <cellStyle name="输入 3 3 2 5 3" xfId="50313"/>
    <cellStyle name="输入 3 3 2 6" xfId="29449"/>
    <cellStyle name="输入 3 3 2 7" xfId="16121"/>
    <cellStyle name="输入 3 3 2 8" xfId="40606"/>
    <cellStyle name="输入 3 3 3" xfId="9630"/>
    <cellStyle name="输入 3 3 3 10" xfId="45460"/>
    <cellStyle name="输入 3 3 3 2" xfId="13267"/>
    <cellStyle name="输入 3 3 3 2 2" xfId="26495"/>
    <cellStyle name="输入 3 3 3 2 3" xfId="32747"/>
    <cellStyle name="输入 3 3 3 2 4" xfId="38967"/>
    <cellStyle name="输入 3 3 3 2 5" xfId="46382"/>
    <cellStyle name="输入 3 3 3 3" xfId="7580"/>
    <cellStyle name="输入 3 3 3 3 2" xfId="20808"/>
    <cellStyle name="输入 3 3 3 3 3" xfId="35243"/>
    <cellStyle name="输入 3 3 3 3 4" xfId="46033"/>
    <cellStyle name="输入 3 3 3 3 5" xfId="47946"/>
    <cellStyle name="输入 3 3 3 4" xfId="13510"/>
    <cellStyle name="输入 3 3 3 4 2" xfId="26738"/>
    <cellStyle name="输入 3 3 3 4 3" xfId="31039"/>
    <cellStyle name="输入 3 3 3 4 4" xfId="18563"/>
    <cellStyle name="输入 3 3 3 4 5" xfId="33364"/>
    <cellStyle name="输入 3 3 3 5" xfId="13013"/>
    <cellStyle name="输入 3 3 3 5 2" xfId="26241"/>
    <cellStyle name="输入 3 3 3 5 3" xfId="40933"/>
    <cellStyle name="输入 3 3 3 5 4" xfId="47629"/>
    <cellStyle name="输入 3 3 3 6" xfId="22858"/>
    <cellStyle name="输入 3 3 3 6 2" xfId="30685"/>
    <cellStyle name="输入 3 3 3 6 3" xfId="16891"/>
    <cellStyle name="输入 3 3 3 6 4" xfId="37469"/>
    <cellStyle name="输入 3 3 3 7" xfId="35477"/>
    <cellStyle name="输入 3 3 3 7 2" xfId="41348"/>
    <cellStyle name="输入 3 3 3 7 3" xfId="48182"/>
    <cellStyle name="输入 3 3 3 8" xfId="28436"/>
    <cellStyle name="输入 3 3 3 9" xfId="40452"/>
    <cellStyle name="输入 3 3 4" xfId="8022"/>
    <cellStyle name="输入 3 3 4 2" xfId="21250"/>
    <cellStyle name="输入 3 3 5" xfId="46669"/>
    <cellStyle name="输入 3 4" xfId="6394"/>
    <cellStyle name="输入 3 4 2" xfId="11128"/>
    <cellStyle name="输入 3 4 2 2" xfId="24356"/>
    <cellStyle name="输入 3 4 2 3" xfId="33758"/>
    <cellStyle name="输入 3 4 2 4" xfId="44892"/>
    <cellStyle name="输入 3 4 2 5" xfId="39910"/>
    <cellStyle name="输入 3 4 3" xfId="12978"/>
    <cellStyle name="输入 3 4 3 2" xfId="26206"/>
    <cellStyle name="输入 3 4 3 3" xfId="36184"/>
    <cellStyle name="输入 3 4 3 4" xfId="42077"/>
    <cellStyle name="输入 3 4 3 5" xfId="48911"/>
    <cellStyle name="输入 3 4 4" xfId="19622"/>
    <cellStyle name="输入 3 4 4 2" xfId="37035"/>
    <cellStyle name="输入 3 4 4 3" xfId="42954"/>
    <cellStyle name="输入 3 4 4 4" xfId="49788"/>
    <cellStyle name="输入 3 4 5" xfId="35460"/>
    <cellStyle name="输入 3 4 5 2" xfId="41329"/>
    <cellStyle name="输入 3 4 5 3" xfId="48163"/>
    <cellStyle name="输入 3 4 6" xfId="29446"/>
    <cellStyle name="输入 3 4 7" xfId="16119"/>
    <cellStyle name="输入 3 4 8" xfId="33210"/>
    <cellStyle name="输入 3 5" xfId="9627"/>
    <cellStyle name="输入 3 5 10" xfId="44073"/>
    <cellStyle name="输入 3 5 2" xfId="13264"/>
    <cellStyle name="输入 3 5 2 2" xfId="26492"/>
    <cellStyle name="输入 3 5 2 3" xfId="32744"/>
    <cellStyle name="输入 3 5 2 4" xfId="38964"/>
    <cellStyle name="输入 3 5 2 5" xfId="46292"/>
    <cellStyle name="输入 3 5 3" xfId="8574"/>
    <cellStyle name="输入 3 5 3 2" xfId="21802"/>
    <cellStyle name="输入 3 5 3 3" xfId="35240"/>
    <cellStyle name="输入 3 5 3 4" xfId="46030"/>
    <cellStyle name="输入 3 5 3 5" xfId="47943"/>
    <cellStyle name="输入 3 5 4" xfId="13689"/>
    <cellStyle name="输入 3 5 4 2" xfId="26917"/>
    <cellStyle name="输入 3 5 4 3" xfId="31036"/>
    <cellStyle name="输入 3 5 4 4" xfId="18560"/>
    <cellStyle name="输入 3 5 4 5" xfId="16500"/>
    <cellStyle name="输入 3 5 5" xfId="14320"/>
    <cellStyle name="输入 3 5 5 2" xfId="27548"/>
    <cellStyle name="输入 3 5 5 3" xfId="42470"/>
    <cellStyle name="输入 3 5 5 4" xfId="49304"/>
    <cellStyle name="输入 3 5 6" xfId="22855"/>
    <cellStyle name="输入 3 5 6 2" xfId="37002"/>
    <cellStyle name="输入 3 5 6 3" xfId="42921"/>
    <cellStyle name="输入 3 5 6 4" xfId="49755"/>
    <cellStyle name="输入 3 5 7" xfId="37797"/>
    <cellStyle name="输入 3 5 7 2" xfId="43721"/>
    <cellStyle name="输入 3 5 7 3" xfId="50555"/>
    <cellStyle name="输入 3 5 8" xfId="28433"/>
    <cellStyle name="输入 3 5 9" xfId="38733"/>
    <cellStyle name="输入 3 6" xfId="8019"/>
    <cellStyle name="输入 3 6 2" xfId="21247"/>
    <cellStyle name="输入 3 7" xfId="44238"/>
    <cellStyle name="输入 4" xfId="3130"/>
    <cellStyle name="输入 4 2" xfId="3131"/>
    <cellStyle name="输入 4 2 2" xfId="6399"/>
    <cellStyle name="输入 4 2 2 2" xfId="11133"/>
    <cellStyle name="输入 4 2 2 2 2" xfId="24361"/>
    <cellStyle name="输入 4 2 2 2 3" xfId="33763"/>
    <cellStyle name="输入 4 2 2 2 4" xfId="44897"/>
    <cellStyle name="输入 4 2 2 2 5" xfId="39468"/>
    <cellStyle name="输入 4 2 2 3" xfId="12974"/>
    <cellStyle name="输入 4 2 2 3 2" xfId="26202"/>
    <cellStyle name="输入 4 2 2 3 3" xfId="36189"/>
    <cellStyle name="输入 4 2 2 3 4" xfId="42082"/>
    <cellStyle name="输入 4 2 2 3 5" xfId="48916"/>
    <cellStyle name="输入 4 2 2 4" xfId="19627"/>
    <cellStyle name="输入 4 2 2 4 2" xfId="30399"/>
    <cellStyle name="输入 4 2 2 4 3" xfId="14665"/>
    <cellStyle name="输入 4 2 2 4 4" xfId="44217"/>
    <cellStyle name="输入 4 2 2 5" xfId="34984"/>
    <cellStyle name="输入 4 2 2 5 2" xfId="40988"/>
    <cellStyle name="输入 4 2 2 5 3" xfId="47684"/>
    <cellStyle name="输入 4 2 2 6" xfId="29451"/>
    <cellStyle name="输入 4 2 2 7" xfId="17654"/>
    <cellStyle name="输入 4 2 2 8" xfId="45391"/>
    <cellStyle name="输入 4 2 3" xfId="9632"/>
    <cellStyle name="输入 4 2 3 10" xfId="43874"/>
    <cellStyle name="输入 4 2 3 2" xfId="13269"/>
    <cellStyle name="输入 4 2 3 2 2" xfId="26497"/>
    <cellStyle name="输入 4 2 3 2 3" xfId="32749"/>
    <cellStyle name="输入 4 2 3 2 4" xfId="38969"/>
    <cellStyle name="输入 4 2 3 2 5" xfId="45852"/>
    <cellStyle name="输入 4 2 3 3" xfId="7582"/>
    <cellStyle name="输入 4 2 3 3 2" xfId="20810"/>
    <cellStyle name="输入 4 2 3 3 3" xfId="35245"/>
    <cellStyle name="输入 4 2 3 3 4" xfId="46035"/>
    <cellStyle name="输入 4 2 3 3 5" xfId="47948"/>
    <cellStyle name="输入 4 2 3 4" xfId="14183"/>
    <cellStyle name="输入 4 2 3 4 2" xfId="27411"/>
    <cellStyle name="输入 4 2 3 4 3" xfId="31041"/>
    <cellStyle name="输入 4 2 3 4 4" xfId="18565"/>
    <cellStyle name="输入 4 2 3 4 5" xfId="33022"/>
    <cellStyle name="输入 4 2 3 5" xfId="7356"/>
    <cellStyle name="输入 4 2 3 5 2" xfId="20584"/>
    <cellStyle name="输入 4 2 3 5 3" xfId="40934"/>
    <cellStyle name="输入 4 2 3 5 4" xfId="47630"/>
    <cellStyle name="输入 4 2 3 6" xfId="22860"/>
    <cellStyle name="输入 4 2 3 6 2" xfId="37404"/>
    <cellStyle name="输入 4 2 3 6 3" xfId="43324"/>
    <cellStyle name="输入 4 2 3 6 4" xfId="50158"/>
    <cellStyle name="输入 4 2 3 7" xfId="37768"/>
    <cellStyle name="输入 4 2 3 7 2" xfId="43692"/>
    <cellStyle name="输入 4 2 3 7 3" xfId="50526"/>
    <cellStyle name="输入 4 2 3 8" xfId="28438"/>
    <cellStyle name="输入 4 2 3 9" xfId="38513"/>
    <cellStyle name="输入 4 2 4" xfId="8024"/>
    <cellStyle name="输入 4 2 4 2" xfId="21252"/>
    <cellStyle name="输入 4 2 5" xfId="40592"/>
    <cellStyle name="输入 4 3" xfId="6398"/>
    <cellStyle name="输入 4 3 2" xfId="11132"/>
    <cellStyle name="输入 4 3 2 2" xfId="24360"/>
    <cellStyle name="输入 4 3 2 3" xfId="33762"/>
    <cellStyle name="输入 4 3 2 4" xfId="44896"/>
    <cellStyle name="输入 4 3 2 5" xfId="39909"/>
    <cellStyle name="输入 4 3 3" xfId="12975"/>
    <cellStyle name="输入 4 3 3 2" xfId="26203"/>
    <cellStyle name="输入 4 3 3 3" xfId="36188"/>
    <cellStyle name="输入 4 3 3 4" xfId="42081"/>
    <cellStyle name="输入 4 3 3 5" xfId="48915"/>
    <cellStyle name="输入 4 3 4" xfId="19626"/>
    <cellStyle name="输入 4 3 4 2" xfId="37319"/>
    <cellStyle name="输入 4 3 4 3" xfId="43239"/>
    <cellStyle name="输入 4 3 4 4" xfId="50073"/>
    <cellStyle name="输入 4 3 5" xfId="30230"/>
    <cellStyle name="输入 4 3 5 2" xfId="16680"/>
    <cellStyle name="输入 4 3 5 3" xfId="44290"/>
    <cellStyle name="输入 4 3 6" xfId="29450"/>
    <cellStyle name="输入 4 3 7" xfId="16120"/>
    <cellStyle name="输入 4 3 8" xfId="44407"/>
    <cellStyle name="输入 4 4" xfId="9631"/>
    <cellStyle name="输入 4 4 10" xfId="38659"/>
    <cellStyle name="输入 4 4 2" xfId="13268"/>
    <cellStyle name="输入 4 4 2 2" xfId="26496"/>
    <cellStyle name="输入 4 4 2 3" xfId="32748"/>
    <cellStyle name="输入 4 4 2 4" xfId="38968"/>
    <cellStyle name="输入 4 4 2 5" xfId="46800"/>
    <cellStyle name="输入 4 4 3" xfId="7581"/>
    <cellStyle name="输入 4 4 3 2" xfId="20809"/>
    <cellStyle name="输入 4 4 3 3" xfId="35244"/>
    <cellStyle name="输入 4 4 3 4" xfId="46034"/>
    <cellStyle name="输入 4 4 3 5" xfId="47947"/>
    <cellStyle name="输入 4 4 4" xfId="7192"/>
    <cellStyle name="输入 4 4 4 2" xfId="20420"/>
    <cellStyle name="输入 4 4 4 3" xfId="31040"/>
    <cellStyle name="输入 4 4 4 4" xfId="18564"/>
    <cellStyle name="输入 4 4 4 5" xfId="30030"/>
    <cellStyle name="输入 4 4 5" xfId="7216"/>
    <cellStyle name="输入 4 4 5 2" xfId="20444"/>
    <cellStyle name="输入 4 4 5 3" xfId="16651"/>
    <cellStyle name="输入 4 4 5 4" xfId="32561"/>
    <cellStyle name="输入 4 4 6" xfId="22859"/>
    <cellStyle name="输入 4 4 6 2" xfId="34840"/>
    <cellStyle name="输入 4 4 6 3" xfId="40839"/>
    <cellStyle name="输入 4 4 6 4" xfId="14531"/>
    <cellStyle name="输入 4 4 7" xfId="30216"/>
    <cellStyle name="输入 4 4 7 2" xfId="16665"/>
    <cellStyle name="输入 4 4 7 3" xfId="38664"/>
    <cellStyle name="输入 4 4 8" xfId="28437"/>
    <cellStyle name="输入 4 4 9" xfId="15827"/>
    <cellStyle name="输入 4 5" xfId="8023"/>
    <cellStyle name="输入 4 5 2" xfId="21251"/>
    <cellStyle name="输入 4 6" xfId="35531"/>
    <cellStyle name="输入 5" xfId="6389"/>
    <cellStyle name="输入 5 2" xfId="11123"/>
    <cellStyle name="输入 5 2 2" xfId="24351"/>
    <cellStyle name="输入 5 2 3" xfId="33753"/>
    <cellStyle name="输入 5 2 4" xfId="44887"/>
    <cellStyle name="输入 5 2 5" xfId="39467"/>
    <cellStyle name="输入 5 3" xfId="8094"/>
    <cellStyle name="输入 5 3 2" xfId="21322"/>
    <cellStyle name="输入 5 3 3" xfId="36179"/>
    <cellStyle name="输入 5 3 4" xfId="42072"/>
    <cellStyle name="输入 5 3 5" xfId="48906"/>
    <cellStyle name="输入 5 4" xfId="19617"/>
    <cellStyle name="输入 5 4 2" xfId="32124"/>
    <cellStyle name="输入 5 4 3" xfId="38347"/>
    <cellStyle name="输入 5 4 4" xfId="32255"/>
    <cellStyle name="输入 5 5" xfId="34917"/>
    <cellStyle name="输入 5 5 2" xfId="40915"/>
    <cellStyle name="输入 5 5 3" xfId="40274"/>
    <cellStyle name="输入 5 6" xfId="29441"/>
    <cellStyle name="输入 5 7" xfId="16114"/>
    <cellStyle name="输入 5 8" xfId="45551"/>
    <cellStyle name="输入 6" xfId="9622"/>
    <cellStyle name="输入 6 10" xfId="45492"/>
    <cellStyle name="输入 6 2" xfId="13259"/>
    <cellStyle name="输入 6 2 2" xfId="26487"/>
    <cellStyle name="输入 6 2 3" xfId="32739"/>
    <cellStyle name="输入 6 2 4" xfId="38959"/>
    <cellStyle name="输入 6 2 5" xfId="28245"/>
    <cellStyle name="输入 6 3" xfId="7575"/>
    <cellStyle name="输入 6 3 2" xfId="20803"/>
    <cellStyle name="输入 6 3 3" xfId="35235"/>
    <cellStyle name="输入 6 3 4" xfId="46025"/>
    <cellStyle name="输入 6 3 5" xfId="47938"/>
    <cellStyle name="输入 6 4" xfId="13074"/>
    <cellStyle name="输入 6 4 2" xfId="26302"/>
    <cellStyle name="输入 6 4 3" xfId="31033"/>
    <cellStyle name="输入 6 4 4" xfId="18557"/>
    <cellStyle name="输入 6 4 5" xfId="34365"/>
    <cellStyle name="输入 6 5" xfId="7993"/>
    <cellStyle name="输入 6 5 2" xfId="21221"/>
    <cellStyle name="输入 6 5 3" xfId="16570"/>
    <cellStyle name="输入 6 5 4" xfId="44267"/>
    <cellStyle name="输入 6 6" xfId="22850"/>
    <cellStyle name="输入 6 6 2" xfId="30099"/>
    <cellStyle name="输入 6 6 3" xfId="16574"/>
    <cellStyle name="输入 6 6 4" xfId="38678"/>
    <cellStyle name="输入 6 7" xfId="37328"/>
    <cellStyle name="输入 6 7 2" xfId="43248"/>
    <cellStyle name="输入 6 7 3" xfId="50082"/>
    <cellStyle name="输入 6 8" xfId="28428"/>
    <cellStyle name="输入 6 9" xfId="40505"/>
    <cellStyle name="输入 7" xfId="8014"/>
    <cellStyle name="输入 7 2" xfId="21242"/>
    <cellStyle name="输入 8" xfId="37824"/>
    <cellStyle name="输出" xfId="3132"/>
    <cellStyle name="输出 2" xfId="3133"/>
    <cellStyle name="输出 2 2" xfId="3134"/>
    <cellStyle name="输出 2 2 2" xfId="3135"/>
    <cellStyle name="输出 2 2 2 2" xfId="6403"/>
    <cellStyle name="输出 2 2 2 2 10" xfId="44310"/>
    <cellStyle name="输出 2 2 2 2 2" xfId="11137"/>
    <cellStyle name="输出 2 2 2 2 2 2" xfId="24365"/>
    <cellStyle name="输出 2 2 2 2 2 3" xfId="33767"/>
    <cellStyle name="输出 2 2 2 2 2 4" xfId="39886"/>
    <cellStyle name="输出 2 2 2 2 2 5" xfId="32972"/>
    <cellStyle name="输出 2 2 2 2 3" xfId="12971"/>
    <cellStyle name="输出 2 2 2 2 3 2" xfId="26199"/>
    <cellStyle name="输出 2 2 2 2 3 3" xfId="36193"/>
    <cellStyle name="输出 2 2 2 2 3 4" xfId="42086"/>
    <cellStyle name="输出 2 2 2 2 3 5" xfId="48920"/>
    <cellStyle name="输出 2 2 2 2 4" xfId="19631"/>
    <cellStyle name="输出 2 2 2 2 4 2" xfId="31530"/>
    <cellStyle name="输出 2 2 2 2 4 3" xfId="15258"/>
    <cellStyle name="输出 2 2 2 2 4 4" xfId="47131"/>
    <cellStyle name="输出 2 2 2 2 5" xfId="30638"/>
    <cellStyle name="输出 2 2 2 2 5 2" xfId="16872"/>
    <cellStyle name="输出 2 2 2 2 5 3" xfId="47300"/>
    <cellStyle name="输出 2 2 2 2 6" xfId="32019"/>
    <cellStyle name="输出 2 2 2 2 6 2" xfId="38242"/>
    <cellStyle name="输出 2 2 2 2 6 3" xfId="18091"/>
    <cellStyle name="输出 2 2 2 2 6 4" xfId="51290"/>
    <cellStyle name="输出 2 2 2 2 7" xfId="36793"/>
    <cellStyle name="输出 2 2 2 2 7 2" xfId="42704"/>
    <cellStyle name="输出 2 2 2 2 7 3" xfId="49538"/>
    <cellStyle name="输出 2 2 2 2 7 4" xfId="51291"/>
    <cellStyle name="输出 2 2 2 2 8" xfId="29455"/>
    <cellStyle name="输出 2 2 2 2 9" xfId="16125"/>
    <cellStyle name="输出 2 2 2 3" xfId="5720"/>
    <cellStyle name="输出 2 2 2 3 10" xfId="44066"/>
    <cellStyle name="输出 2 2 2 3 2" xfId="10454"/>
    <cellStyle name="输出 2 2 2 3 2 2" xfId="23682"/>
    <cellStyle name="输出 2 2 2 3 2 3" xfId="33234"/>
    <cellStyle name="输出 2 2 2 3 2 4" xfId="39448"/>
    <cellStyle name="输出 2 2 2 3 2 5" xfId="46291"/>
    <cellStyle name="输出 2 2 2 3 3" xfId="7918"/>
    <cellStyle name="输出 2 2 2 3 3 2" xfId="21146"/>
    <cellStyle name="输出 2 2 2 3 3 3" xfId="35715"/>
    <cellStyle name="输出 2 2 2 3 3 4" xfId="41599"/>
    <cellStyle name="输出 2 2 2 3 3 5" xfId="48433"/>
    <cellStyle name="输出 2 2 2 3 4" xfId="18959"/>
    <cellStyle name="输出 2 2 2 3 4 2" xfId="30109"/>
    <cellStyle name="输出 2 2 2 3 4 3" xfId="16584"/>
    <cellStyle name="输出 2 2 2 3 4 4" xfId="32281"/>
    <cellStyle name="输出 2 2 2 3 5" xfId="31309"/>
    <cellStyle name="输出 2 2 2 3 5 2" xfId="18464"/>
    <cellStyle name="输出 2 2 2 3 5 3" xfId="34336"/>
    <cellStyle name="输出 2 2 2 3 6" xfId="32043"/>
    <cellStyle name="输出 2 2 2 3 6 2" xfId="38266"/>
    <cellStyle name="输出 2 2 2 3 6 3" xfId="46429"/>
    <cellStyle name="输出 2 2 2 3 6 4" xfId="51292"/>
    <cellStyle name="输出 2 2 2 3 7" xfId="37139"/>
    <cellStyle name="输出 2 2 2 3 7 2" xfId="43058"/>
    <cellStyle name="输出 2 2 2 3 7 3" xfId="49892"/>
    <cellStyle name="输出 2 2 2 3 7 4" xfId="51293"/>
    <cellStyle name="输出 2 2 2 3 8" xfId="28931"/>
    <cellStyle name="输出 2 2 2 3 9" xfId="14541"/>
    <cellStyle name="输出 2 2 2 4" xfId="9636"/>
    <cellStyle name="输出 2 2 2 4 10" xfId="44577"/>
    <cellStyle name="输出 2 2 2 4 2" xfId="13273"/>
    <cellStyle name="输出 2 2 2 4 2 2" xfId="26501"/>
    <cellStyle name="输出 2 2 2 4 2 3" xfId="32753"/>
    <cellStyle name="输出 2 2 2 4 2 4" xfId="38973"/>
    <cellStyle name="输出 2 2 2 4 2 5" xfId="47596"/>
    <cellStyle name="输出 2 2 2 4 3" xfId="13044"/>
    <cellStyle name="输出 2 2 2 4 3 2" xfId="26272"/>
    <cellStyle name="输出 2 2 2 4 3 3" xfId="35249"/>
    <cellStyle name="输出 2 2 2 4 3 4" xfId="41199"/>
    <cellStyle name="输出 2 2 2 4 3 5" xfId="47952"/>
    <cellStyle name="输出 2 2 2 4 4" xfId="8456"/>
    <cellStyle name="输出 2 2 2 4 4 2" xfId="21684"/>
    <cellStyle name="输出 2 2 2 4 4 3" xfId="31045"/>
    <cellStyle name="输出 2 2 2 4 4 4" xfId="18568"/>
    <cellStyle name="输出 2 2 2 4 4 5" xfId="14526"/>
    <cellStyle name="输出 2 2 2 4 5" xfId="22864"/>
    <cellStyle name="输出 2 2 2 4 5 2" xfId="31282"/>
    <cellStyle name="输出 2 2 2 4 5 3" xfId="17172"/>
    <cellStyle name="输出 2 2 2 4 5 4" xfId="34078"/>
    <cellStyle name="输出 2 2 2 4 6" xfId="37345"/>
    <cellStyle name="输出 2 2 2 4 6 2" xfId="43265"/>
    <cellStyle name="输出 2 2 2 4 6 3" xfId="50099"/>
    <cellStyle name="输出 2 2 2 4 7" xfId="36671"/>
    <cellStyle name="输出 2 2 2 4 7 2" xfId="42574"/>
    <cellStyle name="输出 2 2 2 4 7 3" xfId="49408"/>
    <cellStyle name="输出 2 2 2 4 7 4" xfId="51294"/>
    <cellStyle name="输出 2 2 2 4 8" xfId="28442"/>
    <cellStyle name="输出 2 2 2 4 9" xfId="39632"/>
    <cellStyle name="输出 2 2 2 5" xfId="8028"/>
    <cellStyle name="输出 2 2 2 5 2" xfId="21256"/>
    <cellStyle name="输出 2 2 2 6" xfId="43917"/>
    <cellStyle name="输出 2 2 3" xfId="6402"/>
    <cellStyle name="输出 2 2 3 10" xfId="45316"/>
    <cellStyle name="输出 2 2 3 2" xfId="11136"/>
    <cellStyle name="输出 2 2 3 2 2" xfId="24364"/>
    <cellStyle name="输出 2 2 3 2 3" xfId="33766"/>
    <cellStyle name="输出 2 2 3 2 4" xfId="39885"/>
    <cellStyle name="输出 2 2 3 2 5" xfId="34251"/>
    <cellStyle name="输出 2 2 3 3" xfId="12972"/>
    <cellStyle name="输出 2 2 3 3 2" xfId="26200"/>
    <cellStyle name="输出 2 2 3 3 3" xfId="36192"/>
    <cellStyle name="输出 2 2 3 3 4" xfId="42085"/>
    <cellStyle name="输出 2 2 3 3 5" xfId="48919"/>
    <cellStyle name="输出 2 2 3 4" xfId="19630"/>
    <cellStyle name="输出 2 2 3 4 2" xfId="31948"/>
    <cellStyle name="输出 2 2 3 4 3" xfId="38170"/>
    <cellStyle name="输出 2 2 3 4 4" xfId="15502"/>
    <cellStyle name="输出 2 2 3 5" xfId="30636"/>
    <cellStyle name="输出 2 2 3 5 2" xfId="16871"/>
    <cellStyle name="输出 2 2 3 5 3" xfId="44215"/>
    <cellStyle name="输出 2 2 3 6" xfId="37133"/>
    <cellStyle name="输出 2 2 3 6 2" xfId="43052"/>
    <cellStyle name="输出 2 2 3 6 3" xfId="49886"/>
    <cellStyle name="输出 2 2 3 6 4" xfId="51295"/>
    <cellStyle name="输出 2 2 3 7" xfId="35536"/>
    <cellStyle name="输出 2 2 3 7 2" xfId="41410"/>
    <cellStyle name="输出 2 2 3 7 3" xfId="48244"/>
    <cellStyle name="输出 2 2 3 7 4" xfId="51296"/>
    <cellStyle name="输出 2 2 3 8" xfId="29454"/>
    <cellStyle name="输出 2 2 3 9" xfId="17655"/>
    <cellStyle name="输出 2 2 4" xfId="5719"/>
    <cellStyle name="输出 2 2 4 10" xfId="45199"/>
    <cellStyle name="输出 2 2 4 2" xfId="10453"/>
    <cellStyle name="输出 2 2 4 2 2" xfId="23681"/>
    <cellStyle name="输出 2 2 4 2 3" xfId="33233"/>
    <cellStyle name="输出 2 2 4 2 4" xfId="39447"/>
    <cellStyle name="输出 2 2 4 2 5" xfId="17974"/>
    <cellStyle name="输出 2 2 4 3" xfId="8594"/>
    <cellStyle name="输出 2 2 4 3 2" xfId="21822"/>
    <cellStyle name="输出 2 2 4 3 3" xfId="35714"/>
    <cellStyle name="输出 2 2 4 3 4" xfId="41598"/>
    <cellStyle name="输出 2 2 4 3 5" xfId="48432"/>
    <cellStyle name="输出 2 2 4 4" xfId="18958"/>
    <cellStyle name="输出 2 2 4 4 2" xfId="34650"/>
    <cellStyle name="输出 2 2 4 4 3" xfId="40639"/>
    <cellStyle name="输出 2 2 4 4 4" xfId="40361"/>
    <cellStyle name="输出 2 2 4 5" xfId="31921"/>
    <cellStyle name="输出 2 2 4 5 2" xfId="38143"/>
    <cellStyle name="输出 2 2 4 5 3" xfId="44164"/>
    <cellStyle name="输出 2 2 4 6" xfId="29806"/>
    <cellStyle name="输出 2 2 4 6 2" xfId="16347"/>
    <cellStyle name="输出 2 2 4 6 3" xfId="17564"/>
    <cellStyle name="输出 2 2 4 6 4" xfId="51297"/>
    <cellStyle name="输出 2 2 4 7" xfId="31224"/>
    <cellStyle name="输出 2 2 4 7 2" xfId="17131"/>
    <cellStyle name="输出 2 2 4 7 3" xfId="27977"/>
    <cellStyle name="输出 2 2 4 7 4" xfId="51298"/>
    <cellStyle name="输出 2 2 4 8" xfId="28930"/>
    <cellStyle name="输出 2 2 4 9" xfId="15870"/>
    <cellStyle name="输出 2 2 5" xfId="9635"/>
    <cellStyle name="输出 2 2 5 10" xfId="40385"/>
    <cellStyle name="输出 2 2 5 2" xfId="13272"/>
    <cellStyle name="输出 2 2 5 2 2" xfId="26500"/>
    <cellStyle name="输出 2 2 5 2 3" xfId="32752"/>
    <cellStyle name="输出 2 2 5 2 4" xfId="38972"/>
    <cellStyle name="输出 2 2 5 2 5" xfId="47565"/>
    <cellStyle name="输出 2 2 5 3" xfId="14041"/>
    <cellStyle name="输出 2 2 5 3 2" xfId="27269"/>
    <cellStyle name="输出 2 2 5 3 3" xfId="35248"/>
    <cellStyle name="输出 2 2 5 3 4" xfId="41198"/>
    <cellStyle name="输出 2 2 5 3 5" xfId="47951"/>
    <cellStyle name="输出 2 2 5 4" xfId="7735"/>
    <cellStyle name="输出 2 2 5 4 2" xfId="20963"/>
    <cellStyle name="输出 2 2 5 4 3" xfId="31044"/>
    <cellStyle name="输出 2 2 5 4 4" xfId="18567"/>
    <cellStyle name="输出 2 2 5 4 5" xfId="39572"/>
    <cellStyle name="输出 2 2 5 5" xfId="22863"/>
    <cellStyle name="输出 2 2 5 5 2" xfId="31429"/>
    <cellStyle name="输出 2 2 5 5 3" xfId="15246"/>
    <cellStyle name="输出 2 2 5 5 4" xfId="44606"/>
    <cellStyle name="输出 2 2 5 6" xfId="34653"/>
    <cellStyle name="输出 2 2 5 6 2" xfId="40642"/>
    <cellStyle name="输出 2 2 5 6 3" xfId="27891"/>
    <cellStyle name="输出 2 2 5 7" xfId="37635"/>
    <cellStyle name="输出 2 2 5 7 2" xfId="43558"/>
    <cellStyle name="输出 2 2 5 7 3" xfId="50392"/>
    <cellStyle name="输出 2 2 5 7 4" xfId="51299"/>
    <cellStyle name="输出 2 2 5 8" xfId="28441"/>
    <cellStyle name="输出 2 2 5 9" xfId="15757"/>
    <cellStyle name="输出 2 2 6" xfId="8027"/>
    <cellStyle name="输出 2 2 6 2" xfId="21255"/>
    <cellStyle name="输出 2 2 7" xfId="45842"/>
    <cellStyle name="输出 2 3" xfId="3136"/>
    <cellStyle name="输出 2 3 2" xfId="6404"/>
    <cellStyle name="输出 2 3 2 10" xfId="40443"/>
    <cellStyle name="输出 2 3 2 2" xfId="11138"/>
    <cellStyle name="输出 2 3 2 2 2" xfId="24366"/>
    <cellStyle name="输出 2 3 2 2 3" xfId="33768"/>
    <cellStyle name="输出 2 3 2 2 4" xfId="39887"/>
    <cellStyle name="输出 2 3 2 2 5" xfId="39911"/>
    <cellStyle name="输出 2 3 2 3" xfId="12970"/>
    <cellStyle name="输出 2 3 2 3 2" xfId="26198"/>
    <cellStyle name="输出 2 3 2 3 3" xfId="36194"/>
    <cellStyle name="输出 2 3 2 3 4" xfId="42087"/>
    <cellStyle name="输出 2 3 2 3 5" xfId="48921"/>
    <cellStyle name="输出 2 3 2 4" xfId="19632"/>
    <cellStyle name="输出 2 3 2 4 2" xfId="31531"/>
    <cellStyle name="输出 2 3 2 4 3" xfId="17290"/>
    <cellStyle name="输出 2 3 2 4 4" xfId="45657"/>
    <cellStyle name="输出 2 3 2 5" xfId="36767"/>
    <cellStyle name="输出 2 3 2 5 2" xfId="42674"/>
    <cellStyle name="输出 2 3 2 5 3" xfId="49508"/>
    <cellStyle name="输出 2 3 2 6" xfId="31880"/>
    <cellStyle name="输出 2 3 2 6 2" xfId="38101"/>
    <cellStyle name="输出 2 3 2 6 3" xfId="47268"/>
    <cellStyle name="输出 2 3 2 6 4" xfId="51300"/>
    <cellStyle name="输出 2 3 2 7" xfId="37681"/>
    <cellStyle name="输出 2 3 2 7 2" xfId="43604"/>
    <cellStyle name="输出 2 3 2 7 3" xfId="50438"/>
    <cellStyle name="输出 2 3 2 7 4" xfId="51301"/>
    <cellStyle name="输出 2 3 2 8" xfId="29456"/>
    <cellStyle name="输出 2 3 2 9" xfId="16124"/>
    <cellStyle name="输出 2 3 3" xfId="5721"/>
    <cellStyle name="输出 2 3 3 10" xfId="38739"/>
    <cellStyle name="输出 2 3 3 2" xfId="10455"/>
    <cellStyle name="输出 2 3 3 2 2" xfId="23683"/>
    <cellStyle name="输出 2 3 3 2 3" xfId="33235"/>
    <cellStyle name="输出 2 3 3 2 4" xfId="39449"/>
    <cellStyle name="输出 2 3 3 2 5" xfId="36710"/>
    <cellStyle name="输出 2 3 3 3" xfId="7917"/>
    <cellStyle name="输出 2 3 3 3 2" xfId="21145"/>
    <cellStyle name="输出 2 3 3 3 3" xfId="35716"/>
    <cellStyle name="输出 2 3 3 3 4" xfId="41600"/>
    <cellStyle name="输出 2 3 3 3 5" xfId="48434"/>
    <cellStyle name="输出 2 3 3 4" xfId="18960"/>
    <cellStyle name="输出 2 3 3 4 2" xfId="31327"/>
    <cellStyle name="输出 2 3 3 4 3" xfId="18466"/>
    <cellStyle name="输出 2 3 3 4 4" xfId="46630"/>
    <cellStyle name="输出 2 3 3 5" xfId="36742"/>
    <cellStyle name="输出 2 3 3 5 2" xfId="42647"/>
    <cellStyle name="输出 2 3 3 5 3" xfId="49481"/>
    <cellStyle name="输出 2 3 3 6" xfId="36753"/>
    <cellStyle name="输出 2 3 3 6 2" xfId="42660"/>
    <cellStyle name="输出 2 3 3 6 3" xfId="49494"/>
    <cellStyle name="输出 2 3 3 6 4" xfId="51302"/>
    <cellStyle name="输出 2 3 3 7" xfId="37571"/>
    <cellStyle name="输出 2 3 3 7 2" xfId="43492"/>
    <cellStyle name="输出 2 3 3 7 3" xfId="50326"/>
    <cellStyle name="输出 2 3 3 7 4" xfId="51303"/>
    <cellStyle name="输出 2 3 3 8" xfId="28932"/>
    <cellStyle name="输出 2 3 3 9" xfId="15872"/>
    <cellStyle name="输出 2 3 4" xfId="9637"/>
    <cellStyle name="输出 2 3 4 10" xfId="45547"/>
    <cellStyle name="输出 2 3 4 2" xfId="13274"/>
    <cellStyle name="输出 2 3 4 2 2" xfId="26502"/>
    <cellStyle name="输出 2 3 4 2 3" xfId="32754"/>
    <cellStyle name="输出 2 3 4 2 4" xfId="38974"/>
    <cellStyle name="输出 2 3 4 2 5" xfId="47595"/>
    <cellStyle name="输出 2 3 4 3" xfId="7190"/>
    <cellStyle name="输出 2 3 4 3 2" xfId="20418"/>
    <cellStyle name="输出 2 3 4 3 3" xfId="35250"/>
    <cellStyle name="输出 2 3 4 3 4" xfId="41200"/>
    <cellStyle name="输出 2 3 4 3 5" xfId="47953"/>
    <cellStyle name="输出 2 3 4 4" xfId="7912"/>
    <cellStyle name="输出 2 3 4 4 2" xfId="21140"/>
    <cellStyle name="输出 2 3 4 4 3" xfId="31046"/>
    <cellStyle name="输出 2 3 4 4 4" xfId="18569"/>
    <cellStyle name="输出 2 3 4 4 5" xfId="39222"/>
    <cellStyle name="输出 2 3 4 5" xfId="22865"/>
    <cellStyle name="输出 2 3 4 5 2" xfId="37471"/>
    <cellStyle name="输出 2 3 4 5 3" xfId="43391"/>
    <cellStyle name="输出 2 3 4 5 4" xfId="50225"/>
    <cellStyle name="输出 2 3 4 6" xfId="34863"/>
    <cellStyle name="输出 2 3 4 6 2" xfId="40862"/>
    <cellStyle name="输出 2 3 4 6 3" xfId="33317"/>
    <cellStyle name="输出 2 3 4 7" xfId="37719"/>
    <cellStyle name="输出 2 3 4 7 2" xfId="43642"/>
    <cellStyle name="输出 2 3 4 7 3" xfId="50476"/>
    <cellStyle name="输出 2 3 4 7 4" xfId="51304"/>
    <cellStyle name="输出 2 3 4 8" xfId="28443"/>
    <cellStyle name="输出 2 3 4 9" xfId="40613"/>
    <cellStyle name="输出 2 3 5" xfId="8029"/>
    <cellStyle name="输出 2 3 5 2" xfId="21257"/>
    <cellStyle name="输出 2 3 6" xfId="44237"/>
    <cellStyle name="输出 2 4" xfId="6401"/>
    <cellStyle name="输出 2 4 10" xfId="18485"/>
    <cellStyle name="输出 2 4 2" xfId="11135"/>
    <cellStyle name="输出 2 4 2 2" xfId="24363"/>
    <cellStyle name="输出 2 4 2 3" xfId="33765"/>
    <cellStyle name="输出 2 4 2 4" xfId="39884"/>
    <cellStyle name="输出 2 4 2 5" xfId="41219"/>
    <cellStyle name="输出 2 4 3" xfId="8100"/>
    <cellStyle name="输出 2 4 3 2" xfId="21328"/>
    <cellStyle name="输出 2 4 3 3" xfId="36191"/>
    <cellStyle name="输出 2 4 3 4" xfId="42084"/>
    <cellStyle name="输出 2 4 3 5" xfId="48918"/>
    <cellStyle name="输出 2 4 4" xfId="19629"/>
    <cellStyle name="输出 2 4 4 2" xfId="30067"/>
    <cellStyle name="输出 2 4 4 3" xfId="16550"/>
    <cellStyle name="输出 2 4 4 4" xfId="28203"/>
    <cellStyle name="输出 2 4 5" xfId="30637"/>
    <cellStyle name="输出 2 4 5 2" xfId="15161"/>
    <cellStyle name="输出 2 4 5 3" xfId="17454"/>
    <cellStyle name="输出 2 4 6" xfId="30804"/>
    <cellStyle name="输出 2 4 6 2" xfId="15224"/>
    <cellStyle name="输出 2 4 6 3" xfId="39196"/>
    <cellStyle name="输出 2 4 6 4" xfId="51305"/>
    <cellStyle name="输出 2 4 7" xfId="37512"/>
    <cellStyle name="输出 2 4 7 2" xfId="43432"/>
    <cellStyle name="输出 2 4 7 3" xfId="50266"/>
    <cellStyle name="输出 2 4 7 4" xfId="51306"/>
    <cellStyle name="输出 2 4 8" xfId="29453"/>
    <cellStyle name="输出 2 4 9" xfId="16122"/>
    <cellStyle name="输出 2 5" xfId="5718"/>
    <cellStyle name="输出 2 5 10" xfId="15344"/>
    <cellStyle name="输出 2 5 2" xfId="10452"/>
    <cellStyle name="输出 2 5 2 2" xfId="23680"/>
    <cellStyle name="输出 2 5 2 3" xfId="33232"/>
    <cellStyle name="输出 2 5 2 4" xfId="39446"/>
    <cellStyle name="输出 2 5 2 5" xfId="47550"/>
    <cellStyle name="输出 2 5 3" xfId="7915"/>
    <cellStyle name="输出 2 5 3 2" xfId="21143"/>
    <cellStyle name="输出 2 5 3 3" xfId="35713"/>
    <cellStyle name="输出 2 5 3 4" xfId="41597"/>
    <cellStyle name="输出 2 5 3 5" xfId="48431"/>
    <cellStyle name="输出 2 5 4" xfId="18957"/>
    <cellStyle name="输出 2 5 4 2" xfId="31943"/>
    <cellStyle name="输出 2 5 4 3" xfId="38165"/>
    <cellStyle name="输出 2 5 4 4" xfId="44162"/>
    <cellStyle name="输出 2 5 5" xfId="36826"/>
    <cellStyle name="输出 2 5 5 2" xfId="42737"/>
    <cellStyle name="输出 2 5 5 3" xfId="49571"/>
    <cellStyle name="输出 2 5 6" xfId="37266"/>
    <cellStyle name="输出 2 5 6 2" xfId="43186"/>
    <cellStyle name="输出 2 5 6 3" xfId="50020"/>
    <cellStyle name="输出 2 5 6 4" xfId="51307"/>
    <cellStyle name="输出 2 5 7" xfId="31599"/>
    <cellStyle name="输出 2 5 7 2" xfId="18012"/>
    <cellStyle name="输出 2 5 7 3" xfId="46620"/>
    <cellStyle name="输出 2 5 7 4" xfId="51308"/>
    <cellStyle name="输出 2 5 8" xfId="28929"/>
    <cellStyle name="输出 2 5 9" xfId="15869"/>
    <cellStyle name="输出 2 6" xfId="9634"/>
    <cellStyle name="输出 2 6 10" xfId="44339"/>
    <cellStyle name="输出 2 6 2" xfId="13271"/>
    <cellStyle name="输出 2 6 2 2" xfId="26499"/>
    <cellStyle name="输出 2 6 2 3" xfId="32751"/>
    <cellStyle name="输出 2 6 2 4" xfId="38971"/>
    <cellStyle name="输出 2 6 2 5" xfId="15332"/>
    <cellStyle name="输出 2 6 3" xfId="8528"/>
    <cellStyle name="输出 2 6 3 2" xfId="21756"/>
    <cellStyle name="输出 2 6 3 3" xfId="35247"/>
    <cellStyle name="输出 2 6 3 4" xfId="41197"/>
    <cellStyle name="输出 2 6 3 5" xfId="47950"/>
    <cellStyle name="输出 2 6 4" xfId="14375"/>
    <cellStyle name="输出 2 6 4 2" xfId="27603"/>
    <cellStyle name="输出 2 6 4 3" xfId="31043"/>
    <cellStyle name="输出 2 6 4 4" xfId="18566"/>
    <cellStyle name="输出 2 6 4 5" xfId="40554"/>
    <cellStyle name="输出 2 6 5" xfId="22862"/>
    <cellStyle name="输出 2 6 5 2" xfId="35525"/>
    <cellStyle name="输出 2 6 5 3" xfId="41397"/>
    <cellStyle name="输出 2 6 5 4" xfId="48231"/>
    <cellStyle name="输出 2 6 6" xfId="37168"/>
    <cellStyle name="输出 2 6 6 2" xfId="43087"/>
    <cellStyle name="输出 2 6 6 3" xfId="49921"/>
    <cellStyle name="输出 2 6 7" xfId="30697"/>
    <cellStyle name="输出 2 6 7 2" xfId="18035"/>
    <cellStyle name="输出 2 6 7 3" xfId="43921"/>
    <cellStyle name="输出 2 6 7 4" xfId="51309"/>
    <cellStyle name="输出 2 6 8" xfId="28440"/>
    <cellStyle name="输出 2 6 9" xfId="39289"/>
    <cellStyle name="输出 2 7" xfId="8026"/>
    <cellStyle name="输出 2 7 2" xfId="21254"/>
    <cellStyle name="输出 2 8" xfId="45826"/>
    <cellStyle name="输出 3" xfId="3137"/>
    <cellStyle name="输出 3 2" xfId="3138"/>
    <cellStyle name="输出 3 2 2" xfId="3139"/>
    <cellStyle name="输出 3 2 2 2" xfId="6407"/>
    <cellStyle name="输出 3 2 2 2 10" xfId="33061"/>
    <cellStyle name="输出 3 2 2 2 2" xfId="11141"/>
    <cellStyle name="输出 3 2 2 2 2 2" xfId="24369"/>
    <cellStyle name="输出 3 2 2 2 2 3" xfId="33771"/>
    <cellStyle name="输出 3 2 2 2 2 4" xfId="39890"/>
    <cellStyle name="输出 3 2 2 2 2 5" xfId="17613"/>
    <cellStyle name="输出 3 2 2 2 3" xfId="12968"/>
    <cellStyle name="输出 3 2 2 2 3 2" xfId="26196"/>
    <cellStyle name="输出 3 2 2 2 3 3" xfId="36197"/>
    <cellStyle name="输出 3 2 2 2 3 4" xfId="42090"/>
    <cellStyle name="输出 3 2 2 2 3 5" xfId="48924"/>
    <cellStyle name="输出 3 2 2 2 4" xfId="19635"/>
    <cellStyle name="输出 3 2 2 2 4 2" xfId="31532"/>
    <cellStyle name="输出 3 2 2 2 4 3" xfId="17291"/>
    <cellStyle name="输出 3 2 2 2 4 4" xfId="17571"/>
    <cellStyle name="输出 3 2 2 2 5" xfId="30225"/>
    <cellStyle name="输出 3 2 2 2 5 2" xfId="16675"/>
    <cellStyle name="输出 3 2 2 2 5 3" xfId="44435"/>
    <cellStyle name="输出 3 2 2 2 6" xfId="31218"/>
    <cellStyle name="输出 3 2 2 2 6 2" xfId="17124"/>
    <cellStyle name="输出 3 2 2 2 6 3" xfId="45583"/>
    <cellStyle name="输出 3 2 2 2 6 4" xfId="51310"/>
    <cellStyle name="输出 3 2 2 2 7" xfId="31739"/>
    <cellStyle name="输出 3 2 2 2 7 2" xfId="37960"/>
    <cellStyle name="输出 3 2 2 2 7 3" xfId="40286"/>
    <cellStyle name="输出 3 2 2 2 7 4" xfId="51311"/>
    <cellStyle name="输出 3 2 2 2 8" xfId="29459"/>
    <cellStyle name="输出 3 2 2 2 9" xfId="16126"/>
    <cellStyle name="输出 3 2 2 3" xfId="5724"/>
    <cellStyle name="输出 3 2 2 3 10" xfId="28800"/>
    <cellStyle name="输出 3 2 2 3 2" xfId="10458"/>
    <cellStyle name="输出 3 2 2 3 2 2" xfId="23686"/>
    <cellStyle name="输出 3 2 2 3 2 3" xfId="33238"/>
    <cellStyle name="输出 3 2 2 3 2 4" xfId="39452"/>
    <cellStyle name="输出 3 2 2 3 2 5" xfId="47506"/>
    <cellStyle name="输出 3 2 2 3 3" xfId="7919"/>
    <cellStyle name="输出 3 2 2 3 3 2" xfId="21147"/>
    <cellStyle name="输出 3 2 2 3 3 3" xfId="35719"/>
    <cellStyle name="输出 3 2 2 3 3 4" xfId="41603"/>
    <cellStyle name="输出 3 2 2 3 3 5" xfId="48437"/>
    <cellStyle name="输出 3 2 2 3 4" xfId="18963"/>
    <cellStyle name="输出 3 2 2 3 4 2" xfId="34649"/>
    <cellStyle name="输出 3 2 2 3 4 3" xfId="40638"/>
    <cellStyle name="输出 3 2 2 3 4 4" xfId="29062"/>
    <cellStyle name="输出 3 2 2 3 5" xfId="34965"/>
    <cellStyle name="输出 3 2 2 3 5 2" xfId="40963"/>
    <cellStyle name="输出 3 2 2 3 5 3" xfId="47659"/>
    <cellStyle name="输出 3 2 2 3 6" xfId="31771"/>
    <cellStyle name="输出 3 2 2 3 6 2" xfId="37992"/>
    <cellStyle name="输出 3 2 2 3 6 3" xfId="46605"/>
    <cellStyle name="输出 3 2 2 3 6 4" xfId="51312"/>
    <cellStyle name="输出 3 2 2 3 7" xfId="30711"/>
    <cellStyle name="输出 3 2 2 3 7 2" xfId="18036"/>
    <cellStyle name="输出 3 2 2 3 7 3" xfId="34137"/>
    <cellStyle name="输出 3 2 2 3 7 4" xfId="51313"/>
    <cellStyle name="输出 3 2 2 3 8" xfId="28935"/>
    <cellStyle name="输出 3 2 2 3 9" xfId="15874"/>
    <cellStyle name="输出 3 2 2 4" xfId="9640"/>
    <cellStyle name="输出 3 2 2 4 10" xfId="34590"/>
    <cellStyle name="输出 3 2 2 4 2" xfId="13277"/>
    <cellStyle name="输出 3 2 2 4 2 2" xfId="26505"/>
    <cellStyle name="输出 3 2 2 4 2 3" xfId="32757"/>
    <cellStyle name="输出 3 2 2 4 2 4" xfId="38977"/>
    <cellStyle name="输出 3 2 2 4 2 5" xfId="47443"/>
    <cellStyle name="输出 3 2 2 4 3" xfId="12950"/>
    <cellStyle name="输出 3 2 2 4 3 2" xfId="26178"/>
    <cellStyle name="输出 3 2 2 4 3 3" xfId="35253"/>
    <cellStyle name="输出 3 2 2 4 3 4" xfId="41203"/>
    <cellStyle name="输出 3 2 2 4 3 5" xfId="47956"/>
    <cellStyle name="输出 3 2 2 4 4" xfId="7353"/>
    <cellStyle name="输出 3 2 2 4 4 2" xfId="20581"/>
    <cellStyle name="输出 3 2 2 4 4 3" xfId="31049"/>
    <cellStyle name="输出 3 2 2 4 4 4" xfId="18570"/>
    <cellStyle name="输出 3 2 2 4 4 5" xfId="15855"/>
    <cellStyle name="输出 3 2 2 4 5" xfId="22868"/>
    <cellStyle name="输出 3 2 2 4 5 2" xfId="30076"/>
    <cellStyle name="输出 3 2 2 4 5 3" xfId="16554"/>
    <cellStyle name="输出 3 2 2 4 5 4" xfId="45499"/>
    <cellStyle name="输出 3 2 2 4 6" xfId="31361"/>
    <cellStyle name="输出 3 2 2 4 6 2" xfId="17218"/>
    <cellStyle name="输出 3 2 2 4 6 3" xfId="15721"/>
    <cellStyle name="输出 3 2 2 4 7" xfId="34662"/>
    <cellStyle name="输出 3 2 2 4 7 2" xfId="40651"/>
    <cellStyle name="输出 3 2 2 4 7 3" xfId="17471"/>
    <cellStyle name="输出 3 2 2 4 7 4" xfId="51314"/>
    <cellStyle name="输出 3 2 2 4 8" xfId="28446"/>
    <cellStyle name="输出 3 2 2 4 9" xfId="15449"/>
    <cellStyle name="输出 3 2 2 5" xfId="8032"/>
    <cellStyle name="输出 3 2 2 5 2" xfId="21260"/>
    <cellStyle name="输出 3 2 2 6" xfId="46668"/>
    <cellStyle name="输出 3 2 3" xfId="6406"/>
    <cellStyle name="输出 3 2 3 10" xfId="45519"/>
    <cellStyle name="输出 3 2 3 2" xfId="11140"/>
    <cellStyle name="输出 3 2 3 2 2" xfId="24368"/>
    <cellStyle name="输出 3 2 3 2 3" xfId="33770"/>
    <cellStyle name="输出 3 2 3 2 4" xfId="39889"/>
    <cellStyle name="输出 3 2 3 2 5" xfId="28801"/>
    <cellStyle name="输出 3 2 3 3" xfId="12969"/>
    <cellStyle name="输出 3 2 3 3 2" xfId="26197"/>
    <cellStyle name="输出 3 2 3 3 3" xfId="36196"/>
    <cellStyle name="输出 3 2 3 3 4" xfId="42089"/>
    <cellStyle name="输出 3 2 3 3 5" xfId="48923"/>
    <cellStyle name="输出 3 2 3 4" xfId="19634"/>
    <cellStyle name="输出 3 2 3 4 2" xfId="30147"/>
    <cellStyle name="输出 3 2 3 4 3" xfId="16611"/>
    <cellStyle name="输出 3 2 3 4 4" xfId="32251"/>
    <cellStyle name="输出 3 2 3 5" xfId="30681"/>
    <cellStyle name="输出 3 2 3 5 2" xfId="14687"/>
    <cellStyle name="输出 3 2 3 5 3" xfId="46392"/>
    <cellStyle name="输出 3 2 3 6" xfId="32123"/>
    <cellStyle name="输出 3 2 3 6 2" xfId="38346"/>
    <cellStyle name="输出 3 2 3 6 3" xfId="39430"/>
    <cellStyle name="输出 3 2 3 6 4" xfId="51315"/>
    <cellStyle name="输出 3 2 3 7" xfId="32395"/>
    <cellStyle name="输出 3 2 3 7 2" xfId="38613"/>
    <cellStyle name="输出 3 2 3 7 3" xfId="17570"/>
    <cellStyle name="输出 3 2 3 7 4" xfId="51316"/>
    <cellStyle name="输出 3 2 3 8" xfId="29458"/>
    <cellStyle name="输出 3 2 3 9" xfId="16127"/>
    <cellStyle name="输出 3 2 4" xfId="5723"/>
    <cellStyle name="输出 3 2 4 10" xfId="45453"/>
    <cellStyle name="输出 3 2 4 2" xfId="10457"/>
    <cellStyle name="输出 3 2 4 2 2" xfId="23685"/>
    <cellStyle name="输出 3 2 4 2 3" xfId="33237"/>
    <cellStyle name="输出 3 2 4 2 4" xfId="39451"/>
    <cellStyle name="输出 3 2 4 2 5" xfId="45828"/>
    <cellStyle name="输出 3 2 4 3" xfId="7920"/>
    <cellStyle name="输出 3 2 4 3 2" xfId="21148"/>
    <cellStyle name="输出 3 2 4 3 3" xfId="35718"/>
    <cellStyle name="输出 3 2 4 3 4" xfId="41602"/>
    <cellStyle name="输出 3 2 4 3 5" xfId="48436"/>
    <cellStyle name="输出 3 2 4 4" xfId="18962"/>
    <cellStyle name="输出 3 2 4 4 2" xfId="31942"/>
    <cellStyle name="输出 3 2 4 4 3" xfId="38164"/>
    <cellStyle name="输出 3 2 4 4 4" xfId="45608"/>
    <cellStyle name="输出 3 2 4 5" xfId="30110"/>
    <cellStyle name="输出 3 2 4 5 2" xfId="16585"/>
    <cellStyle name="输出 3 2 4 5 3" xfId="33371"/>
    <cellStyle name="输出 3 2 4 6" xfId="31287"/>
    <cellStyle name="输出 3 2 4 6 2" xfId="17177"/>
    <cellStyle name="输出 3 2 4 6 3" xfId="46729"/>
    <cellStyle name="输出 3 2 4 6 4" xfId="51317"/>
    <cellStyle name="输出 3 2 4 7" xfId="29772"/>
    <cellStyle name="输出 3 2 4 7 2" xfId="30203"/>
    <cellStyle name="输出 3 2 4 7 3" xfId="45432"/>
    <cellStyle name="输出 3 2 4 7 4" xfId="51318"/>
    <cellStyle name="输出 3 2 4 8" xfId="28934"/>
    <cellStyle name="输出 3 2 4 9" xfId="14542"/>
    <cellStyle name="输出 3 2 5" xfId="9639"/>
    <cellStyle name="输出 3 2 5 10" xfId="14547"/>
    <cellStyle name="输出 3 2 5 2" xfId="13276"/>
    <cellStyle name="输出 3 2 5 2 2" xfId="26504"/>
    <cellStyle name="输出 3 2 5 2 3" xfId="32756"/>
    <cellStyle name="输出 3 2 5 2 4" xfId="38976"/>
    <cellStyle name="输出 3 2 5 2 5" xfId="34288"/>
    <cellStyle name="输出 3 2 5 3" xfId="8465"/>
    <cellStyle name="输出 3 2 5 3 2" xfId="21693"/>
    <cellStyle name="输出 3 2 5 3 3" xfId="35252"/>
    <cellStyle name="输出 3 2 5 3 4" xfId="41202"/>
    <cellStyle name="输出 3 2 5 3 5" xfId="47955"/>
    <cellStyle name="输出 3 2 5 4" xfId="12688"/>
    <cellStyle name="输出 3 2 5 4 2" xfId="25916"/>
    <cellStyle name="输出 3 2 5 4 3" xfId="31048"/>
    <cellStyle name="输出 3 2 5 4 4" xfId="27800"/>
    <cellStyle name="输出 3 2 5 4 5" xfId="38444"/>
    <cellStyle name="输出 3 2 5 5" xfId="22867"/>
    <cellStyle name="输出 3 2 5 5 2" xfId="31927"/>
    <cellStyle name="输出 3 2 5 5 3" xfId="38149"/>
    <cellStyle name="输出 3 2 5 5 4" xfId="28178"/>
    <cellStyle name="输出 3 2 5 6" xfId="30650"/>
    <cellStyle name="输出 3 2 5 6 2" xfId="17871"/>
    <cellStyle name="输出 3 2 5 6 3" xfId="28028"/>
    <cellStyle name="输出 3 2 5 7" xfId="37818"/>
    <cellStyle name="输出 3 2 5 7 2" xfId="43742"/>
    <cellStyle name="输出 3 2 5 7 3" xfId="50576"/>
    <cellStyle name="输出 3 2 5 7 4" xfId="51319"/>
    <cellStyle name="输出 3 2 5 8" xfId="28445"/>
    <cellStyle name="输出 3 2 5 9" xfId="29023"/>
    <cellStyle name="输出 3 2 6" xfId="8031"/>
    <cellStyle name="输出 3 2 6 2" xfId="21259"/>
    <cellStyle name="输出 3 2 7" xfId="43979"/>
    <cellStyle name="输出 3 3" xfId="3140"/>
    <cellStyle name="输出 3 3 2" xfId="6408"/>
    <cellStyle name="输出 3 3 2 10" xfId="30008"/>
    <cellStyle name="输出 3 3 2 2" xfId="11142"/>
    <cellStyle name="输出 3 3 2 2 2" xfId="24370"/>
    <cellStyle name="输出 3 3 2 2 3" xfId="33772"/>
    <cellStyle name="输出 3 3 2 2 4" xfId="39891"/>
    <cellStyle name="输出 3 3 2 2 5" xfId="39477"/>
    <cellStyle name="输出 3 3 2 3" xfId="12967"/>
    <cellStyle name="输出 3 3 2 3 2" xfId="26195"/>
    <cellStyle name="输出 3 3 2 3 3" xfId="36198"/>
    <cellStyle name="输出 3 3 2 3 4" xfId="42091"/>
    <cellStyle name="输出 3 3 2 3 5" xfId="48925"/>
    <cellStyle name="输出 3 3 2 4" xfId="19636"/>
    <cellStyle name="输出 3 3 2 4 2" xfId="31533"/>
    <cellStyle name="输出 3 3 2 4 3" xfId="18050"/>
    <cellStyle name="输出 3 3 2 4 4" xfId="44199"/>
    <cellStyle name="输出 3 3 2 5" xfId="35461"/>
    <cellStyle name="输出 3 3 2 5 2" xfId="41330"/>
    <cellStyle name="输出 3 3 2 5 3" xfId="48164"/>
    <cellStyle name="输出 3 3 2 6" xfId="30514"/>
    <cellStyle name="输出 3 3 2 6 2" xfId="16819"/>
    <cellStyle name="输出 3 3 2 6 3" xfId="46651"/>
    <cellStyle name="输出 3 3 2 6 4" xfId="51320"/>
    <cellStyle name="输出 3 3 2 7" xfId="36876"/>
    <cellStyle name="输出 3 3 2 7 2" xfId="42788"/>
    <cellStyle name="输出 3 3 2 7 3" xfId="49622"/>
    <cellStyle name="输出 3 3 2 7 4" xfId="51321"/>
    <cellStyle name="输出 3 3 2 8" xfId="29460"/>
    <cellStyle name="输出 3 3 2 9" xfId="17657"/>
    <cellStyle name="输出 3 3 3" xfId="5725"/>
    <cellStyle name="输出 3 3 3 10" xfId="15481"/>
    <cellStyle name="输出 3 3 3 2" xfId="10459"/>
    <cellStyle name="输出 3 3 3 2 2" xfId="23687"/>
    <cellStyle name="输出 3 3 3 2 3" xfId="33239"/>
    <cellStyle name="输出 3 3 3 2 4" xfId="39453"/>
    <cellStyle name="输出 3 3 3 2 5" xfId="46463"/>
    <cellStyle name="输出 3 3 3 3" xfId="8597"/>
    <cellStyle name="输出 3 3 3 3 2" xfId="21825"/>
    <cellStyle name="输出 3 3 3 3 3" xfId="35720"/>
    <cellStyle name="输出 3 3 3 3 4" xfId="41604"/>
    <cellStyle name="输出 3 3 3 3 5" xfId="48438"/>
    <cellStyle name="输出 3 3 3 4" xfId="18964"/>
    <cellStyle name="输出 3 3 3 4 2" xfId="32074"/>
    <cellStyle name="输出 3 3 3 4 3" xfId="38297"/>
    <cellStyle name="输出 3 3 3 4 4" xfId="47324"/>
    <cellStyle name="输出 3 3 3 5" xfId="35551"/>
    <cellStyle name="输出 3 3 3 5 2" xfId="41426"/>
    <cellStyle name="输出 3 3 3 5 3" xfId="48260"/>
    <cellStyle name="输出 3 3 3 6" xfId="31357"/>
    <cellStyle name="输出 3 3 3 6 2" xfId="17215"/>
    <cellStyle name="输出 3 3 3 6 3" xfId="29069"/>
    <cellStyle name="输出 3 3 3 6 4" xfId="51322"/>
    <cellStyle name="输出 3 3 3 7" xfId="36652"/>
    <cellStyle name="输出 3 3 3 7 2" xfId="42554"/>
    <cellStyle name="输出 3 3 3 7 3" xfId="49388"/>
    <cellStyle name="输出 3 3 3 7 4" xfId="51323"/>
    <cellStyle name="输出 3 3 3 8" xfId="28936"/>
    <cellStyle name="输出 3 3 3 9" xfId="15873"/>
    <cellStyle name="输出 3 3 4" xfId="9641"/>
    <cellStyle name="输出 3 3 4 10" xfId="14528"/>
    <cellStyle name="输出 3 3 4 2" xfId="13278"/>
    <cellStyle name="输出 3 3 4 2 2" xfId="26506"/>
    <cellStyle name="输出 3 3 4 2 3" xfId="32758"/>
    <cellStyle name="输出 3 3 4 2 4" xfId="38978"/>
    <cellStyle name="输出 3 3 4 2 5" xfId="47385"/>
    <cellStyle name="输出 3 3 4 3" xfId="13719"/>
    <cellStyle name="输出 3 3 4 3 2" xfId="26947"/>
    <cellStyle name="输出 3 3 4 3 3" xfId="35254"/>
    <cellStyle name="输出 3 3 4 3 4" xfId="41204"/>
    <cellStyle name="输出 3 3 4 3 5" xfId="47957"/>
    <cellStyle name="输出 3 3 4 4" xfId="8007"/>
    <cellStyle name="输出 3 3 4 4 2" xfId="21235"/>
    <cellStyle name="输出 3 3 4 4 3" xfId="31050"/>
    <cellStyle name="输出 3 3 4 4 4" xfId="18571"/>
    <cellStyle name="输出 3 3 4 4 5" xfId="40488"/>
    <cellStyle name="输出 3 3 4 5" xfId="22869"/>
    <cellStyle name="输出 3 3 4 5 2" xfId="31281"/>
    <cellStyle name="输出 3 3 4 5 3" xfId="17171"/>
    <cellStyle name="输出 3 3 4 5 4" xfId="28770"/>
    <cellStyle name="输出 3 3 4 6" xfId="37374"/>
    <cellStyle name="输出 3 3 4 6 2" xfId="43294"/>
    <cellStyle name="输出 3 3 4 6 3" xfId="50128"/>
    <cellStyle name="输出 3 3 4 7" xfId="37731"/>
    <cellStyle name="输出 3 3 4 7 2" xfId="43654"/>
    <cellStyle name="输出 3 3 4 7 3" xfId="50488"/>
    <cellStyle name="输出 3 3 4 7 4" xfId="51324"/>
    <cellStyle name="输出 3 3 4 8" xfId="28447"/>
    <cellStyle name="输出 3 3 4 9" xfId="15419"/>
    <cellStyle name="输出 3 3 5" xfId="8033"/>
    <cellStyle name="输出 3 3 5 2" xfId="21261"/>
    <cellStyle name="输出 3 3 6" xfId="39302"/>
    <cellStyle name="输出 3 4" xfId="6405"/>
    <cellStyle name="输出 3 4 10" xfId="44549"/>
    <cellStyle name="输出 3 4 2" xfId="11139"/>
    <cellStyle name="输出 3 4 2 2" xfId="24367"/>
    <cellStyle name="输出 3 4 2 3" xfId="33769"/>
    <cellStyle name="输出 3 4 2 4" xfId="39888"/>
    <cellStyle name="输出 3 4 2 5" xfId="39470"/>
    <cellStyle name="输出 3 4 3" xfId="8101"/>
    <cellStyle name="输出 3 4 3 2" xfId="21329"/>
    <cellStyle name="输出 3 4 3 3" xfId="36195"/>
    <cellStyle name="输出 3 4 3 4" xfId="42088"/>
    <cellStyle name="输出 3 4 3 5" xfId="48922"/>
    <cellStyle name="输出 3 4 4" xfId="19633"/>
    <cellStyle name="输出 3 4 4 2" xfId="31922"/>
    <cellStyle name="输出 3 4 4 3" xfId="38144"/>
    <cellStyle name="输出 3 4 4 4" xfId="46997"/>
    <cellStyle name="输出 3 4 5" xfId="30684"/>
    <cellStyle name="输出 3 4 5 2" xfId="16892"/>
    <cellStyle name="输出 3 4 5 3" xfId="46925"/>
    <cellStyle name="输出 3 4 6" xfId="32003"/>
    <cellStyle name="输出 3 4 6 2" xfId="38226"/>
    <cellStyle name="输出 3 4 6 3" xfId="45784"/>
    <cellStyle name="输出 3 4 6 4" xfId="51325"/>
    <cellStyle name="输出 3 4 7" xfId="30479"/>
    <cellStyle name="输出 3 4 7 2" xfId="16809"/>
    <cellStyle name="输出 3 4 7 3" xfId="15646"/>
    <cellStyle name="输出 3 4 7 4" xfId="51326"/>
    <cellStyle name="输出 3 4 8" xfId="29457"/>
    <cellStyle name="输出 3 4 9" xfId="17656"/>
    <cellStyle name="输出 3 5" xfId="5722"/>
    <cellStyle name="输出 3 5 10" xfId="44467"/>
    <cellStyle name="输出 3 5 2" xfId="10456"/>
    <cellStyle name="输出 3 5 2 2" xfId="23684"/>
    <cellStyle name="输出 3 5 2 3" xfId="33236"/>
    <cellStyle name="输出 3 5 2 4" xfId="39450"/>
    <cellStyle name="输出 3 5 2 5" xfId="44087"/>
    <cellStyle name="输出 3 5 3" xfId="6841"/>
    <cellStyle name="输出 3 5 3 2" xfId="20069"/>
    <cellStyle name="输出 3 5 3 3" xfId="35717"/>
    <cellStyle name="输出 3 5 3 4" xfId="41601"/>
    <cellStyle name="输出 3 5 3 5" xfId="48435"/>
    <cellStyle name="输出 3 5 4" xfId="18961"/>
    <cellStyle name="输出 3 5 4 2" xfId="31326"/>
    <cellStyle name="输出 3 5 4 3" xfId="15234"/>
    <cellStyle name="输出 3 5 4 4" xfId="17903"/>
    <cellStyle name="输出 3 5 5" xfId="30219"/>
    <cellStyle name="输出 3 5 5 2" xfId="16668"/>
    <cellStyle name="输出 3 5 5 3" xfId="34575"/>
    <cellStyle name="输出 3 5 6" xfId="37138"/>
    <cellStyle name="输出 3 5 6 2" xfId="43057"/>
    <cellStyle name="输出 3 5 6 3" xfId="49891"/>
    <cellStyle name="输出 3 5 6 4" xfId="51327"/>
    <cellStyle name="输出 3 5 7" xfId="37353"/>
    <cellStyle name="输出 3 5 7 2" xfId="43273"/>
    <cellStyle name="输出 3 5 7 3" xfId="50107"/>
    <cellStyle name="输出 3 5 7 4" xfId="51328"/>
    <cellStyle name="输出 3 5 8" xfId="28933"/>
    <cellStyle name="输出 3 5 9" xfId="15871"/>
    <cellStyle name="输出 3 6" xfId="9638"/>
    <cellStyle name="输出 3 6 10" xfId="33202"/>
    <cellStyle name="输出 3 6 2" xfId="13275"/>
    <cellStyle name="输出 3 6 2 2" xfId="26503"/>
    <cellStyle name="输出 3 6 2 3" xfId="32755"/>
    <cellStyle name="输出 3 6 2 4" xfId="38975"/>
    <cellStyle name="输出 3 6 2 5" xfId="47423"/>
    <cellStyle name="输出 3 6 3" xfId="8495"/>
    <cellStyle name="输出 3 6 3 2" xfId="21723"/>
    <cellStyle name="输出 3 6 3 3" xfId="35251"/>
    <cellStyle name="输出 3 6 3 4" xfId="41201"/>
    <cellStyle name="输出 3 6 3 5" xfId="47954"/>
    <cellStyle name="输出 3 6 4" xfId="13713"/>
    <cellStyle name="输出 3 6 4 2" xfId="26941"/>
    <cellStyle name="输出 3 6 4 3" xfId="31047"/>
    <cellStyle name="输出 3 6 4 4" xfId="17053"/>
    <cellStyle name="输出 3 6 4 5" xfId="40309"/>
    <cellStyle name="输出 3 6 5" xfId="22866"/>
    <cellStyle name="输出 3 6 5 2" xfId="31548"/>
    <cellStyle name="输出 3 6 5 3" xfId="17298"/>
    <cellStyle name="输出 3 6 5 4" xfId="39573"/>
    <cellStyle name="输出 3 6 6" xfId="37060"/>
    <cellStyle name="输出 3 6 6 2" xfId="42979"/>
    <cellStyle name="输出 3 6 6 3" xfId="49813"/>
    <cellStyle name="输出 3 6 7" xfId="37148"/>
    <cellStyle name="输出 3 6 7 2" xfId="43067"/>
    <cellStyle name="输出 3 6 7 3" xfId="49901"/>
    <cellStyle name="输出 3 6 7 4" xfId="51329"/>
    <cellStyle name="输出 3 6 8" xfId="28444"/>
    <cellStyle name="输出 3 6 9" xfId="27789"/>
    <cellStyle name="输出 3 7" xfId="8030"/>
    <cellStyle name="输出 3 7 2" xfId="21258"/>
    <cellStyle name="输出 3 8" xfId="45651"/>
    <cellStyle name="输出 4" xfId="3141"/>
    <cellStyle name="输出 4 2" xfId="3142"/>
    <cellStyle name="输出 4 2 2" xfId="6410"/>
    <cellStyle name="输出 4 2 2 10" xfId="45187"/>
    <cellStyle name="输出 4 2 2 2" xfId="11144"/>
    <cellStyle name="输出 4 2 2 2 2" xfId="24372"/>
    <cellStyle name="输出 4 2 2 2 3" xfId="33774"/>
    <cellStyle name="输出 4 2 2 2 4" xfId="39893"/>
    <cellStyle name="输出 4 2 2 2 5" xfId="38746"/>
    <cellStyle name="输出 4 2 2 3" xfId="12966"/>
    <cellStyle name="输出 4 2 2 3 2" xfId="26194"/>
    <cellStyle name="输出 4 2 2 3 3" xfId="36200"/>
    <cellStyle name="输出 4 2 2 3 4" xfId="42093"/>
    <cellStyle name="输出 4 2 2 3 5" xfId="48927"/>
    <cellStyle name="输出 4 2 2 4" xfId="19638"/>
    <cellStyle name="输出 4 2 2 4 2" xfId="31535"/>
    <cellStyle name="输出 4 2 2 4 3" xfId="17785"/>
    <cellStyle name="输出 4 2 2 4 4" xfId="47267"/>
    <cellStyle name="输出 4 2 2 5" xfId="35804"/>
    <cellStyle name="输出 4 2 2 5 2" xfId="41688"/>
    <cellStyle name="输出 4 2 2 5 3" xfId="48522"/>
    <cellStyle name="输出 4 2 2 6" xfId="37391"/>
    <cellStyle name="输出 4 2 2 6 2" xfId="43311"/>
    <cellStyle name="输出 4 2 2 6 3" xfId="50145"/>
    <cellStyle name="输出 4 2 2 6 4" xfId="51330"/>
    <cellStyle name="输出 4 2 2 7" xfId="36525"/>
    <cellStyle name="输出 4 2 2 7 2" xfId="42423"/>
    <cellStyle name="输出 4 2 2 7 3" xfId="49257"/>
    <cellStyle name="输出 4 2 2 7 4" xfId="51331"/>
    <cellStyle name="输出 4 2 2 8" xfId="29462"/>
    <cellStyle name="输出 4 2 2 9" xfId="16129"/>
    <cellStyle name="输出 4 2 3" xfId="5727"/>
    <cellStyle name="输出 4 2 3 10" xfId="44303"/>
    <cellStyle name="输出 4 2 3 2" xfId="10461"/>
    <cellStyle name="输出 4 2 3 2 2" xfId="23689"/>
    <cellStyle name="输出 4 2 3 2 3" xfId="33241"/>
    <cellStyle name="输出 4 2 3 2 4" xfId="39455"/>
    <cellStyle name="输出 4 2 3 2 5" xfId="38508"/>
    <cellStyle name="输出 4 2 3 3" xfId="7922"/>
    <cellStyle name="输出 4 2 3 3 2" xfId="21150"/>
    <cellStyle name="输出 4 2 3 3 3" xfId="35722"/>
    <cellStyle name="输出 4 2 3 3 4" xfId="41606"/>
    <cellStyle name="输出 4 2 3 3 5" xfId="48440"/>
    <cellStyle name="输出 4 2 3 4" xfId="18966"/>
    <cellStyle name="输出 4 2 3 4 2" xfId="31328"/>
    <cellStyle name="输出 4 2 3 4 3" xfId="18042"/>
    <cellStyle name="输出 4 2 3 4 4" xfId="41165"/>
    <cellStyle name="输出 4 2 3 5" xfId="36712"/>
    <cellStyle name="输出 4 2 3 5 2" xfId="42617"/>
    <cellStyle name="输出 4 2 3 5 3" xfId="49451"/>
    <cellStyle name="输出 4 2 3 6" xfId="34944"/>
    <cellStyle name="输出 4 2 3 6 2" xfId="40942"/>
    <cellStyle name="输出 4 2 3 6 3" xfId="47638"/>
    <cellStyle name="输出 4 2 3 6 4" xfId="51332"/>
    <cellStyle name="输出 4 2 3 7" xfId="30265"/>
    <cellStyle name="输出 4 2 3 7 2" xfId="14644"/>
    <cellStyle name="输出 4 2 3 7 3" xfId="40550"/>
    <cellStyle name="输出 4 2 3 7 4" xfId="51333"/>
    <cellStyle name="输出 4 2 3 8" xfId="28938"/>
    <cellStyle name="输出 4 2 3 9" xfId="15876"/>
    <cellStyle name="输出 4 2 4" xfId="9643"/>
    <cellStyle name="输出 4 2 4 10" xfId="45155"/>
    <cellStyle name="输出 4 2 4 2" xfId="13280"/>
    <cellStyle name="输出 4 2 4 2 2" xfId="26508"/>
    <cellStyle name="输出 4 2 4 2 3" xfId="32760"/>
    <cellStyle name="输出 4 2 4 2 4" xfId="38980"/>
    <cellStyle name="输出 4 2 4 2 5" xfId="46306"/>
    <cellStyle name="输出 4 2 4 3" xfId="13540"/>
    <cellStyle name="输出 4 2 4 3 2" xfId="26768"/>
    <cellStyle name="输出 4 2 4 3 3" xfId="35256"/>
    <cellStyle name="输出 4 2 4 3 4" xfId="41206"/>
    <cellStyle name="输出 4 2 4 3 5" xfId="47959"/>
    <cellStyle name="输出 4 2 4 4" xfId="7733"/>
    <cellStyle name="输出 4 2 4 4 2" xfId="20961"/>
    <cellStyle name="输出 4 2 4 4 3" xfId="31052"/>
    <cellStyle name="输出 4 2 4 4 4" xfId="18572"/>
    <cellStyle name="输出 4 2 4 4 5" xfId="33165"/>
    <cellStyle name="输出 4 2 4 5" xfId="22871"/>
    <cellStyle name="输出 4 2 4 5 2" xfId="31547"/>
    <cellStyle name="输出 4 2 4 5 3" xfId="15260"/>
    <cellStyle name="输出 4 2 4 5 4" xfId="39855"/>
    <cellStyle name="输出 4 2 4 6" xfId="37145"/>
    <cellStyle name="输出 4 2 4 6 2" xfId="43064"/>
    <cellStyle name="输出 4 2 4 6 3" xfId="49898"/>
    <cellStyle name="输出 4 2 4 7" xfId="31878"/>
    <cellStyle name="输出 4 2 4 7 2" xfId="38099"/>
    <cellStyle name="输出 4 2 4 7 3" xfId="44168"/>
    <cellStyle name="输出 4 2 4 7 4" xfId="51334"/>
    <cellStyle name="输出 4 2 4 8" xfId="28449"/>
    <cellStyle name="输出 4 2 4 9" xfId="40091"/>
    <cellStyle name="输出 4 2 5" xfId="8035"/>
    <cellStyle name="输出 4 2 5 2" xfId="21263"/>
    <cellStyle name="输出 4 2 6" xfId="40043"/>
    <cellStyle name="输出 4 3" xfId="6409"/>
    <cellStyle name="输出 4 3 10" xfId="28911"/>
    <cellStyle name="输出 4 3 2" xfId="11143"/>
    <cellStyle name="输出 4 3 2 2" xfId="24371"/>
    <cellStyle name="输出 4 3 2 3" xfId="33773"/>
    <cellStyle name="输出 4 3 2 4" xfId="39892"/>
    <cellStyle name="输出 4 3 2 5" xfId="39912"/>
    <cellStyle name="输出 4 3 3" xfId="8102"/>
    <cellStyle name="输出 4 3 3 2" xfId="21330"/>
    <cellStyle name="输出 4 3 3 3" xfId="36199"/>
    <cellStyle name="输出 4 3 3 4" xfId="42092"/>
    <cellStyle name="输出 4 3 3 5" xfId="48926"/>
    <cellStyle name="输出 4 3 4" xfId="19637"/>
    <cellStyle name="输出 4 3 4 2" xfId="31534"/>
    <cellStyle name="输出 4 3 4 3" xfId="17802"/>
    <cellStyle name="输出 4 3 4 4" xfId="15300"/>
    <cellStyle name="输出 4 3 5" xfId="36870"/>
    <cellStyle name="输出 4 3 5 2" xfId="42782"/>
    <cellStyle name="输出 4 3 5 3" xfId="49616"/>
    <cellStyle name="输出 4 3 6" xfId="32020"/>
    <cellStyle name="输出 4 3 6 2" xfId="38243"/>
    <cellStyle name="输出 4 3 6 3" xfId="46984"/>
    <cellStyle name="输出 4 3 6 4" xfId="51335"/>
    <cellStyle name="输出 4 3 7" xfId="37597"/>
    <cellStyle name="输出 4 3 7 2" xfId="43520"/>
    <cellStyle name="输出 4 3 7 3" xfId="50354"/>
    <cellStyle name="输出 4 3 7 4" xfId="51336"/>
    <cellStyle name="输出 4 3 8" xfId="29461"/>
    <cellStyle name="输出 4 3 9" xfId="16128"/>
    <cellStyle name="输出 4 4" xfId="5726"/>
    <cellStyle name="输出 4 4 10" xfId="45309"/>
    <cellStyle name="输出 4 4 2" xfId="10460"/>
    <cellStyle name="输出 4 4 2 2" xfId="23688"/>
    <cellStyle name="输出 4 4 2 3" xfId="33240"/>
    <cellStyle name="输出 4 4 2 4" xfId="39454"/>
    <cellStyle name="输出 4 4 2 5" xfId="35558"/>
    <cellStyle name="输出 4 4 3" xfId="7921"/>
    <cellStyle name="输出 4 4 3 2" xfId="21149"/>
    <cellStyle name="输出 4 4 3 3" xfId="35721"/>
    <cellStyle name="输出 4 4 3 4" xfId="41605"/>
    <cellStyle name="输出 4 4 3 5" xfId="48439"/>
    <cellStyle name="输出 4 4 4" xfId="18965"/>
    <cellStyle name="输出 4 4 4 2" xfId="29865"/>
    <cellStyle name="输出 4 4 4 3" xfId="16393"/>
    <cellStyle name="输出 4 4 4 4" xfId="44040"/>
    <cellStyle name="输出 4 4 5" xfId="31539"/>
    <cellStyle name="输出 4 4 5 2" xfId="15292"/>
    <cellStyle name="输出 4 4 5 3" xfId="47489"/>
    <cellStyle name="输出 4 4 6" xfId="34845"/>
    <cellStyle name="输出 4 4 6 2" xfId="40844"/>
    <cellStyle name="输出 4 4 6 3" xfId="40410"/>
    <cellStyle name="输出 4 4 6 4" xfId="51337"/>
    <cellStyle name="输出 4 4 7" xfId="35637"/>
    <cellStyle name="输出 4 4 7 2" xfId="41517"/>
    <cellStyle name="输出 4 4 7 3" xfId="48351"/>
    <cellStyle name="输出 4 4 7 4" xfId="51338"/>
    <cellStyle name="输出 4 4 8" xfId="28937"/>
    <cellStyle name="输出 4 4 9" xfId="14543"/>
    <cellStyle name="输出 4 5" xfId="9642"/>
    <cellStyle name="输出 4 5 10" xfId="28182"/>
    <cellStyle name="输出 4 5 2" xfId="13279"/>
    <cellStyle name="输出 4 5 2 2" xfId="26507"/>
    <cellStyle name="输出 4 5 2 3" xfId="32759"/>
    <cellStyle name="输出 4 5 2 4" xfId="38979"/>
    <cellStyle name="输出 4 5 2 5" xfId="45790"/>
    <cellStyle name="输出 4 5 3" xfId="14293"/>
    <cellStyle name="输出 4 5 3 2" xfId="27521"/>
    <cellStyle name="输出 4 5 3 3" xfId="35255"/>
    <cellStyle name="输出 4 5 3 4" xfId="41205"/>
    <cellStyle name="输出 4 5 3 5" xfId="47958"/>
    <cellStyle name="输出 4 5 4" xfId="14372"/>
    <cellStyle name="输出 4 5 4 2" xfId="27600"/>
    <cellStyle name="输出 4 5 4 3" xfId="31051"/>
    <cellStyle name="输出 4 5 4 4" xfId="14715"/>
    <cellStyle name="输出 4 5 4 5" xfId="39427"/>
    <cellStyle name="输出 4 5 5" xfId="22870"/>
    <cellStyle name="输出 4 5 5 2" xfId="37470"/>
    <cellStyle name="输出 4 5 5 3" xfId="43390"/>
    <cellStyle name="输出 4 5 5 4" xfId="50224"/>
    <cellStyle name="输出 4 5 6" xfId="31870"/>
    <cellStyle name="输出 4 5 6 2" xfId="38091"/>
    <cellStyle name="输出 4 5 6 3" xfId="41173"/>
    <cellStyle name="输出 4 5 7" xfId="37570"/>
    <cellStyle name="输出 4 5 7 2" xfId="43491"/>
    <cellStyle name="输出 4 5 7 3" xfId="50325"/>
    <cellStyle name="输出 4 5 7 4" xfId="51339"/>
    <cellStyle name="输出 4 5 8" xfId="28448"/>
    <cellStyle name="输出 4 5 9" xfId="16465"/>
    <cellStyle name="输出 4 6" xfId="8034"/>
    <cellStyle name="输出 4 6 2" xfId="21262"/>
    <cellStyle name="输出 4 7" xfId="27835"/>
    <cellStyle name="输出 5" xfId="6400"/>
    <cellStyle name="输出 5 10" xfId="38722"/>
    <cellStyle name="输出 5 2" xfId="11134"/>
    <cellStyle name="输出 5 2 2" xfId="24362"/>
    <cellStyle name="输出 5 2 3" xfId="33764"/>
    <cellStyle name="输出 5 2 4" xfId="39883"/>
    <cellStyle name="输出 5 2 5" xfId="33104"/>
    <cellStyle name="输出 5 3" xfId="12973"/>
    <cellStyle name="输出 5 3 2" xfId="26201"/>
    <cellStyle name="输出 5 3 3" xfId="36190"/>
    <cellStyle name="输出 5 3 4" xfId="42083"/>
    <cellStyle name="输出 5 3 5" xfId="48917"/>
    <cellStyle name="输出 5 4" xfId="19628"/>
    <cellStyle name="输出 5 4 2" xfId="30121"/>
    <cellStyle name="输出 5 4 3" xfId="16591"/>
    <cellStyle name="输出 5 4 4" xfId="44266"/>
    <cellStyle name="输出 5 5" xfId="29777"/>
    <cellStyle name="输出 5 5 2" xfId="16334"/>
    <cellStyle name="输出 5 5 3" xfId="40368"/>
    <cellStyle name="输出 5 6" xfId="31305"/>
    <cellStyle name="输出 5 6 2" xfId="18021"/>
    <cellStyle name="输出 5 6 3" xfId="45580"/>
    <cellStyle name="输出 5 6 4" xfId="51340"/>
    <cellStyle name="输出 5 7" xfId="36945"/>
    <cellStyle name="输出 5 7 2" xfId="42863"/>
    <cellStyle name="输出 5 7 3" xfId="49697"/>
    <cellStyle name="输出 5 7 4" xfId="51341"/>
    <cellStyle name="输出 5 8" xfId="29452"/>
    <cellStyle name="输出 5 9" xfId="16123"/>
    <cellStyle name="输出 6" xfId="5717"/>
    <cellStyle name="输出 6 10" xfId="38433"/>
    <cellStyle name="输出 6 2" xfId="10451"/>
    <cellStyle name="输出 6 2 2" xfId="23679"/>
    <cellStyle name="输出 6 2 3" xfId="33231"/>
    <cellStyle name="输出 6 2 4" xfId="39445"/>
    <cellStyle name="输出 6 2 5" xfId="40365"/>
    <cellStyle name="输出 6 3" xfId="7916"/>
    <cellStyle name="输出 6 3 2" xfId="21144"/>
    <cellStyle name="输出 6 3 3" xfId="35712"/>
    <cellStyle name="输出 6 3 4" xfId="41596"/>
    <cellStyle name="输出 6 3 5" xfId="48430"/>
    <cellStyle name="输出 6 4" xfId="18956"/>
    <cellStyle name="输出 6 4 2" xfId="29864"/>
    <cellStyle name="输出 6 4 3" xfId="16401"/>
    <cellStyle name="输出 6 4 4" xfId="45173"/>
    <cellStyle name="输出 6 5" xfId="31329"/>
    <cellStyle name="输出 6 5 2" xfId="17200"/>
    <cellStyle name="输出 6 5 3" xfId="34531"/>
    <cellStyle name="输出 6 6" xfId="35592"/>
    <cellStyle name="输出 6 6 2" xfId="41468"/>
    <cellStyle name="输出 6 6 3" xfId="48302"/>
    <cellStyle name="输出 6 6 4" xfId="51342"/>
    <cellStyle name="输出 6 7" xfId="31208"/>
    <cellStyle name="输出 6 7 2" xfId="17118"/>
    <cellStyle name="输出 6 7 3" xfId="46256"/>
    <cellStyle name="输出 6 7 4" xfId="51343"/>
    <cellStyle name="输出 6 8" xfId="28928"/>
    <cellStyle name="输出 6 9" xfId="15868"/>
    <cellStyle name="输出 7" xfId="9633"/>
    <cellStyle name="输出 7 10" xfId="45345"/>
    <cellStyle name="输出 7 2" xfId="13270"/>
    <cellStyle name="输出 7 2 2" xfId="26498"/>
    <cellStyle name="输出 7 2 3" xfId="32750"/>
    <cellStyle name="输出 7 2 4" xfId="38970"/>
    <cellStyle name="输出 7 2 5" xfId="47406"/>
    <cellStyle name="输出 7 3" xfId="13576"/>
    <cellStyle name="输出 7 3 2" xfId="26804"/>
    <cellStyle name="输出 7 3 3" xfId="35246"/>
    <cellStyle name="输出 7 3 4" xfId="41196"/>
    <cellStyle name="输出 7 3 5" xfId="47949"/>
    <cellStyle name="输出 7 4" xfId="12761"/>
    <cellStyle name="输出 7 4 2" xfId="25989"/>
    <cellStyle name="输出 7 4 3" xfId="31042"/>
    <cellStyle name="输出 7 4 4" xfId="17049"/>
    <cellStyle name="输出 7 4 5" xfId="14551"/>
    <cellStyle name="输出 7 5" xfId="22861"/>
    <cellStyle name="输出 7 5 2" xfId="36933"/>
    <cellStyle name="输出 7 5 3" xfId="42848"/>
    <cellStyle name="输出 7 5 4" xfId="49682"/>
    <cellStyle name="输出 7 6" xfId="31227"/>
    <cellStyle name="输出 7 6 2" xfId="17133"/>
    <cellStyle name="输出 7 6 3" xfId="47447"/>
    <cellStyle name="输出 7 7" xfId="36709"/>
    <cellStyle name="输出 7 7 2" xfId="42614"/>
    <cellStyle name="输出 7 7 3" xfId="49448"/>
    <cellStyle name="输出 7 7 4" xfId="51344"/>
    <cellStyle name="输出 7 8" xfId="28439"/>
    <cellStyle name="输出 7 9" xfId="40370"/>
    <cellStyle name="输出 8" xfId="8025"/>
    <cellStyle name="输出 8 2" xfId="21253"/>
    <cellStyle name="输出 9" xfId="47543"/>
    <cellStyle name="숫자(R)" xfId="53904"/>
    <cellStyle name="쉼표 [0]" xfId="1" builtinId="6"/>
    <cellStyle name="쉼표 [0] 10" xfId="227"/>
    <cellStyle name="쉼표 [0] 10 2" xfId="228"/>
    <cellStyle name="쉼표 [0] 10 3" xfId="229"/>
    <cellStyle name="쉼표 [0] 10 3 2" xfId="3146"/>
    <cellStyle name="쉼표 [0] 10 3 3" xfId="4873"/>
    <cellStyle name="쉼표 [0] 10 3 4" xfId="3145"/>
    <cellStyle name="쉼표 [0] 10 3 5" xfId="51345"/>
    <cellStyle name="쉼표 [0] 10 4" xfId="3147"/>
    <cellStyle name="쉼표 [0] 10 4 2" xfId="3148"/>
    <cellStyle name="쉼표 [0] 10 5" xfId="4872"/>
    <cellStyle name="쉼표 [0] 10 6" xfId="3144"/>
    <cellStyle name="쉼표 [0] 10 7" xfId="51346"/>
    <cellStyle name="쉼표 [0] 11" xfId="230"/>
    <cellStyle name="쉼표 [0] 11 2" xfId="4874"/>
    <cellStyle name="쉼표 [0] 11 3" xfId="3149"/>
    <cellStyle name="쉼표 [0] 11 4" xfId="51347"/>
    <cellStyle name="쉼표 [0] 12" xfId="373"/>
    <cellStyle name="쉼표 [0] 12 2" xfId="557"/>
    <cellStyle name="쉼표 [0] 12 2 2" xfId="4967"/>
    <cellStyle name="쉼표 [0] 12 2 2 2" xfId="5873"/>
    <cellStyle name="쉼표 [0] 12 2 2 2 2" xfId="12426"/>
    <cellStyle name="쉼표 [0] 12 2 2 2 2 2" xfId="25654"/>
    <cellStyle name="쉼표 [0] 12 2 2 2 3" xfId="10607"/>
    <cellStyle name="쉼표 [0] 12 2 2 2 3 2" xfId="23835"/>
    <cellStyle name="쉼표 [0] 12 2 2 2 4" xfId="19112"/>
    <cellStyle name="쉼표 [0] 12 2 2 3" xfId="9906"/>
    <cellStyle name="쉼표 [0] 12 2 2 3 2" xfId="23134"/>
    <cellStyle name="쉼표 [0] 12 2 2 4" xfId="11842"/>
    <cellStyle name="쉼표 [0] 12 2 2 4 2" xfId="25070"/>
    <cellStyle name="쉼표 [0] 12 2 2 5" xfId="8839"/>
    <cellStyle name="쉼표 [0] 12 2 2 5 2" xfId="22067"/>
    <cellStyle name="쉼표 [0] 12 2 2 6" xfId="18234"/>
    <cellStyle name="쉼표 [0] 12 2 3" xfId="5565"/>
    <cellStyle name="쉼표 [0] 12 2 3 2" xfId="12208"/>
    <cellStyle name="쉼표 [0] 12 2 3 2 2" xfId="25436"/>
    <cellStyle name="쉼표 [0] 12 2 3 3" xfId="10299"/>
    <cellStyle name="쉼표 [0] 12 2 3 3 2" xfId="23527"/>
    <cellStyle name="쉼표 [0] 12 2 3 4" xfId="18804"/>
    <cellStyle name="쉼표 [0] 12 2 4" xfId="9298"/>
    <cellStyle name="쉼표 [0] 12 2 4 2" xfId="22526"/>
    <cellStyle name="쉼표 [0] 12 2 5" xfId="11566"/>
    <cellStyle name="쉼표 [0] 12 2 5 2" xfId="24794"/>
    <cellStyle name="쉼표 [0] 12 2 6" xfId="7031"/>
    <cellStyle name="쉼표 [0] 12 2 6 2" xfId="20259"/>
    <cellStyle name="쉼표 [0] 12 2 7" xfId="14971"/>
    <cellStyle name="쉼표 [0] 12 3" xfId="5045"/>
    <cellStyle name="쉼표 [0] 12 3 2" xfId="5947"/>
    <cellStyle name="쉼표 [0] 12 3 2 2" xfId="12500"/>
    <cellStyle name="쉼표 [0] 12 3 2 2 2" xfId="25728"/>
    <cellStyle name="쉼표 [0] 12 3 2 3" xfId="10681"/>
    <cellStyle name="쉼표 [0] 12 3 2 3 2" xfId="23909"/>
    <cellStyle name="쉼표 [0] 12 3 2 4" xfId="19186"/>
    <cellStyle name="쉼표 [0] 12 3 3" xfId="9982"/>
    <cellStyle name="쉼표 [0] 12 3 3 2" xfId="23210"/>
    <cellStyle name="쉼표 [0] 12 3 4" xfId="11916"/>
    <cellStyle name="쉼표 [0] 12 3 4 2" xfId="25144"/>
    <cellStyle name="쉼표 [0] 12 3 5" xfId="8915"/>
    <cellStyle name="쉼표 [0] 12 3 5 2" xfId="22143"/>
    <cellStyle name="쉼표 [0] 12 3 6" xfId="18312"/>
    <cellStyle name="쉼표 [0] 12 4" xfId="3150"/>
    <cellStyle name="쉼표 [0] 12 5" xfId="5422"/>
    <cellStyle name="쉼표 [0] 12 5 2" xfId="12065"/>
    <cellStyle name="쉼표 [0] 12 5 2 2" xfId="25293"/>
    <cellStyle name="쉼표 [0] 12 5 3" xfId="10156"/>
    <cellStyle name="쉼표 [0] 12 5 3 2" xfId="23384"/>
    <cellStyle name="쉼표 [0] 12 5 4" xfId="18661"/>
    <cellStyle name="쉼표 [0] 12 6" xfId="9155"/>
    <cellStyle name="쉼표 [0] 12 6 2" xfId="22383"/>
    <cellStyle name="쉼표 [0] 12 7" xfId="11423"/>
    <cellStyle name="쉼표 [0] 12 7 2" xfId="24651"/>
    <cellStyle name="쉼표 [0] 12 8" xfId="6849"/>
    <cellStyle name="쉼표 [0] 12 8 2" xfId="20077"/>
    <cellStyle name="쉼표 [0] 12 9" xfId="14787"/>
    <cellStyle name="쉼표 [0] 13" xfId="231"/>
    <cellStyle name="쉼표 [0] 13 2" xfId="3152"/>
    <cellStyle name="쉼표 [0] 13 3" xfId="4875"/>
    <cellStyle name="쉼표 [0] 13 4" xfId="3151"/>
    <cellStyle name="쉼표 [0] 13 5" xfId="51348"/>
    <cellStyle name="쉼표 [0] 14" xfId="374"/>
    <cellStyle name="쉼표 [0] 14 2" xfId="558"/>
    <cellStyle name="쉼표 [0] 14 2 2" xfId="4968"/>
    <cellStyle name="쉼표 [0] 14 2 2 2" xfId="5874"/>
    <cellStyle name="쉼표 [0] 14 2 2 2 2" xfId="12427"/>
    <cellStyle name="쉼표 [0] 14 2 2 2 2 2" xfId="25655"/>
    <cellStyle name="쉼표 [0] 14 2 2 2 3" xfId="10608"/>
    <cellStyle name="쉼표 [0] 14 2 2 2 3 2" xfId="23836"/>
    <cellStyle name="쉼표 [0] 14 2 2 2 4" xfId="19113"/>
    <cellStyle name="쉼표 [0] 14 2 2 3" xfId="9907"/>
    <cellStyle name="쉼표 [0] 14 2 2 3 2" xfId="23135"/>
    <cellStyle name="쉼표 [0] 14 2 2 4" xfId="11843"/>
    <cellStyle name="쉼표 [0] 14 2 2 4 2" xfId="25071"/>
    <cellStyle name="쉼표 [0] 14 2 2 5" xfId="8840"/>
    <cellStyle name="쉼표 [0] 14 2 2 5 2" xfId="22068"/>
    <cellStyle name="쉼표 [0] 14 2 2 6" xfId="18235"/>
    <cellStyle name="쉼표 [0] 14 2 3" xfId="3154"/>
    <cellStyle name="쉼표 [0] 14 2 4" xfId="5566"/>
    <cellStyle name="쉼표 [0] 14 2 4 2" xfId="12209"/>
    <cellStyle name="쉼표 [0] 14 2 4 2 2" xfId="25437"/>
    <cellStyle name="쉼표 [0] 14 2 4 3" xfId="10300"/>
    <cellStyle name="쉼표 [0] 14 2 4 3 2" xfId="23528"/>
    <cellStyle name="쉼표 [0] 14 2 4 4" xfId="18805"/>
    <cellStyle name="쉼표 [0] 14 2 5" xfId="9299"/>
    <cellStyle name="쉼표 [0] 14 2 5 2" xfId="22527"/>
    <cellStyle name="쉼표 [0] 14 2 6" xfId="11567"/>
    <cellStyle name="쉼표 [0] 14 2 6 2" xfId="24795"/>
    <cellStyle name="쉼표 [0] 14 2 7" xfId="7032"/>
    <cellStyle name="쉼표 [0] 14 2 7 2" xfId="20260"/>
    <cellStyle name="쉼표 [0] 14 2 8" xfId="14972"/>
    <cellStyle name="쉼표 [0] 14 3" xfId="5145"/>
    <cellStyle name="쉼표 [0] 14 3 2" xfId="6045"/>
    <cellStyle name="쉼표 [0] 14 3 2 2" xfId="12598"/>
    <cellStyle name="쉼표 [0] 14 3 2 2 2" xfId="25826"/>
    <cellStyle name="쉼표 [0] 14 3 2 3" xfId="10779"/>
    <cellStyle name="쉼표 [0] 14 3 2 3 2" xfId="24007"/>
    <cellStyle name="쉼표 [0] 14 3 2 4" xfId="19284"/>
    <cellStyle name="쉼표 [0] 14 3 3" xfId="10080"/>
    <cellStyle name="쉼표 [0] 14 3 3 2" xfId="23308"/>
    <cellStyle name="쉼표 [0] 14 3 4" xfId="12014"/>
    <cellStyle name="쉼표 [0] 14 3 4 2" xfId="25242"/>
    <cellStyle name="쉼표 [0] 14 3 5" xfId="9013"/>
    <cellStyle name="쉼표 [0] 14 3 5 2" xfId="22241"/>
    <cellStyle name="쉼표 [0] 14 3 6" xfId="18411"/>
    <cellStyle name="쉼표 [0] 14 4" xfId="3153"/>
    <cellStyle name="쉼표 [0] 14 5" xfId="5423"/>
    <cellStyle name="쉼표 [0] 14 5 2" xfId="12066"/>
    <cellStyle name="쉼표 [0] 14 5 2 2" xfId="25294"/>
    <cellStyle name="쉼표 [0] 14 5 3" xfId="10157"/>
    <cellStyle name="쉼표 [0] 14 5 3 2" xfId="23385"/>
    <cellStyle name="쉼표 [0] 14 5 4" xfId="18662"/>
    <cellStyle name="쉼표 [0] 14 6" xfId="9156"/>
    <cellStyle name="쉼표 [0] 14 6 2" xfId="22384"/>
    <cellStyle name="쉼표 [0] 14 7" xfId="11424"/>
    <cellStyle name="쉼표 [0] 14 7 2" xfId="24652"/>
    <cellStyle name="쉼표 [0] 14 8" xfId="6850"/>
    <cellStyle name="쉼표 [0] 14 8 2" xfId="20078"/>
    <cellStyle name="쉼표 [0] 14 9" xfId="14788"/>
    <cellStyle name="쉼표 [0] 15" xfId="375"/>
    <cellStyle name="쉼표 [0] 15 2" xfId="559"/>
    <cellStyle name="쉼표 [0] 15 2 2" xfId="5052"/>
    <cellStyle name="쉼표 [0] 15 2 2 2" xfId="5954"/>
    <cellStyle name="쉼표 [0] 15 2 2 2 2" xfId="12507"/>
    <cellStyle name="쉼표 [0] 15 2 2 2 2 2" xfId="25735"/>
    <cellStyle name="쉼표 [0] 15 2 2 2 3" xfId="10688"/>
    <cellStyle name="쉼표 [0] 15 2 2 2 3 2" xfId="23916"/>
    <cellStyle name="쉼표 [0] 15 2 2 2 4" xfId="19193"/>
    <cellStyle name="쉼표 [0] 15 2 2 3" xfId="9989"/>
    <cellStyle name="쉼표 [0] 15 2 2 3 2" xfId="23217"/>
    <cellStyle name="쉼표 [0] 15 2 2 4" xfId="11923"/>
    <cellStyle name="쉼표 [0] 15 2 2 4 2" xfId="25151"/>
    <cellStyle name="쉼표 [0] 15 2 2 5" xfId="8922"/>
    <cellStyle name="쉼표 [0] 15 2 2 5 2" xfId="22150"/>
    <cellStyle name="쉼표 [0] 15 2 2 6" xfId="18319"/>
    <cellStyle name="쉼표 [0] 15 2 3" xfId="5567"/>
    <cellStyle name="쉼표 [0] 15 2 3 2" xfId="12210"/>
    <cellStyle name="쉼표 [0] 15 2 3 2 2" xfId="25438"/>
    <cellStyle name="쉼표 [0] 15 2 3 3" xfId="10301"/>
    <cellStyle name="쉼표 [0] 15 2 3 3 2" xfId="23529"/>
    <cellStyle name="쉼표 [0] 15 2 3 4" xfId="18806"/>
    <cellStyle name="쉼표 [0] 15 2 4" xfId="9300"/>
    <cellStyle name="쉼표 [0] 15 2 4 2" xfId="22528"/>
    <cellStyle name="쉼표 [0] 15 2 5" xfId="11568"/>
    <cellStyle name="쉼표 [0] 15 2 5 2" xfId="24796"/>
    <cellStyle name="쉼표 [0] 15 2 6" xfId="7033"/>
    <cellStyle name="쉼표 [0] 15 2 6 2" xfId="20261"/>
    <cellStyle name="쉼표 [0] 15 2 7" xfId="14973"/>
    <cellStyle name="쉼표 [0] 15 3" xfId="4895"/>
    <cellStyle name="쉼표 [0] 15 3 2" xfId="5803"/>
    <cellStyle name="쉼표 [0] 15 3 2 2" xfId="12356"/>
    <cellStyle name="쉼표 [0] 15 3 2 2 2" xfId="25584"/>
    <cellStyle name="쉼표 [0] 15 3 2 3" xfId="10537"/>
    <cellStyle name="쉼표 [0] 15 3 2 3 2" xfId="23765"/>
    <cellStyle name="쉼표 [0] 15 3 2 4" xfId="19042"/>
    <cellStyle name="쉼표 [0] 15 3 3" xfId="9836"/>
    <cellStyle name="쉼표 [0] 15 3 3 2" xfId="23064"/>
    <cellStyle name="쉼표 [0] 15 3 4" xfId="11772"/>
    <cellStyle name="쉼표 [0] 15 3 4 2" xfId="25000"/>
    <cellStyle name="쉼표 [0] 15 3 5" xfId="8768"/>
    <cellStyle name="쉼표 [0] 15 3 5 2" xfId="21996"/>
    <cellStyle name="쉼표 [0] 15 3 6" xfId="18162"/>
    <cellStyle name="쉼표 [0] 15 4" xfId="3155"/>
    <cellStyle name="쉼표 [0] 15 5" xfId="5424"/>
    <cellStyle name="쉼표 [0] 15 5 2" xfId="12067"/>
    <cellStyle name="쉼표 [0] 15 5 2 2" xfId="25295"/>
    <cellStyle name="쉼표 [0] 15 5 3" xfId="10158"/>
    <cellStyle name="쉼표 [0] 15 5 3 2" xfId="23386"/>
    <cellStyle name="쉼표 [0] 15 5 4" xfId="18663"/>
    <cellStyle name="쉼표 [0] 15 6" xfId="9157"/>
    <cellStyle name="쉼표 [0] 15 6 2" xfId="22385"/>
    <cellStyle name="쉼표 [0] 15 7" xfId="11425"/>
    <cellStyle name="쉼표 [0] 15 7 2" xfId="24653"/>
    <cellStyle name="쉼표 [0] 15 8" xfId="6851"/>
    <cellStyle name="쉼표 [0] 15 8 2" xfId="20079"/>
    <cellStyle name="쉼표 [0] 15 9" xfId="14789"/>
    <cellStyle name="쉼표 [0] 16" xfId="376"/>
    <cellStyle name="쉼표 [0] 16 2" xfId="560"/>
    <cellStyle name="쉼표 [0] 16 2 2" xfId="5169"/>
    <cellStyle name="쉼표 [0] 16 2 2 2" xfId="6069"/>
    <cellStyle name="쉼표 [0] 16 2 2 2 2" xfId="12622"/>
    <cellStyle name="쉼표 [0] 16 2 2 2 2 2" xfId="25850"/>
    <cellStyle name="쉼표 [0] 16 2 2 2 3" xfId="10803"/>
    <cellStyle name="쉼표 [0] 16 2 2 2 3 2" xfId="24031"/>
    <cellStyle name="쉼표 [0] 16 2 2 2 4" xfId="19308"/>
    <cellStyle name="쉼표 [0] 16 2 2 3" xfId="10104"/>
    <cellStyle name="쉼표 [0] 16 2 2 3 2" xfId="23332"/>
    <cellStyle name="쉼표 [0] 16 2 2 4" xfId="12038"/>
    <cellStyle name="쉼표 [0] 16 2 2 4 2" xfId="25266"/>
    <cellStyle name="쉼표 [0] 16 2 2 5" xfId="9037"/>
    <cellStyle name="쉼표 [0] 16 2 2 5 2" xfId="22265"/>
    <cellStyle name="쉼표 [0] 16 2 2 6" xfId="18435"/>
    <cellStyle name="쉼표 [0] 16 2 3" xfId="3157"/>
    <cellStyle name="쉼표 [0] 16 2 4" xfId="5568"/>
    <cellStyle name="쉼표 [0] 16 2 4 2" xfId="12211"/>
    <cellStyle name="쉼표 [0] 16 2 4 2 2" xfId="25439"/>
    <cellStyle name="쉼표 [0] 16 2 4 3" xfId="10302"/>
    <cellStyle name="쉼표 [0] 16 2 4 3 2" xfId="23530"/>
    <cellStyle name="쉼표 [0] 16 2 4 4" xfId="18807"/>
    <cellStyle name="쉼표 [0] 16 2 5" xfId="9301"/>
    <cellStyle name="쉼표 [0] 16 2 5 2" xfId="22529"/>
    <cellStyle name="쉼표 [0] 16 2 6" xfId="11569"/>
    <cellStyle name="쉼표 [0] 16 2 6 2" xfId="24797"/>
    <cellStyle name="쉼표 [0] 16 2 7" xfId="7034"/>
    <cellStyle name="쉼표 [0] 16 2 7 2" xfId="20262"/>
    <cellStyle name="쉼표 [0] 16 2 8" xfId="14974"/>
    <cellStyle name="쉼표 [0] 16 3" xfId="4896"/>
    <cellStyle name="쉼표 [0] 16 3 2" xfId="5804"/>
    <cellStyle name="쉼표 [0] 16 3 2 2" xfId="12357"/>
    <cellStyle name="쉼표 [0] 16 3 2 2 2" xfId="25585"/>
    <cellStyle name="쉼표 [0] 16 3 2 3" xfId="10538"/>
    <cellStyle name="쉼표 [0] 16 3 2 3 2" xfId="23766"/>
    <cellStyle name="쉼표 [0] 16 3 2 4" xfId="19043"/>
    <cellStyle name="쉼표 [0] 16 3 3" xfId="9837"/>
    <cellStyle name="쉼표 [0] 16 3 3 2" xfId="23065"/>
    <cellStyle name="쉼표 [0] 16 3 4" xfId="11773"/>
    <cellStyle name="쉼표 [0] 16 3 4 2" xfId="25001"/>
    <cellStyle name="쉼표 [0] 16 3 5" xfId="8769"/>
    <cellStyle name="쉼표 [0] 16 3 5 2" xfId="21997"/>
    <cellStyle name="쉼표 [0] 16 3 6" xfId="18163"/>
    <cellStyle name="쉼표 [0] 16 4" xfId="3156"/>
    <cellStyle name="쉼표 [0] 16 5" xfId="5425"/>
    <cellStyle name="쉼표 [0] 16 5 2" xfId="12068"/>
    <cellStyle name="쉼표 [0] 16 5 2 2" xfId="25296"/>
    <cellStyle name="쉼표 [0] 16 5 3" xfId="10159"/>
    <cellStyle name="쉼표 [0] 16 5 3 2" xfId="23387"/>
    <cellStyle name="쉼표 [0] 16 5 4" xfId="18664"/>
    <cellStyle name="쉼표 [0] 16 6" xfId="9158"/>
    <cellStyle name="쉼표 [0] 16 6 2" xfId="22386"/>
    <cellStyle name="쉼표 [0] 16 7" xfId="11426"/>
    <cellStyle name="쉼표 [0] 16 7 2" xfId="24654"/>
    <cellStyle name="쉼표 [0] 16 8" xfId="6852"/>
    <cellStyle name="쉼표 [0] 16 8 2" xfId="20080"/>
    <cellStyle name="쉼표 [0] 16 9" xfId="14790"/>
    <cellStyle name="쉼표 [0] 17" xfId="555"/>
    <cellStyle name="쉼표 [0] 17 2" xfId="4966"/>
    <cellStyle name="쉼표 [0] 17 3" xfId="3143"/>
    <cellStyle name="쉼표 [0] 17 4" xfId="51349"/>
    <cellStyle name="쉼표 [0] 18" xfId="4828"/>
    <cellStyle name="쉼표 [0] 19" xfId="5419"/>
    <cellStyle name="쉼표 [0] 2" xfId="232"/>
    <cellStyle name="쉼표 [0] 2 10" xfId="377"/>
    <cellStyle name="쉼표 [0] 2 10 2" xfId="561"/>
    <cellStyle name="쉼표 [0] 2 10 2 2" xfId="4969"/>
    <cellStyle name="쉼표 [0] 2 10 2 2 2" xfId="5875"/>
    <cellStyle name="쉼표 [0] 2 10 2 2 2 2" xfId="12428"/>
    <cellStyle name="쉼표 [0] 2 10 2 2 2 2 2" xfId="25656"/>
    <cellStyle name="쉼표 [0] 2 10 2 2 2 3" xfId="10609"/>
    <cellStyle name="쉼표 [0] 2 10 2 2 2 3 2" xfId="23837"/>
    <cellStyle name="쉼표 [0] 2 10 2 2 2 4" xfId="19114"/>
    <cellStyle name="쉼표 [0] 2 10 2 2 3" xfId="9908"/>
    <cellStyle name="쉼표 [0] 2 10 2 2 3 2" xfId="23136"/>
    <cellStyle name="쉼표 [0] 2 10 2 2 4" xfId="11844"/>
    <cellStyle name="쉼표 [0] 2 10 2 2 4 2" xfId="25072"/>
    <cellStyle name="쉼표 [0] 2 10 2 2 5" xfId="8841"/>
    <cellStyle name="쉼표 [0] 2 10 2 2 5 2" xfId="22069"/>
    <cellStyle name="쉼표 [0] 2 10 2 2 6" xfId="18236"/>
    <cellStyle name="쉼표 [0] 2 10 2 3" xfId="5569"/>
    <cellStyle name="쉼표 [0] 2 10 2 3 2" xfId="12212"/>
    <cellStyle name="쉼표 [0] 2 10 2 3 2 2" xfId="25440"/>
    <cellStyle name="쉼표 [0] 2 10 2 3 3" xfId="10303"/>
    <cellStyle name="쉼표 [0] 2 10 2 3 3 2" xfId="23531"/>
    <cellStyle name="쉼표 [0] 2 10 2 3 4" xfId="18808"/>
    <cellStyle name="쉼표 [0] 2 10 2 4" xfId="9302"/>
    <cellStyle name="쉼표 [0] 2 10 2 4 2" xfId="22530"/>
    <cellStyle name="쉼표 [0] 2 10 2 5" xfId="11570"/>
    <cellStyle name="쉼표 [0] 2 10 2 5 2" xfId="24798"/>
    <cellStyle name="쉼표 [0] 2 10 2 6" xfId="7035"/>
    <cellStyle name="쉼표 [0] 2 10 2 6 2" xfId="20263"/>
    <cellStyle name="쉼표 [0] 2 10 2 7" xfId="14975"/>
    <cellStyle name="쉼표 [0] 2 10 3" xfId="5060"/>
    <cellStyle name="쉼표 [0] 2 10 3 2" xfId="5962"/>
    <cellStyle name="쉼표 [0] 2 10 3 2 2" xfId="12515"/>
    <cellStyle name="쉼표 [0] 2 10 3 2 2 2" xfId="25743"/>
    <cellStyle name="쉼표 [0] 2 10 3 2 3" xfId="10696"/>
    <cellStyle name="쉼표 [0] 2 10 3 2 3 2" xfId="23924"/>
    <cellStyle name="쉼표 [0] 2 10 3 2 4" xfId="19201"/>
    <cellStyle name="쉼표 [0] 2 10 3 3" xfId="9997"/>
    <cellStyle name="쉼표 [0] 2 10 3 3 2" xfId="23225"/>
    <cellStyle name="쉼표 [0] 2 10 3 4" xfId="11931"/>
    <cellStyle name="쉼표 [0] 2 10 3 4 2" xfId="25159"/>
    <cellStyle name="쉼표 [0] 2 10 3 5" xfId="8930"/>
    <cellStyle name="쉼표 [0] 2 10 3 5 2" xfId="22158"/>
    <cellStyle name="쉼표 [0] 2 10 3 6" xfId="18327"/>
    <cellStyle name="쉼표 [0] 2 10 4" xfId="5426"/>
    <cellStyle name="쉼표 [0] 2 10 4 2" xfId="12069"/>
    <cellStyle name="쉼표 [0] 2 10 4 2 2" xfId="25297"/>
    <cellStyle name="쉼표 [0] 2 10 4 3" xfId="10160"/>
    <cellStyle name="쉼표 [0] 2 10 4 3 2" xfId="23388"/>
    <cellStyle name="쉼표 [0] 2 10 4 4" xfId="18665"/>
    <cellStyle name="쉼표 [0] 2 10 5" xfId="9159"/>
    <cellStyle name="쉼표 [0] 2 10 5 2" xfId="22387"/>
    <cellStyle name="쉼표 [0] 2 10 6" xfId="11427"/>
    <cellStyle name="쉼표 [0] 2 10 6 2" xfId="24655"/>
    <cellStyle name="쉼표 [0] 2 10 7" xfId="6853"/>
    <cellStyle name="쉼표 [0] 2 10 7 2" xfId="20081"/>
    <cellStyle name="쉼표 [0] 2 10 8" xfId="14791"/>
    <cellStyle name="쉼표 [0] 2 11" xfId="378"/>
    <cellStyle name="쉼표 [0] 2 11 2" xfId="562"/>
    <cellStyle name="쉼표 [0] 2 11 2 2" xfId="4970"/>
    <cellStyle name="쉼표 [0] 2 11 2 2 2" xfId="5876"/>
    <cellStyle name="쉼표 [0] 2 11 2 2 2 2" xfId="12429"/>
    <cellStyle name="쉼표 [0] 2 11 2 2 2 2 2" xfId="25657"/>
    <cellStyle name="쉼표 [0] 2 11 2 2 2 3" xfId="10610"/>
    <cellStyle name="쉼표 [0] 2 11 2 2 2 3 2" xfId="23838"/>
    <cellStyle name="쉼표 [0] 2 11 2 2 2 4" xfId="19115"/>
    <cellStyle name="쉼표 [0] 2 11 2 2 3" xfId="9909"/>
    <cellStyle name="쉼표 [0] 2 11 2 2 3 2" xfId="23137"/>
    <cellStyle name="쉼표 [0] 2 11 2 2 4" xfId="11845"/>
    <cellStyle name="쉼표 [0] 2 11 2 2 4 2" xfId="25073"/>
    <cellStyle name="쉼표 [0] 2 11 2 2 5" xfId="8842"/>
    <cellStyle name="쉼표 [0] 2 11 2 2 5 2" xfId="22070"/>
    <cellStyle name="쉼표 [0] 2 11 2 2 6" xfId="18237"/>
    <cellStyle name="쉼표 [0] 2 11 2 3" xfId="5570"/>
    <cellStyle name="쉼표 [0] 2 11 2 3 2" xfId="12213"/>
    <cellStyle name="쉼표 [0] 2 11 2 3 2 2" xfId="25441"/>
    <cellStyle name="쉼표 [0] 2 11 2 3 3" xfId="10304"/>
    <cellStyle name="쉼표 [0] 2 11 2 3 3 2" xfId="23532"/>
    <cellStyle name="쉼표 [0] 2 11 2 3 4" xfId="18809"/>
    <cellStyle name="쉼표 [0] 2 11 2 4" xfId="9303"/>
    <cellStyle name="쉼표 [0] 2 11 2 4 2" xfId="22531"/>
    <cellStyle name="쉼표 [0] 2 11 2 5" xfId="11571"/>
    <cellStyle name="쉼표 [0] 2 11 2 5 2" xfId="24799"/>
    <cellStyle name="쉼표 [0] 2 11 2 6" xfId="7036"/>
    <cellStyle name="쉼표 [0] 2 11 2 6 2" xfId="20264"/>
    <cellStyle name="쉼표 [0] 2 11 2 7" xfId="14976"/>
    <cellStyle name="쉼표 [0] 2 11 3" xfId="5146"/>
    <cellStyle name="쉼표 [0] 2 11 3 2" xfId="6046"/>
    <cellStyle name="쉼표 [0] 2 11 3 2 2" xfId="12599"/>
    <cellStyle name="쉼표 [0] 2 11 3 2 2 2" xfId="25827"/>
    <cellStyle name="쉼표 [0] 2 11 3 2 3" xfId="10780"/>
    <cellStyle name="쉼표 [0] 2 11 3 2 3 2" xfId="24008"/>
    <cellStyle name="쉼표 [0] 2 11 3 2 4" xfId="19285"/>
    <cellStyle name="쉼표 [0] 2 11 3 3" xfId="10081"/>
    <cellStyle name="쉼표 [0] 2 11 3 3 2" xfId="23309"/>
    <cellStyle name="쉼표 [0] 2 11 3 4" xfId="12015"/>
    <cellStyle name="쉼표 [0] 2 11 3 4 2" xfId="25243"/>
    <cellStyle name="쉼표 [0] 2 11 3 5" xfId="9014"/>
    <cellStyle name="쉼표 [0] 2 11 3 5 2" xfId="22242"/>
    <cellStyle name="쉼표 [0] 2 11 3 6" xfId="18412"/>
    <cellStyle name="쉼표 [0] 2 11 4" xfId="5427"/>
    <cellStyle name="쉼표 [0] 2 11 4 2" xfId="12070"/>
    <cellStyle name="쉼표 [0] 2 11 4 2 2" xfId="25298"/>
    <cellStyle name="쉼표 [0] 2 11 4 3" xfId="10161"/>
    <cellStyle name="쉼표 [0] 2 11 4 3 2" xfId="23389"/>
    <cellStyle name="쉼표 [0] 2 11 4 4" xfId="18666"/>
    <cellStyle name="쉼표 [0] 2 11 5" xfId="9160"/>
    <cellStyle name="쉼표 [0] 2 11 5 2" xfId="22388"/>
    <cellStyle name="쉼표 [0] 2 11 6" xfId="11428"/>
    <cellStyle name="쉼표 [0] 2 11 6 2" xfId="24656"/>
    <cellStyle name="쉼표 [0] 2 11 7" xfId="6854"/>
    <cellStyle name="쉼표 [0] 2 11 7 2" xfId="20082"/>
    <cellStyle name="쉼표 [0] 2 11 8" xfId="14792"/>
    <cellStyle name="쉼표 [0] 2 12" xfId="379"/>
    <cellStyle name="쉼표 [0] 2 12 2" xfId="563"/>
    <cellStyle name="쉼표 [0] 2 12 2 2" xfId="5095"/>
    <cellStyle name="쉼표 [0] 2 12 2 2 2" xfId="5997"/>
    <cellStyle name="쉼표 [0] 2 12 2 2 2 2" xfId="12550"/>
    <cellStyle name="쉼표 [0] 2 12 2 2 2 2 2" xfId="25778"/>
    <cellStyle name="쉼표 [0] 2 12 2 2 2 3" xfId="10731"/>
    <cellStyle name="쉼표 [0] 2 12 2 2 2 3 2" xfId="23959"/>
    <cellStyle name="쉼표 [0] 2 12 2 2 2 4" xfId="19236"/>
    <cellStyle name="쉼표 [0] 2 12 2 2 3" xfId="10032"/>
    <cellStyle name="쉼표 [0] 2 12 2 2 3 2" xfId="23260"/>
    <cellStyle name="쉼표 [0] 2 12 2 2 4" xfId="11966"/>
    <cellStyle name="쉼표 [0] 2 12 2 2 4 2" xfId="25194"/>
    <cellStyle name="쉼표 [0] 2 12 2 2 5" xfId="8965"/>
    <cellStyle name="쉼표 [0] 2 12 2 2 5 2" xfId="22193"/>
    <cellStyle name="쉼표 [0] 2 12 2 2 6" xfId="18362"/>
    <cellStyle name="쉼표 [0] 2 12 2 3" xfId="5571"/>
    <cellStyle name="쉼표 [0] 2 12 2 3 2" xfId="12214"/>
    <cellStyle name="쉼표 [0] 2 12 2 3 2 2" xfId="25442"/>
    <cellStyle name="쉼표 [0] 2 12 2 3 3" xfId="10305"/>
    <cellStyle name="쉼표 [0] 2 12 2 3 3 2" xfId="23533"/>
    <cellStyle name="쉼표 [0] 2 12 2 3 4" xfId="18810"/>
    <cellStyle name="쉼표 [0] 2 12 2 4" xfId="9304"/>
    <cellStyle name="쉼표 [0] 2 12 2 4 2" xfId="22532"/>
    <cellStyle name="쉼표 [0] 2 12 2 5" xfId="11572"/>
    <cellStyle name="쉼표 [0] 2 12 2 5 2" xfId="24800"/>
    <cellStyle name="쉼표 [0] 2 12 2 6" xfId="7037"/>
    <cellStyle name="쉼표 [0] 2 12 2 6 2" xfId="20265"/>
    <cellStyle name="쉼표 [0] 2 12 2 7" xfId="14977"/>
    <cellStyle name="쉼표 [0] 2 12 3" xfId="5059"/>
    <cellStyle name="쉼표 [0] 2 12 3 2" xfId="5961"/>
    <cellStyle name="쉼표 [0] 2 12 3 2 2" xfId="12514"/>
    <cellStyle name="쉼표 [0] 2 12 3 2 2 2" xfId="25742"/>
    <cellStyle name="쉼표 [0] 2 12 3 2 3" xfId="10695"/>
    <cellStyle name="쉼표 [0] 2 12 3 2 3 2" xfId="23923"/>
    <cellStyle name="쉼표 [0] 2 12 3 2 4" xfId="19200"/>
    <cellStyle name="쉼표 [0] 2 12 3 3" xfId="9996"/>
    <cellStyle name="쉼표 [0] 2 12 3 3 2" xfId="23224"/>
    <cellStyle name="쉼표 [0] 2 12 3 4" xfId="11930"/>
    <cellStyle name="쉼표 [0] 2 12 3 4 2" xfId="25158"/>
    <cellStyle name="쉼표 [0] 2 12 3 5" xfId="8929"/>
    <cellStyle name="쉼표 [0] 2 12 3 5 2" xfId="22157"/>
    <cellStyle name="쉼표 [0] 2 12 3 6" xfId="18326"/>
    <cellStyle name="쉼표 [0] 2 12 4" xfId="5428"/>
    <cellStyle name="쉼표 [0] 2 12 4 2" xfId="12071"/>
    <cellStyle name="쉼표 [0] 2 12 4 2 2" xfId="25299"/>
    <cellStyle name="쉼표 [0] 2 12 4 3" xfId="10162"/>
    <cellStyle name="쉼표 [0] 2 12 4 3 2" xfId="23390"/>
    <cellStyle name="쉼표 [0] 2 12 4 4" xfId="18667"/>
    <cellStyle name="쉼표 [0] 2 12 5" xfId="9161"/>
    <cellStyle name="쉼표 [0] 2 12 5 2" xfId="22389"/>
    <cellStyle name="쉼표 [0] 2 12 6" xfId="11429"/>
    <cellStyle name="쉼표 [0] 2 12 6 2" xfId="24657"/>
    <cellStyle name="쉼표 [0] 2 12 7" xfId="6855"/>
    <cellStyle name="쉼표 [0] 2 12 7 2" xfId="20083"/>
    <cellStyle name="쉼표 [0] 2 12 8" xfId="14793"/>
    <cellStyle name="쉼표 [0] 2 13" xfId="51066"/>
    <cellStyle name="쉼표 [0] 2 14" xfId="53905"/>
    <cellStyle name="쉼표 [0] 2 15" xfId="53906"/>
    <cellStyle name="쉼표 [0] 2 16" xfId="53907"/>
    <cellStyle name="쉼표 [0] 2 17" xfId="53908"/>
    <cellStyle name="쉼표 [0] 2 18" xfId="53909"/>
    <cellStyle name="쉼표 [0] 2 19" xfId="53910"/>
    <cellStyle name="쉼표 [0] 2 2" xfId="233"/>
    <cellStyle name="쉼표 [0] 2 2 10" xfId="53911"/>
    <cellStyle name="쉼표 [0] 2 2 11" xfId="53912"/>
    <cellStyle name="쉼표 [0] 2 2 12" xfId="53913"/>
    <cellStyle name="쉼표 [0] 2 2 13" xfId="53914"/>
    <cellStyle name="쉼표 [0] 2 2 14" xfId="53915"/>
    <cellStyle name="쉼표 [0] 2 2 15" xfId="53916"/>
    <cellStyle name="쉼표 [0] 2 2 16" xfId="53917"/>
    <cellStyle name="쉼표 [0] 2 2 17" xfId="53918"/>
    <cellStyle name="쉼표 [0] 2 2 18" xfId="53919"/>
    <cellStyle name="쉼표 [0] 2 2 19" xfId="53920"/>
    <cellStyle name="쉼표 [0] 2 2 2" xfId="234"/>
    <cellStyle name="쉼표 [0] 2 2 2 10" xfId="53921"/>
    <cellStyle name="쉼표 [0] 2 2 2 11" xfId="53922"/>
    <cellStyle name="쉼표 [0] 2 2 2 12" xfId="53923"/>
    <cellStyle name="쉼표 [0] 2 2 2 13" xfId="53924"/>
    <cellStyle name="쉼표 [0] 2 2 2 14" xfId="53925"/>
    <cellStyle name="쉼표 [0] 2 2 2 15" xfId="53926"/>
    <cellStyle name="쉼표 [0] 2 2 2 16" xfId="53927"/>
    <cellStyle name="쉼표 [0] 2 2 2 17" xfId="53928"/>
    <cellStyle name="쉼표 [0] 2 2 2 18" xfId="53929"/>
    <cellStyle name="쉼표 [0] 2 2 2 19" xfId="53930"/>
    <cellStyle name="쉼표 [0] 2 2 2 2" xfId="235"/>
    <cellStyle name="쉼표 [0] 2 2 2 20" xfId="53931"/>
    <cellStyle name="쉼표 [0] 2 2 2 21" xfId="53932"/>
    <cellStyle name="쉼표 [0] 2 2 2 22" xfId="53933"/>
    <cellStyle name="쉼표 [0] 2 2 2 3" xfId="53934"/>
    <cellStyle name="쉼표 [0] 2 2 2 4" xfId="53935"/>
    <cellStyle name="쉼표 [0] 2 2 2 5" xfId="53936"/>
    <cellStyle name="쉼표 [0] 2 2 2 6" xfId="53937"/>
    <cellStyle name="쉼표 [0] 2 2 2 7" xfId="53938"/>
    <cellStyle name="쉼표 [0] 2 2 2 8" xfId="53939"/>
    <cellStyle name="쉼표 [0] 2 2 2 9" xfId="53940"/>
    <cellStyle name="쉼표 [0] 2 2 2_20071105_발주의뢰서_신영_EKP발주의 건" xfId="53941"/>
    <cellStyle name="쉼표 [0] 2 2 20" xfId="53942"/>
    <cellStyle name="쉼표 [0] 2 2 21" xfId="53943"/>
    <cellStyle name="쉼표 [0] 2 2 22" xfId="53944"/>
    <cellStyle name="쉼표 [0] 2 2 3" xfId="380"/>
    <cellStyle name="쉼표 [0] 2 2 3 2" xfId="564"/>
    <cellStyle name="쉼표 [0] 2 2 3 2 2" xfId="5170"/>
    <cellStyle name="쉼표 [0] 2 2 3 2 2 2" xfId="6070"/>
    <cellStyle name="쉼표 [0] 2 2 3 2 2 2 2" xfId="12623"/>
    <cellStyle name="쉼표 [0] 2 2 3 2 2 2 2 2" xfId="25851"/>
    <cellStyle name="쉼표 [0] 2 2 3 2 2 2 3" xfId="10804"/>
    <cellStyle name="쉼표 [0] 2 2 3 2 2 2 3 2" xfId="24032"/>
    <cellStyle name="쉼표 [0] 2 2 3 2 2 2 4" xfId="19309"/>
    <cellStyle name="쉼표 [0] 2 2 3 2 2 3" xfId="10105"/>
    <cellStyle name="쉼표 [0] 2 2 3 2 2 3 2" xfId="23333"/>
    <cellStyle name="쉼표 [0] 2 2 3 2 2 4" xfId="12039"/>
    <cellStyle name="쉼표 [0] 2 2 3 2 2 4 2" xfId="25267"/>
    <cellStyle name="쉼표 [0] 2 2 3 2 2 5" xfId="9038"/>
    <cellStyle name="쉼표 [0] 2 2 3 2 2 5 2" xfId="22266"/>
    <cellStyle name="쉼표 [0] 2 2 3 2 2 6" xfId="18436"/>
    <cellStyle name="쉼표 [0] 2 2 3 2 3" xfId="5572"/>
    <cellStyle name="쉼표 [0] 2 2 3 2 3 2" xfId="12215"/>
    <cellStyle name="쉼표 [0] 2 2 3 2 3 2 2" xfId="25443"/>
    <cellStyle name="쉼표 [0] 2 2 3 2 3 3" xfId="10306"/>
    <cellStyle name="쉼표 [0] 2 2 3 2 3 3 2" xfId="23534"/>
    <cellStyle name="쉼표 [0] 2 2 3 2 3 4" xfId="18811"/>
    <cellStyle name="쉼표 [0] 2 2 3 2 4" xfId="9305"/>
    <cellStyle name="쉼표 [0] 2 2 3 2 4 2" xfId="22533"/>
    <cellStyle name="쉼표 [0] 2 2 3 2 5" xfId="11573"/>
    <cellStyle name="쉼표 [0] 2 2 3 2 5 2" xfId="24801"/>
    <cellStyle name="쉼표 [0] 2 2 3 2 6" xfId="7038"/>
    <cellStyle name="쉼표 [0] 2 2 3 2 6 2" xfId="20266"/>
    <cellStyle name="쉼표 [0] 2 2 3 2 7" xfId="14978"/>
    <cellStyle name="쉼표 [0] 2 2 3 3" xfId="4897"/>
    <cellStyle name="쉼표 [0] 2 2 3 3 2" xfId="5805"/>
    <cellStyle name="쉼표 [0] 2 2 3 3 2 2" xfId="12358"/>
    <cellStyle name="쉼표 [0] 2 2 3 3 2 2 2" xfId="25586"/>
    <cellStyle name="쉼표 [0] 2 2 3 3 2 3" xfId="10539"/>
    <cellStyle name="쉼표 [0] 2 2 3 3 2 3 2" xfId="23767"/>
    <cellStyle name="쉼표 [0] 2 2 3 3 2 4" xfId="19044"/>
    <cellStyle name="쉼표 [0] 2 2 3 3 3" xfId="9838"/>
    <cellStyle name="쉼표 [0] 2 2 3 3 3 2" xfId="23066"/>
    <cellStyle name="쉼표 [0] 2 2 3 3 4" xfId="11774"/>
    <cellStyle name="쉼표 [0] 2 2 3 3 4 2" xfId="25002"/>
    <cellStyle name="쉼표 [0] 2 2 3 3 5" xfId="8770"/>
    <cellStyle name="쉼표 [0] 2 2 3 3 5 2" xfId="21998"/>
    <cellStyle name="쉼표 [0] 2 2 3 3 6" xfId="18164"/>
    <cellStyle name="쉼표 [0] 2 2 3 4" xfId="5429"/>
    <cellStyle name="쉼표 [0] 2 2 3 4 2" xfId="12072"/>
    <cellStyle name="쉼표 [0] 2 2 3 4 2 2" xfId="25300"/>
    <cellStyle name="쉼표 [0] 2 2 3 4 3" xfId="10163"/>
    <cellStyle name="쉼표 [0] 2 2 3 4 3 2" xfId="23391"/>
    <cellStyle name="쉼표 [0] 2 2 3 4 4" xfId="18668"/>
    <cellStyle name="쉼표 [0] 2 2 3 5" xfId="9162"/>
    <cellStyle name="쉼표 [0] 2 2 3 5 2" xfId="22390"/>
    <cellStyle name="쉼표 [0] 2 2 3 6" xfId="11430"/>
    <cellStyle name="쉼표 [0] 2 2 3 6 2" xfId="24658"/>
    <cellStyle name="쉼표 [0] 2 2 3 7" xfId="6856"/>
    <cellStyle name="쉼표 [0] 2 2 3 7 2" xfId="20084"/>
    <cellStyle name="쉼표 [0] 2 2 3 8" xfId="14794"/>
    <cellStyle name="쉼표 [0] 2 2 3 9" xfId="51067"/>
    <cellStyle name="쉼표 [0] 2 2 4" xfId="381"/>
    <cellStyle name="쉼표 [0] 2 2 4 2" xfId="565"/>
    <cellStyle name="쉼표 [0] 2 2 4 2 2" xfId="5094"/>
    <cellStyle name="쉼표 [0] 2 2 4 2 2 2" xfId="5996"/>
    <cellStyle name="쉼표 [0] 2 2 4 2 2 2 2" xfId="12549"/>
    <cellStyle name="쉼표 [0] 2 2 4 2 2 2 2 2" xfId="25777"/>
    <cellStyle name="쉼표 [0] 2 2 4 2 2 2 3" xfId="10730"/>
    <cellStyle name="쉼표 [0] 2 2 4 2 2 2 3 2" xfId="23958"/>
    <cellStyle name="쉼표 [0] 2 2 4 2 2 2 4" xfId="19235"/>
    <cellStyle name="쉼표 [0] 2 2 4 2 2 3" xfId="10031"/>
    <cellStyle name="쉼표 [0] 2 2 4 2 2 3 2" xfId="23259"/>
    <cellStyle name="쉼표 [0] 2 2 4 2 2 4" xfId="11965"/>
    <cellStyle name="쉼표 [0] 2 2 4 2 2 4 2" xfId="25193"/>
    <cellStyle name="쉼표 [0] 2 2 4 2 2 5" xfId="8964"/>
    <cellStyle name="쉼표 [0] 2 2 4 2 2 5 2" xfId="22192"/>
    <cellStyle name="쉼표 [0] 2 2 4 2 2 6" xfId="18361"/>
    <cellStyle name="쉼표 [0] 2 2 4 2 3" xfId="5573"/>
    <cellStyle name="쉼표 [0] 2 2 4 2 3 2" xfId="12216"/>
    <cellStyle name="쉼표 [0] 2 2 4 2 3 2 2" xfId="25444"/>
    <cellStyle name="쉼표 [0] 2 2 4 2 3 3" xfId="10307"/>
    <cellStyle name="쉼표 [0] 2 2 4 2 3 3 2" xfId="23535"/>
    <cellStyle name="쉼표 [0] 2 2 4 2 3 4" xfId="18812"/>
    <cellStyle name="쉼표 [0] 2 2 4 2 4" xfId="9306"/>
    <cellStyle name="쉼표 [0] 2 2 4 2 4 2" xfId="22534"/>
    <cellStyle name="쉼표 [0] 2 2 4 2 5" xfId="11574"/>
    <cellStyle name="쉼표 [0] 2 2 4 2 5 2" xfId="24802"/>
    <cellStyle name="쉼표 [0] 2 2 4 2 6" xfId="7039"/>
    <cellStyle name="쉼표 [0] 2 2 4 2 6 2" xfId="20267"/>
    <cellStyle name="쉼표 [0] 2 2 4 2 7" xfId="14979"/>
    <cellStyle name="쉼표 [0] 2 2 4 3" xfId="4898"/>
    <cellStyle name="쉼표 [0] 2 2 4 3 2" xfId="5806"/>
    <cellStyle name="쉼표 [0] 2 2 4 3 2 2" xfId="12359"/>
    <cellStyle name="쉼표 [0] 2 2 4 3 2 2 2" xfId="25587"/>
    <cellStyle name="쉼표 [0] 2 2 4 3 2 3" xfId="10540"/>
    <cellStyle name="쉼표 [0] 2 2 4 3 2 3 2" xfId="23768"/>
    <cellStyle name="쉼표 [0] 2 2 4 3 2 4" xfId="19045"/>
    <cellStyle name="쉼표 [0] 2 2 4 3 3" xfId="9839"/>
    <cellStyle name="쉼표 [0] 2 2 4 3 3 2" xfId="23067"/>
    <cellStyle name="쉼표 [0] 2 2 4 3 4" xfId="11775"/>
    <cellStyle name="쉼표 [0] 2 2 4 3 4 2" xfId="25003"/>
    <cellStyle name="쉼표 [0] 2 2 4 3 5" xfId="8771"/>
    <cellStyle name="쉼표 [0] 2 2 4 3 5 2" xfId="21999"/>
    <cellStyle name="쉼표 [0] 2 2 4 3 6" xfId="18165"/>
    <cellStyle name="쉼표 [0] 2 2 4 4" xfId="5430"/>
    <cellStyle name="쉼표 [0] 2 2 4 4 2" xfId="12073"/>
    <cellStyle name="쉼표 [0] 2 2 4 4 2 2" xfId="25301"/>
    <cellStyle name="쉼표 [0] 2 2 4 4 3" xfId="10164"/>
    <cellStyle name="쉼표 [0] 2 2 4 4 3 2" xfId="23392"/>
    <cellStyle name="쉼표 [0] 2 2 4 4 4" xfId="18669"/>
    <cellStyle name="쉼표 [0] 2 2 4 5" xfId="9163"/>
    <cellStyle name="쉼표 [0] 2 2 4 5 2" xfId="22391"/>
    <cellStyle name="쉼표 [0] 2 2 4 6" xfId="11431"/>
    <cellStyle name="쉼표 [0] 2 2 4 6 2" xfId="24659"/>
    <cellStyle name="쉼표 [0] 2 2 4 7" xfId="6857"/>
    <cellStyle name="쉼표 [0] 2 2 4 7 2" xfId="20085"/>
    <cellStyle name="쉼표 [0] 2 2 4 8" xfId="14795"/>
    <cellStyle name="쉼표 [0] 2 2 5" xfId="382"/>
    <cellStyle name="쉼표 [0] 2 2 5 2" xfId="566"/>
    <cellStyle name="쉼표 [0] 2 2 5 2 2" xfId="4971"/>
    <cellStyle name="쉼표 [0] 2 2 5 2 2 2" xfId="5877"/>
    <cellStyle name="쉼표 [0] 2 2 5 2 2 2 2" xfId="12430"/>
    <cellStyle name="쉼표 [0] 2 2 5 2 2 2 2 2" xfId="25658"/>
    <cellStyle name="쉼표 [0] 2 2 5 2 2 2 3" xfId="10611"/>
    <cellStyle name="쉼표 [0] 2 2 5 2 2 2 3 2" xfId="23839"/>
    <cellStyle name="쉼표 [0] 2 2 5 2 2 2 4" xfId="19116"/>
    <cellStyle name="쉼표 [0] 2 2 5 2 2 3" xfId="9910"/>
    <cellStyle name="쉼표 [0] 2 2 5 2 2 3 2" xfId="23138"/>
    <cellStyle name="쉼표 [0] 2 2 5 2 2 4" xfId="11846"/>
    <cellStyle name="쉼표 [0] 2 2 5 2 2 4 2" xfId="25074"/>
    <cellStyle name="쉼표 [0] 2 2 5 2 2 5" xfId="8843"/>
    <cellStyle name="쉼표 [0] 2 2 5 2 2 5 2" xfId="22071"/>
    <cellStyle name="쉼표 [0] 2 2 5 2 2 6" xfId="18238"/>
    <cellStyle name="쉼표 [0] 2 2 5 2 3" xfId="5574"/>
    <cellStyle name="쉼표 [0] 2 2 5 2 3 2" xfId="12217"/>
    <cellStyle name="쉼표 [0] 2 2 5 2 3 2 2" xfId="25445"/>
    <cellStyle name="쉼표 [0] 2 2 5 2 3 3" xfId="10308"/>
    <cellStyle name="쉼표 [0] 2 2 5 2 3 3 2" xfId="23536"/>
    <cellStyle name="쉼표 [0] 2 2 5 2 3 4" xfId="18813"/>
    <cellStyle name="쉼표 [0] 2 2 5 2 4" xfId="9307"/>
    <cellStyle name="쉼표 [0] 2 2 5 2 4 2" xfId="22535"/>
    <cellStyle name="쉼표 [0] 2 2 5 2 5" xfId="11575"/>
    <cellStyle name="쉼표 [0] 2 2 5 2 5 2" xfId="24803"/>
    <cellStyle name="쉼표 [0] 2 2 5 2 6" xfId="7040"/>
    <cellStyle name="쉼표 [0] 2 2 5 2 6 2" xfId="20268"/>
    <cellStyle name="쉼표 [0] 2 2 5 2 7" xfId="14980"/>
    <cellStyle name="쉼표 [0] 2 2 5 3" xfId="5062"/>
    <cellStyle name="쉼표 [0] 2 2 5 3 2" xfId="5964"/>
    <cellStyle name="쉼표 [0] 2 2 5 3 2 2" xfId="12517"/>
    <cellStyle name="쉼표 [0] 2 2 5 3 2 2 2" xfId="25745"/>
    <cellStyle name="쉼표 [0] 2 2 5 3 2 3" xfId="10698"/>
    <cellStyle name="쉼표 [0] 2 2 5 3 2 3 2" xfId="23926"/>
    <cellStyle name="쉼표 [0] 2 2 5 3 2 4" xfId="19203"/>
    <cellStyle name="쉼표 [0] 2 2 5 3 3" xfId="9999"/>
    <cellStyle name="쉼표 [0] 2 2 5 3 3 2" xfId="23227"/>
    <cellStyle name="쉼표 [0] 2 2 5 3 4" xfId="11933"/>
    <cellStyle name="쉼표 [0] 2 2 5 3 4 2" xfId="25161"/>
    <cellStyle name="쉼표 [0] 2 2 5 3 5" xfId="8932"/>
    <cellStyle name="쉼표 [0] 2 2 5 3 5 2" xfId="22160"/>
    <cellStyle name="쉼표 [0] 2 2 5 3 6" xfId="18329"/>
    <cellStyle name="쉼표 [0] 2 2 5 4" xfId="5431"/>
    <cellStyle name="쉼표 [0] 2 2 5 4 2" xfId="12074"/>
    <cellStyle name="쉼표 [0] 2 2 5 4 2 2" xfId="25302"/>
    <cellStyle name="쉼표 [0] 2 2 5 4 3" xfId="10165"/>
    <cellStyle name="쉼표 [0] 2 2 5 4 3 2" xfId="23393"/>
    <cellStyle name="쉼표 [0] 2 2 5 4 4" xfId="18670"/>
    <cellStyle name="쉼표 [0] 2 2 5 5" xfId="9164"/>
    <cellStyle name="쉼표 [0] 2 2 5 5 2" xfId="22392"/>
    <cellStyle name="쉼표 [0] 2 2 5 6" xfId="11432"/>
    <cellStyle name="쉼표 [0] 2 2 5 6 2" xfId="24660"/>
    <cellStyle name="쉼표 [0] 2 2 5 7" xfId="6858"/>
    <cellStyle name="쉼표 [0] 2 2 5 7 2" xfId="20086"/>
    <cellStyle name="쉼표 [0] 2 2 5 8" xfId="14796"/>
    <cellStyle name="쉼표 [0] 2 2 6" xfId="383"/>
    <cellStyle name="쉼표 [0] 2 2 6 2" xfId="567"/>
    <cellStyle name="쉼표 [0] 2 2 6 2 2" xfId="4972"/>
    <cellStyle name="쉼표 [0] 2 2 6 2 2 2" xfId="5878"/>
    <cellStyle name="쉼표 [0] 2 2 6 2 2 2 2" xfId="12431"/>
    <cellStyle name="쉼표 [0] 2 2 6 2 2 2 2 2" xfId="25659"/>
    <cellStyle name="쉼표 [0] 2 2 6 2 2 2 3" xfId="10612"/>
    <cellStyle name="쉼표 [0] 2 2 6 2 2 2 3 2" xfId="23840"/>
    <cellStyle name="쉼표 [0] 2 2 6 2 2 2 4" xfId="19117"/>
    <cellStyle name="쉼표 [0] 2 2 6 2 2 3" xfId="9911"/>
    <cellStyle name="쉼표 [0] 2 2 6 2 2 3 2" xfId="23139"/>
    <cellStyle name="쉼표 [0] 2 2 6 2 2 4" xfId="11847"/>
    <cellStyle name="쉼표 [0] 2 2 6 2 2 4 2" xfId="25075"/>
    <cellStyle name="쉼표 [0] 2 2 6 2 2 5" xfId="8844"/>
    <cellStyle name="쉼표 [0] 2 2 6 2 2 5 2" xfId="22072"/>
    <cellStyle name="쉼표 [0] 2 2 6 2 2 6" xfId="18239"/>
    <cellStyle name="쉼표 [0] 2 2 6 2 3" xfId="5575"/>
    <cellStyle name="쉼표 [0] 2 2 6 2 3 2" xfId="12218"/>
    <cellStyle name="쉼표 [0] 2 2 6 2 3 2 2" xfId="25446"/>
    <cellStyle name="쉼표 [0] 2 2 6 2 3 3" xfId="10309"/>
    <cellStyle name="쉼표 [0] 2 2 6 2 3 3 2" xfId="23537"/>
    <cellStyle name="쉼표 [0] 2 2 6 2 3 4" xfId="18814"/>
    <cellStyle name="쉼표 [0] 2 2 6 2 4" xfId="9308"/>
    <cellStyle name="쉼표 [0] 2 2 6 2 4 2" xfId="22536"/>
    <cellStyle name="쉼표 [0] 2 2 6 2 5" xfId="11576"/>
    <cellStyle name="쉼표 [0] 2 2 6 2 5 2" xfId="24804"/>
    <cellStyle name="쉼표 [0] 2 2 6 2 6" xfId="7041"/>
    <cellStyle name="쉼표 [0] 2 2 6 2 6 2" xfId="20269"/>
    <cellStyle name="쉼표 [0] 2 2 6 2 7" xfId="14981"/>
    <cellStyle name="쉼표 [0] 2 2 6 3" xfId="5147"/>
    <cellStyle name="쉼표 [0] 2 2 6 3 2" xfId="6047"/>
    <cellStyle name="쉼표 [0] 2 2 6 3 2 2" xfId="12600"/>
    <cellStyle name="쉼표 [0] 2 2 6 3 2 2 2" xfId="25828"/>
    <cellStyle name="쉼표 [0] 2 2 6 3 2 3" xfId="10781"/>
    <cellStyle name="쉼표 [0] 2 2 6 3 2 3 2" xfId="24009"/>
    <cellStyle name="쉼표 [0] 2 2 6 3 2 4" xfId="19286"/>
    <cellStyle name="쉼표 [0] 2 2 6 3 3" xfId="10082"/>
    <cellStyle name="쉼표 [0] 2 2 6 3 3 2" xfId="23310"/>
    <cellStyle name="쉼표 [0] 2 2 6 3 4" xfId="12016"/>
    <cellStyle name="쉼표 [0] 2 2 6 3 4 2" xfId="25244"/>
    <cellStyle name="쉼표 [0] 2 2 6 3 5" xfId="9015"/>
    <cellStyle name="쉼표 [0] 2 2 6 3 5 2" xfId="22243"/>
    <cellStyle name="쉼표 [0] 2 2 6 3 6" xfId="18413"/>
    <cellStyle name="쉼표 [0] 2 2 6 4" xfId="5432"/>
    <cellStyle name="쉼표 [0] 2 2 6 4 2" xfId="12075"/>
    <cellStyle name="쉼표 [0] 2 2 6 4 2 2" xfId="25303"/>
    <cellStyle name="쉼표 [0] 2 2 6 4 3" xfId="10166"/>
    <cellStyle name="쉼표 [0] 2 2 6 4 3 2" xfId="23394"/>
    <cellStyle name="쉼표 [0] 2 2 6 4 4" xfId="18671"/>
    <cellStyle name="쉼표 [0] 2 2 6 5" xfId="9165"/>
    <cellStyle name="쉼표 [0] 2 2 6 5 2" xfId="22393"/>
    <cellStyle name="쉼표 [0] 2 2 6 6" xfId="11433"/>
    <cellStyle name="쉼표 [0] 2 2 6 6 2" xfId="24661"/>
    <cellStyle name="쉼표 [0] 2 2 6 7" xfId="6859"/>
    <cellStyle name="쉼표 [0] 2 2 6 7 2" xfId="20087"/>
    <cellStyle name="쉼표 [0] 2 2 6 8" xfId="14797"/>
    <cellStyle name="쉼표 [0] 2 2 7" xfId="384"/>
    <cellStyle name="쉼표 [0] 2 2 7 2" xfId="568"/>
    <cellStyle name="쉼표 [0] 2 2 7 2 2" xfId="5097"/>
    <cellStyle name="쉼표 [0] 2 2 7 2 2 2" xfId="5999"/>
    <cellStyle name="쉼표 [0] 2 2 7 2 2 2 2" xfId="12552"/>
    <cellStyle name="쉼표 [0] 2 2 7 2 2 2 2 2" xfId="25780"/>
    <cellStyle name="쉼표 [0] 2 2 7 2 2 2 3" xfId="10733"/>
    <cellStyle name="쉼표 [0] 2 2 7 2 2 2 3 2" xfId="23961"/>
    <cellStyle name="쉼표 [0] 2 2 7 2 2 2 4" xfId="19238"/>
    <cellStyle name="쉼표 [0] 2 2 7 2 2 3" xfId="10034"/>
    <cellStyle name="쉼표 [0] 2 2 7 2 2 3 2" xfId="23262"/>
    <cellStyle name="쉼표 [0] 2 2 7 2 2 4" xfId="11968"/>
    <cellStyle name="쉼표 [0] 2 2 7 2 2 4 2" xfId="25196"/>
    <cellStyle name="쉼표 [0] 2 2 7 2 2 5" xfId="8967"/>
    <cellStyle name="쉼표 [0] 2 2 7 2 2 5 2" xfId="22195"/>
    <cellStyle name="쉼표 [0] 2 2 7 2 2 6" xfId="18364"/>
    <cellStyle name="쉼표 [0] 2 2 7 2 3" xfId="5576"/>
    <cellStyle name="쉼표 [0] 2 2 7 2 3 2" xfId="12219"/>
    <cellStyle name="쉼표 [0] 2 2 7 2 3 2 2" xfId="25447"/>
    <cellStyle name="쉼표 [0] 2 2 7 2 3 3" xfId="10310"/>
    <cellStyle name="쉼표 [0] 2 2 7 2 3 3 2" xfId="23538"/>
    <cellStyle name="쉼표 [0] 2 2 7 2 3 4" xfId="18815"/>
    <cellStyle name="쉼표 [0] 2 2 7 2 4" xfId="9309"/>
    <cellStyle name="쉼표 [0] 2 2 7 2 4 2" xfId="22537"/>
    <cellStyle name="쉼표 [0] 2 2 7 2 5" xfId="11577"/>
    <cellStyle name="쉼표 [0] 2 2 7 2 5 2" xfId="24805"/>
    <cellStyle name="쉼표 [0] 2 2 7 2 6" xfId="7042"/>
    <cellStyle name="쉼표 [0] 2 2 7 2 6 2" xfId="20270"/>
    <cellStyle name="쉼표 [0] 2 2 7 2 7" xfId="14982"/>
    <cellStyle name="쉼표 [0] 2 2 7 3" xfId="5061"/>
    <cellStyle name="쉼표 [0] 2 2 7 3 2" xfId="5963"/>
    <cellStyle name="쉼표 [0] 2 2 7 3 2 2" xfId="12516"/>
    <cellStyle name="쉼표 [0] 2 2 7 3 2 2 2" xfId="25744"/>
    <cellStyle name="쉼표 [0] 2 2 7 3 2 3" xfId="10697"/>
    <cellStyle name="쉼표 [0] 2 2 7 3 2 3 2" xfId="23925"/>
    <cellStyle name="쉼표 [0] 2 2 7 3 2 4" xfId="19202"/>
    <cellStyle name="쉼표 [0] 2 2 7 3 3" xfId="9998"/>
    <cellStyle name="쉼표 [0] 2 2 7 3 3 2" xfId="23226"/>
    <cellStyle name="쉼표 [0] 2 2 7 3 4" xfId="11932"/>
    <cellStyle name="쉼표 [0] 2 2 7 3 4 2" xfId="25160"/>
    <cellStyle name="쉼표 [0] 2 2 7 3 5" xfId="8931"/>
    <cellStyle name="쉼표 [0] 2 2 7 3 5 2" xfId="22159"/>
    <cellStyle name="쉼표 [0] 2 2 7 3 6" xfId="18328"/>
    <cellStyle name="쉼표 [0] 2 2 7 4" xfId="5433"/>
    <cellStyle name="쉼표 [0] 2 2 7 4 2" xfId="12076"/>
    <cellStyle name="쉼표 [0] 2 2 7 4 2 2" xfId="25304"/>
    <cellStyle name="쉼표 [0] 2 2 7 4 3" xfId="10167"/>
    <cellStyle name="쉼표 [0] 2 2 7 4 3 2" xfId="23395"/>
    <cellStyle name="쉼표 [0] 2 2 7 4 4" xfId="18672"/>
    <cellStyle name="쉼표 [0] 2 2 7 5" xfId="9166"/>
    <cellStyle name="쉼표 [0] 2 2 7 5 2" xfId="22394"/>
    <cellStyle name="쉼표 [0] 2 2 7 6" xfId="11434"/>
    <cellStyle name="쉼표 [0] 2 2 7 6 2" xfId="24662"/>
    <cellStyle name="쉼표 [0] 2 2 7 7" xfId="6860"/>
    <cellStyle name="쉼표 [0] 2 2 7 7 2" xfId="20088"/>
    <cellStyle name="쉼표 [0] 2 2 7 8" xfId="14798"/>
    <cellStyle name="쉼표 [0] 2 2 8" xfId="385"/>
    <cellStyle name="쉼표 [0] 2 2 8 2" xfId="569"/>
    <cellStyle name="쉼표 [0] 2 2 8 2 2" xfId="5171"/>
    <cellStyle name="쉼표 [0] 2 2 8 2 2 2" xfId="6071"/>
    <cellStyle name="쉼표 [0] 2 2 8 2 2 2 2" xfId="12624"/>
    <cellStyle name="쉼표 [0] 2 2 8 2 2 2 2 2" xfId="25852"/>
    <cellStyle name="쉼표 [0] 2 2 8 2 2 2 3" xfId="10805"/>
    <cellStyle name="쉼표 [0] 2 2 8 2 2 2 3 2" xfId="24033"/>
    <cellStyle name="쉼표 [0] 2 2 8 2 2 2 4" xfId="19310"/>
    <cellStyle name="쉼표 [0] 2 2 8 2 2 3" xfId="10106"/>
    <cellStyle name="쉼표 [0] 2 2 8 2 2 3 2" xfId="23334"/>
    <cellStyle name="쉼표 [0] 2 2 8 2 2 4" xfId="12040"/>
    <cellStyle name="쉼표 [0] 2 2 8 2 2 4 2" xfId="25268"/>
    <cellStyle name="쉼표 [0] 2 2 8 2 2 5" xfId="9039"/>
    <cellStyle name="쉼표 [0] 2 2 8 2 2 5 2" xfId="22267"/>
    <cellStyle name="쉼표 [0] 2 2 8 2 2 6" xfId="18437"/>
    <cellStyle name="쉼표 [0] 2 2 8 2 3" xfId="5577"/>
    <cellStyle name="쉼표 [0] 2 2 8 2 3 2" xfId="12220"/>
    <cellStyle name="쉼표 [0] 2 2 8 2 3 2 2" xfId="25448"/>
    <cellStyle name="쉼표 [0] 2 2 8 2 3 3" xfId="10311"/>
    <cellStyle name="쉼표 [0] 2 2 8 2 3 3 2" xfId="23539"/>
    <cellStyle name="쉼표 [0] 2 2 8 2 3 4" xfId="18816"/>
    <cellStyle name="쉼표 [0] 2 2 8 2 4" xfId="9310"/>
    <cellStyle name="쉼표 [0] 2 2 8 2 4 2" xfId="22538"/>
    <cellStyle name="쉼표 [0] 2 2 8 2 5" xfId="11578"/>
    <cellStyle name="쉼표 [0] 2 2 8 2 5 2" xfId="24806"/>
    <cellStyle name="쉼표 [0] 2 2 8 2 6" xfId="7043"/>
    <cellStyle name="쉼표 [0] 2 2 8 2 6 2" xfId="20271"/>
    <cellStyle name="쉼표 [0] 2 2 8 2 7" xfId="14983"/>
    <cellStyle name="쉼표 [0] 2 2 8 3" xfId="4899"/>
    <cellStyle name="쉼표 [0] 2 2 8 3 2" xfId="5807"/>
    <cellStyle name="쉼표 [0] 2 2 8 3 2 2" xfId="12360"/>
    <cellStyle name="쉼표 [0] 2 2 8 3 2 2 2" xfId="25588"/>
    <cellStyle name="쉼표 [0] 2 2 8 3 2 3" xfId="10541"/>
    <cellStyle name="쉼표 [0] 2 2 8 3 2 3 2" xfId="23769"/>
    <cellStyle name="쉼표 [0] 2 2 8 3 2 4" xfId="19046"/>
    <cellStyle name="쉼표 [0] 2 2 8 3 3" xfId="9840"/>
    <cellStyle name="쉼표 [0] 2 2 8 3 3 2" xfId="23068"/>
    <cellStyle name="쉼표 [0] 2 2 8 3 4" xfId="11776"/>
    <cellStyle name="쉼표 [0] 2 2 8 3 4 2" xfId="25004"/>
    <cellStyle name="쉼표 [0] 2 2 8 3 5" xfId="8772"/>
    <cellStyle name="쉼표 [0] 2 2 8 3 5 2" xfId="22000"/>
    <cellStyle name="쉼표 [0] 2 2 8 3 6" xfId="18166"/>
    <cellStyle name="쉼표 [0] 2 2 8 4" xfId="5434"/>
    <cellStyle name="쉼표 [0] 2 2 8 4 2" xfId="12077"/>
    <cellStyle name="쉼표 [0] 2 2 8 4 2 2" xfId="25305"/>
    <cellStyle name="쉼표 [0] 2 2 8 4 3" xfId="10168"/>
    <cellStyle name="쉼표 [0] 2 2 8 4 3 2" xfId="23396"/>
    <cellStyle name="쉼표 [0] 2 2 8 4 4" xfId="18673"/>
    <cellStyle name="쉼표 [0] 2 2 8 5" xfId="9167"/>
    <cellStyle name="쉼표 [0] 2 2 8 5 2" xfId="22395"/>
    <cellStyle name="쉼표 [0] 2 2 8 6" xfId="11435"/>
    <cellStyle name="쉼표 [0] 2 2 8 6 2" xfId="24663"/>
    <cellStyle name="쉼표 [0] 2 2 8 7" xfId="6861"/>
    <cellStyle name="쉼표 [0] 2 2 8 7 2" xfId="20089"/>
    <cellStyle name="쉼표 [0] 2 2 8 8" xfId="14799"/>
    <cellStyle name="쉼표 [0] 2 2 9" xfId="3158"/>
    <cellStyle name="쉼표 [0] 2 2_20071105_발주의뢰서_신영_EKP발주의 건" xfId="53945"/>
    <cellStyle name="쉼표 [0] 2 20" xfId="53946"/>
    <cellStyle name="쉼표 [0] 2 21" xfId="53947"/>
    <cellStyle name="쉼표 [0] 2 22" xfId="53948"/>
    <cellStyle name="쉼표 [0] 2 23" xfId="53949"/>
    <cellStyle name="쉼표 [0] 2 24" xfId="53950"/>
    <cellStyle name="쉼표 [0] 2 25" xfId="53951"/>
    <cellStyle name="쉼표 [0] 2 3" xfId="386"/>
    <cellStyle name="쉼표 [0] 2 3 10" xfId="4900"/>
    <cellStyle name="쉼표 [0] 2 3 10 2" xfId="5808"/>
    <cellStyle name="쉼표 [0] 2 3 10 2 2" xfId="12361"/>
    <cellStyle name="쉼표 [0] 2 3 10 2 2 2" xfId="25589"/>
    <cellStyle name="쉼표 [0] 2 3 10 2 3" xfId="10542"/>
    <cellStyle name="쉼표 [0] 2 3 10 2 3 2" xfId="23770"/>
    <cellStyle name="쉼표 [0] 2 3 10 2 4" xfId="19047"/>
    <cellStyle name="쉼표 [0] 2 3 10 3" xfId="9841"/>
    <cellStyle name="쉼표 [0] 2 3 10 3 2" xfId="23069"/>
    <cellStyle name="쉼표 [0] 2 3 10 4" xfId="11777"/>
    <cellStyle name="쉼표 [0] 2 3 10 4 2" xfId="25005"/>
    <cellStyle name="쉼표 [0] 2 3 10 5" xfId="8773"/>
    <cellStyle name="쉼표 [0] 2 3 10 5 2" xfId="22001"/>
    <cellStyle name="쉼표 [0] 2 3 10 6" xfId="18167"/>
    <cellStyle name="쉼표 [0] 2 3 11" xfId="3159"/>
    <cellStyle name="쉼표 [0] 2 3 12" xfId="5435"/>
    <cellStyle name="쉼표 [0] 2 3 12 2" xfId="12078"/>
    <cellStyle name="쉼표 [0] 2 3 12 2 2" xfId="25306"/>
    <cellStyle name="쉼표 [0] 2 3 12 3" xfId="10169"/>
    <cellStyle name="쉼표 [0] 2 3 12 3 2" xfId="23397"/>
    <cellStyle name="쉼표 [0] 2 3 12 4" xfId="18674"/>
    <cellStyle name="쉼표 [0] 2 3 13" xfId="9168"/>
    <cellStyle name="쉼표 [0] 2 3 13 2" xfId="22396"/>
    <cellStyle name="쉼표 [0] 2 3 14" xfId="11436"/>
    <cellStyle name="쉼표 [0] 2 3 14 2" xfId="24664"/>
    <cellStyle name="쉼표 [0] 2 3 15" xfId="6862"/>
    <cellStyle name="쉼표 [0] 2 3 15 2" xfId="20090"/>
    <cellStyle name="쉼표 [0] 2 3 16" xfId="14800"/>
    <cellStyle name="쉼표 [0] 2 3 2" xfId="387"/>
    <cellStyle name="쉼표 [0] 2 3 2 2" xfId="571"/>
    <cellStyle name="쉼표 [0] 2 3 2 2 2" xfId="4973"/>
    <cellStyle name="쉼표 [0] 2 3 2 2 2 2" xfId="5879"/>
    <cellStyle name="쉼표 [0] 2 3 2 2 2 2 2" xfId="12432"/>
    <cellStyle name="쉼표 [0] 2 3 2 2 2 2 2 2" xfId="25660"/>
    <cellStyle name="쉼표 [0] 2 3 2 2 2 2 3" xfId="10613"/>
    <cellStyle name="쉼표 [0] 2 3 2 2 2 2 3 2" xfId="23841"/>
    <cellStyle name="쉼표 [0] 2 3 2 2 2 2 4" xfId="19118"/>
    <cellStyle name="쉼표 [0] 2 3 2 2 2 3" xfId="9912"/>
    <cellStyle name="쉼표 [0] 2 3 2 2 2 3 2" xfId="23140"/>
    <cellStyle name="쉼표 [0] 2 3 2 2 2 4" xfId="11848"/>
    <cellStyle name="쉼표 [0] 2 3 2 2 2 4 2" xfId="25076"/>
    <cellStyle name="쉼표 [0] 2 3 2 2 2 5" xfId="8845"/>
    <cellStyle name="쉼표 [0] 2 3 2 2 2 5 2" xfId="22073"/>
    <cellStyle name="쉼표 [0] 2 3 2 2 2 6" xfId="18240"/>
    <cellStyle name="쉼표 [0] 2 3 2 2 3" xfId="5579"/>
    <cellStyle name="쉼표 [0] 2 3 2 2 3 2" xfId="12222"/>
    <cellStyle name="쉼표 [0] 2 3 2 2 3 2 2" xfId="25450"/>
    <cellStyle name="쉼표 [0] 2 3 2 2 3 3" xfId="10313"/>
    <cellStyle name="쉼표 [0] 2 3 2 2 3 3 2" xfId="23541"/>
    <cellStyle name="쉼표 [0] 2 3 2 2 3 4" xfId="18818"/>
    <cellStyle name="쉼표 [0] 2 3 2 2 4" xfId="9312"/>
    <cellStyle name="쉼표 [0] 2 3 2 2 4 2" xfId="22540"/>
    <cellStyle name="쉼표 [0] 2 3 2 2 5" xfId="11580"/>
    <cellStyle name="쉼표 [0] 2 3 2 2 5 2" xfId="24808"/>
    <cellStyle name="쉼표 [0] 2 3 2 2 6" xfId="7045"/>
    <cellStyle name="쉼표 [0] 2 3 2 2 6 2" xfId="20273"/>
    <cellStyle name="쉼표 [0] 2 3 2 2 7" xfId="14985"/>
    <cellStyle name="쉼표 [0] 2 3 2 3" xfId="5130"/>
    <cellStyle name="쉼표 [0] 2 3 2 3 2" xfId="6031"/>
    <cellStyle name="쉼표 [0] 2 3 2 3 2 2" xfId="12584"/>
    <cellStyle name="쉼표 [0] 2 3 2 3 2 2 2" xfId="25812"/>
    <cellStyle name="쉼표 [0] 2 3 2 3 2 3" xfId="10765"/>
    <cellStyle name="쉼표 [0] 2 3 2 3 2 3 2" xfId="23993"/>
    <cellStyle name="쉼표 [0] 2 3 2 3 2 4" xfId="19270"/>
    <cellStyle name="쉼표 [0] 2 3 2 3 3" xfId="10066"/>
    <cellStyle name="쉼표 [0] 2 3 2 3 3 2" xfId="23294"/>
    <cellStyle name="쉼표 [0] 2 3 2 3 4" xfId="12000"/>
    <cellStyle name="쉼표 [0] 2 3 2 3 4 2" xfId="25228"/>
    <cellStyle name="쉼표 [0] 2 3 2 3 5" xfId="8999"/>
    <cellStyle name="쉼표 [0] 2 3 2 3 5 2" xfId="22227"/>
    <cellStyle name="쉼표 [0] 2 3 2 3 6" xfId="18396"/>
    <cellStyle name="쉼표 [0] 2 3 2 4" xfId="5436"/>
    <cellStyle name="쉼표 [0] 2 3 2 4 2" xfId="12079"/>
    <cellStyle name="쉼표 [0] 2 3 2 4 2 2" xfId="25307"/>
    <cellStyle name="쉼표 [0] 2 3 2 4 3" xfId="10170"/>
    <cellStyle name="쉼표 [0] 2 3 2 4 3 2" xfId="23398"/>
    <cellStyle name="쉼표 [0] 2 3 2 4 4" xfId="18675"/>
    <cellStyle name="쉼표 [0] 2 3 2 5" xfId="9169"/>
    <cellStyle name="쉼표 [0] 2 3 2 5 2" xfId="22397"/>
    <cellStyle name="쉼표 [0] 2 3 2 6" xfId="11437"/>
    <cellStyle name="쉼표 [0] 2 3 2 6 2" xfId="24665"/>
    <cellStyle name="쉼표 [0] 2 3 2 7" xfId="6863"/>
    <cellStyle name="쉼표 [0] 2 3 2 7 2" xfId="20091"/>
    <cellStyle name="쉼표 [0] 2 3 2 8" xfId="14801"/>
    <cellStyle name="쉼표 [0] 2 3 3" xfId="388"/>
    <cellStyle name="쉼표 [0] 2 3 3 2" xfId="572"/>
    <cellStyle name="쉼표 [0] 2 3 3 2 2" xfId="4974"/>
    <cellStyle name="쉼표 [0] 2 3 3 2 2 2" xfId="5880"/>
    <cellStyle name="쉼표 [0] 2 3 3 2 2 2 2" xfId="12433"/>
    <cellStyle name="쉼표 [0] 2 3 3 2 2 2 2 2" xfId="25661"/>
    <cellStyle name="쉼표 [0] 2 3 3 2 2 2 3" xfId="10614"/>
    <cellStyle name="쉼표 [0] 2 3 3 2 2 2 3 2" xfId="23842"/>
    <cellStyle name="쉼표 [0] 2 3 3 2 2 2 4" xfId="19119"/>
    <cellStyle name="쉼표 [0] 2 3 3 2 2 3" xfId="9913"/>
    <cellStyle name="쉼표 [0] 2 3 3 2 2 3 2" xfId="23141"/>
    <cellStyle name="쉼표 [0] 2 3 3 2 2 4" xfId="11849"/>
    <cellStyle name="쉼표 [0] 2 3 3 2 2 4 2" xfId="25077"/>
    <cellStyle name="쉼표 [0] 2 3 3 2 2 5" xfId="8846"/>
    <cellStyle name="쉼표 [0] 2 3 3 2 2 5 2" xfId="22074"/>
    <cellStyle name="쉼표 [0] 2 3 3 2 2 6" xfId="18241"/>
    <cellStyle name="쉼표 [0] 2 3 3 2 3" xfId="5580"/>
    <cellStyle name="쉼표 [0] 2 3 3 2 3 2" xfId="12223"/>
    <cellStyle name="쉼표 [0] 2 3 3 2 3 2 2" xfId="25451"/>
    <cellStyle name="쉼표 [0] 2 3 3 2 3 3" xfId="10314"/>
    <cellStyle name="쉼표 [0] 2 3 3 2 3 3 2" xfId="23542"/>
    <cellStyle name="쉼표 [0] 2 3 3 2 3 4" xfId="18819"/>
    <cellStyle name="쉼표 [0] 2 3 3 2 4" xfId="9313"/>
    <cellStyle name="쉼표 [0] 2 3 3 2 4 2" xfId="22541"/>
    <cellStyle name="쉼표 [0] 2 3 3 2 5" xfId="11581"/>
    <cellStyle name="쉼표 [0] 2 3 3 2 5 2" xfId="24809"/>
    <cellStyle name="쉼표 [0] 2 3 3 2 6" xfId="7046"/>
    <cellStyle name="쉼표 [0] 2 3 3 2 6 2" xfId="20274"/>
    <cellStyle name="쉼표 [0] 2 3 3 2 7" xfId="14986"/>
    <cellStyle name="쉼표 [0] 2 3 3 3" xfId="4901"/>
    <cellStyle name="쉼표 [0] 2 3 3 3 2" xfId="5809"/>
    <cellStyle name="쉼표 [0] 2 3 3 3 2 2" xfId="12362"/>
    <cellStyle name="쉼표 [0] 2 3 3 3 2 2 2" xfId="25590"/>
    <cellStyle name="쉼표 [0] 2 3 3 3 2 3" xfId="10543"/>
    <cellStyle name="쉼표 [0] 2 3 3 3 2 3 2" xfId="23771"/>
    <cellStyle name="쉼표 [0] 2 3 3 3 2 4" xfId="19048"/>
    <cellStyle name="쉼표 [0] 2 3 3 3 3" xfId="9842"/>
    <cellStyle name="쉼표 [0] 2 3 3 3 3 2" xfId="23070"/>
    <cellStyle name="쉼표 [0] 2 3 3 3 4" xfId="11778"/>
    <cellStyle name="쉼표 [0] 2 3 3 3 4 2" xfId="25006"/>
    <cellStyle name="쉼표 [0] 2 3 3 3 5" xfId="8774"/>
    <cellStyle name="쉼표 [0] 2 3 3 3 5 2" xfId="22002"/>
    <cellStyle name="쉼표 [0] 2 3 3 3 6" xfId="18168"/>
    <cellStyle name="쉼표 [0] 2 3 3 4" xfId="5437"/>
    <cellStyle name="쉼표 [0] 2 3 3 4 2" xfId="12080"/>
    <cellStyle name="쉼표 [0] 2 3 3 4 2 2" xfId="25308"/>
    <cellStyle name="쉼표 [0] 2 3 3 4 3" xfId="10171"/>
    <cellStyle name="쉼표 [0] 2 3 3 4 3 2" xfId="23399"/>
    <cellStyle name="쉼표 [0] 2 3 3 4 4" xfId="18676"/>
    <cellStyle name="쉼표 [0] 2 3 3 5" xfId="9170"/>
    <cellStyle name="쉼표 [0] 2 3 3 5 2" xfId="22398"/>
    <cellStyle name="쉼표 [0] 2 3 3 6" xfId="11438"/>
    <cellStyle name="쉼표 [0] 2 3 3 6 2" xfId="24666"/>
    <cellStyle name="쉼표 [0] 2 3 3 7" xfId="6864"/>
    <cellStyle name="쉼표 [0] 2 3 3 7 2" xfId="20092"/>
    <cellStyle name="쉼표 [0] 2 3 3 8" xfId="14802"/>
    <cellStyle name="쉼표 [0] 2 3 4" xfId="389"/>
    <cellStyle name="쉼표 [0] 2 3 4 2" xfId="573"/>
    <cellStyle name="쉼표 [0] 2 3 4 2 2" xfId="5138"/>
    <cellStyle name="쉼표 [0] 2 3 4 2 2 2" xfId="6038"/>
    <cellStyle name="쉼표 [0] 2 3 4 2 2 2 2" xfId="12591"/>
    <cellStyle name="쉼표 [0] 2 3 4 2 2 2 2 2" xfId="25819"/>
    <cellStyle name="쉼표 [0] 2 3 4 2 2 2 3" xfId="10772"/>
    <cellStyle name="쉼표 [0] 2 3 4 2 2 2 3 2" xfId="24000"/>
    <cellStyle name="쉼표 [0] 2 3 4 2 2 2 4" xfId="19277"/>
    <cellStyle name="쉼표 [0] 2 3 4 2 2 3" xfId="10073"/>
    <cellStyle name="쉼표 [0] 2 3 4 2 2 3 2" xfId="23301"/>
    <cellStyle name="쉼표 [0] 2 3 4 2 2 4" xfId="12007"/>
    <cellStyle name="쉼표 [0] 2 3 4 2 2 4 2" xfId="25235"/>
    <cellStyle name="쉼표 [0] 2 3 4 2 2 5" xfId="9006"/>
    <cellStyle name="쉼표 [0] 2 3 4 2 2 5 2" xfId="22234"/>
    <cellStyle name="쉼표 [0] 2 3 4 2 2 6" xfId="18404"/>
    <cellStyle name="쉼표 [0] 2 3 4 2 3" xfId="5581"/>
    <cellStyle name="쉼표 [0] 2 3 4 2 3 2" xfId="12224"/>
    <cellStyle name="쉼표 [0] 2 3 4 2 3 2 2" xfId="25452"/>
    <cellStyle name="쉼표 [0] 2 3 4 2 3 3" xfId="10315"/>
    <cellStyle name="쉼표 [0] 2 3 4 2 3 3 2" xfId="23543"/>
    <cellStyle name="쉼표 [0] 2 3 4 2 3 4" xfId="18820"/>
    <cellStyle name="쉼표 [0] 2 3 4 2 4" xfId="9314"/>
    <cellStyle name="쉼표 [0] 2 3 4 2 4 2" xfId="22542"/>
    <cellStyle name="쉼표 [0] 2 3 4 2 5" xfId="11582"/>
    <cellStyle name="쉼표 [0] 2 3 4 2 5 2" xfId="24810"/>
    <cellStyle name="쉼표 [0] 2 3 4 2 6" xfId="7047"/>
    <cellStyle name="쉼표 [0] 2 3 4 2 6 2" xfId="20275"/>
    <cellStyle name="쉼표 [0] 2 3 4 2 7" xfId="14987"/>
    <cellStyle name="쉼표 [0] 2 3 4 3" xfId="4902"/>
    <cellStyle name="쉼표 [0] 2 3 4 3 2" xfId="5810"/>
    <cellStyle name="쉼표 [0] 2 3 4 3 2 2" xfId="12363"/>
    <cellStyle name="쉼표 [0] 2 3 4 3 2 2 2" xfId="25591"/>
    <cellStyle name="쉼표 [0] 2 3 4 3 2 3" xfId="10544"/>
    <cellStyle name="쉼표 [0] 2 3 4 3 2 3 2" xfId="23772"/>
    <cellStyle name="쉼표 [0] 2 3 4 3 2 4" xfId="19049"/>
    <cellStyle name="쉼표 [0] 2 3 4 3 3" xfId="9843"/>
    <cellStyle name="쉼표 [0] 2 3 4 3 3 2" xfId="23071"/>
    <cellStyle name="쉼표 [0] 2 3 4 3 4" xfId="11779"/>
    <cellStyle name="쉼표 [0] 2 3 4 3 4 2" xfId="25007"/>
    <cellStyle name="쉼표 [0] 2 3 4 3 5" xfId="8775"/>
    <cellStyle name="쉼표 [0] 2 3 4 3 5 2" xfId="22003"/>
    <cellStyle name="쉼표 [0] 2 3 4 3 6" xfId="18169"/>
    <cellStyle name="쉼표 [0] 2 3 4 4" xfId="5438"/>
    <cellStyle name="쉼표 [0] 2 3 4 4 2" xfId="12081"/>
    <cellStyle name="쉼표 [0] 2 3 4 4 2 2" xfId="25309"/>
    <cellStyle name="쉼표 [0] 2 3 4 4 3" xfId="10172"/>
    <cellStyle name="쉼표 [0] 2 3 4 4 3 2" xfId="23400"/>
    <cellStyle name="쉼표 [0] 2 3 4 4 4" xfId="18677"/>
    <cellStyle name="쉼표 [0] 2 3 4 5" xfId="9171"/>
    <cellStyle name="쉼표 [0] 2 3 4 5 2" xfId="22399"/>
    <cellStyle name="쉼표 [0] 2 3 4 6" xfId="11439"/>
    <cellStyle name="쉼표 [0] 2 3 4 6 2" xfId="24667"/>
    <cellStyle name="쉼표 [0] 2 3 4 7" xfId="6865"/>
    <cellStyle name="쉼표 [0] 2 3 4 7 2" xfId="20093"/>
    <cellStyle name="쉼표 [0] 2 3 4 8" xfId="14803"/>
    <cellStyle name="쉼표 [0] 2 3 5" xfId="390"/>
    <cellStyle name="쉼표 [0] 2 3 5 2" xfId="574"/>
    <cellStyle name="쉼표 [0] 2 3 5 2 2" xfId="4975"/>
    <cellStyle name="쉼표 [0] 2 3 5 2 2 2" xfId="5881"/>
    <cellStyle name="쉼표 [0] 2 3 5 2 2 2 2" xfId="12434"/>
    <cellStyle name="쉼표 [0] 2 3 5 2 2 2 2 2" xfId="25662"/>
    <cellStyle name="쉼표 [0] 2 3 5 2 2 2 3" xfId="10615"/>
    <cellStyle name="쉼표 [0] 2 3 5 2 2 2 3 2" xfId="23843"/>
    <cellStyle name="쉼표 [0] 2 3 5 2 2 2 4" xfId="19120"/>
    <cellStyle name="쉼표 [0] 2 3 5 2 2 3" xfId="9914"/>
    <cellStyle name="쉼표 [0] 2 3 5 2 2 3 2" xfId="23142"/>
    <cellStyle name="쉼표 [0] 2 3 5 2 2 4" xfId="11850"/>
    <cellStyle name="쉼표 [0] 2 3 5 2 2 4 2" xfId="25078"/>
    <cellStyle name="쉼표 [0] 2 3 5 2 2 5" xfId="8847"/>
    <cellStyle name="쉼표 [0] 2 3 5 2 2 5 2" xfId="22075"/>
    <cellStyle name="쉼표 [0] 2 3 5 2 2 6" xfId="18242"/>
    <cellStyle name="쉼표 [0] 2 3 5 2 3" xfId="5582"/>
    <cellStyle name="쉼표 [0] 2 3 5 2 3 2" xfId="12225"/>
    <cellStyle name="쉼표 [0] 2 3 5 2 3 2 2" xfId="25453"/>
    <cellStyle name="쉼표 [0] 2 3 5 2 3 3" xfId="10316"/>
    <cellStyle name="쉼표 [0] 2 3 5 2 3 3 2" xfId="23544"/>
    <cellStyle name="쉼표 [0] 2 3 5 2 3 4" xfId="18821"/>
    <cellStyle name="쉼표 [0] 2 3 5 2 4" xfId="9315"/>
    <cellStyle name="쉼표 [0] 2 3 5 2 4 2" xfId="22543"/>
    <cellStyle name="쉼표 [0] 2 3 5 2 5" xfId="11583"/>
    <cellStyle name="쉼표 [0] 2 3 5 2 5 2" xfId="24811"/>
    <cellStyle name="쉼표 [0] 2 3 5 2 6" xfId="7048"/>
    <cellStyle name="쉼표 [0] 2 3 5 2 6 2" xfId="20276"/>
    <cellStyle name="쉼표 [0] 2 3 5 2 7" xfId="14988"/>
    <cellStyle name="쉼표 [0] 2 3 5 3" xfId="5064"/>
    <cellStyle name="쉼표 [0] 2 3 5 3 2" xfId="5966"/>
    <cellStyle name="쉼표 [0] 2 3 5 3 2 2" xfId="12519"/>
    <cellStyle name="쉼표 [0] 2 3 5 3 2 2 2" xfId="25747"/>
    <cellStyle name="쉼표 [0] 2 3 5 3 2 3" xfId="10700"/>
    <cellStyle name="쉼표 [0] 2 3 5 3 2 3 2" xfId="23928"/>
    <cellStyle name="쉼표 [0] 2 3 5 3 2 4" xfId="19205"/>
    <cellStyle name="쉼표 [0] 2 3 5 3 3" xfId="10001"/>
    <cellStyle name="쉼표 [0] 2 3 5 3 3 2" xfId="23229"/>
    <cellStyle name="쉼표 [0] 2 3 5 3 4" xfId="11935"/>
    <cellStyle name="쉼표 [0] 2 3 5 3 4 2" xfId="25163"/>
    <cellStyle name="쉼표 [0] 2 3 5 3 5" xfId="8934"/>
    <cellStyle name="쉼표 [0] 2 3 5 3 5 2" xfId="22162"/>
    <cellStyle name="쉼표 [0] 2 3 5 3 6" xfId="18331"/>
    <cellStyle name="쉼표 [0] 2 3 5 4" xfId="5439"/>
    <cellStyle name="쉼표 [0] 2 3 5 4 2" xfId="12082"/>
    <cellStyle name="쉼표 [0] 2 3 5 4 2 2" xfId="25310"/>
    <cellStyle name="쉼표 [0] 2 3 5 4 3" xfId="10173"/>
    <cellStyle name="쉼표 [0] 2 3 5 4 3 2" xfId="23401"/>
    <cellStyle name="쉼표 [0] 2 3 5 4 4" xfId="18678"/>
    <cellStyle name="쉼표 [0] 2 3 5 5" xfId="9172"/>
    <cellStyle name="쉼표 [0] 2 3 5 5 2" xfId="22400"/>
    <cellStyle name="쉼표 [0] 2 3 5 6" xfId="11440"/>
    <cellStyle name="쉼표 [0] 2 3 5 6 2" xfId="24668"/>
    <cellStyle name="쉼표 [0] 2 3 5 7" xfId="6866"/>
    <cellStyle name="쉼표 [0] 2 3 5 7 2" xfId="20094"/>
    <cellStyle name="쉼표 [0] 2 3 5 8" xfId="14804"/>
    <cellStyle name="쉼표 [0] 2 3 6" xfId="391"/>
    <cellStyle name="쉼표 [0] 2 3 6 2" xfId="575"/>
    <cellStyle name="쉼표 [0] 2 3 6 2 2" xfId="4976"/>
    <cellStyle name="쉼표 [0] 2 3 6 2 2 2" xfId="5882"/>
    <cellStyle name="쉼표 [0] 2 3 6 2 2 2 2" xfId="12435"/>
    <cellStyle name="쉼표 [0] 2 3 6 2 2 2 2 2" xfId="25663"/>
    <cellStyle name="쉼표 [0] 2 3 6 2 2 2 3" xfId="10616"/>
    <cellStyle name="쉼표 [0] 2 3 6 2 2 2 3 2" xfId="23844"/>
    <cellStyle name="쉼표 [0] 2 3 6 2 2 2 4" xfId="19121"/>
    <cellStyle name="쉼표 [0] 2 3 6 2 2 3" xfId="9915"/>
    <cellStyle name="쉼표 [0] 2 3 6 2 2 3 2" xfId="23143"/>
    <cellStyle name="쉼표 [0] 2 3 6 2 2 4" xfId="11851"/>
    <cellStyle name="쉼표 [0] 2 3 6 2 2 4 2" xfId="25079"/>
    <cellStyle name="쉼표 [0] 2 3 6 2 2 5" xfId="8848"/>
    <cellStyle name="쉼표 [0] 2 3 6 2 2 5 2" xfId="22076"/>
    <cellStyle name="쉼표 [0] 2 3 6 2 2 6" xfId="18243"/>
    <cellStyle name="쉼표 [0] 2 3 6 2 3" xfId="5583"/>
    <cellStyle name="쉼표 [0] 2 3 6 2 3 2" xfId="12226"/>
    <cellStyle name="쉼표 [0] 2 3 6 2 3 2 2" xfId="25454"/>
    <cellStyle name="쉼표 [0] 2 3 6 2 3 3" xfId="10317"/>
    <cellStyle name="쉼표 [0] 2 3 6 2 3 3 2" xfId="23545"/>
    <cellStyle name="쉼표 [0] 2 3 6 2 3 4" xfId="18822"/>
    <cellStyle name="쉼표 [0] 2 3 6 2 4" xfId="9316"/>
    <cellStyle name="쉼표 [0] 2 3 6 2 4 2" xfId="22544"/>
    <cellStyle name="쉼표 [0] 2 3 6 2 5" xfId="11584"/>
    <cellStyle name="쉼표 [0] 2 3 6 2 5 2" xfId="24812"/>
    <cellStyle name="쉼표 [0] 2 3 6 2 6" xfId="7049"/>
    <cellStyle name="쉼표 [0] 2 3 6 2 6 2" xfId="20277"/>
    <cellStyle name="쉼표 [0] 2 3 6 2 7" xfId="14989"/>
    <cellStyle name="쉼표 [0] 2 3 6 3" xfId="5148"/>
    <cellStyle name="쉼표 [0] 2 3 6 3 2" xfId="6048"/>
    <cellStyle name="쉼표 [0] 2 3 6 3 2 2" xfId="12601"/>
    <cellStyle name="쉼표 [0] 2 3 6 3 2 2 2" xfId="25829"/>
    <cellStyle name="쉼표 [0] 2 3 6 3 2 3" xfId="10782"/>
    <cellStyle name="쉼표 [0] 2 3 6 3 2 3 2" xfId="24010"/>
    <cellStyle name="쉼표 [0] 2 3 6 3 2 4" xfId="19287"/>
    <cellStyle name="쉼표 [0] 2 3 6 3 3" xfId="10083"/>
    <cellStyle name="쉼표 [0] 2 3 6 3 3 2" xfId="23311"/>
    <cellStyle name="쉼표 [0] 2 3 6 3 4" xfId="12017"/>
    <cellStyle name="쉼표 [0] 2 3 6 3 4 2" xfId="25245"/>
    <cellStyle name="쉼표 [0] 2 3 6 3 5" xfId="9016"/>
    <cellStyle name="쉼표 [0] 2 3 6 3 5 2" xfId="22244"/>
    <cellStyle name="쉼표 [0] 2 3 6 3 6" xfId="18414"/>
    <cellStyle name="쉼표 [0] 2 3 6 4" xfId="5440"/>
    <cellStyle name="쉼표 [0] 2 3 6 4 2" xfId="12083"/>
    <cellStyle name="쉼표 [0] 2 3 6 4 2 2" xfId="25311"/>
    <cellStyle name="쉼표 [0] 2 3 6 4 3" xfId="10174"/>
    <cellStyle name="쉼표 [0] 2 3 6 4 3 2" xfId="23402"/>
    <cellStyle name="쉼표 [0] 2 3 6 4 4" xfId="18679"/>
    <cellStyle name="쉼표 [0] 2 3 6 5" xfId="9173"/>
    <cellStyle name="쉼표 [0] 2 3 6 5 2" xfId="22401"/>
    <cellStyle name="쉼표 [0] 2 3 6 6" xfId="11441"/>
    <cellStyle name="쉼표 [0] 2 3 6 6 2" xfId="24669"/>
    <cellStyle name="쉼표 [0] 2 3 6 7" xfId="6867"/>
    <cellStyle name="쉼표 [0] 2 3 6 7 2" xfId="20095"/>
    <cellStyle name="쉼표 [0] 2 3 6 8" xfId="14805"/>
    <cellStyle name="쉼표 [0] 2 3 7" xfId="392"/>
    <cellStyle name="쉼표 [0] 2 3 7 2" xfId="576"/>
    <cellStyle name="쉼표 [0] 2 3 7 2 2" xfId="4977"/>
    <cellStyle name="쉼표 [0] 2 3 7 2 2 2" xfId="5883"/>
    <cellStyle name="쉼표 [0] 2 3 7 2 2 2 2" xfId="12436"/>
    <cellStyle name="쉼표 [0] 2 3 7 2 2 2 2 2" xfId="25664"/>
    <cellStyle name="쉼표 [0] 2 3 7 2 2 2 3" xfId="10617"/>
    <cellStyle name="쉼표 [0] 2 3 7 2 2 2 3 2" xfId="23845"/>
    <cellStyle name="쉼표 [0] 2 3 7 2 2 2 4" xfId="19122"/>
    <cellStyle name="쉼표 [0] 2 3 7 2 2 3" xfId="9916"/>
    <cellStyle name="쉼표 [0] 2 3 7 2 2 3 2" xfId="23144"/>
    <cellStyle name="쉼표 [0] 2 3 7 2 2 4" xfId="11852"/>
    <cellStyle name="쉼표 [0] 2 3 7 2 2 4 2" xfId="25080"/>
    <cellStyle name="쉼표 [0] 2 3 7 2 2 5" xfId="8849"/>
    <cellStyle name="쉼표 [0] 2 3 7 2 2 5 2" xfId="22077"/>
    <cellStyle name="쉼표 [0] 2 3 7 2 2 6" xfId="18244"/>
    <cellStyle name="쉼표 [0] 2 3 7 2 3" xfId="5584"/>
    <cellStyle name="쉼표 [0] 2 3 7 2 3 2" xfId="12227"/>
    <cellStyle name="쉼표 [0] 2 3 7 2 3 2 2" xfId="25455"/>
    <cellStyle name="쉼표 [0] 2 3 7 2 3 3" xfId="10318"/>
    <cellStyle name="쉼표 [0] 2 3 7 2 3 3 2" xfId="23546"/>
    <cellStyle name="쉼표 [0] 2 3 7 2 3 4" xfId="18823"/>
    <cellStyle name="쉼표 [0] 2 3 7 2 4" xfId="9317"/>
    <cellStyle name="쉼표 [0] 2 3 7 2 4 2" xfId="22545"/>
    <cellStyle name="쉼표 [0] 2 3 7 2 5" xfId="11585"/>
    <cellStyle name="쉼표 [0] 2 3 7 2 5 2" xfId="24813"/>
    <cellStyle name="쉼표 [0] 2 3 7 2 6" xfId="7050"/>
    <cellStyle name="쉼표 [0] 2 3 7 2 6 2" xfId="20278"/>
    <cellStyle name="쉼표 [0] 2 3 7 2 7" xfId="14990"/>
    <cellStyle name="쉼표 [0] 2 3 7 3" xfId="5063"/>
    <cellStyle name="쉼표 [0] 2 3 7 3 2" xfId="5965"/>
    <cellStyle name="쉼표 [0] 2 3 7 3 2 2" xfId="12518"/>
    <cellStyle name="쉼표 [0] 2 3 7 3 2 2 2" xfId="25746"/>
    <cellStyle name="쉼표 [0] 2 3 7 3 2 3" xfId="10699"/>
    <cellStyle name="쉼표 [0] 2 3 7 3 2 3 2" xfId="23927"/>
    <cellStyle name="쉼표 [0] 2 3 7 3 2 4" xfId="19204"/>
    <cellStyle name="쉼표 [0] 2 3 7 3 3" xfId="10000"/>
    <cellStyle name="쉼표 [0] 2 3 7 3 3 2" xfId="23228"/>
    <cellStyle name="쉼표 [0] 2 3 7 3 4" xfId="11934"/>
    <cellStyle name="쉼표 [0] 2 3 7 3 4 2" xfId="25162"/>
    <cellStyle name="쉼표 [0] 2 3 7 3 5" xfId="8933"/>
    <cellStyle name="쉼표 [0] 2 3 7 3 5 2" xfId="22161"/>
    <cellStyle name="쉼표 [0] 2 3 7 3 6" xfId="18330"/>
    <cellStyle name="쉼표 [0] 2 3 7 4" xfId="5441"/>
    <cellStyle name="쉼표 [0] 2 3 7 4 2" xfId="12084"/>
    <cellStyle name="쉼표 [0] 2 3 7 4 2 2" xfId="25312"/>
    <cellStyle name="쉼표 [0] 2 3 7 4 3" xfId="10175"/>
    <cellStyle name="쉼표 [0] 2 3 7 4 3 2" xfId="23403"/>
    <cellStyle name="쉼표 [0] 2 3 7 4 4" xfId="18680"/>
    <cellStyle name="쉼표 [0] 2 3 7 5" xfId="9174"/>
    <cellStyle name="쉼표 [0] 2 3 7 5 2" xfId="22402"/>
    <cellStyle name="쉼표 [0] 2 3 7 6" xfId="11442"/>
    <cellStyle name="쉼표 [0] 2 3 7 6 2" xfId="24670"/>
    <cellStyle name="쉼표 [0] 2 3 7 7" xfId="6868"/>
    <cellStyle name="쉼표 [0] 2 3 7 7 2" xfId="20096"/>
    <cellStyle name="쉼표 [0] 2 3 7 8" xfId="14806"/>
    <cellStyle name="쉼표 [0] 2 3 8" xfId="393"/>
    <cellStyle name="쉼표 [0] 2 3 8 2" xfId="577"/>
    <cellStyle name="쉼표 [0] 2 3 8 2 2" xfId="5053"/>
    <cellStyle name="쉼표 [0] 2 3 8 2 2 2" xfId="5955"/>
    <cellStyle name="쉼표 [0] 2 3 8 2 2 2 2" xfId="12508"/>
    <cellStyle name="쉼표 [0] 2 3 8 2 2 2 2 2" xfId="25736"/>
    <cellStyle name="쉼표 [0] 2 3 8 2 2 2 3" xfId="10689"/>
    <cellStyle name="쉼표 [0] 2 3 8 2 2 2 3 2" xfId="23917"/>
    <cellStyle name="쉼표 [0] 2 3 8 2 2 2 4" xfId="19194"/>
    <cellStyle name="쉼표 [0] 2 3 8 2 2 3" xfId="9990"/>
    <cellStyle name="쉼표 [0] 2 3 8 2 2 3 2" xfId="23218"/>
    <cellStyle name="쉼표 [0] 2 3 8 2 2 4" xfId="11924"/>
    <cellStyle name="쉼표 [0] 2 3 8 2 2 4 2" xfId="25152"/>
    <cellStyle name="쉼표 [0] 2 3 8 2 2 5" xfId="8923"/>
    <cellStyle name="쉼표 [0] 2 3 8 2 2 5 2" xfId="22151"/>
    <cellStyle name="쉼표 [0] 2 3 8 2 2 6" xfId="18320"/>
    <cellStyle name="쉼표 [0] 2 3 8 2 3" xfId="5585"/>
    <cellStyle name="쉼표 [0] 2 3 8 2 3 2" xfId="12228"/>
    <cellStyle name="쉼표 [0] 2 3 8 2 3 2 2" xfId="25456"/>
    <cellStyle name="쉼표 [0] 2 3 8 2 3 3" xfId="10319"/>
    <cellStyle name="쉼표 [0] 2 3 8 2 3 3 2" xfId="23547"/>
    <cellStyle name="쉼표 [0] 2 3 8 2 3 4" xfId="18824"/>
    <cellStyle name="쉼표 [0] 2 3 8 2 4" xfId="9318"/>
    <cellStyle name="쉼표 [0] 2 3 8 2 4 2" xfId="22546"/>
    <cellStyle name="쉼표 [0] 2 3 8 2 5" xfId="11586"/>
    <cellStyle name="쉼표 [0] 2 3 8 2 5 2" xfId="24814"/>
    <cellStyle name="쉼표 [0] 2 3 8 2 6" xfId="7051"/>
    <cellStyle name="쉼표 [0] 2 3 8 2 6 2" xfId="20279"/>
    <cellStyle name="쉼표 [0] 2 3 8 2 7" xfId="14991"/>
    <cellStyle name="쉼표 [0] 2 3 8 3" xfId="4903"/>
    <cellStyle name="쉼표 [0] 2 3 8 3 2" xfId="5811"/>
    <cellStyle name="쉼표 [0] 2 3 8 3 2 2" xfId="12364"/>
    <cellStyle name="쉼표 [0] 2 3 8 3 2 2 2" xfId="25592"/>
    <cellStyle name="쉼표 [0] 2 3 8 3 2 3" xfId="10545"/>
    <cellStyle name="쉼표 [0] 2 3 8 3 2 3 2" xfId="23773"/>
    <cellStyle name="쉼표 [0] 2 3 8 3 2 4" xfId="19050"/>
    <cellStyle name="쉼표 [0] 2 3 8 3 3" xfId="9844"/>
    <cellStyle name="쉼표 [0] 2 3 8 3 3 2" xfId="23072"/>
    <cellStyle name="쉼표 [0] 2 3 8 3 4" xfId="11780"/>
    <cellStyle name="쉼표 [0] 2 3 8 3 4 2" xfId="25008"/>
    <cellStyle name="쉼표 [0] 2 3 8 3 5" xfId="8776"/>
    <cellStyle name="쉼표 [0] 2 3 8 3 5 2" xfId="22004"/>
    <cellStyle name="쉼표 [0] 2 3 8 3 6" xfId="18170"/>
    <cellStyle name="쉼표 [0] 2 3 8 4" xfId="5442"/>
    <cellStyle name="쉼표 [0] 2 3 8 4 2" xfId="12085"/>
    <cellStyle name="쉼표 [0] 2 3 8 4 2 2" xfId="25313"/>
    <cellStyle name="쉼표 [0] 2 3 8 4 3" xfId="10176"/>
    <cellStyle name="쉼표 [0] 2 3 8 4 3 2" xfId="23404"/>
    <cellStyle name="쉼표 [0] 2 3 8 4 4" xfId="18681"/>
    <cellStyle name="쉼표 [0] 2 3 8 5" xfId="9175"/>
    <cellStyle name="쉼표 [0] 2 3 8 5 2" xfId="22403"/>
    <cellStyle name="쉼표 [0] 2 3 8 6" xfId="11443"/>
    <cellStyle name="쉼표 [0] 2 3 8 6 2" xfId="24671"/>
    <cellStyle name="쉼표 [0] 2 3 8 7" xfId="6869"/>
    <cellStyle name="쉼표 [0] 2 3 8 7 2" xfId="20097"/>
    <cellStyle name="쉼표 [0] 2 3 8 8" xfId="14807"/>
    <cellStyle name="쉼표 [0] 2 3 9" xfId="570"/>
    <cellStyle name="쉼표 [0] 2 3 9 2" xfId="5096"/>
    <cellStyle name="쉼표 [0] 2 3 9 2 2" xfId="5998"/>
    <cellStyle name="쉼표 [0] 2 3 9 2 2 2" xfId="12551"/>
    <cellStyle name="쉼표 [0] 2 3 9 2 2 2 2" xfId="25779"/>
    <cellStyle name="쉼표 [0] 2 3 9 2 2 3" xfId="10732"/>
    <cellStyle name="쉼표 [0] 2 3 9 2 2 3 2" xfId="23960"/>
    <cellStyle name="쉼표 [0] 2 3 9 2 2 4" xfId="19237"/>
    <cellStyle name="쉼표 [0] 2 3 9 2 3" xfId="10033"/>
    <cellStyle name="쉼표 [0] 2 3 9 2 3 2" xfId="23261"/>
    <cellStyle name="쉼표 [0] 2 3 9 2 4" xfId="11967"/>
    <cellStyle name="쉼표 [0] 2 3 9 2 4 2" xfId="25195"/>
    <cellStyle name="쉼표 [0] 2 3 9 2 5" xfId="8966"/>
    <cellStyle name="쉼표 [0] 2 3 9 2 5 2" xfId="22194"/>
    <cellStyle name="쉼표 [0] 2 3 9 2 6" xfId="18363"/>
    <cellStyle name="쉼표 [0] 2 3 9 3" xfId="5578"/>
    <cellStyle name="쉼표 [0] 2 3 9 3 2" xfId="12221"/>
    <cellStyle name="쉼표 [0] 2 3 9 3 2 2" xfId="25449"/>
    <cellStyle name="쉼표 [0] 2 3 9 3 3" xfId="10312"/>
    <cellStyle name="쉼표 [0] 2 3 9 3 3 2" xfId="23540"/>
    <cellStyle name="쉼표 [0] 2 3 9 3 4" xfId="18817"/>
    <cellStyle name="쉼표 [0] 2 3 9 4" xfId="9311"/>
    <cellStyle name="쉼표 [0] 2 3 9 4 2" xfId="22539"/>
    <cellStyle name="쉼표 [0] 2 3 9 5" xfId="11579"/>
    <cellStyle name="쉼표 [0] 2 3 9 5 2" xfId="24807"/>
    <cellStyle name="쉼표 [0] 2 3 9 6" xfId="7044"/>
    <cellStyle name="쉼표 [0] 2 3 9 6 2" xfId="20272"/>
    <cellStyle name="쉼표 [0] 2 3 9 7" xfId="14984"/>
    <cellStyle name="쉼표 [0] 2 4" xfId="394"/>
    <cellStyle name="쉼표 [0] 2 4 10" xfId="4904"/>
    <cellStyle name="쉼표 [0] 2 4 10 2" xfId="5812"/>
    <cellStyle name="쉼표 [0] 2 4 10 2 2" xfId="12365"/>
    <cellStyle name="쉼표 [0] 2 4 10 2 2 2" xfId="25593"/>
    <cellStyle name="쉼표 [0] 2 4 10 2 3" xfId="10546"/>
    <cellStyle name="쉼표 [0] 2 4 10 2 3 2" xfId="23774"/>
    <cellStyle name="쉼표 [0] 2 4 10 2 4" xfId="19051"/>
    <cellStyle name="쉼표 [0] 2 4 10 3" xfId="9845"/>
    <cellStyle name="쉼표 [0] 2 4 10 3 2" xfId="23073"/>
    <cellStyle name="쉼표 [0] 2 4 10 4" xfId="11781"/>
    <cellStyle name="쉼표 [0] 2 4 10 4 2" xfId="25009"/>
    <cellStyle name="쉼표 [0] 2 4 10 5" xfId="8777"/>
    <cellStyle name="쉼표 [0] 2 4 10 5 2" xfId="22005"/>
    <cellStyle name="쉼표 [0] 2 4 10 6" xfId="18171"/>
    <cellStyle name="쉼표 [0] 2 4 11" xfId="3160"/>
    <cellStyle name="쉼표 [0] 2 4 12" xfId="5443"/>
    <cellStyle name="쉼표 [0] 2 4 12 2" xfId="12086"/>
    <cellStyle name="쉼표 [0] 2 4 12 2 2" xfId="25314"/>
    <cellStyle name="쉼표 [0] 2 4 12 3" xfId="10177"/>
    <cellStyle name="쉼표 [0] 2 4 12 3 2" xfId="23405"/>
    <cellStyle name="쉼표 [0] 2 4 12 4" xfId="18682"/>
    <cellStyle name="쉼표 [0] 2 4 13" xfId="9176"/>
    <cellStyle name="쉼표 [0] 2 4 13 2" xfId="22404"/>
    <cellStyle name="쉼표 [0] 2 4 14" xfId="11444"/>
    <cellStyle name="쉼표 [0] 2 4 14 2" xfId="24672"/>
    <cellStyle name="쉼표 [0] 2 4 15" xfId="6870"/>
    <cellStyle name="쉼표 [0] 2 4 15 2" xfId="20098"/>
    <cellStyle name="쉼표 [0] 2 4 16" xfId="14808"/>
    <cellStyle name="쉼표 [0] 2 4 2" xfId="395"/>
    <cellStyle name="쉼표 [0] 2 4 2 2" xfId="579"/>
    <cellStyle name="쉼표 [0] 2 4 2 2 2" xfId="4978"/>
    <cellStyle name="쉼표 [0] 2 4 2 2 2 2" xfId="5884"/>
    <cellStyle name="쉼표 [0] 2 4 2 2 2 2 2" xfId="12437"/>
    <cellStyle name="쉼표 [0] 2 4 2 2 2 2 2 2" xfId="25665"/>
    <cellStyle name="쉼표 [0] 2 4 2 2 2 2 3" xfId="10618"/>
    <cellStyle name="쉼표 [0] 2 4 2 2 2 2 3 2" xfId="23846"/>
    <cellStyle name="쉼표 [0] 2 4 2 2 2 2 4" xfId="19123"/>
    <cellStyle name="쉼표 [0] 2 4 2 2 2 3" xfId="9917"/>
    <cellStyle name="쉼표 [0] 2 4 2 2 2 3 2" xfId="23145"/>
    <cellStyle name="쉼표 [0] 2 4 2 2 2 4" xfId="11853"/>
    <cellStyle name="쉼표 [0] 2 4 2 2 2 4 2" xfId="25081"/>
    <cellStyle name="쉼표 [0] 2 4 2 2 2 5" xfId="8850"/>
    <cellStyle name="쉼표 [0] 2 4 2 2 2 5 2" xfId="22078"/>
    <cellStyle name="쉼표 [0] 2 4 2 2 2 6" xfId="18245"/>
    <cellStyle name="쉼표 [0] 2 4 2 2 3" xfId="5587"/>
    <cellStyle name="쉼표 [0] 2 4 2 2 3 2" xfId="12230"/>
    <cellStyle name="쉼표 [0] 2 4 2 2 3 2 2" xfId="25458"/>
    <cellStyle name="쉼표 [0] 2 4 2 2 3 3" xfId="10321"/>
    <cellStyle name="쉼표 [0] 2 4 2 2 3 3 2" xfId="23549"/>
    <cellStyle name="쉼표 [0] 2 4 2 2 3 4" xfId="18826"/>
    <cellStyle name="쉼표 [0] 2 4 2 2 4" xfId="9320"/>
    <cellStyle name="쉼표 [0] 2 4 2 2 4 2" xfId="22548"/>
    <cellStyle name="쉼표 [0] 2 4 2 2 5" xfId="11588"/>
    <cellStyle name="쉼표 [0] 2 4 2 2 5 2" xfId="24816"/>
    <cellStyle name="쉼표 [0] 2 4 2 2 6" xfId="7053"/>
    <cellStyle name="쉼표 [0] 2 4 2 2 6 2" xfId="20281"/>
    <cellStyle name="쉼표 [0] 2 4 2 2 7" xfId="14993"/>
    <cellStyle name="쉼표 [0] 2 4 2 3" xfId="5066"/>
    <cellStyle name="쉼표 [0] 2 4 2 3 2" xfId="5968"/>
    <cellStyle name="쉼표 [0] 2 4 2 3 2 2" xfId="12521"/>
    <cellStyle name="쉼표 [0] 2 4 2 3 2 2 2" xfId="25749"/>
    <cellStyle name="쉼표 [0] 2 4 2 3 2 3" xfId="10702"/>
    <cellStyle name="쉼표 [0] 2 4 2 3 2 3 2" xfId="23930"/>
    <cellStyle name="쉼표 [0] 2 4 2 3 2 4" xfId="19207"/>
    <cellStyle name="쉼표 [0] 2 4 2 3 3" xfId="10003"/>
    <cellStyle name="쉼표 [0] 2 4 2 3 3 2" xfId="23231"/>
    <cellStyle name="쉼표 [0] 2 4 2 3 4" xfId="11937"/>
    <cellStyle name="쉼표 [0] 2 4 2 3 4 2" xfId="25165"/>
    <cellStyle name="쉼표 [0] 2 4 2 3 5" xfId="8936"/>
    <cellStyle name="쉼표 [0] 2 4 2 3 5 2" xfId="22164"/>
    <cellStyle name="쉼표 [0] 2 4 2 3 6" xfId="18333"/>
    <cellStyle name="쉼표 [0] 2 4 2 4" xfId="5444"/>
    <cellStyle name="쉼표 [0] 2 4 2 4 2" xfId="12087"/>
    <cellStyle name="쉼표 [0] 2 4 2 4 2 2" xfId="25315"/>
    <cellStyle name="쉼표 [0] 2 4 2 4 3" xfId="10178"/>
    <cellStyle name="쉼표 [0] 2 4 2 4 3 2" xfId="23406"/>
    <cellStyle name="쉼표 [0] 2 4 2 4 4" xfId="18683"/>
    <cellStyle name="쉼표 [0] 2 4 2 5" xfId="9177"/>
    <cellStyle name="쉼표 [0] 2 4 2 5 2" xfId="22405"/>
    <cellStyle name="쉼표 [0] 2 4 2 6" xfId="11445"/>
    <cellStyle name="쉼표 [0] 2 4 2 6 2" xfId="24673"/>
    <cellStyle name="쉼표 [0] 2 4 2 7" xfId="6871"/>
    <cellStyle name="쉼표 [0] 2 4 2 7 2" xfId="20099"/>
    <cellStyle name="쉼표 [0] 2 4 2 8" xfId="14809"/>
    <cellStyle name="쉼표 [0] 2 4 3" xfId="396"/>
    <cellStyle name="쉼표 [0] 2 4 3 2" xfId="580"/>
    <cellStyle name="쉼표 [0] 2 4 3 2 2" xfId="4979"/>
    <cellStyle name="쉼표 [0] 2 4 3 2 2 2" xfId="5885"/>
    <cellStyle name="쉼표 [0] 2 4 3 2 2 2 2" xfId="12438"/>
    <cellStyle name="쉼표 [0] 2 4 3 2 2 2 2 2" xfId="25666"/>
    <cellStyle name="쉼표 [0] 2 4 3 2 2 2 3" xfId="10619"/>
    <cellStyle name="쉼표 [0] 2 4 3 2 2 2 3 2" xfId="23847"/>
    <cellStyle name="쉼표 [0] 2 4 3 2 2 2 4" xfId="19124"/>
    <cellStyle name="쉼표 [0] 2 4 3 2 2 3" xfId="9918"/>
    <cellStyle name="쉼표 [0] 2 4 3 2 2 3 2" xfId="23146"/>
    <cellStyle name="쉼표 [0] 2 4 3 2 2 4" xfId="11854"/>
    <cellStyle name="쉼표 [0] 2 4 3 2 2 4 2" xfId="25082"/>
    <cellStyle name="쉼표 [0] 2 4 3 2 2 5" xfId="8851"/>
    <cellStyle name="쉼표 [0] 2 4 3 2 2 5 2" xfId="22079"/>
    <cellStyle name="쉼표 [0] 2 4 3 2 2 6" xfId="18246"/>
    <cellStyle name="쉼표 [0] 2 4 3 2 3" xfId="5588"/>
    <cellStyle name="쉼표 [0] 2 4 3 2 3 2" xfId="12231"/>
    <cellStyle name="쉼표 [0] 2 4 3 2 3 2 2" xfId="25459"/>
    <cellStyle name="쉼표 [0] 2 4 3 2 3 3" xfId="10322"/>
    <cellStyle name="쉼표 [0] 2 4 3 2 3 3 2" xfId="23550"/>
    <cellStyle name="쉼표 [0] 2 4 3 2 3 4" xfId="18827"/>
    <cellStyle name="쉼표 [0] 2 4 3 2 4" xfId="9321"/>
    <cellStyle name="쉼표 [0] 2 4 3 2 4 2" xfId="22549"/>
    <cellStyle name="쉼표 [0] 2 4 3 2 5" xfId="11589"/>
    <cellStyle name="쉼표 [0] 2 4 3 2 5 2" xfId="24817"/>
    <cellStyle name="쉼표 [0] 2 4 3 2 6" xfId="7054"/>
    <cellStyle name="쉼표 [0] 2 4 3 2 6 2" xfId="20282"/>
    <cellStyle name="쉼표 [0] 2 4 3 2 7" xfId="14994"/>
    <cellStyle name="쉼표 [0] 2 4 3 3" xfId="5149"/>
    <cellStyle name="쉼표 [0] 2 4 3 3 2" xfId="6049"/>
    <cellStyle name="쉼표 [0] 2 4 3 3 2 2" xfId="12602"/>
    <cellStyle name="쉼표 [0] 2 4 3 3 2 2 2" xfId="25830"/>
    <cellStyle name="쉼표 [0] 2 4 3 3 2 3" xfId="10783"/>
    <cellStyle name="쉼표 [0] 2 4 3 3 2 3 2" xfId="24011"/>
    <cellStyle name="쉼표 [0] 2 4 3 3 2 4" xfId="19288"/>
    <cellStyle name="쉼표 [0] 2 4 3 3 3" xfId="10084"/>
    <cellStyle name="쉼표 [0] 2 4 3 3 3 2" xfId="23312"/>
    <cellStyle name="쉼표 [0] 2 4 3 3 4" xfId="12018"/>
    <cellStyle name="쉼표 [0] 2 4 3 3 4 2" xfId="25246"/>
    <cellStyle name="쉼표 [0] 2 4 3 3 5" xfId="9017"/>
    <cellStyle name="쉼표 [0] 2 4 3 3 5 2" xfId="22245"/>
    <cellStyle name="쉼표 [0] 2 4 3 3 6" xfId="18415"/>
    <cellStyle name="쉼표 [0] 2 4 3 4" xfId="5445"/>
    <cellStyle name="쉼표 [0] 2 4 3 4 2" xfId="12088"/>
    <cellStyle name="쉼표 [0] 2 4 3 4 2 2" xfId="25316"/>
    <cellStyle name="쉼표 [0] 2 4 3 4 3" xfId="10179"/>
    <cellStyle name="쉼표 [0] 2 4 3 4 3 2" xfId="23407"/>
    <cellStyle name="쉼표 [0] 2 4 3 4 4" xfId="18684"/>
    <cellStyle name="쉼표 [0] 2 4 3 5" xfId="9178"/>
    <cellStyle name="쉼표 [0] 2 4 3 5 2" xfId="22406"/>
    <cellStyle name="쉼표 [0] 2 4 3 6" xfId="11446"/>
    <cellStyle name="쉼표 [0] 2 4 3 6 2" xfId="24674"/>
    <cellStyle name="쉼표 [0] 2 4 3 7" xfId="6872"/>
    <cellStyle name="쉼표 [0] 2 4 3 7 2" xfId="20100"/>
    <cellStyle name="쉼표 [0] 2 4 3 8" xfId="14810"/>
    <cellStyle name="쉼표 [0] 2 4 4" xfId="397"/>
    <cellStyle name="쉼표 [0] 2 4 4 2" xfId="581"/>
    <cellStyle name="쉼표 [0] 2 4 4 2 2" xfId="5099"/>
    <cellStyle name="쉼표 [0] 2 4 4 2 2 2" xfId="6001"/>
    <cellStyle name="쉼표 [0] 2 4 4 2 2 2 2" xfId="12554"/>
    <cellStyle name="쉼표 [0] 2 4 4 2 2 2 2 2" xfId="25782"/>
    <cellStyle name="쉼표 [0] 2 4 4 2 2 2 3" xfId="10735"/>
    <cellStyle name="쉼표 [0] 2 4 4 2 2 2 3 2" xfId="23963"/>
    <cellStyle name="쉼표 [0] 2 4 4 2 2 2 4" xfId="19240"/>
    <cellStyle name="쉼표 [0] 2 4 4 2 2 3" xfId="10036"/>
    <cellStyle name="쉼표 [0] 2 4 4 2 2 3 2" xfId="23264"/>
    <cellStyle name="쉼표 [0] 2 4 4 2 2 4" xfId="11970"/>
    <cellStyle name="쉼표 [0] 2 4 4 2 2 4 2" xfId="25198"/>
    <cellStyle name="쉼표 [0] 2 4 4 2 2 5" xfId="8969"/>
    <cellStyle name="쉼표 [0] 2 4 4 2 2 5 2" xfId="22197"/>
    <cellStyle name="쉼표 [0] 2 4 4 2 2 6" xfId="18366"/>
    <cellStyle name="쉼표 [0] 2 4 4 2 3" xfId="5589"/>
    <cellStyle name="쉼표 [0] 2 4 4 2 3 2" xfId="12232"/>
    <cellStyle name="쉼표 [0] 2 4 4 2 3 2 2" xfId="25460"/>
    <cellStyle name="쉼표 [0] 2 4 4 2 3 3" xfId="10323"/>
    <cellStyle name="쉼표 [0] 2 4 4 2 3 3 2" xfId="23551"/>
    <cellStyle name="쉼표 [0] 2 4 4 2 3 4" xfId="18828"/>
    <cellStyle name="쉼표 [0] 2 4 4 2 4" xfId="9322"/>
    <cellStyle name="쉼표 [0] 2 4 4 2 4 2" xfId="22550"/>
    <cellStyle name="쉼표 [0] 2 4 4 2 5" xfId="11590"/>
    <cellStyle name="쉼표 [0] 2 4 4 2 5 2" xfId="24818"/>
    <cellStyle name="쉼표 [0] 2 4 4 2 6" xfId="7055"/>
    <cellStyle name="쉼표 [0] 2 4 4 2 6 2" xfId="20283"/>
    <cellStyle name="쉼표 [0] 2 4 4 2 7" xfId="14995"/>
    <cellStyle name="쉼표 [0] 2 4 4 3" xfId="5065"/>
    <cellStyle name="쉼표 [0] 2 4 4 3 2" xfId="5967"/>
    <cellStyle name="쉼표 [0] 2 4 4 3 2 2" xfId="12520"/>
    <cellStyle name="쉼표 [0] 2 4 4 3 2 2 2" xfId="25748"/>
    <cellStyle name="쉼표 [0] 2 4 4 3 2 3" xfId="10701"/>
    <cellStyle name="쉼표 [0] 2 4 4 3 2 3 2" xfId="23929"/>
    <cellStyle name="쉼표 [0] 2 4 4 3 2 4" xfId="19206"/>
    <cellStyle name="쉼표 [0] 2 4 4 3 3" xfId="10002"/>
    <cellStyle name="쉼표 [0] 2 4 4 3 3 2" xfId="23230"/>
    <cellStyle name="쉼표 [0] 2 4 4 3 4" xfId="11936"/>
    <cellStyle name="쉼표 [0] 2 4 4 3 4 2" xfId="25164"/>
    <cellStyle name="쉼표 [0] 2 4 4 3 5" xfId="8935"/>
    <cellStyle name="쉼표 [0] 2 4 4 3 5 2" xfId="22163"/>
    <cellStyle name="쉼표 [0] 2 4 4 3 6" xfId="18332"/>
    <cellStyle name="쉼표 [0] 2 4 4 4" xfId="5446"/>
    <cellStyle name="쉼표 [0] 2 4 4 4 2" xfId="12089"/>
    <cellStyle name="쉼표 [0] 2 4 4 4 2 2" xfId="25317"/>
    <cellStyle name="쉼표 [0] 2 4 4 4 3" xfId="10180"/>
    <cellStyle name="쉼표 [0] 2 4 4 4 3 2" xfId="23408"/>
    <cellStyle name="쉼표 [0] 2 4 4 4 4" xfId="18685"/>
    <cellStyle name="쉼표 [0] 2 4 4 5" xfId="9179"/>
    <cellStyle name="쉼표 [0] 2 4 4 5 2" xfId="22407"/>
    <cellStyle name="쉼표 [0] 2 4 4 6" xfId="11447"/>
    <cellStyle name="쉼표 [0] 2 4 4 6 2" xfId="24675"/>
    <cellStyle name="쉼표 [0] 2 4 4 7" xfId="6873"/>
    <cellStyle name="쉼표 [0] 2 4 4 7 2" xfId="20101"/>
    <cellStyle name="쉼표 [0] 2 4 4 8" xfId="14811"/>
    <cellStyle name="쉼표 [0] 2 4 5" xfId="398"/>
    <cellStyle name="쉼표 [0] 2 4 5 2" xfId="582"/>
    <cellStyle name="쉼표 [0] 2 4 5 2 2" xfId="5173"/>
    <cellStyle name="쉼표 [0] 2 4 5 2 2 2" xfId="6073"/>
    <cellStyle name="쉼표 [0] 2 4 5 2 2 2 2" xfId="12626"/>
    <cellStyle name="쉼표 [0] 2 4 5 2 2 2 2 2" xfId="25854"/>
    <cellStyle name="쉼표 [0] 2 4 5 2 2 2 3" xfId="10807"/>
    <cellStyle name="쉼표 [0] 2 4 5 2 2 2 3 2" xfId="24035"/>
    <cellStyle name="쉼표 [0] 2 4 5 2 2 2 4" xfId="19312"/>
    <cellStyle name="쉼표 [0] 2 4 5 2 2 3" xfId="10108"/>
    <cellStyle name="쉼표 [0] 2 4 5 2 2 3 2" xfId="23336"/>
    <cellStyle name="쉼표 [0] 2 4 5 2 2 4" xfId="12042"/>
    <cellStyle name="쉼표 [0] 2 4 5 2 2 4 2" xfId="25270"/>
    <cellStyle name="쉼표 [0] 2 4 5 2 2 5" xfId="9041"/>
    <cellStyle name="쉼표 [0] 2 4 5 2 2 5 2" xfId="22269"/>
    <cellStyle name="쉼표 [0] 2 4 5 2 2 6" xfId="18439"/>
    <cellStyle name="쉼표 [0] 2 4 5 2 3" xfId="5590"/>
    <cellStyle name="쉼표 [0] 2 4 5 2 3 2" xfId="12233"/>
    <cellStyle name="쉼표 [0] 2 4 5 2 3 2 2" xfId="25461"/>
    <cellStyle name="쉼표 [0] 2 4 5 2 3 3" xfId="10324"/>
    <cellStyle name="쉼표 [0] 2 4 5 2 3 3 2" xfId="23552"/>
    <cellStyle name="쉼표 [0] 2 4 5 2 3 4" xfId="18829"/>
    <cellStyle name="쉼표 [0] 2 4 5 2 4" xfId="9323"/>
    <cellStyle name="쉼표 [0] 2 4 5 2 4 2" xfId="22551"/>
    <cellStyle name="쉼표 [0] 2 4 5 2 5" xfId="11591"/>
    <cellStyle name="쉼표 [0] 2 4 5 2 5 2" xfId="24819"/>
    <cellStyle name="쉼표 [0] 2 4 5 2 6" xfId="7056"/>
    <cellStyle name="쉼표 [0] 2 4 5 2 6 2" xfId="20284"/>
    <cellStyle name="쉼표 [0] 2 4 5 2 7" xfId="14996"/>
    <cellStyle name="쉼표 [0] 2 4 5 3" xfId="4905"/>
    <cellStyle name="쉼표 [0] 2 4 5 3 2" xfId="5813"/>
    <cellStyle name="쉼표 [0] 2 4 5 3 2 2" xfId="12366"/>
    <cellStyle name="쉼표 [0] 2 4 5 3 2 2 2" xfId="25594"/>
    <cellStyle name="쉼표 [0] 2 4 5 3 2 3" xfId="10547"/>
    <cellStyle name="쉼표 [0] 2 4 5 3 2 3 2" xfId="23775"/>
    <cellStyle name="쉼표 [0] 2 4 5 3 2 4" xfId="19052"/>
    <cellStyle name="쉼표 [0] 2 4 5 3 3" xfId="9846"/>
    <cellStyle name="쉼표 [0] 2 4 5 3 3 2" xfId="23074"/>
    <cellStyle name="쉼표 [0] 2 4 5 3 4" xfId="11782"/>
    <cellStyle name="쉼표 [0] 2 4 5 3 4 2" xfId="25010"/>
    <cellStyle name="쉼표 [0] 2 4 5 3 5" xfId="8778"/>
    <cellStyle name="쉼표 [0] 2 4 5 3 5 2" xfId="22006"/>
    <cellStyle name="쉼표 [0] 2 4 5 3 6" xfId="18172"/>
    <cellStyle name="쉼표 [0] 2 4 5 4" xfId="5447"/>
    <cellStyle name="쉼표 [0] 2 4 5 4 2" xfId="12090"/>
    <cellStyle name="쉼표 [0] 2 4 5 4 2 2" xfId="25318"/>
    <cellStyle name="쉼표 [0] 2 4 5 4 3" xfId="10181"/>
    <cellStyle name="쉼표 [0] 2 4 5 4 3 2" xfId="23409"/>
    <cellStyle name="쉼표 [0] 2 4 5 4 4" xfId="18686"/>
    <cellStyle name="쉼표 [0] 2 4 5 5" xfId="9180"/>
    <cellStyle name="쉼표 [0] 2 4 5 5 2" xfId="22408"/>
    <cellStyle name="쉼표 [0] 2 4 5 6" xfId="11448"/>
    <cellStyle name="쉼표 [0] 2 4 5 6 2" xfId="24676"/>
    <cellStyle name="쉼표 [0] 2 4 5 7" xfId="6874"/>
    <cellStyle name="쉼표 [0] 2 4 5 7 2" xfId="20102"/>
    <cellStyle name="쉼표 [0] 2 4 5 8" xfId="14812"/>
    <cellStyle name="쉼표 [0] 2 4 6" xfId="399"/>
    <cellStyle name="쉼표 [0] 2 4 6 2" xfId="583"/>
    <cellStyle name="쉼표 [0] 2 4 6 2 2" xfId="5098"/>
    <cellStyle name="쉼표 [0] 2 4 6 2 2 2" xfId="6000"/>
    <cellStyle name="쉼표 [0] 2 4 6 2 2 2 2" xfId="12553"/>
    <cellStyle name="쉼표 [0] 2 4 6 2 2 2 2 2" xfId="25781"/>
    <cellStyle name="쉼표 [0] 2 4 6 2 2 2 3" xfId="10734"/>
    <cellStyle name="쉼표 [0] 2 4 6 2 2 2 3 2" xfId="23962"/>
    <cellStyle name="쉼표 [0] 2 4 6 2 2 2 4" xfId="19239"/>
    <cellStyle name="쉼표 [0] 2 4 6 2 2 3" xfId="10035"/>
    <cellStyle name="쉼표 [0] 2 4 6 2 2 3 2" xfId="23263"/>
    <cellStyle name="쉼표 [0] 2 4 6 2 2 4" xfId="11969"/>
    <cellStyle name="쉼표 [0] 2 4 6 2 2 4 2" xfId="25197"/>
    <cellStyle name="쉼표 [0] 2 4 6 2 2 5" xfId="8968"/>
    <cellStyle name="쉼표 [0] 2 4 6 2 2 5 2" xfId="22196"/>
    <cellStyle name="쉼표 [0] 2 4 6 2 2 6" xfId="18365"/>
    <cellStyle name="쉼표 [0] 2 4 6 2 3" xfId="5591"/>
    <cellStyle name="쉼표 [0] 2 4 6 2 3 2" xfId="12234"/>
    <cellStyle name="쉼표 [0] 2 4 6 2 3 2 2" xfId="25462"/>
    <cellStyle name="쉼표 [0] 2 4 6 2 3 3" xfId="10325"/>
    <cellStyle name="쉼표 [0] 2 4 6 2 3 3 2" xfId="23553"/>
    <cellStyle name="쉼표 [0] 2 4 6 2 3 4" xfId="18830"/>
    <cellStyle name="쉼표 [0] 2 4 6 2 4" xfId="9324"/>
    <cellStyle name="쉼표 [0] 2 4 6 2 4 2" xfId="22552"/>
    <cellStyle name="쉼표 [0] 2 4 6 2 5" xfId="11592"/>
    <cellStyle name="쉼표 [0] 2 4 6 2 5 2" xfId="24820"/>
    <cellStyle name="쉼표 [0] 2 4 6 2 6" xfId="7057"/>
    <cellStyle name="쉼표 [0] 2 4 6 2 6 2" xfId="20285"/>
    <cellStyle name="쉼표 [0] 2 4 6 2 7" xfId="14997"/>
    <cellStyle name="쉼표 [0] 2 4 6 3" xfId="4906"/>
    <cellStyle name="쉼표 [0] 2 4 6 3 2" xfId="5814"/>
    <cellStyle name="쉼표 [0] 2 4 6 3 2 2" xfId="12367"/>
    <cellStyle name="쉼표 [0] 2 4 6 3 2 2 2" xfId="25595"/>
    <cellStyle name="쉼표 [0] 2 4 6 3 2 3" xfId="10548"/>
    <cellStyle name="쉼표 [0] 2 4 6 3 2 3 2" xfId="23776"/>
    <cellStyle name="쉼표 [0] 2 4 6 3 2 4" xfId="19053"/>
    <cellStyle name="쉼표 [0] 2 4 6 3 3" xfId="9847"/>
    <cellStyle name="쉼표 [0] 2 4 6 3 3 2" xfId="23075"/>
    <cellStyle name="쉼표 [0] 2 4 6 3 4" xfId="11783"/>
    <cellStyle name="쉼표 [0] 2 4 6 3 4 2" xfId="25011"/>
    <cellStyle name="쉼표 [0] 2 4 6 3 5" xfId="8779"/>
    <cellStyle name="쉼표 [0] 2 4 6 3 5 2" xfId="22007"/>
    <cellStyle name="쉼표 [0] 2 4 6 3 6" xfId="18173"/>
    <cellStyle name="쉼표 [0] 2 4 6 4" xfId="5448"/>
    <cellStyle name="쉼표 [0] 2 4 6 4 2" xfId="12091"/>
    <cellStyle name="쉼표 [0] 2 4 6 4 2 2" xfId="25319"/>
    <cellStyle name="쉼표 [0] 2 4 6 4 3" xfId="10182"/>
    <cellStyle name="쉼표 [0] 2 4 6 4 3 2" xfId="23410"/>
    <cellStyle name="쉼표 [0] 2 4 6 4 4" xfId="18687"/>
    <cellStyle name="쉼표 [0] 2 4 6 5" xfId="9181"/>
    <cellStyle name="쉼표 [0] 2 4 6 5 2" xfId="22409"/>
    <cellStyle name="쉼표 [0] 2 4 6 6" xfId="11449"/>
    <cellStyle name="쉼표 [0] 2 4 6 6 2" xfId="24677"/>
    <cellStyle name="쉼표 [0] 2 4 6 7" xfId="6875"/>
    <cellStyle name="쉼표 [0] 2 4 6 7 2" xfId="20103"/>
    <cellStyle name="쉼표 [0] 2 4 6 8" xfId="14813"/>
    <cellStyle name="쉼표 [0] 2 4 7" xfId="400"/>
    <cellStyle name="쉼표 [0] 2 4 7 2" xfId="584"/>
    <cellStyle name="쉼표 [0] 2 4 7 2 2" xfId="4980"/>
    <cellStyle name="쉼표 [0] 2 4 7 2 2 2" xfId="5886"/>
    <cellStyle name="쉼표 [0] 2 4 7 2 2 2 2" xfId="12439"/>
    <cellStyle name="쉼표 [0] 2 4 7 2 2 2 2 2" xfId="25667"/>
    <cellStyle name="쉼표 [0] 2 4 7 2 2 2 3" xfId="10620"/>
    <cellStyle name="쉼표 [0] 2 4 7 2 2 2 3 2" xfId="23848"/>
    <cellStyle name="쉼표 [0] 2 4 7 2 2 2 4" xfId="19125"/>
    <cellStyle name="쉼표 [0] 2 4 7 2 2 3" xfId="9919"/>
    <cellStyle name="쉼표 [0] 2 4 7 2 2 3 2" xfId="23147"/>
    <cellStyle name="쉼표 [0] 2 4 7 2 2 4" xfId="11855"/>
    <cellStyle name="쉼표 [0] 2 4 7 2 2 4 2" xfId="25083"/>
    <cellStyle name="쉼표 [0] 2 4 7 2 2 5" xfId="8852"/>
    <cellStyle name="쉼표 [0] 2 4 7 2 2 5 2" xfId="22080"/>
    <cellStyle name="쉼표 [0] 2 4 7 2 2 6" xfId="18247"/>
    <cellStyle name="쉼표 [0] 2 4 7 2 3" xfId="5592"/>
    <cellStyle name="쉼표 [0] 2 4 7 2 3 2" xfId="12235"/>
    <cellStyle name="쉼표 [0] 2 4 7 2 3 2 2" xfId="25463"/>
    <cellStyle name="쉼표 [0] 2 4 7 2 3 3" xfId="10326"/>
    <cellStyle name="쉼표 [0] 2 4 7 2 3 3 2" xfId="23554"/>
    <cellStyle name="쉼표 [0] 2 4 7 2 3 4" xfId="18831"/>
    <cellStyle name="쉼표 [0] 2 4 7 2 4" xfId="9325"/>
    <cellStyle name="쉼표 [0] 2 4 7 2 4 2" xfId="22553"/>
    <cellStyle name="쉼표 [0] 2 4 7 2 5" xfId="11593"/>
    <cellStyle name="쉼표 [0] 2 4 7 2 5 2" xfId="24821"/>
    <cellStyle name="쉼표 [0] 2 4 7 2 6" xfId="7058"/>
    <cellStyle name="쉼표 [0] 2 4 7 2 6 2" xfId="20286"/>
    <cellStyle name="쉼표 [0] 2 4 7 2 7" xfId="14998"/>
    <cellStyle name="쉼표 [0] 2 4 7 3" xfId="5128"/>
    <cellStyle name="쉼표 [0] 2 4 7 3 2" xfId="6030"/>
    <cellStyle name="쉼표 [0] 2 4 7 3 2 2" xfId="12583"/>
    <cellStyle name="쉼표 [0] 2 4 7 3 2 2 2" xfId="25811"/>
    <cellStyle name="쉼표 [0] 2 4 7 3 2 3" xfId="10764"/>
    <cellStyle name="쉼표 [0] 2 4 7 3 2 3 2" xfId="23992"/>
    <cellStyle name="쉼표 [0] 2 4 7 3 2 4" xfId="19269"/>
    <cellStyle name="쉼표 [0] 2 4 7 3 3" xfId="10065"/>
    <cellStyle name="쉼표 [0] 2 4 7 3 3 2" xfId="23293"/>
    <cellStyle name="쉼표 [0] 2 4 7 3 4" xfId="11999"/>
    <cellStyle name="쉼표 [0] 2 4 7 3 4 2" xfId="25227"/>
    <cellStyle name="쉼표 [0] 2 4 7 3 5" xfId="8998"/>
    <cellStyle name="쉼표 [0] 2 4 7 3 5 2" xfId="22226"/>
    <cellStyle name="쉼표 [0] 2 4 7 3 6" xfId="18395"/>
    <cellStyle name="쉼표 [0] 2 4 7 4" xfId="5449"/>
    <cellStyle name="쉼표 [0] 2 4 7 4 2" xfId="12092"/>
    <cellStyle name="쉼표 [0] 2 4 7 4 2 2" xfId="25320"/>
    <cellStyle name="쉼표 [0] 2 4 7 4 3" xfId="10183"/>
    <cellStyle name="쉼표 [0] 2 4 7 4 3 2" xfId="23411"/>
    <cellStyle name="쉼표 [0] 2 4 7 4 4" xfId="18688"/>
    <cellStyle name="쉼표 [0] 2 4 7 5" xfId="9182"/>
    <cellStyle name="쉼표 [0] 2 4 7 5 2" xfId="22410"/>
    <cellStyle name="쉼표 [0] 2 4 7 6" xfId="11450"/>
    <cellStyle name="쉼표 [0] 2 4 7 6 2" xfId="24678"/>
    <cellStyle name="쉼표 [0] 2 4 7 7" xfId="6876"/>
    <cellStyle name="쉼표 [0] 2 4 7 7 2" xfId="20104"/>
    <cellStyle name="쉼표 [0] 2 4 7 8" xfId="14814"/>
    <cellStyle name="쉼표 [0] 2 4 8" xfId="401"/>
    <cellStyle name="쉼표 [0] 2 4 8 2" xfId="585"/>
    <cellStyle name="쉼표 [0] 2 4 8 2 2" xfId="4981"/>
    <cellStyle name="쉼표 [0] 2 4 8 2 2 2" xfId="5887"/>
    <cellStyle name="쉼표 [0] 2 4 8 2 2 2 2" xfId="12440"/>
    <cellStyle name="쉼표 [0] 2 4 8 2 2 2 2 2" xfId="25668"/>
    <cellStyle name="쉼표 [0] 2 4 8 2 2 2 3" xfId="10621"/>
    <cellStyle name="쉼표 [0] 2 4 8 2 2 2 3 2" xfId="23849"/>
    <cellStyle name="쉼표 [0] 2 4 8 2 2 2 4" xfId="19126"/>
    <cellStyle name="쉼표 [0] 2 4 8 2 2 3" xfId="9920"/>
    <cellStyle name="쉼표 [0] 2 4 8 2 2 3 2" xfId="23148"/>
    <cellStyle name="쉼표 [0] 2 4 8 2 2 4" xfId="11856"/>
    <cellStyle name="쉼표 [0] 2 4 8 2 2 4 2" xfId="25084"/>
    <cellStyle name="쉼표 [0] 2 4 8 2 2 5" xfId="8853"/>
    <cellStyle name="쉼표 [0] 2 4 8 2 2 5 2" xfId="22081"/>
    <cellStyle name="쉼표 [0] 2 4 8 2 2 6" xfId="18248"/>
    <cellStyle name="쉼표 [0] 2 4 8 2 3" xfId="5593"/>
    <cellStyle name="쉼표 [0] 2 4 8 2 3 2" xfId="12236"/>
    <cellStyle name="쉼표 [0] 2 4 8 2 3 2 2" xfId="25464"/>
    <cellStyle name="쉼표 [0] 2 4 8 2 3 3" xfId="10327"/>
    <cellStyle name="쉼표 [0] 2 4 8 2 3 3 2" xfId="23555"/>
    <cellStyle name="쉼표 [0] 2 4 8 2 3 4" xfId="18832"/>
    <cellStyle name="쉼표 [0] 2 4 8 2 4" xfId="9326"/>
    <cellStyle name="쉼표 [0] 2 4 8 2 4 2" xfId="22554"/>
    <cellStyle name="쉼표 [0] 2 4 8 2 5" xfId="11594"/>
    <cellStyle name="쉼표 [0] 2 4 8 2 5 2" xfId="24822"/>
    <cellStyle name="쉼표 [0] 2 4 8 2 6" xfId="7059"/>
    <cellStyle name="쉼표 [0] 2 4 8 2 6 2" xfId="20287"/>
    <cellStyle name="쉼표 [0] 2 4 8 2 7" xfId="14999"/>
    <cellStyle name="쉼표 [0] 2 4 8 3" xfId="4907"/>
    <cellStyle name="쉼표 [0] 2 4 8 3 2" xfId="5815"/>
    <cellStyle name="쉼표 [0] 2 4 8 3 2 2" xfId="12368"/>
    <cellStyle name="쉼표 [0] 2 4 8 3 2 2 2" xfId="25596"/>
    <cellStyle name="쉼표 [0] 2 4 8 3 2 3" xfId="10549"/>
    <cellStyle name="쉼표 [0] 2 4 8 3 2 3 2" xfId="23777"/>
    <cellStyle name="쉼표 [0] 2 4 8 3 2 4" xfId="19054"/>
    <cellStyle name="쉼표 [0] 2 4 8 3 3" xfId="9848"/>
    <cellStyle name="쉼표 [0] 2 4 8 3 3 2" xfId="23076"/>
    <cellStyle name="쉼표 [0] 2 4 8 3 4" xfId="11784"/>
    <cellStyle name="쉼표 [0] 2 4 8 3 4 2" xfId="25012"/>
    <cellStyle name="쉼표 [0] 2 4 8 3 5" xfId="8780"/>
    <cellStyle name="쉼표 [0] 2 4 8 3 5 2" xfId="22008"/>
    <cellStyle name="쉼표 [0] 2 4 8 3 6" xfId="18174"/>
    <cellStyle name="쉼표 [0] 2 4 8 4" xfId="5450"/>
    <cellStyle name="쉼표 [0] 2 4 8 4 2" xfId="12093"/>
    <cellStyle name="쉼표 [0] 2 4 8 4 2 2" xfId="25321"/>
    <cellStyle name="쉼표 [0] 2 4 8 4 3" xfId="10184"/>
    <cellStyle name="쉼표 [0] 2 4 8 4 3 2" xfId="23412"/>
    <cellStyle name="쉼표 [0] 2 4 8 4 4" xfId="18689"/>
    <cellStyle name="쉼표 [0] 2 4 8 5" xfId="9183"/>
    <cellStyle name="쉼표 [0] 2 4 8 5 2" xfId="22411"/>
    <cellStyle name="쉼표 [0] 2 4 8 6" xfId="11451"/>
    <cellStyle name="쉼표 [0] 2 4 8 6 2" xfId="24679"/>
    <cellStyle name="쉼표 [0] 2 4 8 7" xfId="6877"/>
    <cellStyle name="쉼표 [0] 2 4 8 7 2" xfId="20105"/>
    <cellStyle name="쉼표 [0] 2 4 8 8" xfId="14815"/>
    <cellStyle name="쉼표 [0] 2 4 9" xfId="578"/>
    <cellStyle name="쉼표 [0] 2 4 9 2" xfId="5172"/>
    <cellStyle name="쉼표 [0] 2 4 9 2 2" xfId="6072"/>
    <cellStyle name="쉼표 [0] 2 4 9 2 2 2" xfId="12625"/>
    <cellStyle name="쉼표 [0] 2 4 9 2 2 2 2" xfId="25853"/>
    <cellStyle name="쉼표 [0] 2 4 9 2 2 3" xfId="10806"/>
    <cellStyle name="쉼표 [0] 2 4 9 2 2 3 2" xfId="24034"/>
    <cellStyle name="쉼표 [0] 2 4 9 2 2 4" xfId="19311"/>
    <cellStyle name="쉼표 [0] 2 4 9 2 3" xfId="10107"/>
    <cellStyle name="쉼표 [0] 2 4 9 2 3 2" xfId="23335"/>
    <cellStyle name="쉼표 [0] 2 4 9 2 4" xfId="12041"/>
    <cellStyle name="쉼표 [0] 2 4 9 2 4 2" xfId="25269"/>
    <cellStyle name="쉼표 [0] 2 4 9 2 5" xfId="9040"/>
    <cellStyle name="쉼표 [0] 2 4 9 2 5 2" xfId="22268"/>
    <cellStyle name="쉼표 [0] 2 4 9 2 6" xfId="18438"/>
    <cellStyle name="쉼표 [0] 2 4 9 3" xfId="5586"/>
    <cellStyle name="쉼표 [0] 2 4 9 3 2" xfId="12229"/>
    <cellStyle name="쉼표 [0] 2 4 9 3 2 2" xfId="25457"/>
    <cellStyle name="쉼표 [0] 2 4 9 3 3" xfId="10320"/>
    <cellStyle name="쉼표 [0] 2 4 9 3 3 2" xfId="23548"/>
    <cellStyle name="쉼표 [0] 2 4 9 3 4" xfId="18825"/>
    <cellStyle name="쉼표 [0] 2 4 9 4" xfId="9319"/>
    <cellStyle name="쉼표 [0] 2 4 9 4 2" xfId="22547"/>
    <cellStyle name="쉼표 [0] 2 4 9 5" xfId="11587"/>
    <cellStyle name="쉼표 [0] 2 4 9 5 2" xfId="24815"/>
    <cellStyle name="쉼표 [0] 2 4 9 6" xfId="7052"/>
    <cellStyle name="쉼표 [0] 2 4 9 6 2" xfId="20280"/>
    <cellStyle name="쉼표 [0] 2 4 9 7" xfId="14992"/>
    <cellStyle name="쉼표 [0] 2 5" xfId="236"/>
    <cellStyle name="쉼표 [0] 2 5 2" xfId="237"/>
    <cellStyle name="쉼표 [0] 2 5 3" xfId="402"/>
    <cellStyle name="쉼표 [0] 2 5 3 2" xfId="586"/>
    <cellStyle name="쉼표 [0] 2 5 3 2 2" xfId="5101"/>
    <cellStyle name="쉼표 [0] 2 5 3 2 2 2" xfId="6003"/>
    <cellStyle name="쉼표 [0] 2 5 3 2 2 2 2" xfId="12556"/>
    <cellStyle name="쉼표 [0] 2 5 3 2 2 2 2 2" xfId="25784"/>
    <cellStyle name="쉼표 [0] 2 5 3 2 2 2 3" xfId="10737"/>
    <cellStyle name="쉼표 [0] 2 5 3 2 2 2 3 2" xfId="23965"/>
    <cellStyle name="쉼표 [0] 2 5 3 2 2 2 4" xfId="19242"/>
    <cellStyle name="쉼표 [0] 2 5 3 2 2 3" xfId="10038"/>
    <cellStyle name="쉼표 [0] 2 5 3 2 2 3 2" xfId="23266"/>
    <cellStyle name="쉼표 [0] 2 5 3 2 2 4" xfId="11972"/>
    <cellStyle name="쉼표 [0] 2 5 3 2 2 4 2" xfId="25200"/>
    <cellStyle name="쉼표 [0] 2 5 3 2 2 5" xfId="8971"/>
    <cellStyle name="쉼표 [0] 2 5 3 2 2 5 2" xfId="22199"/>
    <cellStyle name="쉼표 [0] 2 5 3 2 2 6" xfId="18368"/>
    <cellStyle name="쉼표 [0] 2 5 3 2 3" xfId="5594"/>
    <cellStyle name="쉼표 [0] 2 5 3 2 3 2" xfId="12237"/>
    <cellStyle name="쉼표 [0] 2 5 3 2 3 2 2" xfId="25465"/>
    <cellStyle name="쉼표 [0] 2 5 3 2 3 3" xfId="10328"/>
    <cellStyle name="쉼표 [0] 2 5 3 2 3 3 2" xfId="23556"/>
    <cellStyle name="쉼표 [0] 2 5 3 2 3 4" xfId="18833"/>
    <cellStyle name="쉼표 [0] 2 5 3 2 4" xfId="9327"/>
    <cellStyle name="쉼표 [0] 2 5 3 2 4 2" xfId="22555"/>
    <cellStyle name="쉼표 [0] 2 5 3 2 5" xfId="11595"/>
    <cellStyle name="쉼표 [0] 2 5 3 2 5 2" xfId="24823"/>
    <cellStyle name="쉼표 [0] 2 5 3 2 6" xfId="7060"/>
    <cellStyle name="쉼표 [0] 2 5 3 2 6 2" xfId="20288"/>
    <cellStyle name="쉼표 [0] 2 5 3 2 7" xfId="15000"/>
    <cellStyle name="쉼표 [0] 2 5 3 3" xfId="4908"/>
    <cellStyle name="쉼표 [0] 2 5 3 3 2" xfId="5816"/>
    <cellStyle name="쉼표 [0] 2 5 3 3 2 2" xfId="12369"/>
    <cellStyle name="쉼표 [0] 2 5 3 3 2 2 2" xfId="25597"/>
    <cellStyle name="쉼표 [0] 2 5 3 3 2 3" xfId="10550"/>
    <cellStyle name="쉼표 [0] 2 5 3 3 2 3 2" xfId="23778"/>
    <cellStyle name="쉼표 [0] 2 5 3 3 2 4" xfId="19055"/>
    <cellStyle name="쉼표 [0] 2 5 3 3 3" xfId="9849"/>
    <cellStyle name="쉼표 [0] 2 5 3 3 3 2" xfId="23077"/>
    <cellStyle name="쉼표 [0] 2 5 3 3 4" xfId="11785"/>
    <cellStyle name="쉼표 [0] 2 5 3 3 4 2" xfId="25013"/>
    <cellStyle name="쉼표 [0] 2 5 3 3 5" xfId="8781"/>
    <cellStyle name="쉼표 [0] 2 5 3 3 5 2" xfId="22009"/>
    <cellStyle name="쉼표 [0] 2 5 3 3 6" xfId="18175"/>
    <cellStyle name="쉼표 [0] 2 5 3 4" xfId="5451"/>
    <cellStyle name="쉼표 [0] 2 5 3 4 2" xfId="12094"/>
    <cellStyle name="쉼표 [0] 2 5 3 4 2 2" xfId="25322"/>
    <cellStyle name="쉼표 [0] 2 5 3 4 3" xfId="10185"/>
    <cellStyle name="쉼표 [0] 2 5 3 4 3 2" xfId="23413"/>
    <cellStyle name="쉼표 [0] 2 5 3 4 4" xfId="18690"/>
    <cellStyle name="쉼표 [0] 2 5 3 5" xfId="9184"/>
    <cellStyle name="쉼표 [0] 2 5 3 5 2" xfId="22412"/>
    <cellStyle name="쉼표 [0] 2 5 3 6" xfId="11452"/>
    <cellStyle name="쉼표 [0] 2 5 3 6 2" xfId="24680"/>
    <cellStyle name="쉼표 [0] 2 5 3 7" xfId="6878"/>
    <cellStyle name="쉼표 [0] 2 5 3 7 2" xfId="20106"/>
    <cellStyle name="쉼표 [0] 2 5 3 8" xfId="14816"/>
    <cellStyle name="쉼표 [0] 2 5 4" xfId="403"/>
    <cellStyle name="쉼표 [0] 2 5 4 2" xfId="587"/>
    <cellStyle name="쉼표 [0] 2 5 4 2 2" xfId="5174"/>
    <cellStyle name="쉼표 [0] 2 5 4 2 2 2" xfId="6074"/>
    <cellStyle name="쉼표 [0] 2 5 4 2 2 2 2" xfId="12627"/>
    <cellStyle name="쉼표 [0] 2 5 4 2 2 2 2 2" xfId="25855"/>
    <cellStyle name="쉼표 [0] 2 5 4 2 2 2 3" xfId="10808"/>
    <cellStyle name="쉼표 [0] 2 5 4 2 2 2 3 2" xfId="24036"/>
    <cellStyle name="쉼표 [0] 2 5 4 2 2 2 4" xfId="19313"/>
    <cellStyle name="쉼표 [0] 2 5 4 2 2 3" xfId="10109"/>
    <cellStyle name="쉼표 [0] 2 5 4 2 2 3 2" xfId="23337"/>
    <cellStyle name="쉼표 [0] 2 5 4 2 2 4" xfId="12043"/>
    <cellStyle name="쉼표 [0] 2 5 4 2 2 4 2" xfId="25271"/>
    <cellStyle name="쉼표 [0] 2 5 4 2 2 5" xfId="9042"/>
    <cellStyle name="쉼표 [0] 2 5 4 2 2 5 2" xfId="22270"/>
    <cellStyle name="쉼표 [0] 2 5 4 2 2 6" xfId="18440"/>
    <cellStyle name="쉼표 [0] 2 5 4 2 3" xfId="5595"/>
    <cellStyle name="쉼표 [0] 2 5 4 2 3 2" xfId="12238"/>
    <cellStyle name="쉼표 [0] 2 5 4 2 3 2 2" xfId="25466"/>
    <cellStyle name="쉼표 [0] 2 5 4 2 3 3" xfId="10329"/>
    <cellStyle name="쉼표 [0] 2 5 4 2 3 3 2" xfId="23557"/>
    <cellStyle name="쉼표 [0] 2 5 4 2 3 4" xfId="18834"/>
    <cellStyle name="쉼표 [0] 2 5 4 2 4" xfId="9328"/>
    <cellStyle name="쉼표 [0] 2 5 4 2 4 2" xfId="22556"/>
    <cellStyle name="쉼표 [0] 2 5 4 2 5" xfId="11596"/>
    <cellStyle name="쉼표 [0] 2 5 4 2 5 2" xfId="24824"/>
    <cellStyle name="쉼표 [0] 2 5 4 2 6" xfId="7061"/>
    <cellStyle name="쉼표 [0] 2 5 4 2 6 2" xfId="20289"/>
    <cellStyle name="쉼표 [0] 2 5 4 2 7" xfId="15001"/>
    <cellStyle name="쉼표 [0] 2 5 4 3" xfId="4909"/>
    <cellStyle name="쉼표 [0] 2 5 4 3 2" xfId="5817"/>
    <cellStyle name="쉼표 [0] 2 5 4 3 2 2" xfId="12370"/>
    <cellStyle name="쉼표 [0] 2 5 4 3 2 2 2" xfId="25598"/>
    <cellStyle name="쉼표 [0] 2 5 4 3 2 3" xfId="10551"/>
    <cellStyle name="쉼표 [0] 2 5 4 3 2 3 2" xfId="23779"/>
    <cellStyle name="쉼표 [0] 2 5 4 3 2 4" xfId="19056"/>
    <cellStyle name="쉼표 [0] 2 5 4 3 3" xfId="9850"/>
    <cellStyle name="쉼표 [0] 2 5 4 3 3 2" xfId="23078"/>
    <cellStyle name="쉼표 [0] 2 5 4 3 4" xfId="11786"/>
    <cellStyle name="쉼표 [0] 2 5 4 3 4 2" xfId="25014"/>
    <cellStyle name="쉼표 [0] 2 5 4 3 5" xfId="8782"/>
    <cellStyle name="쉼표 [0] 2 5 4 3 5 2" xfId="22010"/>
    <cellStyle name="쉼표 [0] 2 5 4 3 6" xfId="18176"/>
    <cellStyle name="쉼표 [0] 2 5 4 4" xfId="5452"/>
    <cellStyle name="쉼표 [0] 2 5 4 4 2" xfId="12095"/>
    <cellStyle name="쉼표 [0] 2 5 4 4 2 2" xfId="25323"/>
    <cellStyle name="쉼표 [0] 2 5 4 4 3" xfId="10186"/>
    <cellStyle name="쉼표 [0] 2 5 4 4 3 2" xfId="23414"/>
    <cellStyle name="쉼표 [0] 2 5 4 4 4" xfId="18691"/>
    <cellStyle name="쉼표 [0] 2 5 4 5" xfId="9185"/>
    <cellStyle name="쉼표 [0] 2 5 4 5 2" xfId="22413"/>
    <cellStyle name="쉼표 [0] 2 5 4 6" xfId="11453"/>
    <cellStyle name="쉼표 [0] 2 5 4 6 2" xfId="24681"/>
    <cellStyle name="쉼표 [0] 2 5 4 7" xfId="6879"/>
    <cellStyle name="쉼표 [0] 2 5 4 7 2" xfId="20107"/>
    <cellStyle name="쉼표 [0] 2 5 4 8" xfId="14817"/>
    <cellStyle name="쉼표 [0] 2 5 5" xfId="404"/>
    <cellStyle name="쉼표 [0] 2 5 5 2" xfId="588"/>
    <cellStyle name="쉼표 [0] 2 5 5 2 2" xfId="5100"/>
    <cellStyle name="쉼표 [0] 2 5 5 2 2 2" xfId="6002"/>
    <cellStyle name="쉼표 [0] 2 5 5 2 2 2 2" xfId="12555"/>
    <cellStyle name="쉼표 [0] 2 5 5 2 2 2 2 2" xfId="25783"/>
    <cellStyle name="쉼표 [0] 2 5 5 2 2 2 3" xfId="10736"/>
    <cellStyle name="쉼표 [0] 2 5 5 2 2 2 3 2" xfId="23964"/>
    <cellStyle name="쉼표 [0] 2 5 5 2 2 2 4" xfId="19241"/>
    <cellStyle name="쉼표 [0] 2 5 5 2 2 3" xfId="10037"/>
    <cellStyle name="쉼표 [0] 2 5 5 2 2 3 2" xfId="23265"/>
    <cellStyle name="쉼표 [0] 2 5 5 2 2 4" xfId="11971"/>
    <cellStyle name="쉼표 [0] 2 5 5 2 2 4 2" xfId="25199"/>
    <cellStyle name="쉼표 [0] 2 5 5 2 2 5" xfId="8970"/>
    <cellStyle name="쉼표 [0] 2 5 5 2 2 5 2" xfId="22198"/>
    <cellStyle name="쉼표 [0] 2 5 5 2 2 6" xfId="18367"/>
    <cellStyle name="쉼표 [0] 2 5 5 2 3" xfId="5596"/>
    <cellStyle name="쉼표 [0] 2 5 5 2 3 2" xfId="12239"/>
    <cellStyle name="쉼표 [0] 2 5 5 2 3 2 2" xfId="25467"/>
    <cellStyle name="쉼표 [0] 2 5 5 2 3 3" xfId="10330"/>
    <cellStyle name="쉼표 [0] 2 5 5 2 3 3 2" xfId="23558"/>
    <cellStyle name="쉼표 [0] 2 5 5 2 3 4" xfId="18835"/>
    <cellStyle name="쉼표 [0] 2 5 5 2 4" xfId="9329"/>
    <cellStyle name="쉼표 [0] 2 5 5 2 4 2" xfId="22557"/>
    <cellStyle name="쉼표 [0] 2 5 5 2 5" xfId="11597"/>
    <cellStyle name="쉼표 [0] 2 5 5 2 5 2" xfId="24825"/>
    <cellStyle name="쉼표 [0] 2 5 5 2 6" xfId="7062"/>
    <cellStyle name="쉼표 [0] 2 5 5 2 6 2" xfId="20290"/>
    <cellStyle name="쉼표 [0] 2 5 5 2 7" xfId="15002"/>
    <cellStyle name="쉼표 [0] 2 5 5 3" xfId="4910"/>
    <cellStyle name="쉼표 [0] 2 5 5 3 2" xfId="5818"/>
    <cellStyle name="쉼표 [0] 2 5 5 3 2 2" xfId="12371"/>
    <cellStyle name="쉼표 [0] 2 5 5 3 2 2 2" xfId="25599"/>
    <cellStyle name="쉼표 [0] 2 5 5 3 2 3" xfId="10552"/>
    <cellStyle name="쉼표 [0] 2 5 5 3 2 3 2" xfId="23780"/>
    <cellStyle name="쉼표 [0] 2 5 5 3 2 4" xfId="19057"/>
    <cellStyle name="쉼표 [0] 2 5 5 3 3" xfId="9851"/>
    <cellStyle name="쉼표 [0] 2 5 5 3 3 2" xfId="23079"/>
    <cellStyle name="쉼표 [0] 2 5 5 3 4" xfId="11787"/>
    <cellStyle name="쉼표 [0] 2 5 5 3 4 2" xfId="25015"/>
    <cellStyle name="쉼표 [0] 2 5 5 3 5" xfId="8783"/>
    <cellStyle name="쉼표 [0] 2 5 5 3 5 2" xfId="22011"/>
    <cellStyle name="쉼표 [0] 2 5 5 3 6" xfId="18177"/>
    <cellStyle name="쉼표 [0] 2 5 5 4" xfId="5453"/>
    <cellStyle name="쉼표 [0] 2 5 5 4 2" xfId="12096"/>
    <cellStyle name="쉼표 [0] 2 5 5 4 2 2" xfId="25324"/>
    <cellStyle name="쉼표 [0] 2 5 5 4 3" xfId="10187"/>
    <cellStyle name="쉼표 [0] 2 5 5 4 3 2" xfId="23415"/>
    <cellStyle name="쉼표 [0] 2 5 5 4 4" xfId="18692"/>
    <cellStyle name="쉼표 [0] 2 5 5 5" xfId="9186"/>
    <cellStyle name="쉼표 [0] 2 5 5 5 2" xfId="22414"/>
    <cellStyle name="쉼표 [0] 2 5 5 6" xfId="11454"/>
    <cellStyle name="쉼표 [0] 2 5 5 6 2" xfId="24682"/>
    <cellStyle name="쉼표 [0] 2 5 5 7" xfId="6880"/>
    <cellStyle name="쉼표 [0] 2 5 5 7 2" xfId="20108"/>
    <cellStyle name="쉼표 [0] 2 5 5 8" xfId="14818"/>
    <cellStyle name="쉼표 [0] 2 5 6" xfId="405"/>
    <cellStyle name="쉼표 [0] 2 5 6 2" xfId="589"/>
    <cellStyle name="쉼표 [0] 2 5 6 2 2" xfId="4982"/>
    <cellStyle name="쉼표 [0] 2 5 6 2 2 2" xfId="5888"/>
    <cellStyle name="쉼표 [0] 2 5 6 2 2 2 2" xfId="12441"/>
    <cellStyle name="쉼표 [0] 2 5 6 2 2 2 2 2" xfId="25669"/>
    <cellStyle name="쉼표 [0] 2 5 6 2 2 2 3" xfId="10622"/>
    <cellStyle name="쉼표 [0] 2 5 6 2 2 2 3 2" xfId="23850"/>
    <cellStyle name="쉼표 [0] 2 5 6 2 2 2 4" xfId="19127"/>
    <cellStyle name="쉼표 [0] 2 5 6 2 2 3" xfId="9921"/>
    <cellStyle name="쉼표 [0] 2 5 6 2 2 3 2" xfId="23149"/>
    <cellStyle name="쉼표 [0] 2 5 6 2 2 4" xfId="11857"/>
    <cellStyle name="쉼표 [0] 2 5 6 2 2 4 2" xfId="25085"/>
    <cellStyle name="쉼표 [0] 2 5 6 2 2 5" xfId="8854"/>
    <cellStyle name="쉼표 [0] 2 5 6 2 2 5 2" xfId="22082"/>
    <cellStyle name="쉼표 [0] 2 5 6 2 2 6" xfId="18249"/>
    <cellStyle name="쉼표 [0] 2 5 6 2 3" xfId="5597"/>
    <cellStyle name="쉼표 [0] 2 5 6 2 3 2" xfId="12240"/>
    <cellStyle name="쉼표 [0] 2 5 6 2 3 2 2" xfId="25468"/>
    <cellStyle name="쉼표 [0] 2 5 6 2 3 3" xfId="10331"/>
    <cellStyle name="쉼표 [0] 2 5 6 2 3 3 2" xfId="23559"/>
    <cellStyle name="쉼표 [0] 2 5 6 2 3 4" xfId="18836"/>
    <cellStyle name="쉼표 [0] 2 5 6 2 4" xfId="9330"/>
    <cellStyle name="쉼표 [0] 2 5 6 2 4 2" xfId="22558"/>
    <cellStyle name="쉼표 [0] 2 5 6 2 5" xfId="11598"/>
    <cellStyle name="쉼표 [0] 2 5 6 2 5 2" xfId="24826"/>
    <cellStyle name="쉼표 [0] 2 5 6 2 6" xfId="7063"/>
    <cellStyle name="쉼표 [0] 2 5 6 2 6 2" xfId="20291"/>
    <cellStyle name="쉼표 [0] 2 5 6 2 7" xfId="15003"/>
    <cellStyle name="쉼표 [0] 2 5 6 3" xfId="4911"/>
    <cellStyle name="쉼표 [0] 2 5 6 3 2" xfId="5819"/>
    <cellStyle name="쉼표 [0] 2 5 6 3 2 2" xfId="12372"/>
    <cellStyle name="쉼표 [0] 2 5 6 3 2 2 2" xfId="25600"/>
    <cellStyle name="쉼표 [0] 2 5 6 3 2 3" xfId="10553"/>
    <cellStyle name="쉼표 [0] 2 5 6 3 2 3 2" xfId="23781"/>
    <cellStyle name="쉼표 [0] 2 5 6 3 2 4" xfId="19058"/>
    <cellStyle name="쉼표 [0] 2 5 6 3 3" xfId="9852"/>
    <cellStyle name="쉼표 [0] 2 5 6 3 3 2" xfId="23080"/>
    <cellStyle name="쉼표 [0] 2 5 6 3 4" xfId="11788"/>
    <cellStyle name="쉼표 [0] 2 5 6 3 4 2" xfId="25016"/>
    <cellStyle name="쉼표 [0] 2 5 6 3 5" xfId="8784"/>
    <cellStyle name="쉼표 [0] 2 5 6 3 5 2" xfId="22012"/>
    <cellStyle name="쉼표 [0] 2 5 6 3 6" xfId="18178"/>
    <cellStyle name="쉼표 [0] 2 5 6 4" xfId="5454"/>
    <cellStyle name="쉼표 [0] 2 5 6 4 2" xfId="12097"/>
    <cellStyle name="쉼표 [0] 2 5 6 4 2 2" xfId="25325"/>
    <cellStyle name="쉼표 [0] 2 5 6 4 3" xfId="10188"/>
    <cellStyle name="쉼표 [0] 2 5 6 4 3 2" xfId="23416"/>
    <cellStyle name="쉼표 [0] 2 5 6 4 4" xfId="18693"/>
    <cellStyle name="쉼표 [0] 2 5 6 5" xfId="9187"/>
    <cellStyle name="쉼표 [0] 2 5 6 5 2" xfId="22415"/>
    <cellStyle name="쉼표 [0] 2 5 6 6" xfId="11455"/>
    <cellStyle name="쉼표 [0] 2 5 6 6 2" xfId="24683"/>
    <cellStyle name="쉼표 [0] 2 5 6 7" xfId="6881"/>
    <cellStyle name="쉼표 [0] 2 5 6 7 2" xfId="20109"/>
    <cellStyle name="쉼표 [0] 2 5 6 8" xfId="14819"/>
    <cellStyle name="쉼표 [0] 2 5 7" xfId="406"/>
    <cellStyle name="쉼표 [0] 2 5 7 2" xfId="590"/>
    <cellStyle name="쉼표 [0] 2 5 7 2 2" xfId="4983"/>
    <cellStyle name="쉼표 [0] 2 5 7 2 2 2" xfId="5889"/>
    <cellStyle name="쉼표 [0] 2 5 7 2 2 2 2" xfId="12442"/>
    <cellStyle name="쉼표 [0] 2 5 7 2 2 2 2 2" xfId="25670"/>
    <cellStyle name="쉼표 [0] 2 5 7 2 2 2 3" xfId="10623"/>
    <cellStyle name="쉼표 [0] 2 5 7 2 2 2 3 2" xfId="23851"/>
    <cellStyle name="쉼표 [0] 2 5 7 2 2 2 4" xfId="19128"/>
    <cellStyle name="쉼표 [0] 2 5 7 2 2 3" xfId="9922"/>
    <cellStyle name="쉼표 [0] 2 5 7 2 2 3 2" xfId="23150"/>
    <cellStyle name="쉼표 [0] 2 5 7 2 2 4" xfId="11858"/>
    <cellStyle name="쉼표 [0] 2 5 7 2 2 4 2" xfId="25086"/>
    <cellStyle name="쉼표 [0] 2 5 7 2 2 5" xfId="8855"/>
    <cellStyle name="쉼표 [0] 2 5 7 2 2 5 2" xfId="22083"/>
    <cellStyle name="쉼표 [0] 2 5 7 2 2 6" xfId="18250"/>
    <cellStyle name="쉼표 [0] 2 5 7 2 3" xfId="5598"/>
    <cellStyle name="쉼표 [0] 2 5 7 2 3 2" xfId="12241"/>
    <cellStyle name="쉼표 [0] 2 5 7 2 3 2 2" xfId="25469"/>
    <cellStyle name="쉼표 [0] 2 5 7 2 3 3" xfId="10332"/>
    <cellStyle name="쉼표 [0] 2 5 7 2 3 3 2" xfId="23560"/>
    <cellStyle name="쉼표 [0] 2 5 7 2 3 4" xfId="18837"/>
    <cellStyle name="쉼표 [0] 2 5 7 2 4" xfId="9331"/>
    <cellStyle name="쉼표 [0] 2 5 7 2 4 2" xfId="22559"/>
    <cellStyle name="쉼표 [0] 2 5 7 2 5" xfId="11599"/>
    <cellStyle name="쉼표 [0] 2 5 7 2 5 2" xfId="24827"/>
    <cellStyle name="쉼표 [0] 2 5 7 2 6" xfId="7064"/>
    <cellStyle name="쉼표 [0] 2 5 7 2 6 2" xfId="20292"/>
    <cellStyle name="쉼표 [0] 2 5 7 2 7" xfId="15004"/>
    <cellStyle name="쉼표 [0] 2 5 7 3" xfId="5046"/>
    <cellStyle name="쉼표 [0] 2 5 7 3 2" xfId="5948"/>
    <cellStyle name="쉼표 [0] 2 5 7 3 2 2" xfId="12501"/>
    <cellStyle name="쉼표 [0] 2 5 7 3 2 2 2" xfId="25729"/>
    <cellStyle name="쉼표 [0] 2 5 7 3 2 3" xfId="10682"/>
    <cellStyle name="쉼표 [0] 2 5 7 3 2 3 2" xfId="23910"/>
    <cellStyle name="쉼표 [0] 2 5 7 3 2 4" xfId="19187"/>
    <cellStyle name="쉼표 [0] 2 5 7 3 3" xfId="9983"/>
    <cellStyle name="쉼표 [0] 2 5 7 3 3 2" xfId="23211"/>
    <cellStyle name="쉼표 [0] 2 5 7 3 4" xfId="11917"/>
    <cellStyle name="쉼표 [0] 2 5 7 3 4 2" xfId="25145"/>
    <cellStyle name="쉼표 [0] 2 5 7 3 5" xfId="8916"/>
    <cellStyle name="쉼표 [0] 2 5 7 3 5 2" xfId="22144"/>
    <cellStyle name="쉼표 [0] 2 5 7 3 6" xfId="18313"/>
    <cellStyle name="쉼표 [0] 2 5 7 4" xfId="5455"/>
    <cellStyle name="쉼표 [0] 2 5 7 4 2" xfId="12098"/>
    <cellStyle name="쉼표 [0] 2 5 7 4 2 2" xfId="25326"/>
    <cellStyle name="쉼표 [0] 2 5 7 4 3" xfId="10189"/>
    <cellStyle name="쉼표 [0] 2 5 7 4 3 2" xfId="23417"/>
    <cellStyle name="쉼표 [0] 2 5 7 4 4" xfId="18694"/>
    <cellStyle name="쉼표 [0] 2 5 7 5" xfId="9188"/>
    <cellStyle name="쉼표 [0] 2 5 7 5 2" xfId="22416"/>
    <cellStyle name="쉼표 [0] 2 5 7 6" xfId="11456"/>
    <cellStyle name="쉼표 [0] 2 5 7 6 2" xfId="24684"/>
    <cellStyle name="쉼표 [0] 2 5 7 7" xfId="6882"/>
    <cellStyle name="쉼표 [0] 2 5 7 7 2" xfId="20110"/>
    <cellStyle name="쉼표 [0] 2 5 7 8" xfId="14820"/>
    <cellStyle name="쉼표 [0] 2 5 8" xfId="407"/>
    <cellStyle name="쉼표 [0] 2 5 8 2" xfId="591"/>
    <cellStyle name="쉼표 [0] 2 5 8 2 2" xfId="5139"/>
    <cellStyle name="쉼표 [0] 2 5 8 2 2 2" xfId="6039"/>
    <cellStyle name="쉼표 [0] 2 5 8 2 2 2 2" xfId="12592"/>
    <cellStyle name="쉼표 [0] 2 5 8 2 2 2 2 2" xfId="25820"/>
    <cellStyle name="쉼표 [0] 2 5 8 2 2 2 3" xfId="10773"/>
    <cellStyle name="쉼표 [0] 2 5 8 2 2 2 3 2" xfId="24001"/>
    <cellStyle name="쉼표 [0] 2 5 8 2 2 2 4" xfId="19278"/>
    <cellStyle name="쉼표 [0] 2 5 8 2 2 3" xfId="10074"/>
    <cellStyle name="쉼표 [0] 2 5 8 2 2 3 2" xfId="23302"/>
    <cellStyle name="쉼표 [0] 2 5 8 2 2 4" xfId="12008"/>
    <cellStyle name="쉼표 [0] 2 5 8 2 2 4 2" xfId="25236"/>
    <cellStyle name="쉼표 [0] 2 5 8 2 2 5" xfId="9007"/>
    <cellStyle name="쉼표 [0] 2 5 8 2 2 5 2" xfId="22235"/>
    <cellStyle name="쉼표 [0] 2 5 8 2 2 6" xfId="18405"/>
    <cellStyle name="쉼표 [0] 2 5 8 2 3" xfId="5599"/>
    <cellStyle name="쉼표 [0] 2 5 8 2 3 2" xfId="12242"/>
    <cellStyle name="쉼표 [0] 2 5 8 2 3 2 2" xfId="25470"/>
    <cellStyle name="쉼표 [0] 2 5 8 2 3 3" xfId="10333"/>
    <cellStyle name="쉼표 [0] 2 5 8 2 3 3 2" xfId="23561"/>
    <cellStyle name="쉼표 [0] 2 5 8 2 3 4" xfId="18838"/>
    <cellStyle name="쉼표 [0] 2 5 8 2 4" xfId="9332"/>
    <cellStyle name="쉼표 [0] 2 5 8 2 4 2" xfId="22560"/>
    <cellStyle name="쉼표 [0] 2 5 8 2 5" xfId="11600"/>
    <cellStyle name="쉼표 [0] 2 5 8 2 5 2" xfId="24828"/>
    <cellStyle name="쉼표 [0] 2 5 8 2 6" xfId="7065"/>
    <cellStyle name="쉼표 [0] 2 5 8 2 6 2" xfId="20293"/>
    <cellStyle name="쉼표 [0] 2 5 8 2 7" xfId="15005"/>
    <cellStyle name="쉼표 [0] 2 5 8 3" xfId="5150"/>
    <cellStyle name="쉼표 [0] 2 5 8 3 2" xfId="6050"/>
    <cellStyle name="쉼표 [0] 2 5 8 3 2 2" xfId="12603"/>
    <cellStyle name="쉼표 [0] 2 5 8 3 2 2 2" xfId="25831"/>
    <cellStyle name="쉼표 [0] 2 5 8 3 2 3" xfId="10784"/>
    <cellStyle name="쉼표 [0] 2 5 8 3 2 3 2" xfId="24012"/>
    <cellStyle name="쉼표 [0] 2 5 8 3 2 4" xfId="19289"/>
    <cellStyle name="쉼표 [0] 2 5 8 3 3" xfId="10085"/>
    <cellStyle name="쉼표 [0] 2 5 8 3 3 2" xfId="23313"/>
    <cellStyle name="쉼표 [0] 2 5 8 3 4" xfId="12019"/>
    <cellStyle name="쉼표 [0] 2 5 8 3 4 2" xfId="25247"/>
    <cellStyle name="쉼표 [0] 2 5 8 3 5" xfId="9018"/>
    <cellStyle name="쉼표 [0] 2 5 8 3 5 2" xfId="22246"/>
    <cellStyle name="쉼표 [0] 2 5 8 3 6" xfId="18416"/>
    <cellStyle name="쉼표 [0] 2 5 8 4" xfId="5456"/>
    <cellStyle name="쉼표 [0] 2 5 8 4 2" xfId="12099"/>
    <cellStyle name="쉼표 [0] 2 5 8 4 2 2" xfId="25327"/>
    <cellStyle name="쉼표 [0] 2 5 8 4 3" xfId="10190"/>
    <cellStyle name="쉼표 [0] 2 5 8 4 3 2" xfId="23418"/>
    <cellStyle name="쉼표 [0] 2 5 8 4 4" xfId="18695"/>
    <cellStyle name="쉼표 [0] 2 5 8 5" xfId="9189"/>
    <cellStyle name="쉼표 [0] 2 5 8 5 2" xfId="22417"/>
    <cellStyle name="쉼표 [0] 2 5 8 6" xfId="11457"/>
    <cellStyle name="쉼표 [0] 2 5 8 6 2" xfId="24685"/>
    <cellStyle name="쉼표 [0] 2 5 8 7" xfId="6883"/>
    <cellStyle name="쉼표 [0] 2 5 8 7 2" xfId="20111"/>
    <cellStyle name="쉼표 [0] 2 5 8 8" xfId="14821"/>
    <cellStyle name="쉼표 [0] 2 6" xfId="408"/>
    <cellStyle name="쉼표 [0] 2 6 2" xfId="592"/>
    <cellStyle name="쉼표 [0] 2 6 2 2" xfId="4984"/>
    <cellStyle name="쉼표 [0] 2 6 2 2 2" xfId="5890"/>
    <cellStyle name="쉼표 [0] 2 6 2 2 2 2" xfId="12443"/>
    <cellStyle name="쉼표 [0] 2 6 2 2 2 2 2" xfId="25671"/>
    <cellStyle name="쉼표 [0] 2 6 2 2 2 3" xfId="10624"/>
    <cellStyle name="쉼표 [0] 2 6 2 2 2 3 2" xfId="23852"/>
    <cellStyle name="쉼표 [0] 2 6 2 2 2 4" xfId="19129"/>
    <cellStyle name="쉼표 [0] 2 6 2 2 3" xfId="9923"/>
    <cellStyle name="쉼표 [0] 2 6 2 2 3 2" xfId="23151"/>
    <cellStyle name="쉼표 [0] 2 6 2 2 4" xfId="11859"/>
    <cellStyle name="쉼표 [0] 2 6 2 2 4 2" xfId="25087"/>
    <cellStyle name="쉼표 [0] 2 6 2 2 5" xfId="8856"/>
    <cellStyle name="쉼표 [0] 2 6 2 2 5 2" xfId="22084"/>
    <cellStyle name="쉼표 [0] 2 6 2 2 6" xfId="18251"/>
    <cellStyle name="쉼표 [0] 2 6 2 3" xfId="5600"/>
    <cellStyle name="쉼표 [0] 2 6 2 3 2" xfId="12243"/>
    <cellStyle name="쉼표 [0] 2 6 2 3 2 2" xfId="25471"/>
    <cellStyle name="쉼표 [0] 2 6 2 3 3" xfId="10334"/>
    <cellStyle name="쉼표 [0] 2 6 2 3 3 2" xfId="23562"/>
    <cellStyle name="쉼표 [0] 2 6 2 3 4" xfId="18839"/>
    <cellStyle name="쉼표 [0] 2 6 2 4" xfId="9333"/>
    <cellStyle name="쉼표 [0] 2 6 2 4 2" xfId="22561"/>
    <cellStyle name="쉼표 [0] 2 6 2 5" xfId="11601"/>
    <cellStyle name="쉼표 [0] 2 6 2 5 2" xfId="24829"/>
    <cellStyle name="쉼표 [0] 2 6 2 6" xfId="7066"/>
    <cellStyle name="쉼표 [0] 2 6 2 6 2" xfId="20294"/>
    <cellStyle name="쉼표 [0] 2 6 2 7" xfId="15006"/>
    <cellStyle name="쉼표 [0] 2 6 3" xfId="4912"/>
    <cellStyle name="쉼표 [0] 2 6 3 2" xfId="5820"/>
    <cellStyle name="쉼표 [0] 2 6 3 2 2" xfId="12373"/>
    <cellStyle name="쉼표 [0] 2 6 3 2 2 2" xfId="25601"/>
    <cellStyle name="쉼표 [0] 2 6 3 2 3" xfId="10554"/>
    <cellStyle name="쉼표 [0] 2 6 3 2 3 2" xfId="23782"/>
    <cellStyle name="쉼표 [0] 2 6 3 2 4" xfId="19059"/>
    <cellStyle name="쉼표 [0] 2 6 3 3" xfId="9853"/>
    <cellStyle name="쉼표 [0] 2 6 3 3 2" xfId="23081"/>
    <cellStyle name="쉼표 [0] 2 6 3 4" xfId="11789"/>
    <cellStyle name="쉼표 [0] 2 6 3 4 2" xfId="25017"/>
    <cellStyle name="쉼표 [0] 2 6 3 5" xfId="8785"/>
    <cellStyle name="쉼표 [0] 2 6 3 5 2" xfId="22013"/>
    <cellStyle name="쉼표 [0] 2 6 3 6" xfId="18179"/>
    <cellStyle name="쉼표 [0] 2 6 4" xfId="5457"/>
    <cellStyle name="쉼표 [0] 2 6 4 2" xfId="12100"/>
    <cellStyle name="쉼표 [0] 2 6 4 2 2" xfId="25328"/>
    <cellStyle name="쉼표 [0] 2 6 4 3" xfId="10191"/>
    <cellStyle name="쉼표 [0] 2 6 4 3 2" xfId="23419"/>
    <cellStyle name="쉼표 [0] 2 6 4 4" xfId="18696"/>
    <cellStyle name="쉼표 [0] 2 6 5" xfId="9190"/>
    <cellStyle name="쉼표 [0] 2 6 5 2" xfId="22418"/>
    <cellStyle name="쉼표 [0] 2 6 6" xfId="11458"/>
    <cellStyle name="쉼표 [0] 2 6 6 2" xfId="24686"/>
    <cellStyle name="쉼표 [0] 2 6 7" xfId="6884"/>
    <cellStyle name="쉼표 [0] 2 6 7 2" xfId="20112"/>
    <cellStyle name="쉼표 [0] 2 6 8" xfId="14822"/>
    <cellStyle name="쉼표 [0] 2 6 9" xfId="51068"/>
    <cellStyle name="쉼표 [0] 2 7" xfId="409"/>
    <cellStyle name="쉼표 [0] 2 7 2" xfId="593"/>
    <cellStyle name="쉼표 [0] 2 7 2 2" xfId="4985"/>
    <cellStyle name="쉼표 [0] 2 7 2 2 2" xfId="5891"/>
    <cellStyle name="쉼표 [0] 2 7 2 2 2 2" xfId="12444"/>
    <cellStyle name="쉼표 [0] 2 7 2 2 2 2 2" xfId="25672"/>
    <cellStyle name="쉼표 [0] 2 7 2 2 2 3" xfId="10625"/>
    <cellStyle name="쉼표 [0] 2 7 2 2 2 3 2" xfId="23853"/>
    <cellStyle name="쉼표 [0] 2 7 2 2 2 4" xfId="19130"/>
    <cellStyle name="쉼표 [0] 2 7 2 2 3" xfId="9924"/>
    <cellStyle name="쉼표 [0] 2 7 2 2 3 2" xfId="23152"/>
    <cellStyle name="쉼표 [0] 2 7 2 2 4" xfId="11860"/>
    <cellStyle name="쉼표 [0] 2 7 2 2 4 2" xfId="25088"/>
    <cellStyle name="쉼표 [0] 2 7 2 2 5" xfId="8857"/>
    <cellStyle name="쉼표 [0] 2 7 2 2 5 2" xfId="22085"/>
    <cellStyle name="쉼표 [0] 2 7 2 2 6" xfId="18252"/>
    <cellStyle name="쉼표 [0] 2 7 2 3" xfId="5601"/>
    <cellStyle name="쉼표 [0] 2 7 2 3 2" xfId="12244"/>
    <cellStyle name="쉼표 [0] 2 7 2 3 2 2" xfId="25472"/>
    <cellStyle name="쉼표 [0] 2 7 2 3 3" xfId="10335"/>
    <cellStyle name="쉼표 [0] 2 7 2 3 3 2" xfId="23563"/>
    <cellStyle name="쉼표 [0] 2 7 2 3 4" xfId="18840"/>
    <cellStyle name="쉼표 [0] 2 7 2 4" xfId="9334"/>
    <cellStyle name="쉼표 [0] 2 7 2 4 2" xfId="22562"/>
    <cellStyle name="쉼표 [0] 2 7 2 5" xfId="11602"/>
    <cellStyle name="쉼표 [0] 2 7 2 5 2" xfId="24830"/>
    <cellStyle name="쉼표 [0] 2 7 2 6" xfId="7067"/>
    <cellStyle name="쉼표 [0] 2 7 2 6 2" xfId="20295"/>
    <cellStyle name="쉼표 [0] 2 7 2 7" xfId="15007"/>
    <cellStyle name="쉼표 [0] 2 7 3" xfId="4913"/>
    <cellStyle name="쉼표 [0] 2 7 3 2" xfId="5821"/>
    <cellStyle name="쉼표 [0] 2 7 3 2 2" xfId="12374"/>
    <cellStyle name="쉼표 [0] 2 7 3 2 2 2" xfId="25602"/>
    <cellStyle name="쉼표 [0] 2 7 3 2 3" xfId="10555"/>
    <cellStyle name="쉼표 [0] 2 7 3 2 3 2" xfId="23783"/>
    <cellStyle name="쉼표 [0] 2 7 3 2 4" xfId="19060"/>
    <cellStyle name="쉼표 [0] 2 7 3 3" xfId="9854"/>
    <cellStyle name="쉼표 [0] 2 7 3 3 2" xfId="23082"/>
    <cellStyle name="쉼표 [0] 2 7 3 4" xfId="11790"/>
    <cellStyle name="쉼표 [0] 2 7 3 4 2" xfId="25018"/>
    <cellStyle name="쉼표 [0] 2 7 3 5" xfId="8786"/>
    <cellStyle name="쉼표 [0] 2 7 3 5 2" xfId="22014"/>
    <cellStyle name="쉼표 [0] 2 7 3 6" xfId="18180"/>
    <cellStyle name="쉼표 [0] 2 7 4" xfId="5458"/>
    <cellStyle name="쉼표 [0] 2 7 4 2" xfId="12101"/>
    <cellStyle name="쉼표 [0] 2 7 4 2 2" xfId="25329"/>
    <cellStyle name="쉼표 [0] 2 7 4 3" xfId="10192"/>
    <cellStyle name="쉼표 [0] 2 7 4 3 2" xfId="23420"/>
    <cellStyle name="쉼표 [0] 2 7 4 4" xfId="18697"/>
    <cellStyle name="쉼표 [0] 2 7 5" xfId="9191"/>
    <cellStyle name="쉼표 [0] 2 7 5 2" xfId="22419"/>
    <cellStyle name="쉼표 [0] 2 7 6" xfId="11459"/>
    <cellStyle name="쉼표 [0] 2 7 6 2" xfId="24687"/>
    <cellStyle name="쉼표 [0] 2 7 7" xfId="6885"/>
    <cellStyle name="쉼표 [0] 2 7 7 2" xfId="20113"/>
    <cellStyle name="쉼표 [0] 2 7 8" xfId="14823"/>
    <cellStyle name="쉼표 [0] 2 7 9" xfId="51069"/>
    <cellStyle name="쉼표 [0] 2 8" xfId="410"/>
    <cellStyle name="쉼표 [0] 2 8 2" xfId="594"/>
    <cellStyle name="쉼표 [0] 2 8 2 2" xfId="5103"/>
    <cellStyle name="쉼표 [0] 2 8 2 2 2" xfId="6005"/>
    <cellStyle name="쉼표 [0] 2 8 2 2 2 2" xfId="12558"/>
    <cellStyle name="쉼표 [0] 2 8 2 2 2 2 2" xfId="25786"/>
    <cellStyle name="쉼표 [0] 2 8 2 2 2 3" xfId="10739"/>
    <cellStyle name="쉼표 [0] 2 8 2 2 2 3 2" xfId="23967"/>
    <cellStyle name="쉼표 [0] 2 8 2 2 2 4" xfId="19244"/>
    <cellStyle name="쉼표 [0] 2 8 2 2 3" xfId="10040"/>
    <cellStyle name="쉼표 [0] 2 8 2 2 3 2" xfId="23268"/>
    <cellStyle name="쉼표 [0] 2 8 2 2 4" xfId="11974"/>
    <cellStyle name="쉼표 [0] 2 8 2 2 4 2" xfId="25202"/>
    <cellStyle name="쉼표 [0] 2 8 2 2 5" xfId="8973"/>
    <cellStyle name="쉼표 [0] 2 8 2 2 5 2" xfId="22201"/>
    <cellStyle name="쉼표 [0] 2 8 2 2 6" xfId="18370"/>
    <cellStyle name="쉼표 [0] 2 8 2 3" xfId="5602"/>
    <cellStyle name="쉼표 [0] 2 8 2 3 2" xfId="12245"/>
    <cellStyle name="쉼표 [0] 2 8 2 3 2 2" xfId="25473"/>
    <cellStyle name="쉼표 [0] 2 8 2 3 3" xfId="10336"/>
    <cellStyle name="쉼표 [0] 2 8 2 3 3 2" xfId="23564"/>
    <cellStyle name="쉼표 [0] 2 8 2 3 4" xfId="18841"/>
    <cellStyle name="쉼표 [0] 2 8 2 4" xfId="9335"/>
    <cellStyle name="쉼표 [0] 2 8 2 4 2" xfId="22563"/>
    <cellStyle name="쉼표 [0] 2 8 2 5" xfId="11603"/>
    <cellStyle name="쉼표 [0] 2 8 2 5 2" xfId="24831"/>
    <cellStyle name="쉼표 [0] 2 8 2 6" xfId="7068"/>
    <cellStyle name="쉼표 [0] 2 8 2 6 2" xfId="20296"/>
    <cellStyle name="쉼표 [0] 2 8 2 7" xfId="15008"/>
    <cellStyle name="쉼표 [0] 2 8 3" xfId="5068"/>
    <cellStyle name="쉼표 [0] 2 8 3 2" xfId="5970"/>
    <cellStyle name="쉼표 [0] 2 8 3 2 2" xfId="12523"/>
    <cellStyle name="쉼표 [0] 2 8 3 2 2 2" xfId="25751"/>
    <cellStyle name="쉼표 [0] 2 8 3 2 3" xfId="10704"/>
    <cellStyle name="쉼표 [0] 2 8 3 2 3 2" xfId="23932"/>
    <cellStyle name="쉼표 [0] 2 8 3 2 4" xfId="19209"/>
    <cellStyle name="쉼표 [0] 2 8 3 3" xfId="10005"/>
    <cellStyle name="쉼표 [0] 2 8 3 3 2" xfId="23233"/>
    <cellStyle name="쉼표 [0] 2 8 3 4" xfId="11939"/>
    <cellStyle name="쉼표 [0] 2 8 3 4 2" xfId="25167"/>
    <cellStyle name="쉼표 [0] 2 8 3 5" xfId="8938"/>
    <cellStyle name="쉼표 [0] 2 8 3 5 2" xfId="22166"/>
    <cellStyle name="쉼표 [0] 2 8 3 6" xfId="18335"/>
    <cellStyle name="쉼표 [0] 2 8 4" xfId="5459"/>
    <cellStyle name="쉼표 [0] 2 8 4 2" xfId="12102"/>
    <cellStyle name="쉼표 [0] 2 8 4 2 2" xfId="25330"/>
    <cellStyle name="쉼표 [0] 2 8 4 3" xfId="10193"/>
    <cellStyle name="쉼표 [0] 2 8 4 3 2" xfId="23421"/>
    <cellStyle name="쉼표 [0] 2 8 4 4" xfId="18698"/>
    <cellStyle name="쉼표 [0] 2 8 5" xfId="9192"/>
    <cellStyle name="쉼표 [0] 2 8 5 2" xfId="22420"/>
    <cellStyle name="쉼표 [0] 2 8 6" xfId="11460"/>
    <cellStyle name="쉼표 [0] 2 8 6 2" xfId="24688"/>
    <cellStyle name="쉼표 [0] 2 8 7" xfId="6886"/>
    <cellStyle name="쉼표 [0] 2 8 7 2" xfId="20114"/>
    <cellStyle name="쉼표 [0] 2 8 8" xfId="14824"/>
    <cellStyle name="쉼표 [0] 2 9" xfId="411"/>
    <cellStyle name="쉼표 [0] 2 9 2" xfId="595"/>
    <cellStyle name="쉼표 [0] 2 9 2 2" xfId="5175"/>
    <cellStyle name="쉼표 [0] 2 9 2 2 2" xfId="6075"/>
    <cellStyle name="쉼표 [0] 2 9 2 2 2 2" xfId="12628"/>
    <cellStyle name="쉼표 [0] 2 9 2 2 2 2 2" xfId="25856"/>
    <cellStyle name="쉼표 [0] 2 9 2 2 2 3" xfId="10809"/>
    <cellStyle name="쉼표 [0] 2 9 2 2 2 3 2" xfId="24037"/>
    <cellStyle name="쉼표 [0] 2 9 2 2 2 4" xfId="19314"/>
    <cellStyle name="쉼표 [0] 2 9 2 2 3" xfId="10110"/>
    <cellStyle name="쉼표 [0] 2 9 2 2 3 2" xfId="23338"/>
    <cellStyle name="쉼표 [0] 2 9 2 2 4" xfId="12044"/>
    <cellStyle name="쉼표 [0] 2 9 2 2 4 2" xfId="25272"/>
    <cellStyle name="쉼표 [0] 2 9 2 2 5" xfId="9043"/>
    <cellStyle name="쉼표 [0] 2 9 2 2 5 2" xfId="22271"/>
    <cellStyle name="쉼표 [0] 2 9 2 2 6" xfId="18441"/>
    <cellStyle name="쉼표 [0] 2 9 2 3" xfId="5603"/>
    <cellStyle name="쉼표 [0] 2 9 2 3 2" xfId="12246"/>
    <cellStyle name="쉼표 [0] 2 9 2 3 2 2" xfId="25474"/>
    <cellStyle name="쉼표 [0] 2 9 2 3 3" xfId="10337"/>
    <cellStyle name="쉼표 [0] 2 9 2 3 3 2" xfId="23565"/>
    <cellStyle name="쉼표 [0] 2 9 2 3 4" xfId="18842"/>
    <cellStyle name="쉼표 [0] 2 9 2 4" xfId="9336"/>
    <cellStyle name="쉼표 [0] 2 9 2 4 2" xfId="22564"/>
    <cellStyle name="쉼표 [0] 2 9 2 5" xfId="11604"/>
    <cellStyle name="쉼표 [0] 2 9 2 5 2" xfId="24832"/>
    <cellStyle name="쉼표 [0] 2 9 2 6" xfId="7069"/>
    <cellStyle name="쉼표 [0] 2 9 2 6 2" xfId="20297"/>
    <cellStyle name="쉼표 [0] 2 9 2 7" xfId="15009"/>
    <cellStyle name="쉼표 [0] 2 9 3" xfId="5151"/>
    <cellStyle name="쉼표 [0] 2 9 3 2" xfId="6051"/>
    <cellStyle name="쉼표 [0] 2 9 3 2 2" xfId="12604"/>
    <cellStyle name="쉼표 [0] 2 9 3 2 2 2" xfId="25832"/>
    <cellStyle name="쉼표 [0] 2 9 3 2 3" xfId="10785"/>
    <cellStyle name="쉼표 [0] 2 9 3 2 3 2" xfId="24013"/>
    <cellStyle name="쉼표 [0] 2 9 3 2 4" xfId="19290"/>
    <cellStyle name="쉼표 [0] 2 9 3 3" xfId="10086"/>
    <cellStyle name="쉼표 [0] 2 9 3 3 2" xfId="23314"/>
    <cellStyle name="쉼표 [0] 2 9 3 4" xfId="12020"/>
    <cellStyle name="쉼표 [0] 2 9 3 4 2" xfId="25248"/>
    <cellStyle name="쉼표 [0] 2 9 3 5" xfId="9019"/>
    <cellStyle name="쉼표 [0] 2 9 3 5 2" xfId="22247"/>
    <cellStyle name="쉼표 [0] 2 9 3 6" xfId="18417"/>
    <cellStyle name="쉼표 [0] 2 9 4" xfId="5460"/>
    <cellStyle name="쉼표 [0] 2 9 4 2" xfId="12103"/>
    <cellStyle name="쉼표 [0] 2 9 4 2 2" xfId="25331"/>
    <cellStyle name="쉼표 [0] 2 9 4 3" xfId="10194"/>
    <cellStyle name="쉼표 [0] 2 9 4 3 2" xfId="23422"/>
    <cellStyle name="쉼표 [0] 2 9 4 4" xfId="18699"/>
    <cellStyle name="쉼표 [0] 2 9 5" xfId="9193"/>
    <cellStyle name="쉼표 [0] 2 9 5 2" xfId="22421"/>
    <cellStyle name="쉼표 [0] 2 9 6" xfId="11461"/>
    <cellStyle name="쉼표 [0] 2 9 6 2" xfId="24689"/>
    <cellStyle name="쉼표 [0] 2 9 7" xfId="6887"/>
    <cellStyle name="쉼표 [0] 2 9 7 2" xfId="20115"/>
    <cellStyle name="쉼표 [0] 2 9 8" xfId="14825"/>
    <cellStyle name="쉼표 [0] 20" xfId="50697"/>
    <cellStyle name="쉼표 [0] 21" xfId="53952"/>
    <cellStyle name="쉼표 [0] 22" xfId="53953"/>
    <cellStyle name="쉼표 [0] 23" xfId="53954"/>
    <cellStyle name="쉼표 [0] 24" xfId="53955"/>
    <cellStyle name="쉼표 [0] 25" xfId="53956"/>
    <cellStyle name="쉼표 [0] 26" xfId="53957"/>
    <cellStyle name="쉼표 [0] 27" xfId="53958"/>
    <cellStyle name="쉼표 [0] 28" xfId="53959"/>
    <cellStyle name="쉼표 [0] 29" xfId="53960"/>
    <cellStyle name="쉼표 [0] 3" xfId="238"/>
    <cellStyle name="쉼표 [0] 3 10" xfId="412"/>
    <cellStyle name="쉼표 [0] 3 10 2" xfId="596"/>
    <cellStyle name="쉼표 [0] 3 10 2 2" xfId="5102"/>
    <cellStyle name="쉼표 [0] 3 10 2 2 2" xfId="6004"/>
    <cellStyle name="쉼표 [0] 3 10 2 2 2 2" xfId="12557"/>
    <cellStyle name="쉼표 [0] 3 10 2 2 2 2 2" xfId="25785"/>
    <cellStyle name="쉼표 [0] 3 10 2 2 2 3" xfId="10738"/>
    <cellStyle name="쉼표 [0] 3 10 2 2 2 3 2" xfId="23966"/>
    <cellStyle name="쉼표 [0] 3 10 2 2 2 4" xfId="19243"/>
    <cellStyle name="쉼표 [0] 3 10 2 2 3" xfId="10039"/>
    <cellStyle name="쉼표 [0] 3 10 2 2 3 2" xfId="23267"/>
    <cellStyle name="쉼표 [0] 3 10 2 2 4" xfId="11973"/>
    <cellStyle name="쉼표 [0] 3 10 2 2 4 2" xfId="25201"/>
    <cellStyle name="쉼표 [0] 3 10 2 2 5" xfId="8972"/>
    <cellStyle name="쉼표 [0] 3 10 2 2 5 2" xfId="22200"/>
    <cellStyle name="쉼표 [0] 3 10 2 2 6" xfId="18369"/>
    <cellStyle name="쉼표 [0] 3 10 2 3" xfId="5604"/>
    <cellStyle name="쉼표 [0] 3 10 2 3 2" xfId="12247"/>
    <cellStyle name="쉼표 [0] 3 10 2 3 2 2" xfId="25475"/>
    <cellStyle name="쉼표 [0] 3 10 2 3 3" xfId="10338"/>
    <cellStyle name="쉼표 [0] 3 10 2 3 3 2" xfId="23566"/>
    <cellStyle name="쉼표 [0] 3 10 2 3 4" xfId="18843"/>
    <cellStyle name="쉼표 [0] 3 10 2 4" xfId="9337"/>
    <cellStyle name="쉼표 [0] 3 10 2 4 2" xfId="22565"/>
    <cellStyle name="쉼표 [0] 3 10 2 5" xfId="11605"/>
    <cellStyle name="쉼표 [0] 3 10 2 5 2" xfId="24833"/>
    <cellStyle name="쉼표 [0] 3 10 2 6" xfId="7070"/>
    <cellStyle name="쉼표 [0] 3 10 2 6 2" xfId="20298"/>
    <cellStyle name="쉼표 [0] 3 10 2 7" xfId="15010"/>
    <cellStyle name="쉼표 [0] 3 10 3" xfId="5067"/>
    <cellStyle name="쉼표 [0] 3 10 3 2" xfId="5969"/>
    <cellStyle name="쉼표 [0] 3 10 3 2 2" xfId="12522"/>
    <cellStyle name="쉼표 [0] 3 10 3 2 2 2" xfId="25750"/>
    <cellStyle name="쉼표 [0] 3 10 3 2 3" xfId="10703"/>
    <cellStyle name="쉼표 [0] 3 10 3 2 3 2" xfId="23931"/>
    <cellStyle name="쉼표 [0] 3 10 3 2 4" xfId="19208"/>
    <cellStyle name="쉼표 [0] 3 10 3 3" xfId="10004"/>
    <cellStyle name="쉼표 [0] 3 10 3 3 2" xfId="23232"/>
    <cellStyle name="쉼표 [0] 3 10 3 4" xfId="11938"/>
    <cellStyle name="쉼표 [0] 3 10 3 4 2" xfId="25166"/>
    <cellStyle name="쉼표 [0] 3 10 3 5" xfId="8937"/>
    <cellStyle name="쉼표 [0] 3 10 3 5 2" xfId="22165"/>
    <cellStyle name="쉼표 [0] 3 10 3 6" xfId="18334"/>
    <cellStyle name="쉼표 [0] 3 10 4" xfId="5461"/>
    <cellStyle name="쉼표 [0] 3 10 4 2" xfId="12104"/>
    <cellStyle name="쉼표 [0] 3 10 4 2 2" xfId="25332"/>
    <cellStyle name="쉼표 [0] 3 10 4 3" xfId="10195"/>
    <cellStyle name="쉼표 [0] 3 10 4 3 2" xfId="23423"/>
    <cellStyle name="쉼표 [0] 3 10 4 4" xfId="18700"/>
    <cellStyle name="쉼표 [0] 3 10 5" xfId="9194"/>
    <cellStyle name="쉼표 [0] 3 10 5 2" xfId="22422"/>
    <cellStyle name="쉼표 [0] 3 10 6" xfId="11462"/>
    <cellStyle name="쉼표 [0] 3 10 6 2" xfId="24690"/>
    <cellStyle name="쉼표 [0] 3 10 7" xfId="6888"/>
    <cellStyle name="쉼표 [0] 3 10 7 2" xfId="20116"/>
    <cellStyle name="쉼표 [0] 3 10 8" xfId="14826"/>
    <cellStyle name="쉼표 [0] 3 11" xfId="413"/>
    <cellStyle name="쉼표 [0] 3 11 2" xfId="597"/>
    <cellStyle name="쉼표 [0] 3 11 2 2" xfId="4986"/>
    <cellStyle name="쉼표 [0] 3 11 2 2 2" xfId="5892"/>
    <cellStyle name="쉼표 [0] 3 11 2 2 2 2" xfId="12445"/>
    <cellStyle name="쉼표 [0] 3 11 2 2 2 2 2" xfId="25673"/>
    <cellStyle name="쉼표 [0] 3 11 2 2 2 3" xfId="10626"/>
    <cellStyle name="쉼표 [0] 3 11 2 2 2 3 2" xfId="23854"/>
    <cellStyle name="쉼표 [0] 3 11 2 2 2 4" xfId="19131"/>
    <cellStyle name="쉼표 [0] 3 11 2 2 3" xfId="9925"/>
    <cellStyle name="쉼표 [0] 3 11 2 2 3 2" xfId="23153"/>
    <cellStyle name="쉼표 [0] 3 11 2 2 4" xfId="11861"/>
    <cellStyle name="쉼표 [0] 3 11 2 2 4 2" xfId="25089"/>
    <cellStyle name="쉼표 [0] 3 11 2 2 5" xfId="8858"/>
    <cellStyle name="쉼표 [0] 3 11 2 2 5 2" xfId="22086"/>
    <cellStyle name="쉼표 [0] 3 11 2 2 6" xfId="18253"/>
    <cellStyle name="쉼표 [0] 3 11 2 3" xfId="5605"/>
    <cellStyle name="쉼표 [0] 3 11 2 3 2" xfId="12248"/>
    <cellStyle name="쉼표 [0] 3 11 2 3 2 2" xfId="25476"/>
    <cellStyle name="쉼표 [0] 3 11 2 3 3" xfId="10339"/>
    <cellStyle name="쉼표 [0] 3 11 2 3 3 2" xfId="23567"/>
    <cellStyle name="쉼표 [0] 3 11 2 3 4" xfId="18844"/>
    <cellStyle name="쉼표 [0] 3 11 2 4" xfId="9338"/>
    <cellStyle name="쉼표 [0] 3 11 2 4 2" xfId="22566"/>
    <cellStyle name="쉼표 [0] 3 11 2 5" xfId="11606"/>
    <cellStyle name="쉼표 [0] 3 11 2 5 2" xfId="24834"/>
    <cellStyle name="쉼표 [0] 3 11 2 6" xfId="7071"/>
    <cellStyle name="쉼표 [0] 3 11 2 6 2" xfId="20299"/>
    <cellStyle name="쉼표 [0] 3 11 2 7" xfId="15011"/>
    <cellStyle name="쉼표 [0] 3 11 3" xfId="4914"/>
    <cellStyle name="쉼표 [0] 3 11 3 2" xfId="5822"/>
    <cellStyle name="쉼표 [0] 3 11 3 2 2" xfId="12375"/>
    <cellStyle name="쉼표 [0] 3 11 3 2 2 2" xfId="25603"/>
    <cellStyle name="쉼표 [0] 3 11 3 2 3" xfId="10556"/>
    <cellStyle name="쉼표 [0] 3 11 3 2 3 2" xfId="23784"/>
    <cellStyle name="쉼표 [0] 3 11 3 2 4" xfId="19061"/>
    <cellStyle name="쉼표 [0] 3 11 3 3" xfId="9855"/>
    <cellStyle name="쉼표 [0] 3 11 3 3 2" xfId="23083"/>
    <cellStyle name="쉼표 [0] 3 11 3 4" xfId="11791"/>
    <cellStyle name="쉼표 [0] 3 11 3 4 2" xfId="25019"/>
    <cellStyle name="쉼표 [0] 3 11 3 5" xfId="8787"/>
    <cellStyle name="쉼표 [0] 3 11 3 5 2" xfId="22015"/>
    <cellStyle name="쉼표 [0] 3 11 3 6" xfId="18181"/>
    <cellStyle name="쉼표 [0] 3 11 4" xfId="5462"/>
    <cellStyle name="쉼표 [0] 3 11 4 2" xfId="12105"/>
    <cellStyle name="쉼표 [0] 3 11 4 2 2" xfId="25333"/>
    <cellStyle name="쉼표 [0] 3 11 4 3" xfId="10196"/>
    <cellStyle name="쉼표 [0] 3 11 4 3 2" xfId="23424"/>
    <cellStyle name="쉼표 [0] 3 11 4 4" xfId="18701"/>
    <cellStyle name="쉼표 [0] 3 11 5" xfId="9195"/>
    <cellStyle name="쉼표 [0] 3 11 5 2" xfId="22423"/>
    <cellStyle name="쉼표 [0] 3 11 6" xfId="11463"/>
    <cellStyle name="쉼표 [0] 3 11 6 2" xfId="24691"/>
    <cellStyle name="쉼표 [0] 3 11 7" xfId="6889"/>
    <cellStyle name="쉼표 [0] 3 11 7 2" xfId="20117"/>
    <cellStyle name="쉼표 [0] 3 11 8" xfId="14827"/>
    <cellStyle name="쉼표 [0] 3 12" xfId="414"/>
    <cellStyle name="쉼표 [0] 3 12 2" xfId="598"/>
    <cellStyle name="쉼표 [0] 3 12 2 2" xfId="4987"/>
    <cellStyle name="쉼표 [0] 3 12 2 2 2" xfId="5893"/>
    <cellStyle name="쉼표 [0] 3 12 2 2 2 2" xfId="12446"/>
    <cellStyle name="쉼표 [0] 3 12 2 2 2 2 2" xfId="25674"/>
    <cellStyle name="쉼표 [0] 3 12 2 2 2 3" xfId="10627"/>
    <cellStyle name="쉼표 [0] 3 12 2 2 2 3 2" xfId="23855"/>
    <cellStyle name="쉼표 [0] 3 12 2 2 2 4" xfId="19132"/>
    <cellStyle name="쉼표 [0] 3 12 2 2 3" xfId="9926"/>
    <cellStyle name="쉼표 [0] 3 12 2 2 3 2" xfId="23154"/>
    <cellStyle name="쉼표 [0] 3 12 2 2 4" xfId="11862"/>
    <cellStyle name="쉼표 [0] 3 12 2 2 4 2" xfId="25090"/>
    <cellStyle name="쉼표 [0] 3 12 2 2 5" xfId="8859"/>
    <cellStyle name="쉼표 [0] 3 12 2 2 5 2" xfId="22087"/>
    <cellStyle name="쉼표 [0] 3 12 2 2 6" xfId="18254"/>
    <cellStyle name="쉼표 [0] 3 12 2 3" xfId="5606"/>
    <cellStyle name="쉼표 [0] 3 12 2 3 2" xfId="12249"/>
    <cellStyle name="쉼표 [0] 3 12 2 3 2 2" xfId="25477"/>
    <cellStyle name="쉼표 [0] 3 12 2 3 3" xfId="10340"/>
    <cellStyle name="쉼표 [0] 3 12 2 3 3 2" xfId="23568"/>
    <cellStyle name="쉼표 [0] 3 12 2 3 4" xfId="18845"/>
    <cellStyle name="쉼표 [0] 3 12 2 4" xfId="9339"/>
    <cellStyle name="쉼표 [0] 3 12 2 4 2" xfId="22567"/>
    <cellStyle name="쉼표 [0] 3 12 2 5" xfId="11607"/>
    <cellStyle name="쉼표 [0] 3 12 2 5 2" xfId="24835"/>
    <cellStyle name="쉼표 [0] 3 12 2 6" xfId="7072"/>
    <cellStyle name="쉼표 [0] 3 12 2 6 2" xfId="20300"/>
    <cellStyle name="쉼표 [0] 3 12 2 7" xfId="15012"/>
    <cellStyle name="쉼표 [0] 3 12 3" xfId="4915"/>
    <cellStyle name="쉼표 [0] 3 12 3 2" xfId="5823"/>
    <cellStyle name="쉼표 [0] 3 12 3 2 2" xfId="12376"/>
    <cellStyle name="쉼표 [0] 3 12 3 2 2 2" xfId="25604"/>
    <cellStyle name="쉼표 [0] 3 12 3 2 3" xfId="10557"/>
    <cellStyle name="쉼표 [0] 3 12 3 2 3 2" xfId="23785"/>
    <cellStyle name="쉼표 [0] 3 12 3 2 4" xfId="19062"/>
    <cellStyle name="쉼표 [0] 3 12 3 3" xfId="9856"/>
    <cellStyle name="쉼표 [0] 3 12 3 3 2" xfId="23084"/>
    <cellStyle name="쉼표 [0] 3 12 3 4" xfId="11792"/>
    <cellStyle name="쉼표 [0] 3 12 3 4 2" xfId="25020"/>
    <cellStyle name="쉼표 [0] 3 12 3 5" xfId="8788"/>
    <cellStyle name="쉼표 [0] 3 12 3 5 2" xfId="22016"/>
    <cellStyle name="쉼표 [0] 3 12 3 6" xfId="18182"/>
    <cellStyle name="쉼표 [0] 3 12 4" xfId="5463"/>
    <cellStyle name="쉼표 [0] 3 12 4 2" xfId="12106"/>
    <cellStyle name="쉼표 [0] 3 12 4 2 2" xfId="25334"/>
    <cellStyle name="쉼표 [0] 3 12 4 3" xfId="10197"/>
    <cellStyle name="쉼표 [0] 3 12 4 3 2" xfId="23425"/>
    <cellStyle name="쉼표 [0] 3 12 4 4" xfId="18702"/>
    <cellStyle name="쉼표 [0] 3 12 5" xfId="9196"/>
    <cellStyle name="쉼표 [0] 3 12 5 2" xfId="22424"/>
    <cellStyle name="쉼표 [0] 3 12 6" xfId="11464"/>
    <cellStyle name="쉼표 [0] 3 12 6 2" xfId="24692"/>
    <cellStyle name="쉼표 [0] 3 12 7" xfId="6890"/>
    <cellStyle name="쉼표 [0] 3 12 7 2" xfId="20118"/>
    <cellStyle name="쉼표 [0] 3 12 8" xfId="14828"/>
    <cellStyle name="쉼표 [0] 3 13" xfId="3161"/>
    <cellStyle name="쉼표 [0] 3 14" xfId="51070"/>
    <cellStyle name="쉼표 [0] 3 15" xfId="53961"/>
    <cellStyle name="쉼표 [0] 3 16" xfId="53962"/>
    <cellStyle name="쉼표 [0] 3 2" xfId="415"/>
    <cellStyle name="쉼표 [0] 3 2 10" xfId="5070"/>
    <cellStyle name="쉼표 [0] 3 2 10 2" xfId="5972"/>
    <cellStyle name="쉼표 [0] 3 2 10 2 2" xfId="12525"/>
    <cellStyle name="쉼표 [0] 3 2 10 2 2 2" xfId="25753"/>
    <cellStyle name="쉼표 [0] 3 2 10 2 3" xfId="10706"/>
    <cellStyle name="쉼표 [0] 3 2 10 2 3 2" xfId="23934"/>
    <cellStyle name="쉼표 [0] 3 2 10 2 4" xfId="19211"/>
    <cellStyle name="쉼표 [0] 3 2 10 3" xfId="10007"/>
    <cellStyle name="쉼표 [0] 3 2 10 3 2" xfId="23235"/>
    <cellStyle name="쉼표 [0] 3 2 10 4" xfId="11941"/>
    <cellStyle name="쉼표 [0] 3 2 10 4 2" xfId="25169"/>
    <cellStyle name="쉼표 [0] 3 2 10 5" xfId="8940"/>
    <cellStyle name="쉼표 [0] 3 2 10 5 2" xfId="22168"/>
    <cellStyle name="쉼표 [0] 3 2 10 6" xfId="18337"/>
    <cellStyle name="쉼표 [0] 3 2 11" xfId="3162"/>
    <cellStyle name="쉼표 [0] 3 2 12" xfId="5464"/>
    <cellStyle name="쉼표 [0] 3 2 12 2" xfId="12107"/>
    <cellStyle name="쉼표 [0] 3 2 12 2 2" xfId="25335"/>
    <cellStyle name="쉼표 [0] 3 2 12 3" xfId="10198"/>
    <cellStyle name="쉼표 [0] 3 2 12 3 2" xfId="23426"/>
    <cellStyle name="쉼표 [0] 3 2 12 4" xfId="18703"/>
    <cellStyle name="쉼표 [0] 3 2 13" xfId="9197"/>
    <cellStyle name="쉼표 [0] 3 2 13 2" xfId="22425"/>
    <cellStyle name="쉼표 [0] 3 2 14" xfId="11465"/>
    <cellStyle name="쉼표 [0] 3 2 14 2" xfId="24693"/>
    <cellStyle name="쉼표 [0] 3 2 15" xfId="6891"/>
    <cellStyle name="쉼표 [0] 3 2 15 2" xfId="20119"/>
    <cellStyle name="쉼표 [0] 3 2 16" xfId="14829"/>
    <cellStyle name="쉼표 [0] 3 2 2" xfId="416"/>
    <cellStyle name="쉼표 [0] 3 2 2 2" xfId="600"/>
    <cellStyle name="쉼표 [0] 3 2 2 2 2" xfId="5176"/>
    <cellStyle name="쉼표 [0] 3 2 2 2 2 2" xfId="6076"/>
    <cellStyle name="쉼표 [0] 3 2 2 2 2 2 2" xfId="12629"/>
    <cellStyle name="쉼표 [0] 3 2 2 2 2 2 2 2" xfId="25857"/>
    <cellStyle name="쉼표 [0] 3 2 2 2 2 2 3" xfId="10810"/>
    <cellStyle name="쉼표 [0] 3 2 2 2 2 2 3 2" xfId="24038"/>
    <cellStyle name="쉼표 [0] 3 2 2 2 2 2 4" xfId="19315"/>
    <cellStyle name="쉼표 [0] 3 2 2 2 2 3" xfId="10111"/>
    <cellStyle name="쉼표 [0] 3 2 2 2 2 3 2" xfId="23339"/>
    <cellStyle name="쉼표 [0] 3 2 2 2 2 4" xfId="12045"/>
    <cellStyle name="쉼표 [0] 3 2 2 2 2 4 2" xfId="25273"/>
    <cellStyle name="쉼표 [0] 3 2 2 2 2 5" xfId="9044"/>
    <cellStyle name="쉼표 [0] 3 2 2 2 2 5 2" xfId="22272"/>
    <cellStyle name="쉼표 [0] 3 2 2 2 2 6" xfId="18442"/>
    <cellStyle name="쉼표 [0] 3 2 2 2 3" xfId="5608"/>
    <cellStyle name="쉼표 [0] 3 2 2 2 3 2" xfId="12251"/>
    <cellStyle name="쉼표 [0] 3 2 2 2 3 2 2" xfId="25479"/>
    <cellStyle name="쉼표 [0] 3 2 2 2 3 3" xfId="10342"/>
    <cellStyle name="쉼표 [0] 3 2 2 2 3 3 2" xfId="23570"/>
    <cellStyle name="쉼표 [0] 3 2 2 2 3 4" xfId="18847"/>
    <cellStyle name="쉼표 [0] 3 2 2 2 4" xfId="9341"/>
    <cellStyle name="쉼표 [0] 3 2 2 2 4 2" xfId="22569"/>
    <cellStyle name="쉼표 [0] 3 2 2 2 5" xfId="11609"/>
    <cellStyle name="쉼표 [0] 3 2 2 2 5 2" xfId="24837"/>
    <cellStyle name="쉼표 [0] 3 2 2 2 6" xfId="7074"/>
    <cellStyle name="쉼표 [0] 3 2 2 2 6 2" xfId="20302"/>
    <cellStyle name="쉼표 [0] 3 2 2 2 7" xfId="15014"/>
    <cellStyle name="쉼표 [0] 3 2 2 3" xfId="5152"/>
    <cellStyle name="쉼표 [0] 3 2 2 3 2" xfId="6052"/>
    <cellStyle name="쉼표 [0] 3 2 2 3 2 2" xfId="12605"/>
    <cellStyle name="쉼표 [0] 3 2 2 3 2 2 2" xfId="25833"/>
    <cellStyle name="쉼표 [0] 3 2 2 3 2 3" xfId="10786"/>
    <cellStyle name="쉼표 [0] 3 2 2 3 2 3 2" xfId="24014"/>
    <cellStyle name="쉼표 [0] 3 2 2 3 2 4" xfId="19291"/>
    <cellStyle name="쉼표 [0] 3 2 2 3 3" xfId="10087"/>
    <cellStyle name="쉼표 [0] 3 2 2 3 3 2" xfId="23315"/>
    <cellStyle name="쉼표 [0] 3 2 2 3 4" xfId="12021"/>
    <cellStyle name="쉼표 [0] 3 2 2 3 4 2" xfId="25249"/>
    <cellStyle name="쉼표 [0] 3 2 2 3 5" xfId="9020"/>
    <cellStyle name="쉼표 [0] 3 2 2 3 5 2" xfId="22248"/>
    <cellStyle name="쉼표 [0] 3 2 2 3 6" xfId="18418"/>
    <cellStyle name="쉼표 [0] 3 2 2 4" xfId="5465"/>
    <cellStyle name="쉼표 [0] 3 2 2 4 2" xfId="12108"/>
    <cellStyle name="쉼표 [0] 3 2 2 4 2 2" xfId="25336"/>
    <cellStyle name="쉼표 [0] 3 2 2 4 3" xfId="10199"/>
    <cellStyle name="쉼표 [0] 3 2 2 4 3 2" xfId="23427"/>
    <cellStyle name="쉼표 [0] 3 2 2 4 4" xfId="18704"/>
    <cellStyle name="쉼표 [0] 3 2 2 5" xfId="9198"/>
    <cellStyle name="쉼표 [0] 3 2 2 5 2" xfId="22426"/>
    <cellStyle name="쉼표 [0] 3 2 2 6" xfId="11466"/>
    <cellStyle name="쉼표 [0] 3 2 2 6 2" xfId="24694"/>
    <cellStyle name="쉼표 [0] 3 2 2 7" xfId="6892"/>
    <cellStyle name="쉼표 [0] 3 2 2 7 2" xfId="20120"/>
    <cellStyle name="쉼표 [0] 3 2 2 8" xfId="14830"/>
    <cellStyle name="쉼표 [0] 3 2 3" xfId="417"/>
    <cellStyle name="쉼표 [0] 3 2 3 2" xfId="601"/>
    <cellStyle name="쉼표 [0] 3 2 3 2 2" xfId="5104"/>
    <cellStyle name="쉼표 [0] 3 2 3 2 2 2" xfId="6006"/>
    <cellStyle name="쉼표 [0] 3 2 3 2 2 2 2" xfId="12559"/>
    <cellStyle name="쉼표 [0] 3 2 3 2 2 2 2 2" xfId="25787"/>
    <cellStyle name="쉼표 [0] 3 2 3 2 2 2 3" xfId="10740"/>
    <cellStyle name="쉼표 [0] 3 2 3 2 2 2 3 2" xfId="23968"/>
    <cellStyle name="쉼표 [0] 3 2 3 2 2 2 4" xfId="19245"/>
    <cellStyle name="쉼표 [0] 3 2 3 2 2 3" xfId="10041"/>
    <cellStyle name="쉼표 [0] 3 2 3 2 2 3 2" xfId="23269"/>
    <cellStyle name="쉼표 [0] 3 2 3 2 2 4" xfId="11975"/>
    <cellStyle name="쉼표 [0] 3 2 3 2 2 4 2" xfId="25203"/>
    <cellStyle name="쉼표 [0] 3 2 3 2 2 5" xfId="8974"/>
    <cellStyle name="쉼표 [0] 3 2 3 2 2 5 2" xfId="22202"/>
    <cellStyle name="쉼표 [0] 3 2 3 2 2 6" xfId="18371"/>
    <cellStyle name="쉼표 [0] 3 2 3 2 3" xfId="5609"/>
    <cellStyle name="쉼표 [0] 3 2 3 2 3 2" xfId="12252"/>
    <cellStyle name="쉼표 [0] 3 2 3 2 3 2 2" xfId="25480"/>
    <cellStyle name="쉼표 [0] 3 2 3 2 3 3" xfId="10343"/>
    <cellStyle name="쉼표 [0] 3 2 3 2 3 3 2" xfId="23571"/>
    <cellStyle name="쉼표 [0] 3 2 3 2 3 4" xfId="18848"/>
    <cellStyle name="쉼표 [0] 3 2 3 2 4" xfId="9342"/>
    <cellStyle name="쉼표 [0] 3 2 3 2 4 2" xfId="22570"/>
    <cellStyle name="쉼표 [0] 3 2 3 2 5" xfId="11610"/>
    <cellStyle name="쉼표 [0] 3 2 3 2 5 2" xfId="24838"/>
    <cellStyle name="쉼표 [0] 3 2 3 2 6" xfId="7075"/>
    <cellStyle name="쉼표 [0] 3 2 3 2 6 2" xfId="20303"/>
    <cellStyle name="쉼표 [0] 3 2 3 2 7" xfId="15015"/>
    <cellStyle name="쉼표 [0] 3 2 3 3" xfId="5069"/>
    <cellStyle name="쉼표 [0] 3 2 3 3 2" xfId="5971"/>
    <cellStyle name="쉼표 [0] 3 2 3 3 2 2" xfId="12524"/>
    <cellStyle name="쉼표 [0] 3 2 3 3 2 2 2" xfId="25752"/>
    <cellStyle name="쉼표 [0] 3 2 3 3 2 3" xfId="10705"/>
    <cellStyle name="쉼표 [0] 3 2 3 3 2 3 2" xfId="23933"/>
    <cellStyle name="쉼표 [0] 3 2 3 3 2 4" xfId="19210"/>
    <cellStyle name="쉼표 [0] 3 2 3 3 3" xfId="10006"/>
    <cellStyle name="쉼표 [0] 3 2 3 3 3 2" xfId="23234"/>
    <cellStyle name="쉼표 [0] 3 2 3 3 4" xfId="11940"/>
    <cellStyle name="쉼표 [0] 3 2 3 3 4 2" xfId="25168"/>
    <cellStyle name="쉼표 [0] 3 2 3 3 5" xfId="8939"/>
    <cellStyle name="쉼표 [0] 3 2 3 3 5 2" xfId="22167"/>
    <cellStyle name="쉼표 [0] 3 2 3 3 6" xfId="18336"/>
    <cellStyle name="쉼표 [0] 3 2 3 4" xfId="5466"/>
    <cellStyle name="쉼표 [0] 3 2 3 4 2" xfId="12109"/>
    <cellStyle name="쉼표 [0] 3 2 3 4 2 2" xfId="25337"/>
    <cellStyle name="쉼표 [0] 3 2 3 4 3" xfId="10200"/>
    <cellStyle name="쉼표 [0] 3 2 3 4 3 2" xfId="23428"/>
    <cellStyle name="쉼표 [0] 3 2 3 4 4" xfId="18705"/>
    <cellStyle name="쉼표 [0] 3 2 3 5" xfId="9199"/>
    <cellStyle name="쉼표 [0] 3 2 3 5 2" xfId="22427"/>
    <cellStyle name="쉼표 [0] 3 2 3 6" xfId="11467"/>
    <cellStyle name="쉼표 [0] 3 2 3 6 2" xfId="24695"/>
    <cellStyle name="쉼표 [0] 3 2 3 7" xfId="6893"/>
    <cellStyle name="쉼표 [0] 3 2 3 7 2" xfId="20121"/>
    <cellStyle name="쉼표 [0] 3 2 3 8" xfId="14831"/>
    <cellStyle name="쉼표 [0] 3 2 4" xfId="418"/>
    <cellStyle name="쉼표 [0] 3 2 4 2" xfId="602"/>
    <cellStyle name="쉼표 [0] 3 2 4 2 2" xfId="4988"/>
    <cellStyle name="쉼표 [0] 3 2 4 2 2 2" xfId="5894"/>
    <cellStyle name="쉼표 [0] 3 2 4 2 2 2 2" xfId="12447"/>
    <cellStyle name="쉼표 [0] 3 2 4 2 2 2 2 2" xfId="25675"/>
    <cellStyle name="쉼표 [0] 3 2 4 2 2 2 3" xfId="10628"/>
    <cellStyle name="쉼표 [0] 3 2 4 2 2 2 3 2" xfId="23856"/>
    <cellStyle name="쉼표 [0] 3 2 4 2 2 2 4" xfId="19133"/>
    <cellStyle name="쉼표 [0] 3 2 4 2 2 3" xfId="9927"/>
    <cellStyle name="쉼표 [0] 3 2 4 2 2 3 2" xfId="23155"/>
    <cellStyle name="쉼표 [0] 3 2 4 2 2 4" xfId="11863"/>
    <cellStyle name="쉼표 [0] 3 2 4 2 2 4 2" xfId="25091"/>
    <cellStyle name="쉼표 [0] 3 2 4 2 2 5" xfId="8860"/>
    <cellStyle name="쉼표 [0] 3 2 4 2 2 5 2" xfId="22088"/>
    <cellStyle name="쉼표 [0] 3 2 4 2 2 6" xfId="18255"/>
    <cellStyle name="쉼표 [0] 3 2 4 2 3" xfId="5610"/>
    <cellStyle name="쉼표 [0] 3 2 4 2 3 2" xfId="12253"/>
    <cellStyle name="쉼표 [0] 3 2 4 2 3 2 2" xfId="25481"/>
    <cellStyle name="쉼표 [0] 3 2 4 2 3 3" xfId="10344"/>
    <cellStyle name="쉼표 [0] 3 2 4 2 3 3 2" xfId="23572"/>
    <cellStyle name="쉼표 [0] 3 2 4 2 3 4" xfId="18849"/>
    <cellStyle name="쉼표 [0] 3 2 4 2 4" xfId="9343"/>
    <cellStyle name="쉼표 [0] 3 2 4 2 4 2" xfId="22571"/>
    <cellStyle name="쉼표 [0] 3 2 4 2 5" xfId="11611"/>
    <cellStyle name="쉼표 [0] 3 2 4 2 5 2" xfId="24839"/>
    <cellStyle name="쉼표 [0] 3 2 4 2 6" xfId="7076"/>
    <cellStyle name="쉼표 [0] 3 2 4 2 6 2" xfId="20304"/>
    <cellStyle name="쉼표 [0] 3 2 4 2 7" xfId="15016"/>
    <cellStyle name="쉼표 [0] 3 2 4 3" xfId="4916"/>
    <cellStyle name="쉼표 [0] 3 2 4 3 2" xfId="5824"/>
    <cellStyle name="쉼표 [0] 3 2 4 3 2 2" xfId="12377"/>
    <cellStyle name="쉼표 [0] 3 2 4 3 2 2 2" xfId="25605"/>
    <cellStyle name="쉼표 [0] 3 2 4 3 2 3" xfId="10558"/>
    <cellStyle name="쉼표 [0] 3 2 4 3 2 3 2" xfId="23786"/>
    <cellStyle name="쉼표 [0] 3 2 4 3 2 4" xfId="19063"/>
    <cellStyle name="쉼표 [0] 3 2 4 3 3" xfId="9857"/>
    <cellStyle name="쉼표 [0] 3 2 4 3 3 2" xfId="23085"/>
    <cellStyle name="쉼표 [0] 3 2 4 3 4" xfId="11793"/>
    <cellStyle name="쉼표 [0] 3 2 4 3 4 2" xfId="25021"/>
    <cellStyle name="쉼표 [0] 3 2 4 3 5" xfId="8789"/>
    <cellStyle name="쉼표 [0] 3 2 4 3 5 2" xfId="22017"/>
    <cellStyle name="쉼표 [0] 3 2 4 3 6" xfId="18183"/>
    <cellStyle name="쉼표 [0] 3 2 4 4" xfId="5467"/>
    <cellStyle name="쉼표 [0] 3 2 4 4 2" xfId="12110"/>
    <cellStyle name="쉼표 [0] 3 2 4 4 2 2" xfId="25338"/>
    <cellStyle name="쉼표 [0] 3 2 4 4 3" xfId="10201"/>
    <cellStyle name="쉼표 [0] 3 2 4 4 3 2" xfId="23429"/>
    <cellStyle name="쉼표 [0] 3 2 4 4 4" xfId="18706"/>
    <cellStyle name="쉼표 [0] 3 2 4 5" xfId="9200"/>
    <cellStyle name="쉼표 [0] 3 2 4 5 2" xfId="22428"/>
    <cellStyle name="쉼표 [0] 3 2 4 6" xfId="11468"/>
    <cellStyle name="쉼표 [0] 3 2 4 6 2" xfId="24696"/>
    <cellStyle name="쉼표 [0] 3 2 4 7" xfId="6894"/>
    <cellStyle name="쉼표 [0] 3 2 4 7 2" xfId="20122"/>
    <cellStyle name="쉼표 [0] 3 2 4 8" xfId="14832"/>
    <cellStyle name="쉼표 [0] 3 2 5" xfId="419"/>
    <cellStyle name="쉼표 [0] 3 2 5 2" xfId="603"/>
    <cellStyle name="쉼표 [0] 3 2 5 2 2" xfId="4989"/>
    <cellStyle name="쉼표 [0] 3 2 5 2 2 2" xfId="5895"/>
    <cellStyle name="쉼표 [0] 3 2 5 2 2 2 2" xfId="12448"/>
    <cellStyle name="쉼표 [0] 3 2 5 2 2 2 2 2" xfId="25676"/>
    <cellStyle name="쉼표 [0] 3 2 5 2 2 2 3" xfId="10629"/>
    <cellStyle name="쉼표 [0] 3 2 5 2 2 2 3 2" xfId="23857"/>
    <cellStyle name="쉼표 [0] 3 2 5 2 2 2 4" xfId="19134"/>
    <cellStyle name="쉼표 [0] 3 2 5 2 2 3" xfId="9928"/>
    <cellStyle name="쉼표 [0] 3 2 5 2 2 3 2" xfId="23156"/>
    <cellStyle name="쉼표 [0] 3 2 5 2 2 4" xfId="11864"/>
    <cellStyle name="쉼표 [0] 3 2 5 2 2 4 2" xfId="25092"/>
    <cellStyle name="쉼표 [0] 3 2 5 2 2 5" xfId="8861"/>
    <cellStyle name="쉼표 [0] 3 2 5 2 2 5 2" xfId="22089"/>
    <cellStyle name="쉼표 [0] 3 2 5 2 2 6" xfId="18256"/>
    <cellStyle name="쉼표 [0] 3 2 5 2 3" xfId="5611"/>
    <cellStyle name="쉼표 [0] 3 2 5 2 3 2" xfId="12254"/>
    <cellStyle name="쉼표 [0] 3 2 5 2 3 2 2" xfId="25482"/>
    <cellStyle name="쉼표 [0] 3 2 5 2 3 3" xfId="10345"/>
    <cellStyle name="쉼표 [0] 3 2 5 2 3 3 2" xfId="23573"/>
    <cellStyle name="쉼표 [0] 3 2 5 2 3 4" xfId="18850"/>
    <cellStyle name="쉼표 [0] 3 2 5 2 4" xfId="9344"/>
    <cellStyle name="쉼표 [0] 3 2 5 2 4 2" xfId="22572"/>
    <cellStyle name="쉼표 [0] 3 2 5 2 5" xfId="11612"/>
    <cellStyle name="쉼표 [0] 3 2 5 2 5 2" xfId="24840"/>
    <cellStyle name="쉼표 [0] 3 2 5 2 6" xfId="7077"/>
    <cellStyle name="쉼표 [0] 3 2 5 2 6 2" xfId="20305"/>
    <cellStyle name="쉼표 [0] 3 2 5 2 7" xfId="15017"/>
    <cellStyle name="쉼표 [0] 3 2 5 3" xfId="4917"/>
    <cellStyle name="쉼표 [0] 3 2 5 3 2" xfId="5825"/>
    <cellStyle name="쉼표 [0] 3 2 5 3 2 2" xfId="12378"/>
    <cellStyle name="쉼표 [0] 3 2 5 3 2 2 2" xfId="25606"/>
    <cellStyle name="쉼표 [0] 3 2 5 3 2 3" xfId="10559"/>
    <cellStyle name="쉼표 [0] 3 2 5 3 2 3 2" xfId="23787"/>
    <cellStyle name="쉼표 [0] 3 2 5 3 2 4" xfId="19064"/>
    <cellStyle name="쉼표 [0] 3 2 5 3 3" xfId="9858"/>
    <cellStyle name="쉼표 [0] 3 2 5 3 3 2" xfId="23086"/>
    <cellStyle name="쉼표 [0] 3 2 5 3 4" xfId="11794"/>
    <cellStyle name="쉼표 [0] 3 2 5 3 4 2" xfId="25022"/>
    <cellStyle name="쉼표 [0] 3 2 5 3 5" xfId="8790"/>
    <cellStyle name="쉼표 [0] 3 2 5 3 5 2" xfId="22018"/>
    <cellStyle name="쉼표 [0] 3 2 5 3 6" xfId="18184"/>
    <cellStyle name="쉼표 [0] 3 2 5 4" xfId="5468"/>
    <cellStyle name="쉼표 [0] 3 2 5 4 2" xfId="12111"/>
    <cellStyle name="쉼표 [0] 3 2 5 4 2 2" xfId="25339"/>
    <cellStyle name="쉼표 [0] 3 2 5 4 3" xfId="10202"/>
    <cellStyle name="쉼표 [0] 3 2 5 4 3 2" xfId="23430"/>
    <cellStyle name="쉼표 [0] 3 2 5 4 4" xfId="18707"/>
    <cellStyle name="쉼표 [0] 3 2 5 5" xfId="9201"/>
    <cellStyle name="쉼표 [0] 3 2 5 5 2" xfId="22429"/>
    <cellStyle name="쉼표 [0] 3 2 5 6" xfId="11469"/>
    <cellStyle name="쉼표 [0] 3 2 5 6 2" xfId="24697"/>
    <cellStyle name="쉼표 [0] 3 2 5 7" xfId="6895"/>
    <cellStyle name="쉼표 [0] 3 2 5 7 2" xfId="20123"/>
    <cellStyle name="쉼표 [0] 3 2 5 8" xfId="14833"/>
    <cellStyle name="쉼표 [0] 3 2 6" xfId="420"/>
    <cellStyle name="쉼표 [0] 3 2 6 2" xfId="604"/>
    <cellStyle name="쉼표 [0] 3 2 6 2 2" xfId="5136"/>
    <cellStyle name="쉼표 [0] 3 2 6 2 2 2" xfId="6037"/>
    <cellStyle name="쉼표 [0] 3 2 6 2 2 2 2" xfId="12590"/>
    <cellStyle name="쉼표 [0] 3 2 6 2 2 2 2 2" xfId="25818"/>
    <cellStyle name="쉼표 [0] 3 2 6 2 2 2 3" xfId="10771"/>
    <cellStyle name="쉼표 [0] 3 2 6 2 2 2 3 2" xfId="23999"/>
    <cellStyle name="쉼표 [0] 3 2 6 2 2 2 4" xfId="19276"/>
    <cellStyle name="쉼표 [0] 3 2 6 2 2 3" xfId="10072"/>
    <cellStyle name="쉼표 [0] 3 2 6 2 2 3 2" xfId="23300"/>
    <cellStyle name="쉼표 [0] 3 2 6 2 2 4" xfId="12006"/>
    <cellStyle name="쉼표 [0] 3 2 6 2 2 4 2" xfId="25234"/>
    <cellStyle name="쉼표 [0] 3 2 6 2 2 5" xfId="9005"/>
    <cellStyle name="쉼표 [0] 3 2 6 2 2 5 2" xfId="22233"/>
    <cellStyle name="쉼표 [0] 3 2 6 2 2 6" xfId="18402"/>
    <cellStyle name="쉼표 [0] 3 2 6 2 3" xfId="5612"/>
    <cellStyle name="쉼표 [0] 3 2 6 2 3 2" xfId="12255"/>
    <cellStyle name="쉼표 [0] 3 2 6 2 3 2 2" xfId="25483"/>
    <cellStyle name="쉼표 [0] 3 2 6 2 3 3" xfId="10346"/>
    <cellStyle name="쉼표 [0] 3 2 6 2 3 3 2" xfId="23574"/>
    <cellStyle name="쉼표 [0] 3 2 6 2 3 4" xfId="18851"/>
    <cellStyle name="쉼표 [0] 3 2 6 2 4" xfId="9345"/>
    <cellStyle name="쉼표 [0] 3 2 6 2 4 2" xfId="22573"/>
    <cellStyle name="쉼표 [0] 3 2 6 2 5" xfId="11613"/>
    <cellStyle name="쉼표 [0] 3 2 6 2 5 2" xfId="24841"/>
    <cellStyle name="쉼표 [0] 3 2 6 2 6" xfId="7078"/>
    <cellStyle name="쉼표 [0] 3 2 6 2 6 2" xfId="20306"/>
    <cellStyle name="쉼표 [0] 3 2 6 2 7" xfId="15018"/>
    <cellStyle name="쉼표 [0] 3 2 6 3" xfId="5131"/>
    <cellStyle name="쉼표 [0] 3 2 6 3 2" xfId="6032"/>
    <cellStyle name="쉼표 [0] 3 2 6 3 2 2" xfId="12585"/>
    <cellStyle name="쉼표 [0] 3 2 6 3 2 2 2" xfId="25813"/>
    <cellStyle name="쉼표 [0] 3 2 6 3 2 3" xfId="10766"/>
    <cellStyle name="쉼표 [0] 3 2 6 3 2 3 2" xfId="23994"/>
    <cellStyle name="쉼표 [0] 3 2 6 3 2 4" xfId="19271"/>
    <cellStyle name="쉼표 [0] 3 2 6 3 3" xfId="10067"/>
    <cellStyle name="쉼표 [0] 3 2 6 3 3 2" xfId="23295"/>
    <cellStyle name="쉼표 [0] 3 2 6 3 4" xfId="12001"/>
    <cellStyle name="쉼표 [0] 3 2 6 3 4 2" xfId="25229"/>
    <cellStyle name="쉼표 [0] 3 2 6 3 5" xfId="9000"/>
    <cellStyle name="쉼표 [0] 3 2 6 3 5 2" xfId="22228"/>
    <cellStyle name="쉼표 [0] 3 2 6 3 6" xfId="18397"/>
    <cellStyle name="쉼표 [0] 3 2 6 4" xfId="5469"/>
    <cellStyle name="쉼표 [0] 3 2 6 4 2" xfId="12112"/>
    <cellStyle name="쉼표 [0] 3 2 6 4 2 2" xfId="25340"/>
    <cellStyle name="쉼표 [0] 3 2 6 4 3" xfId="10203"/>
    <cellStyle name="쉼표 [0] 3 2 6 4 3 2" xfId="23431"/>
    <cellStyle name="쉼표 [0] 3 2 6 4 4" xfId="18708"/>
    <cellStyle name="쉼표 [0] 3 2 6 5" xfId="9202"/>
    <cellStyle name="쉼표 [0] 3 2 6 5 2" xfId="22430"/>
    <cellStyle name="쉼표 [0] 3 2 6 6" xfId="11470"/>
    <cellStyle name="쉼표 [0] 3 2 6 6 2" xfId="24698"/>
    <cellStyle name="쉼표 [0] 3 2 6 7" xfId="6896"/>
    <cellStyle name="쉼표 [0] 3 2 6 7 2" xfId="20124"/>
    <cellStyle name="쉼표 [0] 3 2 6 8" xfId="14834"/>
    <cellStyle name="쉼표 [0] 3 2 7" xfId="421"/>
    <cellStyle name="쉼표 [0] 3 2 7 2" xfId="605"/>
    <cellStyle name="쉼표 [0] 3 2 7 2 2" xfId="4990"/>
    <cellStyle name="쉼표 [0] 3 2 7 2 2 2" xfId="5896"/>
    <cellStyle name="쉼표 [0] 3 2 7 2 2 2 2" xfId="12449"/>
    <cellStyle name="쉼표 [0] 3 2 7 2 2 2 2 2" xfId="25677"/>
    <cellStyle name="쉼표 [0] 3 2 7 2 2 2 3" xfId="10630"/>
    <cellStyle name="쉼표 [0] 3 2 7 2 2 2 3 2" xfId="23858"/>
    <cellStyle name="쉼표 [0] 3 2 7 2 2 2 4" xfId="19135"/>
    <cellStyle name="쉼표 [0] 3 2 7 2 2 3" xfId="9929"/>
    <cellStyle name="쉼표 [0] 3 2 7 2 2 3 2" xfId="23157"/>
    <cellStyle name="쉼표 [0] 3 2 7 2 2 4" xfId="11865"/>
    <cellStyle name="쉼표 [0] 3 2 7 2 2 4 2" xfId="25093"/>
    <cellStyle name="쉼표 [0] 3 2 7 2 2 5" xfId="8862"/>
    <cellStyle name="쉼표 [0] 3 2 7 2 2 5 2" xfId="22090"/>
    <cellStyle name="쉼표 [0] 3 2 7 2 2 6" xfId="18257"/>
    <cellStyle name="쉼표 [0] 3 2 7 2 3" xfId="5613"/>
    <cellStyle name="쉼표 [0] 3 2 7 2 3 2" xfId="12256"/>
    <cellStyle name="쉼표 [0] 3 2 7 2 3 2 2" xfId="25484"/>
    <cellStyle name="쉼표 [0] 3 2 7 2 3 3" xfId="10347"/>
    <cellStyle name="쉼표 [0] 3 2 7 2 3 3 2" xfId="23575"/>
    <cellStyle name="쉼표 [0] 3 2 7 2 3 4" xfId="18852"/>
    <cellStyle name="쉼표 [0] 3 2 7 2 4" xfId="9346"/>
    <cellStyle name="쉼표 [0] 3 2 7 2 4 2" xfId="22574"/>
    <cellStyle name="쉼표 [0] 3 2 7 2 5" xfId="11614"/>
    <cellStyle name="쉼표 [0] 3 2 7 2 5 2" xfId="24842"/>
    <cellStyle name="쉼표 [0] 3 2 7 2 6" xfId="7079"/>
    <cellStyle name="쉼표 [0] 3 2 7 2 6 2" xfId="20307"/>
    <cellStyle name="쉼표 [0] 3 2 7 2 7" xfId="15019"/>
    <cellStyle name="쉼표 [0] 3 2 7 3" xfId="4918"/>
    <cellStyle name="쉼표 [0] 3 2 7 3 2" xfId="5826"/>
    <cellStyle name="쉼표 [0] 3 2 7 3 2 2" xfId="12379"/>
    <cellStyle name="쉼표 [0] 3 2 7 3 2 2 2" xfId="25607"/>
    <cellStyle name="쉼표 [0] 3 2 7 3 2 3" xfId="10560"/>
    <cellStyle name="쉼표 [0] 3 2 7 3 2 3 2" xfId="23788"/>
    <cellStyle name="쉼표 [0] 3 2 7 3 2 4" xfId="19065"/>
    <cellStyle name="쉼표 [0] 3 2 7 3 3" xfId="9859"/>
    <cellStyle name="쉼표 [0] 3 2 7 3 3 2" xfId="23087"/>
    <cellStyle name="쉼표 [0] 3 2 7 3 4" xfId="11795"/>
    <cellStyle name="쉼표 [0] 3 2 7 3 4 2" xfId="25023"/>
    <cellStyle name="쉼표 [0] 3 2 7 3 5" xfId="8791"/>
    <cellStyle name="쉼표 [0] 3 2 7 3 5 2" xfId="22019"/>
    <cellStyle name="쉼표 [0] 3 2 7 3 6" xfId="18185"/>
    <cellStyle name="쉼표 [0] 3 2 7 4" xfId="5470"/>
    <cellStyle name="쉼표 [0] 3 2 7 4 2" xfId="12113"/>
    <cellStyle name="쉼표 [0] 3 2 7 4 2 2" xfId="25341"/>
    <cellStyle name="쉼표 [0] 3 2 7 4 3" xfId="10204"/>
    <cellStyle name="쉼표 [0] 3 2 7 4 3 2" xfId="23432"/>
    <cellStyle name="쉼표 [0] 3 2 7 4 4" xfId="18709"/>
    <cellStyle name="쉼표 [0] 3 2 7 5" xfId="9203"/>
    <cellStyle name="쉼표 [0] 3 2 7 5 2" xfId="22431"/>
    <cellStyle name="쉼표 [0] 3 2 7 6" xfId="11471"/>
    <cellStyle name="쉼표 [0] 3 2 7 6 2" xfId="24699"/>
    <cellStyle name="쉼표 [0] 3 2 7 7" xfId="6897"/>
    <cellStyle name="쉼표 [0] 3 2 7 7 2" xfId="20125"/>
    <cellStyle name="쉼표 [0] 3 2 7 8" xfId="14835"/>
    <cellStyle name="쉼표 [0] 3 2 8" xfId="422"/>
    <cellStyle name="쉼표 [0] 3 2 8 2" xfId="606"/>
    <cellStyle name="쉼표 [0] 3 2 8 2 2" xfId="4991"/>
    <cellStyle name="쉼표 [0] 3 2 8 2 2 2" xfId="5897"/>
    <cellStyle name="쉼표 [0] 3 2 8 2 2 2 2" xfId="12450"/>
    <cellStyle name="쉼표 [0] 3 2 8 2 2 2 2 2" xfId="25678"/>
    <cellStyle name="쉼표 [0] 3 2 8 2 2 2 3" xfId="10631"/>
    <cellStyle name="쉼표 [0] 3 2 8 2 2 2 3 2" xfId="23859"/>
    <cellStyle name="쉼표 [0] 3 2 8 2 2 2 4" xfId="19136"/>
    <cellStyle name="쉼표 [0] 3 2 8 2 2 3" xfId="9930"/>
    <cellStyle name="쉼표 [0] 3 2 8 2 2 3 2" xfId="23158"/>
    <cellStyle name="쉼표 [0] 3 2 8 2 2 4" xfId="11866"/>
    <cellStyle name="쉼표 [0] 3 2 8 2 2 4 2" xfId="25094"/>
    <cellStyle name="쉼표 [0] 3 2 8 2 2 5" xfId="8863"/>
    <cellStyle name="쉼표 [0] 3 2 8 2 2 5 2" xfId="22091"/>
    <cellStyle name="쉼표 [0] 3 2 8 2 2 6" xfId="18258"/>
    <cellStyle name="쉼표 [0] 3 2 8 2 3" xfId="5614"/>
    <cellStyle name="쉼표 [0] 3 2 8 2 3 2" xfId="12257"/>
    <cellStyle name="쉼표 [0] 3 2 8 2 3 2 2" xfId="25485"/>
    <cellStyle name="쉼표 [0] 3 2 8 2 3 3" xfId="10348"/>
    <cellStyle name="쉼표 [0] 3 2 8 2 3 3 2" xfId="23576"/>
    <cellStyle name="쉼표 [0] 3 2 8 2 3 4" xfId="18853"/>
    <cellStyle name="쉼표 [0] 3 2 8 2 4" xfId="9347"/>
    <cellStyle name="쉼표 [0] 3 2 8 2 4 2" xfId="22575"/>
    <cellStyle name="쉼표 [0] 3 2 8 2 5" xfId="11615"/>
    <cellStyle name="쉼표 [0] 3 2 8 2 5 2" xfId="24843"/>
    <cellStyle name="쉼표 [0] 3 2 8 2 6" xfId="7080"/>
    <cellStyle name="쉼표 [0] 3 2 8 2 6 2" xfId="20308"/>
    <cellStyle name="쉼표 [0] 3 2 8 2 7" xfId="15020"/>
    <cellStyle name="쉼표 [0] 3 2 8 3" xfId="4919"/>
    <cellStyle name="쉼표 [0] 3 2 8 3 2" xfId="5827"/>
    <cellStyle name="쉼표 [0] 3 2 8 3 2 2" xfId="12380"/>
    <cellStyle name="쉼표 [0] 3 2 8 3 2 2 2" xfId="25608"/>
    <cellStyle name="쉼표 [0] 3 2 8 3 2 3" xfId="10561"/>
    <cellStyle name="쉼표 [0] 3 2 8 3 2 3 2" xfId="23789"/>
    <cellStyle name="쉼표 [0] 3 2 8 3 2 4" xfId="19066"/>
    <cellStyle name="쉼표 [0] 3 2 8 3 3" xfId="9860"/>
    <cellStyle name="쉼표 [0] 3 2 8 3 3 2" xfId="23088"/>
    <cellStyle name="쉼표 [0] 3 2 8 3 4" xfId="11796"/>
    <cellStyle name="쉼표 [0] 3 2 8 3 4 2" xfId="25024"/>
    <cellStyle name="쉼표 [0] 3 2 8 3 5" xfId="8792"/>
    <cellStyle name="쉼표 [0] 3 2 8 3 5 2" xfId="22020"/>
    <cellStyle name="쉼표 [0] 3 2 8 3 6" xfId="18186"/>
    <cellStyle name="쉼표 [0] 3 2 8 4" xfId="5471"/>
    <cellStyle name="쉼표 [0] 3 2 8 4 2" xfId="12114"/>
    <cellStyle name="쉼표 [0] 3 2 8 4 2 2" xfId="25342"/>
    <cellStyle name="쉼표 [0] 3 2 8 4 3" xfId="10205"/>
    <cellStyle name="쉼표 [0] 3 2 8 4 3 2" xfId="23433"/>
    <cellStyle name="쉼표 [0] 3 2 8 4 4" xfId="18710"/>
    <cellStyle name="쉼표 [0] 3 2 8 5" xfId="9204"/>
    <cellStyle name="쉼표 [0] 3 2 8 5 2" xfId="22432"/>
    <cellStyle name="쉼표 [0] 3 2 8 6" xfId="11472"/>
    <cellStyle name="쉼표 [0] 3 2 8 6 2" xfId="24700"/>
    <cellStyle name="쉼표 [0] 3 2 8 7" xfId="6898"/>
    <cellStyle name="쉼표 [0] 3 2 8 7 2" xfId="20126"/>
    <cellStyle name="쉼표 [0] 3 2 8 8" xfId="14836"/>
    <cellStyle name="쉼표 [0] 3 2 9" xfId="599"/>
    <cellStyle name="쉼표 [0] 3 2 9 2" xfId="5105"/>
    <cellStyle name="쉼표 [0] 3 2 9 2 2" xfId="6007"/>
    <cellStyle name="쉼표 [0] 3 2 9 2 2 2" xfId="12560"/>
    <cellStyle name="쉼표 [0] 3 2 9 2 2 2 2" xfId="25788"/>
    <cellStyle name="쉼표 [0] 3 2 9 2 2 3" xfId="10741"/>
    <cellStyle name="쉼표 [0] 3 2 9 2 2 3 2" xfId="23969"/>
    <cellStyle name="쉼표 [0] 3 2 9 2 2 4" xfId="19246"/>
    <cellStyle name="쉼표 [0] 3 2 9 2 3" xfId="10042"/>
    <cellStyle name="쉼표 [0] 3 2 9 2 3 2" xfId="23270"/>
    <cellStyle name="쉼표 [0] 3 2 9 2 4" xfId="11976"/>
    <cellStyle name="쉼표 [0] 3 2 9 2 4 2" xfId="25204"/>
    <cellStyle name="쉼표 [0] 3 2 9 2 5" xfId="8975"/>
    <cellStyle name="쉼표 [0] 3 2 9 2 5 2" xfId="22203"/>
    <cellStyle name="쉼표 [0] 3 2 9 2 6" xfId="18372"/>
    <cellStyle name="쉼표 [0] 3 2 9 3" xfId="5607"/>
    <cellStyle name="쉼표 [0] 3 2 9 3 2" xfId="12250"/>
    <cellStyle name="쉼표 [0] 3 2 9 3 2 2" xfId="25478"/>
    <cellStyle name="쉼표 [0] 3 2 9 3 3" xfId="10341"/>
    <cellStyle name="쉼표 [0] 3 2 9 3 3 2" xfId="23569"/>
    <cellStyle name="쉼표 [0] 3 2 9 3 4" xfId="18846"/>
    <cellStyle name="쉼표 [0] 3 2 9 4" xfId="9340"/>
    <cellStyle name="쉼표 [0] 3 2 9 4 2" xfId="22568"/>
    <cellStyle name="쉼표 [0] 3 2 9 5" xfId="11608"/>
    <cellStyle name="쉼표 [0] 3 2 9 5 2" xfId="24836"/>
    <cellStyle name="쉼표 [0] 3 2 9 6" xfId="7073"/>
    <cellStyle name="쉼표 [0] 3 2 9 6 2" xfId="20301"/>
    <cellStyle name="쉼표 [0] 3 2 9 7" xfId="15013"/>
    <cellStyle name="쉼표 [0] 3 3" xfId="423"/>
    <cellStyle name="쉼표 [0] 3 3 10" xfId="5047"/>
    <cellStyle name="쉼표 [0] 3 3 10 2" xfId="5949"/>
    <cellStyle name="쉼표 [0] 3 3 10 2 2" xfId="12502"/>
    <cellStyle name="쉼표 [0] 3 3 10 2 2 2" xfId="25730"/>
    <cellStyle name="쉼표 [0] 3 3 10 2 3" xfId="10683"/>
    <cellStyle name="쉼표 [0] 3 3 10 2 3 2" xfId="23911"/>
    <cellStyle name="쉼표 [0] 3 3 10 2 4" xfId="19188"/>
    <cellStyle name="쉼표 [0] 3 3 10 3" xfId="9984"/>
    <cellStyle name="쉼표 [0] 3 3 10 3 2" xfId="23212"/>
    <cellStyle name="쉼표 [0] 3 3 10 4" xfId="11918"/>
    <cellStyle name="쉼표 [0] 3 3 10 4 2" xfId="25146"/>
    <cellStyle name="쉼표 [0] 3 3 10 5" xfId="8917"/>
    <cellStyle name="쉼표 [0] 3 3 10 5 2" xfId="22145"/>
    <cellStyle name="쉼표 [0] 3 3 10 6" xfId="18314"/>
    <cellStyle name="쉼표 [0] 3 3 11" xfId="5472"/>
    <cellStyle name="쉼표 [0] 3 3 11 2" xfId="12115"/>
    <cellStyle name="쉼표 [0] 3 3 11 2 2" xfId="25343"/>
    <cellStyle name="쉼표 [0] 3 3 11 3" xfId="10206"/>
    <cellStyle name="쉼표 [0] 3 3 11 3 2" xfId="23434"/>
    <cellStyle name="쉼표 [0] 3 3 11 4" xfId="18711"/>
    <cellStyle name="쉼표 [0] 3 3 12" xfId="9205"/>
    <cellStyle name="쉼표 [0] 3 3 12 2" xfId="22433"/>
    <cellStyle name="쉼표 [0] 3 3 13" xfId="11473"/>
    <cellStyle name="쉼표 [0] 3 3 13 2" xfId="24701"/>
    <cellStyle name="쉼표 [0] 3 3 14" xfId="6899"/>
    <cellStyle name="쉼표 [0] 3 3 14 2" xfId="20127"/>
    <cellStyle name="쉼표 [0] 3 3 15" xfId="14837"/>
    <cellStyle name="쉼표 [0] 3 3 16" xfId="51071"/>
    <cellStyle name="쉼표 [0] 3 3 2" xfId="424"/>
    <cellStyle name="쉼표 [0] 3 3 2 2" xfId="608"/>
    <cellStyle name="쉼표 [0] 3 3 2 2 2" xfId="4993"/>
    <cellStyle name="쉼표 [0] 3 3 2 2 2 2" xfId="5899"/>
    <cellStyle name="쉼표 [0] 3 3 2 2 2 2 2" xfId="12452"/>
    <cellStyle name="쉼표 [0] 3 3 2 2 2 2 2 2" xfId="25680"/>
    <cellStyle name="쉼표 [0] 3 3 2 2 2 2 3" xfId="10633"/>
    <cellStyle name="쉼표 [0] 3 3 2 2 2 2 3 2" xfId="23861"/>
    <cellStyle name="쉼표 [0] 3 3 2 2 2 2 4" xfId="19138"/>
    <cellStyle name="쉼표 [0] 3 3 2 2 2 3" xfId="9932"/>
    <cellStyle name="쉼표 [0] 3 3 2 2 2 3 2" xfId="23160"/>
    <cellStyle name="쉼표 [0] 3 3 2 2 2 4" xfId="11868"/>
    <cellStyle name="쉼표 [0] 3 3 2 2 2 4 2" xfId="25096"/>
    <cellStyle name="쉼표 [0] 3 3 2 2 2 5" xfId="8865"/>
    <cellStyle name="쉼표 [0] 3 3 2 2 2 5 2" xfId="22093"/>
    <cellStyle name="쉼표 [0] 3 3 2 2 2 6" xfId="18260"/>
    <cellStyle name="쉼표 [0] 3 3 2 2 3" xfId="5616"/>
    <cellStyle name="쉼표 [0] 3 3 2 2 3 2" xfId="12259"/>
    <cellStyle name="쉼표 [0] 3 3 2 2 3 2 2" xfId="25487"/>
    <cellStyle name="쉼표 [0] 3 3 2 2 3 3" xfId="10350"/>
    <cellStyle name="쉼표 [0] 3 3 2 2 3 3 2" xfId="23578"/>
    <cellStyle name="쉼표 [0] 3 3 2 2 3 4" xfId="18855"/>
    <cellStyle name="쉼표 [0] 3 3 2 2 4" xfId="9349"/>
    <cellStyle name="쉼표 [0] 3 3 2 2 4 2" xfId="22577"/>
    <cellStyle name="쉼표 [0] 3 3 2 2 5" xfId="11617"/>
    <cellStyle name="쉼표 [0] 3 3 2 2 5 2" xfId="24845"/>
    <cellStyle name="쉼표 [0] 3 3 2 2 6" xfId="7082"/>
    <cellStyle name="쉼표 [0] 3 3 2 2 6 2" xfId="20310"/>
    <cellStyle name="쉼표 [0] 3 3 2 2 7" xfId="15022"/>
    <cellStyle name="쉼표 [0] 3 3 2 3" xfId="5153"/>
    <cellStyle name="쉼표 [0] 3 3 2 3 2" xfId="6053"/>
    <cellStyle name="쉼표 [0] 3 3 2 3 2 2" xfId="12606"/>
    <cellStyle name="쉼표 [0] 3 3 2 3 2 2 2" xfId="25834"/>
    <cellStyle name="쉼표 [0] 3 3 2 3 2 3" xfId="10787"/>
    <cellStyle name="쉼표 [0] 3 3 2 3 2 3 2" xfId="24015"/>
    <cellStyle name="쉼표 [0] 3 3 2 3 2 4" xfId="19292"/>
    <cellStyle name="쉼표 [0] 3 3 2 3 3" xfId="10088"/>
    <cellStyle name="쉼표 [0] 3 3 2 3 3 2" xfId="23316"/>
    <cellStyle name="쉼표 [0] 3 3 2 3 4" xfId="12022"/>
    <cellStyle name="쉼표 [0] 3 3 2 3 4 2" xfId="25250"/>
    <cellStyle name="쉼표 [0] 3 3 2 3 5" xfId="9021"/>
    <cellStyle name="쉼표 [0] 3 3 2 3 5 2" xfId="22249"/>
    <cellStyle name="쉼표 [0] 3 3 2 3 6" xfId="18419"/>
    <cellStyle name="쉼표 [0] 3 3 2 4" xfId="5473"/>
    <cellStyle name="쉼표 [0] 3 3 2 4 2" xfId="12116"/>
    <cellStyle name="쉼표 [0] 3 3 2 4 2 2" xfId="25344"/>
    <cellStyle name="쉼표 [0] 3 3 2 4 3" xfId="10207"/>
    <cellStyle name="쉼표 [0] 3 3 2 4 3 2" xfId="23435"/>
    <cellStyle name="쉼표 [0] 3 3 2 4 4" xfId="18712"/>
    <cellStyle name="쉼표 [0] 3 3 2 5" xfId="9206"/>
    <cellStyle name="쉼표 [0] 3 3 2 5 2" xfId="22434"/>
    <cellStyle name="쉼표 [0] 3 3 2 6" xfId="11474"/>
    <cellStyle name="쉼표 [0] 3 3 2 6 2" xfId="24702"/>
    <cellStyle name="쉼표 [0] 3 3 2 7" xfId="6900"/>
    <cellStyle name="쉼표 [0] 3 3 2 7 2" xfId="20128"/>
    <cellStyle name="쉼표 [0] 3 3 2 8" xfId="14838"/>
    <cellStyle name="쉼표 [0] 3 3 3" xfId="425"/>
    <cellStyle name="쉼표 [0] 3 3 3 2" xfId="609"/>
    <cellStyle name="쉼표 [0] 3 3 3 2 2" xfId="4994"/>
    <cellStyle name="쉼표 [0] 3 3 3 2 2 2" xfId="5900"/>
    <cellStyle name="쉼표 [0] 3 3 3 2 2 2 2" xfId="12453"/>
    <cellStyle name="쉼표 [0] 3 3 3 2 2 2 2 2" xfId="25681"/>
    <cellStyle name="쉼표 [0] 3 3 3 2 2 2 3" xfId="10634"/>
    <cellStyle name="쉼표 [0] 3 3 3 2 2 2 3 2" xfId="23862"/>
    <cellStyle name="쉼표 [0] 3 3 3 2 2 2 4" xfId="19139"/>
    <cellStyle name="쉼표 [0] 3 3 3 2 2 3" xfId="9933"/>
    <cellStyle name="쉼표 [0] 3 3 3 2 2 3 2" xfId="23161"/>
    <cellStyle name="쉼표 [0] 3 3 3 2 2 4" xfId="11869"/>
    <cellStyle name="쉼표 [0] 3 3 3 2 2 4 2" xfId="25097"/>
    <cellStyle name="쉼표 [0] 3 3 3 2 2 5" xfId="8866"/>
    <cellStyle name="쉼표 [0] 3 3 3 2 2 5 2" xfId="22094"/>
    <cellStyle name="쉼표 [0] 3 3 3 2 2 6" xfId="18261"/>
    <cellStyle name="쉼표 [0] 3 3 3 2 3" xfId="5617"/>
    <cellStyle name="쉼표 [0] 3 3 3 2 3 2" xfId="12260"/>
    <cellStyle name="쉼표 [0] 3 3 3 2 3 2 2" xfId="25488"/>
    <cellStyle name="쉼표 [0] 3 3 3 2 3 3" xfId="10351"/>
    <cellStyle name="쉼표 [0] 3 3 3 2 3 3 2" xfId="23579"/>
    <cellStyle name="쉼표 [0] 3 3 3 2 3 4" xfId="18856"/>
    <cellStyle name="쉼표 [0] 3 3 3 2 4" xfId="9350"/>
    <cellStyle name="쉼표 [0] 3 3 3 2 4 2" xfId="22578"/>
    <cellStyle name="쉼표 [0] 3 3 3 2 5" xfId="11618"/>
    <cellStyle name="쉼표 [0] 3 3 3 2 5 2" xfId="24846"/>
    <cellStyle name="쉼표 [0] 3 3 3 2 6" xfId="7083"/>
    <cellStyle name="쉼표 [0] 3 3 3 2 6 2" xfId="20311"/>
    <cellStyle name="쉼표 [0] 3 3 3 2 7" xfId="15023"/>
    <cellStyle name="쉼표 [0] 3 3 3 3" xfId="4920"/>
    <cellStyle name="쉼표 [0] 3 3 3 3 2" xfId="5828"/>
    <cellStyle name="쉼표 [0] 3 3 3 3 2 2" xfId="12381"/>
    <cellStyle name="쉼표 [0] 3 3 3 3 2 2 2" xfId="25609"/>
    <cellStyle name="쉼표 [0] 3 3 3 3 2 3" xfId="10562"/>
    <cellStyle name="쉼표 [0] 3 3 3 3 2 3 2" xfId="23790"/>
    <cellStyle name="쉼표 [0] 3 3 3 3 2 4" xfId="19067"/>
    <cellStyle name="쉼표 [0] 3 3 3 3 3" xfId="9861"/>
    <cellStyle name="쉼표 [0] 3 3 3 3 3 2" xfId="23089"/>
    <cellStyle name="쉼표 [0] 3 3 3 3 4" xfId="11797"/>
    <cellStyle name="쉼표 [0] 3 3 3 3 4 2" xfId="25025"/>
    <cellStyle name="쉼표 [0] 3 3 3 3 5" xfId="8793"/>
    <cellStyle name="쉼표 [0] 3 3 3 3 5 2" xfId="22021"/>
    <cellStyle name="쉼표 [0] 3 3 3 3 6" xfId="18187"/>
    <cellStyle name="쉼표 [0] 3 3 3 4" xfId="5474"/>
    <cellStyle name="쉼표 [0] 3 3 3 4 2" xfId="12117"/>
    <cellStyle name="쉼표 [0] 3 3 3 4 2 2" xfId="25345"/>
    <cellStyle name="쉼표 [0] 3 3 3 4 3" xfId="10208"/>
    <cellStyle name="쉼표 [0] 3 3 3 4 3 2" xfId="23436"/>
    <cellStyle name="쉼표 [0] 3 3 3 4 4" xfId="18713"/>
    <cellStyle name="쉼표 [0] 3 3 3 5" xfId="9207"/>
    <cellStyle name="쉼표 [0] 3 3 3 5 2" xfId="22435"/>
    <cellStyle name="쉼표 [0] 3 3 3 6" xfId="11475"/>
    <cellStyle name="쉼표 [0] 3 3 3 6 2" xfId="24703"/>
    <cellStyle name="쉼표 [0] 3 3 3 7" xfId="6901"/>
    <cellStyle name="쉼표 [0] 3 3 3 7 2" xfId="20129"/>
    <cellStyle name="쉼표 [0] 3 3 3 8" xfId="14839"/>
    <cellStyle name="쉼표 [0] 3 3 4" xfId="426"/>
    <cellStyle name="쉼표 [0] 3 3 4 2" xfId="610"/>
    <cellStyle name="쉼표 [0] 3 3 4 2 2" xfId="5054"/>
    <cellStyle name="쉼표 [0] 3 3 4 2 2 2" xfId="5956"/>
    <cellStyle name="쉼표 [0] 3 3 4 2 2 2 2" xfId="12509"/>
    <cellStyle name="쉼표 [0] 3 3 4 2 2 2 2 2" xfId="25737"/>
    <cellStyle name="쉼표 [0] 3 3 4 2 2 2 3" xfId="10690"/>
    <cellStyle name="쉼표 [0] 3 3 4 2 2 2 3 2" xfId="23918"/>
    <cellStyle name="쉼표 [0] 3 3 4 2 2 2 4" xfId="19195"/>
    <cellStyle name="쉼표 [0] 3 3 4 2 2 3" xfId="9991"/>
    <cellStyle name="쉼표 [0] 3 3 4 2 2 3 2" xfId="23219"/>
    <cellStyle name="쉼표 [0] 3 3 4 2 2 4" xfId="11925"/>
    <cellStyle name="쉼표 [0] 3 3 4 2 2 4 2" xfId="25153"/>
    <cellStyle name="쉼표 [0] 3 3 4 2 2 5" xfId="8924"/>
    <cellStyle name="쉼표 [0] 3 3 4 2 2 5 2" xfId="22152"/>
    <cellStyle name="쉼표 [0] 3 3 4 2 2 6" xfId="18321"/>
    <cellStyle name="쉼표 [0] 3 3 4 2 3" xfId="5618"/>
    <cellStyle name="쉼표 [0] 3 3 4 2 3 2" xfId="12261"/>
    <cellStyle name="쉼표 [0] 3 3 4 2 3 2 2" xfId="25489"/>
    <cellStyle name="쉼표 [0] 3 3 4 2 3 3" xfId="10352"/>
    <cellStyle name="쉼표 [0] 3 3 4 2 3 3 2" xfId="23580"/>
    <cellStyle name="쉼표 [0] 3 3 4 2 3 4" xfId="18857"/>
    <cellStyle name="쉼표 [0] 3 3 4 2 4" xfId="9351"/>
    <cellStyle name="쉼표 [0] 3 3 4 2 4 2" xfId="22579"/>
    <cellStyle name="쉼표 [0] 3 3 4 2 5" xfId="11619"/>
    <cellStyle name="쉼표 [0] 3 3 4 2 5 2" xfId="24847"/>
    <cellStyle name="쉼표 [0] 3 3 4 2 6" xfId="7084"/>
    <cellStyle name="쉼표 [0] 3 3 4 2 6 2" xfId="20312"/>
    <cellStyle name="쉼표 [0] 3 3 4 2 7" xfId="15024"/>
    <cellStyle name="쉼표 [0] 3 3 4 3" xfId="4921"/>
    <cellStyle name="쉼표 [0] 3 3 4 3 2" xfId="5829"/>
    <cellStyle name="쉼표 [0] 3 3 4 3 2 2" xfId="12382"/>
    <cellStyle name="쉼표 [0] 3 3 4 3 2 2 2" xfId="25610"/>
    <cellStyle name="쉼표 [0] 3 3 4 3 2 3" xfId="10563"/>
    <cellStyle name="쉼표 [0] 3 3 4 3 2 3 2" xfId="23791"/>
    <cellStyle name="쉼표 [0] 3 3 4 3 2 4" xfId="19068"/>
    <cellStyle name="쉼표 [0] 3 3 4 3 3" xfId="9862"/>
    <cellStyle name="쉼표 [0] 3 3 4 3 3 2" xfId="23090"/>
    <cellStyle name="쉼표 [0] 3 3 4 3 4" xfId="11798"/>
    <cellStyle name="쉼표 [0] 3 3 4 3 4 2" xfId="25026"/>
    <cellStyle name="쉼표 [0] 3 3 4 3 5" xfId="8794"/>
    <cellStyle name="쉼표 [0] 3 3 4 3 5 2" xfId="22022"/>
    <cellStyle name="쉼표 [0] 3 3 4 3 6" xfId="18188"/>
    <cellStyle name="쉼표 [0] 3 3 4 4" xfId="5475"/>
    <cellStyle name="쉼표 [0] 3 3 4 4 2" xfId="12118"/>
    <cellStyle name="쉼표 [0] 3 3 4 4 2 2" xfId="25346"/>
    <cellStyle name="쉼표 [0] 3 3 4 4 3" xfId="10209"/>
    <cellStyle name="쉼표 [0] 3 3 4 4 3 2" xfId="23437"/>
    <cellStyle name="쉼표 [0] 3 3 4 4 4" xfId="18714"/>
    <cellStyle name="쉼표 [0] 3 3 4 5" xfId="9208"/>
    <cellStyle name="쉼표 [0] 3 3 4 5 2" xfId="22436"/>
    <cellStyle name="쉼표 [0] 3 3 4 6" xfId="11476"/>
    <cellStyle name="쉼표 [0] 3 3 4 6 2" xfId="24704"/>
    <cellStyle name="쉼표 [0] 3 3 4 7" xfId="6902"/>
    <cellStyle name="쉼표 [0] 3 3 4 7 2" xfId="20130"/>
    <cellStyle name="쉼표 [0] 3 3 4 8" xfId="14840"/>
    <cellStyle name="쉼표 [0] 3 3 5" xfId="427"/>
    <cellStyle name="쉼표 [0] 3 3 5 2" xfId="611"/>
    <cellStyle name="쉼표 [0] 3 3 5 2 2" xfId="5177"/>
    <cellStyle name="쉼표 [0] 3 3 5 2 2 2" xfId="6077"/>
    <cellStyle name="쉼표 [0] 3 3 5 2 2 2 2" xfId="12630"/>
    <cellStyle name="쉼표 [0] 3 3 5 2 2 2 2 2" xfId="25858"/>
    <cellStyle name="쉼표 [0] 3 3 5 2 2 2 3" xfId="10811"/>
    <cellStyle name="쉼표 [0] 3 3 5 2 2 2 3 2" xfId="24039"/>
    <cellStyle name="쉼표 [0] 3 3 5 2 2 2 4" xfId="19316"/>
    <cellStyle name="쉼표 [0] 3 3 5 2 2 3" xfId="10112"/>
    <cellStyle name="쉼표 [0] 3 3 5 2 2 3 2" xfId="23340"/>
    <cellStyle name="쉼표 [0] 3 3 5 2 2 4" xfId="12046"/>
    <cellStyle name="쉼표 [0] 3 3 5 2 2 4 2" xfId="25274"/>
    <cellStyle name="쉼표 [0] 3 3 5 2 2 5" xfId="9045"/>
    <cellStyle name="쉼표 [0] 3 3 5 2 2 5 2" xfId="22273"/>
    <cellStyle name="쉼표 [0] 3 3 5 2 2 6" xfId="18443"/>
    <cellStyle name="쉼표 [0] 3 3 5 2 3" xfId="5619"/>
    <cellStyle name="쉼표 [0] 3 3 5 2 3 2" xfId="12262"/>
    <cellStyle name="쉼표 [0] 3 3 5 2 3 2 2" xfId="25490"/>
    <cellStyle name="쉼표 [0] 3 3 5 2 3 3" xfId="10353"/>
    <cellStyle name="쉼표 [0] 3 3 5 2 3 3 2" xfId="23581"/>
    <cellStyle name="쉼표 [0] 3 3 5 2 3 4" xfId="18858"/>
    <cellStyle name="쉼표 [0] 3 3 5 2 4" xfId="9352"/>
    <cellStyle name="쉼표 [0] 3 3 5 2 4 2" xfId="22580"/>
    <cellStyle name="쉼표 [0] 3 3 5 2 5" xfId="11620"/>
    <cellStyle name="쉼표 [0] 3 3 5 2 5 2" xfId="24848"/>
    <cellStyle name="쉼표 [0] 3 3 5 2 6" xfId="7085"/>
    <cellStyle name="쉼표 [0] 3 3 5 2 6 2" xfId="20313"/>
    <cellStyle name="쉼표 [0] 3 3 5 2 7" xfId="15025"/>
    <cellStyle name="쉼표 [0] 3 3 5 3" xfId="5072"/>
    <cellStyle name="쉼표 [0] 3 3 5 3 2" xfId="5974"/>
    <cellStyle name="쉼표 [0] 3 3 5 3 2 2" xfId="12527"/>
    <cellStyle name="쉼표 [0] 3 3 5 3 2 2 2" xfId="25755"/>
    <cellStyle name="쉼표 [0] 3 3 5 3 2 3" xfId="10708"/>
    <cellStyle name="쉼표 [0] 3 3 5 3 2 3 2" xfId="23936"/>
    <cellStyle name="쉼표 [0] 3 3 5 3 2 4" xfId="19213"/>
    <cellStyle name="쉼표 [0] 3 3 5 3 3" xfId="10009"/>
    <cellStyle name="쉼표 [0] 3 3 5 3 3 2" xfId="23237"/>
    <cellStyle name="쉼표 [0] 3 3 5 3 4" xfId="11943"/>
    <cellStyle name="쉼표 [0] 3 3 5 3 4 2" xfId="25171"/>
    <cellStyle name="쉼표 [0] 3 3 5 3 5" xfId="8942"/>
    <cellStyle name="쉼표 [0] 3 3 5 3 5 2" xfId="22170"/>
    <cellStyle name="쉼표 [0] 3 3 5 3 6" xfId="18339"/>
    <cellStyle name="쉼표 [0] 3 3 5 4" xfId="5476"/>
    <cellStyle name="쉼표 [0] 3 3 5 4 2" xfId="12119"/>
    <cellStyle name="쉼표 [0] 3 3 5 4 2 2" xfId="25347"/>
    <cellStyle name="쉼표 [0] 3 3 5 4 3" xfId="10210"/>
    <cellStyle name="쉼표 [0] 3 3 5 4 3 2" xfId="23438"/>
    <cellStyle name="쉼표 [0] 3 3 5 4 4" xfId="18715"/>
    <cellStyle name="쉼표 [0] 3 3 5 5" xfId="9209"/>
    <cellStyle name="쉼표 [0] 3 3 5 5 2" xfId="22437"/>
    <cellStyle name="쉼표 [0] 3 3 5 6" xfId="11477"/>
    <cellStyle name="쉼표 [0] 3 3 5 6 2" xfId="24705"/>
    <cellStyle name="쉼표 [0] 3 3 5 7" xfId="6903"/>
    <cellStyle name="쉼표 [0] 3 3 5 7 2" xfId="20131"/>
    <cellStyle name="쉼표 [0] 3 3 5 8" xfId="14841"/>
    <cellStyle name="쉼표 [0] 3 3 6" xfId="428"/>
    <cellStyle name="쉼표 [0] 3 3 6 2" xfId="612"/>
    <cellStyle name="쉼표 [0] 3 3 6 2 2" xfId="4995"/>
    <cellStyle name="쉼표 [0] 3 3 6 2 2 2" xfId="5901"/>
    <cellStyle name="쉼표 [0] 3 3 6 2 2 2 2" xfId="12454"/>
    <cellStyle name="쉼표 [0] 3 3 6 2 2 2 2 2" xfId="25682"/>
    <cellStyle name="쉼표 [0] 3 3 6 2 2 2 3" xfId="10635"/>
    <cellStyle name="쉼표 [0] 3 3 6 2 2 2 3 2" xfId="23863"/>
    <cellStyle name="쉼표 [0] 3 3 6 2 2 2 4" xfId="19140"/>
    <cellStyle name="쉼표 [0] 3 3 6 2 2 3" xfId="9934"/>
    <cellStyle name="쉼표 [0] 3 3 6 2 2 3 2" xfId="23162"/>
    <cellStyle name="쉼표 [0] 3 3 6 2 2 4" xfId="11870"/>
    <cellStyle name="쉼표 [0] 3 3 6 2 2 4 2" xfId="25098"/>
    <cellStyle name="쉼표 [0] 3 3 6 2 2 5" xfId="8867"/>
    <cellStyle name="쉼표 [0] 3 3 6 2 2 5 2" xfId="22095"/>
    <cellStyle name="쉼표 [0] 3 3 6 2 2 6" xfId="18262"/>
    <cellStyle name="쉼표 [0] 3 3 6 2 3" xfId="5620"/>
    <cellStyle name="쉼표 [0] 3 3 6 2 3 2" xfId="12263"/>
    <cellStyle name="쉼표 [0] 3 3 6 2 3 2 2" xfId="25491"/>
    <cellStyle name="쉼표 [0] 3 3 6 2 3 3" xfId="10354"/>
    <cellStyle name="쉼표 [0] 3 3 6 2 3 3 2" xfId="23582"/>
    <cellStyle name="쉼표 [0] 3 3 6 2 3 4" xfId="18859"/>
    <cellStyle name="쉼표 [0] 3 3 6 2 4" xfId="9353"/>
    <cellStyle name="쉼표 [0] 3 3 6 2 4 2" xfId="22581"/>
    <cellStyle name="쉼표 [0] 3 3 6 2 5" xfId="11621"/>
    <cellStyle name="쉼표 [0] 3 3 6 2 5 2" xfId="24849"/>
    <cellStyle name="쉼표 [0] 3 3 6 2 6" xfId="7086"/>
    <cellStyle name="쉼표 [0] 3 3 6 2 6 2" xfId="20314"/>
    <cellStyle name="쉼표 [0] 3 3 6 2 7" xfId="15026"/>
    <cellStyle name="쉼표 [0] 3 3 6 3" xfId="5154"/>
    <cellStyle name="쉼표 [0] 3 3 6 3 2" xfId="6054"/>
    <cellStyle name="쉼표 [0] 3 3 6 3 2 2" xfId="12607"/>
    <cellStyle name="쉼표 [0] 3 3 6 3 2 2 2" xfId="25835"/>
    <cellStyle name="쉼표 [0] 3 3 6 3 2 3" xfId="10788"/>
    <cellStyle name="쉼표 [0] 3 3 6 3 2 3 2" xfId="24016"/>
    <cellStyle name="쉼표 [0] 3 3 6 3 2 4" xfId="19293"/>
    <cellStyle name="쉼표 [0] 3 3 6 3 3" xfId="10089"/>
    <cellStyle name="쉼표 [0] 3 3 6 3 3 2" xfId="23317"/>
    <cellStyle name="쉼표 [0] 3 3 6 3 4" xfId="12023"/>
    <cellStyle name="쉼표 [0] 3 3 6 3 4 2" xfId="25251"/>
    <cellStyle name="쉼표 [0] 3 3 6 3 5" xfId="9022"/>
    <cellStyle name="쉼표 [0] 3 3 6 3 5 2" xfId="22250"/>
    <cellStyle name="쉼표 [0] 3 3 6 3 6" xfId="18420"/>
    <cellStyle name="쉼표 [0] 3 3 6 4" xfId="5477"/>
    <cellStyle name="쉼표 [0] 3 3 6 4 2" xfId="12120"/>
    <cellStyle name="쉼표 [0] 3 3 6 4 2 2" xfId="25348"/>
    <cellStyle name="쉼표 [0] 3 3 6 4 3" xfId="10211"/>
    <cellStyle name="쉼표 [0] 3 3 6 4 3 2" xfId="23439"/>
    <cellStyle name="쉼표 [0] 3 3 6 4 4" xfId="18716"/>
    <cellStyle name="쉼표 [0] 3 3 6 5" xfId="9210"/>
    <cellStyle name="쉼표 [0] 3 3 6 5 2" xfId="22438"/>
    <cellStyle name="쉼표 [0] 3 3 6 6" xfId="11478"/>
    <cellStyle name="쉼표 [0] 3 3 6 6 2" xfId="24706"/>
    <cellStyle name="쉼표 [0] 3 3 6 7" xfId="6904"/>
    <cellStyle name="쉼표 [0] 3 3 6 7 2" xfId="20132"/>
    <cellStyle name="쉼표 [0] 3 3 6 8" xfId="14842"/>
    <cellStyle name="쉼표 [0] 3 3 7" xfId="429"/>
    <cellStyle name="쉼표 [0] 3 3 7 2" xfId="613"/>
    <cellStyle name="쉼표 [0] 3 3 7 2 2" xfId="4996"/>
    <cellStyle name="쉼표 [0] 3 3 7 2 2 2" xfId="5902"/>
    <cellStyle name="쉼표 [0] 3 3 7 2 2 2 2" xfId="12455"/>
    <cellStyle name="쉼표 [0] 3 3 7 2 2 2 2 2" xfId="25683"/>
    <cellStyle name="쉼표 [0] 3 3 7 2 2 2 3" xfId="10636"/>
    <cellStyle name="쉼표 [0] 3 3 7 2 2 2 3 2" xfId="23864"/>
    <cellStyle name="쉼표 [0] 3 3 7 2 2 2 4" xfId="19141"/>
    <cellStyle name="쉼표 [0] 3 3 7 2 2 3" xfId="9935"/>
    <cellStyle name="쉼표 [0] 3 3 7 2 2 3 2" xfId="23163"/>
    <cellStyle name="쉼표 [0] 3 3 7 2 2 4" xfId="11871"/>
    <cellStyle name="쉼표 [0] 3 3 7 2 2 4 2" xfId="25099"/>
    <cellStyle name="쉼표 [0] 3 3 7 2 2 5" xfId="8868"/>
    <cellStyle name="쉼표 [0] 3 3 7 2 2 5 2" xfId="22096"/>
    <cellStyle name="쉼표 [0] 3 3 7 2 2 6" xfId="18263"/>
    <cellStyle name="쉼표 [0] 3 3 7 2 3" xfId="5621"/>
    <cellStyle name="쉼표 [0] 3 3 7 2 3 2" xfId="12264"/>
    <cellStyle name="쉼표 [0] 3 3 7 2 3 2 2" xfId="25492"/>
    <cellStyle name="쉼표 [0] 3 3 7 2 3 3" xfId="10355"/>
    <cellStyle name="쉼표 [0] 3 3 7 2 3 3 2" xfId="23583"/>
    <cellStyle name="쉼표 [0] 3 3 7 2 3 4" xfId="18860"/>
    <cellStyle name="쉼표 [0] 3 3 7 2 4" xfId="9354"/>
    <cellStyle name="쉼표 [0] 3 3 7 2 4 2" xfId="22582"/>
    <cellStyle name="쉼표 [0] 3 3 7 2 5" xfId="11622"/>
    <cellStyle name="쉼표 [0] 3 3 7 2 5 2" xfId="24850"/>
    <cellStyle name="쉼표 [0] 3 3 7 2 6" xfId="7087"/>
    <cellStyle name="쉼표 [0] 3 3 7 2 6 2" xfId="20315"/>
    <cellStyle name="쉼표 [0] 3 3 7 2 7" xfId="15027"/>
    <cellStyle name="쉼표 [0] 3 3 7 3" xfId="5071"/>
    <cellStyle name="쉼표 [0] 3 3 7 3 2" xfId="5973"/>
    <cellStyle name="쉼표 [0] 3 3 7 3 2 2" xfId="12526"/>
    <cellStyle name="쉼표 [0] 3 3 7 3 2 2 2" xfId="25754"/>
    <cellStyle name="쉼표 [0] 3 3 7 3 2 3" xfId="10707"/>
    <cellStyle name="쉼표 [0] 3 3 7 3 2 3 2" xfId="23935"/>
    <cellStyle name="쉼표 [0] 3 3 7 3 2 4" xfId="19212"/>
    <cellStyle name="쉼표 [0] 3 3 7 3 3" xfId="10008"/>
    <cellStyle name="쉼표 [0] 3 3 7 3 3 2" xfId="23236"/>
    <cellStyle name="쉼표 [0] 3 3 7 3 4" xfId="11942"/>
    <cellStyle name="쉼표 [0] 3 3 7 3 4 2" xfId="25170"/>
    <cellStyle name="쉼표 [0] 3 3 7 3 5" xfId="8941"/>
    <cellStyle name="쉼표 [0] 3 3 7 3 5 2" xfId="22169"/>
    <cellStyle name="쉼표 [0] 3 3 7 3 6" xfId="18338"/>
    <cellStyle name="쉼표 [0] 3 3 7 4" xfId="5478"/>
    <cellStyle name="쉼표 [0] 3 3 7 4 2" xfId="12121"/>
    <cellStyle name="쉼표 [0] 3 3 7 4 2 2" xfId="25349"/>
    <cellStyle name="쉼표 [0] 3 3 7 4 3" xfId="10212"/>
    <cellStyle name="쉼표 [0] 3 3 7 4 3 2" xfId="23440"/>
    <cellStyle name="쉼표 [0] 3 3 7 4 4" xfId="18717"/>
    <cellStyle name="쉼표 [0] 3 3 7 5" xfId="9211"/>
    <cellStyle name="쉼표 [0] 3 3 7 5 2" xfId="22439"/>
    <cellStyle name="쉼표 [0] 3 3 7 6" xfId="11479"/>
    <cellStyle name="쉼표 [0] 3 3 7 6 2" xfId="24707"/>
    <cellStyle name="쉼표 [0] 3 3 7 7" xfId="6905"/>
    <cellStyle name="쉼표 [0] 3 3 7 7 2" xfId="20133"/>
    <cellStyle name="쉼표 [0] 3 3 7 8" xfId="14843"/>
    <cellStyle name="쉼표 [0] 3 3 8" xfId="430"/>
    <cellStyle name="쉼표 [0] 3 3 8 2" xfId="614"/>
    <cellStyle name="쉼표 [0] 3 3 8 2 2" xfId="5107"/>
    <cellStyle name="쉼표 [0] 3 3 8 2 2 2" xfId="6009"/>
    <cellStyle name="쉼표 [0] 3 3 8 2 2 2 2" xfId="12562"/>
    <cellStyle name="쉼표 [0] 3 3 8 2 2 2 2 2" xfId="25790"/>
    <cellStyle name="쉼표 [0] 3 3 8 2 2 2 3" xfId="10743"/>
    <cellStyle name="쉼표 [0] 3 3 8 2 2 2 3 2" xfId="23971"/>
    <cellStyle name="쉼표 [0] 3 3 8 2 2 2 4" xfId="19248"/>
    <cellStyle name="쉼표 [0] 3 3 8 2 2 3" xfId="10044"/>
    <cellStyle name="쉼표 [0] 3 3 8 2 2 3 2" xfId="23272"/>
    <cellStyle name="쉼표 [0] 3 3 8 2 2 4" xfId="11978"/>
    <cellStyle name="쉼표 [0] 3 3 8 2 2 4 2" xfId="25206"/>
    <cellStyle name="쉼표 [0] 3 3 8 2 2 5" xfId="8977"/>
    <cellStyle name="쉼표 [0] 3 3 8 2 2 5 2" xfId="22205"/>
    <cellStyle name="쉼표 [0] 3 3 8 2 2 6" xfId="18374"/>
    <cellStyle name="쉼표 [0] 3 3 8 2 3" xfId="5622"/>
    <cellStyle name="쉼표 [0] 3 3 8 2 3 2" xfId="12265"/>
    <cellStyle name="쉼표 [0] 3 3 8 2 3 2 2" xfId="25493"/>
    <cellStyle name="쉼표 [0] 3 3 8 2 3 3" xfId="10356"/>
    <cellStyle name="쉼표 [0] 3 3 8 2 3 3 2" xfId="23584"/>
    <cellStyle name="쉼표 [0] 3 3 8 2 3 4" xfId="18861"/>
    <cellStyle name="쉼표 [0] 3 3 8 2 4" xfId="9355"/>
    <cellStyle name="쉼표 [0] 3 3 8 2 4 2" xfId="22583"/>
    <cellStyle name="쉼표 [0] 3 3 8 2 5" xfId="11623"/>
    <cellStyle name="쉼표 [0] 3 3 8 2 5 2" xfId="24851"/>
    <cellStyle name="쉼표 [0] 3 3 8 2 6" xfId="7088"/>
    <cellStyle name="쉼표 [0] 3 3 8 2 6 2" xfId="20316"/>
    <cellStyle name="쉼표 [0] 3 3 8 2 7" xfId="15028"/>
    <cellStyle name="쉼표 [0] 3 3 8 3" xfId="4922"/>
    <cellStyle name="쉼표 [0] 3 3 8 3 2" xfId="5830"/>
    <cellStyle name="쉼표 [0] 3 3 8 3 2 2" xfId="12383"/>
    <cellStyle name="쉼표 [0] 3 3 8 3 2 2 2" xfId="25611"/>
    <cellStyle name="쉼표 [0] 3 3 8 3 2 3" xfId="10564"/>
    <cellStyle name="쉼표 [0] 3 3 8 3 2 3 2" xfId="23792"/>
    <cellStyle name="쉼표 [0] 3 3 8 3 2 4" xfId="19069"/>
    <cellStyle name="쉼표 [0] 3 3 8 3 3" xfId="9863"/>
    <cellStyle name="쉼표 [0] 3 3 8 3 3 2" xfId="23091"/>
    <cellStyle name="쉼표 [0] 3 3 8 3 4" xfId="11799"/>
    <cellStyle name="쉼표 [0] 3 3 8 3 4 2" xfId="25027"/>
    <cellStyle name="쉼표 [0] 3 3 8 3 5" xfId="8795"/>
    <cellStyle name="쉼표 [0] 3 3 8 3 5 2" xfId="22023"/>
    <cellStyle name="쉼표 [0] 3 3 8 3 6" xfId="18189"/>
    <cellStyle name="쉼표 [0] 3 3 8 4" xfId="5479"/>
    <cellStyle name="쉼표 [0] 3 3 8 4 2" xfId="12122"/>
    <cellStyle name="쉼표 [0] 3 3 8 4 2 2" xfId="25350"/>
    <cellStyle name="쉼표 [0] 3 3 8 4 3" xfId="10213"/>
    <cellStyle name="쉼표 [0] 3 3 8 4 3 2" xfId="23441"/>
    <cellStyle name="쉼표 [0] 3 3 8 4 4" xfId="18718"/>
    <cellStyle name="쉼표 [0] 3 3 8 5" xfId="9212"/>
    <cellStyle name="쉼표 [0] 3 3 8 5 2" xfId="22440"/>
    <cellStyle name="쉼표 [0] 3 3 8 6" xfId="11480"/>
    <cellStyle name="쉼표 [0] 3 3 8 6 2" xfId="24708"/>
    <cellStyle name="쉼표 [0] 3 3 8 7" xfId="6906"/>
    <cellStyle name="쉼표 [0] 3 3 8 7 2" xfId="20134"/>
    <cellStyle name="쉼표 [0] 3 3 8 8" xfId="14844"/>
    <cellStyle name="쉼표 [0] 3 3 9" xfId="607"/>
    <cellStyle name="쉼표 [0] 3 3 9 2" xfId="4992"/>
    <cellStyle name="쉼표 [0] 3 3 9 2 2" xfId="5898"/>
    <cellStyle name="쉼표 [0] 3 3 9 2 2 2" xfId="12451"/>
    <cellStyle name="쉼표 [0] 3 3 9 2 2 2 2" xfId="25679"/>
    <cellStyle name="쉼표 [0] 3 3 9 2 2 3" xfId="10632"/>
    <cellStyle name="쉼표 [0] 3 3 9 2 2 3 2" xfId="23860"/>
    <cellStyle name="쉼표 [0] 3 3 9 2 2 4" xfId="19137"/>
    <cellStyle name="쉼표 [0] 3 3 9 2 3" xfId="9931"/>
    <cellStyle name="쉼표 [0] 3 3 9 2 3 2" xfId="23159"/>
    <cellStyle name="쉼표 [0] 3 3 9 2 4" xfId="11867"/>
    <cellStyle name="쉼표 [0] 3 3 9 2 4 2" xfId="25095"/>
    <cellStyle name="쉼표 [0] 3 3 9 2 5" xfId="8864"/>
    <cellStyle name="쉼표 [0] 3 3 9 2 5 2" xfId="22092"/>
    <cellStyle name="쉼표 [0] 3 3 9 2 6" xfId="18259"/>
    <cellStyle name="쉼표 [0] 3 3 9 3" xfId="5615"/>
    <cellStyle name="쉼표 [0] 3 3 9 3 2" xfId="12258"/>
    <cellStyle name="쉼표 [0] 3 3 9 3 2 2" xfId="25486"/>
    <cellStyle name="쉼표 [0] 3 3 9 3 3" xfId="10349"/>
    <cellStyle name="쉼표 [0] 3 3 9 3 3 2" xfId="23577"/>
    <cellStyle name="쉼표 [0] 3 3 9 3 4" xfId="18854"/>
    <cellStyle name="쉼표 [0] 3 3 9 4" xfId="9348"/>
    <cellStyle name="쉼표 [0] 3 3 9 4 2" xfId="22576"/>
    <cellStyle name="쉼표 [0] 3 3 9 5" xfId="11616"/>
    <cellStyle name="쉼표 [0] 3 3 9 5 2" xfId="24844"/>
    <cellStyle name="쉼표 [0] 3 3 9 6" xfId="7081"/>
    <cellStyle name="쉼표 [0] 3 3 9 6 2" xfId="20309"/>
    <cellStyle name="쉼표 [0] 3 3 9 7" xfId="15021"/>
    <cellStyle name="쉼표 [0] 3 4" xfId="431"/>
    <cellStyle name="쉼표 [0] 3 4 10" xfId="4923"/>
    <cellStyle name="쉼표 [0] 3 4 10 2" xfId="5831"/>
    <cellStyle name="쉼표 [0] 3 4 10 2 2" xfId="12384"/>
    <cellStyle name="쉼표 [0] 3 4 10 2 2 2" xfId="25612"/>
    <cellStyle name="쉼표 [0] 3 4 10 2 3" xfId="10565"/>
    <cellStyle name="쉼표 [0] 3 4 10 2 3 2" xfId="23793"/>
    <cellStyle name="쉼표 [0] 3 4 10 2 4" xfId="19070"/>
    <cellStyle name="쉼표 [0] 3 4 10 3" xfId="9864"/>
    <cellStyle name="쉼표 [0] 3 4 10 3 2" xfId="23092"/>
    <cellStyle name="쉼표 [0] 3 4 10 4" xfId="11800"/>
    <cellStyle name="쉼표 [0] 3 4 10 4 2" xfId="25028"/>
    <cellStyle name="쉼표 [0] 3 4 10 5" xfId="8796"/>
    <cellStyle name="쉼표 [0] 3 4 10 5 2" xfId="22024"/>
    <cellStyle name="쉼표 [0] 3 4 10 6" xfId="18190"/>
    <cellStyle name="쉼표 [0] 3 4 11" xfId="5480"/>
    <cellStyle name="쉼표 [0] 3 4 11 2" xfId="12123"/>
    <cellStyle name="쉼표 [0] 3 4 11 2 2" xfId="25351"/>
    <cellStyle name="쉼표 [0] 3 4 11 3" xfId="10214"/>
    <cellStyle name="쉼표 [0] 3 4 11 3 2" xfId="23442"/>
    <cellStyle name="쉼표 [0] 3 4 11 4" xfId="18719"/>
    <cellStyle name="쉼표 [0] 3 4 12" xfId="9213"/>
    <cellStyle name="쉼표 [0] 3 4 12 2" xfId="22441"/>
    <cellStyle name="쉼표 [0] 3 4 13" xfId="11481"/>
    <cellStyle name="쉼표 [0] 3 4 13 2" xfId="24709"/>
    <cellStyle name="쉼표 [0] 3 4 14" xfId="6907"/>
    <cellStyle name="쉼표 [0] 3 4 14 2" xfId="20135"/>
    <cellStyle name="쉼표 [0] 3 4 15" xfId="14845"/>
    <cellStyle name="쉼표 [0] 3 4 16" xfId="51072"/>
    <cellStyle name="쉼표 [0] 3 4 2" xfId="432"/>
    <cellStyle name="쉼표 [0] 3 4 2 2" xfId="616"/>
    <cellStyle name="쉼표 [0] 3 4 2 2 2" xfId="5106"/>
    <cellStyle name="쉼표 [0] 3 4 2 2 2 2" xfId="6008"/>
    <cellStyle name="쉼표 [0] 3 4 2 2 2 2 2" xfId="12561"/>
    <cellStyle name="쉼표 [0] 3 4 2 2 2 2 2 2" xfId="25789"/>
    <cellStyle name="쉼표 [0] 3 4 2 2 2 2 3" xfId="10742"/>
    <cellStyle name="쉼표 [0] 3 4 2 2 2 2 3 2" xfId="23970"/>
    <cellStyle name="쉼표 [0] 3 4 2 2 2 2 4" xfId="19247"/>
    <cellStyle name="쉼표 [0] 3 4 2 2 2 3" xfId="10043"/>
    <cellStyle name="쉼표 [0] 3 4 2 2 2 3 2" xfId="23271"/>
    <cellStyle name="쉼표 [0] 3 4 2 2 2 4" xfId="11977"/>
    <cellStyle name="쉼표 [0] 3 4 2 2 2 4 2" xfId="25205"/>
    <cellStyle name="쉼표 [0] 3 4 2 2 2 5" xfId="8976"/>
    <cellStyle name="쉼표 [0] 3 4 2 2 2 5 2" xfId="22204"/>
    <cellStyle name="쉼표 [0] 3 4 2 2 2 6" xfId="18373"/>
    <cellStyle name="쉼표 [0] 3 4 2 2 3" xfId="5624"/>
    <cellStyle name="쉼표 [0] 3 4 2 2 3 2" xfId="12267"/>
    <cellStyle name="쉼표 [0] 3 4 2 2 3 2 2" xfId="25495"/>
    <cellStyle name="쉼표 [0] 3 4 2 2 3 3" xfId="10358"/>
    <cellStyle name="쉼표 [0] 3 4 2 2 3 3 2" xfId="23586"/>
    <cellStyle name="쉼표 [0] 3 4 2 2 3 4" xfId="18863"/>
    <cellStyle name="쉼표 [0] 3 4 2 2 4" xfId="9357"/>
    <cellStyle name="쉼표 [0] 3 4 2 2 4 2" xfId="22585"/>
    <cellStyle name="쉼표 [0] 3 4 2 2 5" xfId="11625"/>
    <cellStyle name="쉼표 [0] 3 4 2 2 5 2" xfId="24853"/>
    <cellStyle name="쉼표 [0] 3 4 2 2 6" xfId="7090"/>
    <cellStyle name="쉼표 [0] 3 4 2 2 6 2" xfId="20318"/>
    <cellStyle name="쉼표 [0] 3 4 2 2 7" xfId="15030"/>
    <cellStyle name="쉼표 [0] 3 4 2 3" xfId="5074"/>
    <cellStyle name="쉼표 [0] 3 4 2 3 2" xfId="5976"/>
    <cellStyle name="쉼표 [0] 3 4 2 3 2 2" xfId="12529"/>
    <cellStyle name="쉼표 [0] 3 4 2 3 2 2 2" xfId="25757"/>
    <cellStyle name="쉼표 [0] 3 4 2 3 2 3" xfId="10710"/>
    <cellStyle name="쉼표 [0] 3 4 2 3 2 3 2" xfId="23938"/>
    <cellStyle name="쉼표 [0] 3 4 2 3 2 4" xfId="19215"/>
    <cellStyle name="쉼표 [0] 3 4 2 3 3" xfId="10011"/>
    <cellStyle name="쉼표 [0] 3 4 2 3 3 2" xfId="23239"/>
    <cellStyle name="쉼표 [0] 3 4 2 3 4" xfId="11945"/>
    <cellStyle name="쉼표 [0] 3 4 2 3 4 2" xfId="25173"/>
    <cellStyle name="쉼표 [0] 3 4 2 3 5" xfId="8944"/>
    <cellStyle name="쉼표 [0] 3 4 2 3 5 2" xfId="22172"/>
    <cellStyle name="쉼표 [0] 3 4 2 3 6" xfId="18341"/>
    <cellStyle name="쉼표 [0] 3 4 2 4" xfId="5481"/>
    <cellStyle name="쉼표 [0] 3 4 2 4 2" xfId="12124"/>
    <cellStyle name="쉼표 [0] 3 4 2 4 2 2" xfId="25352"/>
    <cellStyle name="쉼표 [0] 3 4 2 4 3" xfId="10215"/>
    <cellStyle name="쉼표 [0] 3 4 2 4 3 2" xfId="23443"/>
    <cellStyle name="쉼표 [0] 3 4 2 4 4" xfId="18720"/>
    <cellStyle name="쉼표 [0] 3 4 2 5" xfId="9214"/>
    <cellStyle name="쉼표 [0] 3 4 2 5 2" xfId="22442"/>
    <cellStyle name="쉼표 [0] 3 4 2 6" xfId="11482"/>
    <cellStyle name="쉼표 [0] 3 4 2 6 2" xfId="24710"/>
    <cellStyle name="쉼표 [0] 3 4 2 7" xfId="6908"/>
    <cellStyle name="쉼표 [0] 3 4 2 7 2" xfId="20136"/>
    <cellStyle name="쉼표 [0] 3 4 2 8" xfId="14846"/>
    <cellStyle name="쉼표 [0] 3 4 3" xfId="433"/>
    <cellStyle name="쉼표 [0] 3 4 3 2" xfId="617"/>
    <cellStyle name="쉼표 [0] 3 4 3 2 2" xfId="4997"/>
    <cellStyle name="쉼표 [0] 3 4 3 2 2 2" xfId="5903"/>
    <cellStyle name="쉼표 [0] 3 4 3 2 2 2 2" xfId="12456"/>
    <cellStyle name="쉼표 [0] 3 4 3 2 2 2 2 2" xfId="25684"/>
    <cellStyle name="쉼표 [0] 3 4 3 2 2 2 3" xfId="10637"/>
    <cellStyle name="쉼표 [0] 3 4 3 2 2 2 3 2" xfId="23865"/>
    <cellStyle name="쉼표 [0] 3 4 3 2 2 2 4" xfId="19142"/>
    <cellStyle name="쉼표 [0] 3 4 3 2 2 3" xfId="9936"/>
    <cellStyle name="쉼표 [0] 3 4 3 2 2 3 2" xfId="23164"/>
    <cellStyle name="쉼표 [0] 3 4 3 2 2 4" xfId="11872"/>
    <cellStyle name="쉼표 [0] 3 4 3 2 2 4 2" xfId="25100"/>
    <cellStyle name="쉼표 [0] 3 4 3 2 2 5" xfId="8869"/>
    <cellStyle name="쉼표 [0] 3 4 3 2 2 5 2" xfId="22097"/>
    <cellStyle name="쉼표 [0] 3 4 3 2 2 6" xfId="18264"/>
    <cellStyle name="쉼표 [0] 3 4 3 2 3" xfId="5625"/>
    <cellStyle name="쉼표 [0] 3 4 3 2 3 2" xfId="12268"/>
    <cellStyle name="쉼표 [0] 3 4 3 2 3 2 2" xfId="25496"/>
    <cellStyle name="쉼표 [0] 3 4 3 2 3 3" xfId="10359"/>
    <cellStyle name="쉼표 [0] 3 4 3 2 3 3 2" xfId="23587"/>
    <cellStyle name="쉼표 [0] 3 4 3 2 3 4" xfId="18864"/>
    <cellStyle name="쉼표 [0] 3 4 3 2 4" xfId="9358"/>
    <cellStyle name="쉼표 [0] 3 4 3 2 4 2" xfId="22586"/>
    <cellStyle name="쉼표 [0] 3 4 3 2 5" xfId="11626"/>
    <cellStyle name="쉼표 [0] 3 4 3 2 5 2" xfId="24854"/>
    <cellStyle name="쉼표 [0] 3 4 3 2 6" xfId="7091"/>
    <cellStyle name="쉼표 [0] 3 4 3 2 6 2" xfId="20319"/>
    <cellStyle name="쉼표 [0] 3 4 3 2 7" xfId="15031"/>
    <cellStyle name="쉼표 [0] 3 4 3 3" xfId="5155"/>
    <cellStyle name="쉼표 [0] 3 4 3 3 2" xfId="6055"/>
    <cellStyle name="쉼표 [0] 3 4 3 3 2 2" xfId="12608"/>
    <cellStyle name="쉼표 [0] 3 4 3 3 2 2 2" xfId="25836"/>
    <cellStyle name="쉼표 [0] 3 4 3 3 2 3" xfId="10789"/>
    <cellStyle name="쉼표 [0] 3 4 3 3 2 3 2" xfId="24017"/>
    <cellStyle name="쉼표 [0] 3 4 3 3 2 4" xfId="19294"/>
    <cellStyle name="쉼표 [0] 3 4 3 3 3" xfId="10090"/>
    <cellStyle name="쉼표 [0] 3 4 3 3 3 2" xfId="23318"/>
    <cellStyle name="쉼표 [0] 3 4 3 3 4" xfId="12024"/>
    <cellStyle name="쉼표 [0] 3 4 3 3 4 2" xfId="25252"/>
    <cellStyle name="쉼표 [0] 3 4 3 3 5" xfId="9023"/>
    <cellStyle name="쉼표 [0] 3 4 3 3 5 2" xfId="22251"/>
    <cellStyle name="쉼표 [0] 3 4 3 3 6" xfId="18421"/>
    <cellStyle name="쉼표 [0] 3 4 3 4" xfId="5482"/>
    <cellStyle name="쉼표 [0] 3 4 3 4 2" xfId="12125"/>
    <cellStyle name="쉼표 [0] 3 4 3 4 2 2" xfId="25353"/>
    <cellStyle name="쉼표 [0] 3 4 3 4 3" xfId="10216"/>
    <cellStyle name="쉼표 [0] 3 4 3 4 3 2" xfId="23444"/>
    <cellStyle name="쉼표 [0] 3 4 3 4 4" xfId="18721"/>
    <cellStyle name="쉼표 [0] 3 4 3 5" xfId="9215"/>
    <cellStyle name="쉼표 [0] 3 4 3 5 2" xfId="22443"/>
    <cellStyle name="쉼표 [0] 3 4 3 6" xfId="11483"/>
    <cellStyle name="쉼표 [0] 3 4 3 6 2" xfId="24711"/>
    <cellStyle name="쉼표 [0] 3 4 3 7" xfId="6909"/>
    <cellStyle name="쉼표 [0] 3 4 3 7 2" xfId="20137"/>
    <cellStyle name="쉼표 [0] 3 4 3 8" xfId="14847"/>
    <cellStyle name="쉼표 [0] 3 4 4" xfId="434"/>
    <cellStyle name="쉼표 [0] 3 4 4 2" xfId="618"/>
    <cellStyle name="쉼표 [0] 3 4 4 2 2" xfId="4998"/>
    <cellStyle name="쉼표 [0] 3 4 4 2 2 2" xfId="5904"/>
    <cellStyle name="쉼표 [0] 3 4 4 2 2 2 2" xfId="12457"/>
    <cellStyle name="쉼표 [0] 3 4 4 2 2 2 2 2" xfId="25685"/>
    <cellStyle name="쉼표 [0] 3 4 4 2 2 2 3" xfId="10638"/>
    <cellStyle name="쉼표 [0] 3 4 4 2 2 2 3 2" xfId="23866"/>
    <cellStyle name="쉼표 [0] 3 4 4 2 2 2 4" xfId="19143"/>
    <cellStyle name="쉼표 [0] 3 4 4 2 2 3" xfId="9937"/>
    <cellStyle name="쉼표 [0] 3 4 4 2 2 3 2" xfId="23165"/>
    <cellStyle name="쉼표 [0] 3 4 4 2 2 4" xfId="11873"/>
    <cellStyle name="쉼표 [0] 3 4 4 2 2 4 2" xfId="25101"/>
    <cellStyle name="쉼표 [0] 3 4 4 2 2 5" xfId="8870"/>
    <cellStyle name="쉼표 [0] 3 4 4 2 2 5 2" xfId="22098"/>
    <cellStyle name="쉼표 [0] 3 4 4 2 2 6" xfId="18265"/>
    <cellStyle name="쉼표 [0] 3 4 4 2 3" xfId="5626"/>
    <cellStyle name="쉼표 [0] 3 4 4 2 3 2" xfId="12269"/>
    <cellStyle name="쉼표 [0] 3 4 4 2 3 2 2" xfId="25497"/>
    <cellStyle name="쉼표 [0] 3 4 4 2 3 3" xfId="10360"/>
    <cellStyle name="쉼표 [0] 3 4 4 2 3 3 2" xfId="23588"/>
    <cellStyle name="쉼표 [0] 3 4 4 2 3 4" xfId="18865"/>
    <cellStyle name="쉼표 [0] 3 4 4 2 4" xfId="9359"/>
    <cellStyle name="쉼표 [0] 3 4 4 2 4 2" xfId="22587"/>
    <cellStyle name="쉼표 [0] 3 4 4 2 5" xfId="11627"/>
    <cellStyle name="쉼표 [0] 3 4 4 2 5 2" xfId="24855"/>
    <cellStyle name="쉼표 [0] 3 4 4 2 6" xfId="7092"/>
    <cellStyle name="쉼표 [0] 3 4 4 2 6 2" xfId="20320"/>
    <cellStyle name="쉼표 [0] 3 4 4 2 7" xfId="15032"/>
    <cellStyle name="쉼표 [0] 3 4 4 3" xfId="5073"/>
    <cellStyle name="쉼표 [0] 3 4 4 3 2" xfId="5975"/>
    <cellStyle name="쉼표 [0] 3 4 4 3 2 2" xfId="12528"/>
    <cellStyle name="쉼표 [0] 3 4 4 3 2 2 2" xfId="25756"/>
    <cellStyle name="쉼표 [0] 3 4 4 3 2 3" xfId="10709"/>
    <cellStyle name="쉼표 [0] 3 4 4 3 2 3 2" xfId="23937"/>
    <cellStyle name="쉼표 [0] 3 4 4 3 2 4" xfId="19214"/>
    <cellStyle name="쉼표 [0] 3 4 4 3 3" xfId="10010"/>
    <cellStyle name="쉼표 [0] 3 4 4 3 3 2" xfId="23238"/>
    <cellStyle name="쉼표 [0] 3 4 4 3 4" xfId="11944"/>
    <cellStyle name="쉼표 [0] 3 4 4 3 4 2" xfId="25172"/>
    <cellStyle name="쉼표 [0] 3 4 4 3 5" xfId="8943"/>
    <cellStyle name="쉼표 [0] 3 4 4 3 5 2" xfId="22171"/>
    <cellStyle name="쉼표 [0] 3 4 4 3 6" xfId="18340"/>
    <cellStyle name="쉼표 [0] 3 4 4 4" xfId="5483"/>
    <cellStyle name="쉼표 [0] 3 4 4 4 2" xfId="12126"/>
    <cellStyle name="쉼표 [0] 3 4 4 4 2 2" xfId="25354"/>
    <cellStyle name="쉼표 [0] 3 4 4 4 3" xfId="10217"/>
    <cellStyle name="쉼표 [0] 3 4 4 4 3 2" xfId="23445"/>
    <cellStyle name="쉼표 [0] 3 4 4 4 4" xfId="18722"/>
    <cellStyle name="쉼표 [0] 3 4 4 5" xfId="9216"/>
    <cellStyle name="쉼표 [0] 3 4 4 5 2" xfId="22444"/>
    <cellStyle name="쉼표 [0] 3 4 4 6" xfId="11484"/>
    <cellStyle name="쉼표 [0] 3 4 4 6 2" xfId="24712"/>
    <cellStyle name="쉼표 [0] 3 4 4 7" xfId="6910"/>
    <cellStyle name="쉼표 [0] 3 4 4 7 2" xfId="20138"/>
    <cellStyle name="쉼표 [0] 3 4 4 8" xfId="14848"/>
    <cellStyle name="쉼표 [0] 3 4 5" xfId="435"/>
    <cellStyle name="쉼표 [0] 3 4 5 2" xfId="619"/>
    <cellStyle name="쉼표 [0] 3 4 5 2 2" xfId="5109"/>
    <cellStyle name="쉼표 [0] 3 4 5 2 2 2" xfId="6011"/>
    <cellStyle name="쉼표 [0] 3 4 5 2 2 2 2" xfId="12564"/>
    <cellStyle name="쉼표 [0] 3 4 5 2 2 2 2 2" xfId="25792"/>
    <cellStyle name="쉼표 [0] 3 4 5 2 2 2 3" xfId="10745"/>
    <cellStyle name="쉼표 [0] 3 4 5 2 2 2 3 2" xfId="23973"/>
    <cellStyle name="쉼표 [0] 3 4 5 2 2 2 4" xfId="19250"/>
    <cellStyle name="쉼표 [0] 3 4 5 2 2 3" xfId="10046"/>
    <cellStyle name="쉼표 [0] 3 4 5 2 2 3 2" xfId="23274"/>
    <cellStyle name="쉼표 [0] 3 4 5 2 2 4" xfId="11980"/>
    <cellStyle name="쉼표 [0] 3 4 5 2 2 4 2" xfId="25208"/>
    <cellStyle name="쉼표 [0] 3 4 5 2 2 5" xfId="8979"/>
    <cellStyle name="쉼표 [0] 3 4 5 2 2 5 2" xfId="22207"/>
    <cellStyle name="쉼표 [0] 3 4 5 2 2 6" xfId="18376"/>
    <cellStyle name="쉼표 [0] 3 4 5 2 3" xfId="5627"/>
    <cellStyle name="쉼표 [0] 3 4 5 2 3 2" xfId="12270"/>
    <cellStyle name="쉼표 [0] 3 4 5 2 3 2 2" xfId="25498"/>
    <cellStyle name="쉼표 [0] 3 4 5 2 3 3" xfId="10361"/>
    <cellStyle name="쉼표 [0] 3 4 5 2 3 3 2" xfId="23589"/>
    <cellStyle name="쉼표 [0] 3 4 5 2 3 4" xfId="18866"/>
    <cellStyle name="쉼표 [0] 3 4 5 2 4" xfId="9360"/>
    <cellStyle name="쉼표 [0] 3 4 5 2 4 2" xfId="22588"/>
    <cellStyle name="쉼표 [0] 3 4 5 2 5" xfId="11628"/>
    <cellStyle name="쉼표 [0] 3 4 5 2 5 2" xfId="24856"/>
    <cellStyle name="쉼표 [0] 3 4 5 2 6" xfId="7093"/>
    <cellStyle name="쉼표 [0] 3 4 5 2 6 2" xfId="20321"/>
    <cellStyle name="쉼표 [0] 3 4 5 2 7" xfId="15033"/>
    <cellStyle name="쉼표 [0] 3 4 5 3" xfId="4924"/>
    <cellStyle name="쉼표 [0] 3 4 5 3 2" xfId="5832"/>
    <cellStyle name="쉼표 [0] 3 4 5 3 2 2" xfId="12385"/>
    <cellStyle name="쉼표 [0] 3 4 5 3 2 2 2" xfId="25613"/>
    <cellStyle name="쉼표 [0] 3 4 5 3 2 3" xfId="10566"/>
    <cellStyle name="쉼표 [0] 3 4 5 3 2 3 2" xfId="23794"/>
    <cellStyle name="쉼표 [0] 3 4 5 3 2 4" xfId="19071"/>
    <cellStyle name="쉼표 [0] 3 4 5 3 3" xfId="9865"/>
    <cellStyle name="쉼표 [0] 3 4 5 3 3 2" xfId="23093"/>
    <cellStyle name="쉼표 [0] 3 4 5 3 4" xfId="11801"/>
    <cellStyle name="쉼표 [0] 3 4 5 3 4 2" xfId="25029"/>
    <cellStyle name="쉼표 [0] 3 4 5 3 5" xfId="8797"/>
    <cellStyle name="쉼표 [0] 3 4 5 3 5 2" xfId="22025"/>
    <cellStyle name="쉼표 [0] 3 4 5 3 6" xfId="18191"/>
    <cellStyle name="쉼표 [0] 3 4 5 4" xfId="5484"/>
    <cellStyle name="쉼표 [0] 3 4 5 4 2" xfId="12127"/>
    <cellStyle name="쉼표 [0] 3 4 5 4 2 2" xfId="25355"/>
    <cellStyle name="쉼표 [0] 3 4 5 4 3" xfId="10218"/>
    <cellStyle name="쉼표 [0] 3 4 5 4 3 2" xfId="23446"/>
    <cellStyle name="쉼표 [0] 3 4 5 4 4" xfId="18723"/>
    <cellStyle name="쉼표 [0] 3 4 5 5" xfId="9217"/>
    <cellStyle name="쉼표 [0] 3 4 5 5 2" xfId="22445"/>
    <cellStyle name="쉼표 [0] 3 4 5 6" xfId="11485"/>
    <cellStyle name="쉼표 [0] 3 4 5 6 2" xfId="24713"/>
    <cellStyle name="쉼표 [0] 3 4 5 7" xfId="6911"/>
    <cellStyle name="쉼표 [0] 3 4 5 7 2" xfId="20139"/>
    <cellStyle name="쉼표 [0] 3 4 5 8" xfId="14849"/>
    <cellStyle name="쉼표 [0] 3 4 6" xfId="436"/>
    <cellStyle name="쉼표 [0] 3 4 6 2" xfId="620"/>
    <cellStyle name="쉼표 [0] 3 4 6 2 2" xfId="5179"/>
    <cellStyle name="쉼표 [0] 3 4 6 2 2 2" xfId="6079"/>
    <cellStyle name="쉼표 [0] 3 4 6 2 2 2 2" xfId="12632"/>
    <cellStyle name="쉼표 [0] 3 4 6 2 2 2 2 2" xfId="25860"/>
    <cellStyle name="쉼표 [0] 3 4 6 2 2 2 3" xfId="10813"/>
    <cellStyle name="쉼표 [0] 3 4 6 2 2 2 3 2" xfId="24041"/>
    <cellStyle name="쉼표 [0] 3 4 6 2 2 2 4" xfId="19318"/>
    <cellStyle name="쉼표 [0] 3 4 6 2 2 3" xfId="10114"/>
    <cellStyle name="쉼표 [0] 3 4 6 2 2 3 2" xfId="23342"/>
    <cellStyle name="쉼표 [0] 3 4 6 2 2 4" xfId="12048"/>
    <cellStyle name="쉼표 [0] 3 4 6 2 2 4 2" xfId="25276"/>
    <cellStyle name="쉼표 [0] 3 4 6 2 2 5" xfId="9047"/>
    <cellStyle name="쉼표 [0] 3 4 6 2 2 5 2" xfId="22275"/>
    <cellStyle name="쉼표 [0] 3 4 6 2 2 6" xfId="18445"/>
    <cellStyle name="쉼표 [0] 3 4 6 2 3" xfId="5628"/>
    <cellStyle name="쉼표 [0] 3 4 6 2 3 2" xfId="12271"/>
    <cellStyle name="쉼표 [0] 3 4 6 2 3 2 2" xfId="25499"/>
    <cellStyle name="쉼표 [0] 3 4 6 2 3 3" xfId="10362"/>
    <cellStyle name="쉼표 [0] 3 4 6 2 3 3 2" xfId="23590"/>
    <cellStyle name="쉼표 [0] 3 4 6 2 3 4" xfId="18867"/>
    <cellStyle name="쉼표 [0] 3 4 6 2 4" xfId="9361"/>
    <cellStyle name="쉼표 [0] 3 4 6 2 4 2" xfId="22589"/>
    <cellStyle name="쉼표 [0] 3 4 6 2 5" xfId="11629"/>
    <cellStyle name="쉼표 [0] 3 4 6 2 5 2" xfId="24857"/>
    <cellStyle name="쉼표 [0] 3 4 6 2 6" xfId="7094"/>
    <cellStyle name="쉼표 [0] 3 4 6 2 6 2" xfId="20322"/>
    <cellStyle name="쉼표 [0] 3 4 6 2 7" xfId="15034"/>
    <cellStyle name="쉼표 [0] 3 4 6 3" xfId="4925"/>
    <cellStyle name="쉼표 [0] 3 4 6 3 2" xfId="5833"/>
    <cellStyle name="쉼표 [0] 3 4 6 3 2 2" xfId="12386"/>
    <cellStyle name="쉼표 [0] 3 4 6 3 2 2 2" xfId="25614"/>
    <cellStyle name="쉼표 [0] 3 4 6 3 2 3" xfId="10567"/>
    <cellStyle name="쉼표 [0] 3 4 6 3 2 3 2" xfId="23795"/>
    <cellStyle name="쉼표 [0] 3 4 6 3 2 4" xfId="19072"/>
    <cellStyle name="쉼표 [0] 3 4 6 3 3" xfId="9866"/>
    <cellStyle name="쉼표 [0] 3 4 6 3 3 2" xfId="23094"/>
    <cellStyle name="쉼표 [0] 3 4 6 3 4" xfId="11802"/>
    <cellStyle name="쉼표 [0] 3 4 6 3 4 2" xfId="25030"/>
    <cellStyle name="쉼표 [0] 3 4 6 3 5" xfId="8798"/>
    <cellStyle name="쉼표 [0] 3 4 6 3 5 2" xfId="22026"/>
    <cellStyle name="쉼표 [0] 3 4 6 3 6" xfId="18192"/>
    <cellStyle name="쉼표 [0] 3 4 6 4" xfId="5485"/>
    <cellStyle name="쉼표 [0] 3 4 6 4 2" xfId="12128"/>
    <cellStyle name="쉼표 [0] 3 4 6 4 2 2" xfId="25356"/>
    <cellStyle name="쉼표 [0] 3 4 6 4 3" xfId="10219"/>
    <cellStyle name="쉼표 [0] 3 4 6 4 3 2" xfId="23447"/>
    <cellStyle name="쉼표 [0] 3 4 6 4 4" xfId="18724"/>
    <cellStyle name="쉼표 [0] 3 4 6 5" xfId="9218"/>
    <cellStyle name="쉼표 [0] 3 4 6 5 2" xfId="22446"/>
    <cellStyle name="쉼표 [0] 3 4 6 6" xfId="11486"/>
    <cellStyle name="쉼표 [0] 3 4 6 6 2" xfId="24714"/>
    <cellStyle name="쉼표 [0] 3 4 6 7" xfId="6912"/>
    <cellStyle name="쉼표 [0] 3 4 6 7 2" xfId="20140"/>
    <cellStyle name="쉼표 [0] 3 4 6 8" xfId="14850"/>
    <cellStyle name="쉼표 [0] 3 4 7" xfId="437"/>
    <cellStyle name="쉼표 [0] 3 4 7 2" xfId="621"/>
    <cellStyle name="쉼표 [0] 3 4 7 2 2" xfId="5108"/>
    <cellStyle name="쉼표 [0] 3 4 7 2 2 2" xfId="6010"/>
    <cellStyle name="쉼표 [0] 3 4 7 2 2 2 2" xfId="12563"/>
    <cellStyle name="쉼표 [0] 3 4 7 2 2 2 2 2" xfId="25791"/>
    <cellStyle name="쉼표 [0] 3 4 7 2 2 2 3" xfId="10744"/>
    <cellStyle name="쉼표 [0] 3 4 7 2 2 2 3 2" xfId="23972"/>
    <cellStyle name="쉼표 [0] 3 4 7 2 2 2 4" xfId="19249"/>
    <cellStyle name="쉼표 [0] 3 4 7 2 2 3" xfId="10045"/>
    <cellStyle name="쉼표 [0] 3 4 7 2 2 3 2" xfId="23273"/>
    <cellStyle name="쉼표 [0] 3 4 7 2 2 4" xfId="11979"/>
    <cellStyle name="쉼표 [0] 3 4 7 2 2 4 2" xfId="25207"/>
    <cellStyle name="쉼표 [0] 3 4 7 2 2 5" xfId="8978"/>
    <cellStyle name="쉼표 [0] 3 4 7 2 2 5 2" xfId="22206"/>
    <cellStyle name="쉼표 [0] 3 4 7 2 2 6" xfId="18375"/>
    <cellStyle name="쉼표 [0] 3 4 7 2 3" xfId="5629"/>
    <cellStyle name="쉼표 [0] 3 4 7 2 3 2" xfId="12272"/>
    <cellStyle name="쉼표 [0] 3 4 7 2 3 2 2" xfId="25500"/>
    <cellStyle name="쉼표 [0] 3 4 7 2 3 3" xfId="10363"/>
    <cellStyle name="쉼표 [0] 3 4 7 2 3 3 2" xfId="23591"/>
    <cellStyle name="쉼표 [0] 3 4 7 2 3 4" xfId="18868"/>
    <cellStyle name="쉼표 [0] 3 4 7 2 4" xfId="9362"/>
    <cellStyle name="쉼표 [0] 3 4 7 2 4 2" xfId="22590"/>
    <cellStyle name="쉼표 [0] 3 4 7 2 5" xfId="11630"/>
    <cellStyle name="쉼표 [0] 3 4 7 2 5 2" xfId="24858"/>
    <cellStyle name="쉼표 [0] 3 4 7 2 6" xfId="7095"/>
    <cellStyle name="쉼표 [0] 3 4 7 2 6 2" xfId="20323"/>
    <cellStyle name="쉼표 [0] 3 4 7 2 7" xfId="15035"/>
    <cellStyle name="쉼표 [0] 3 4 7 3" xfId="5132"/>
    <cellStyle name="쉼표 [0] 3 4 7 3 2" xfId="6033"/>
    <cellStyle name="쉼표 [0] 3 4 7 3 2 2" xfId="12586"/>
    <cellStyle name="쉼표 [0] 3 4 7 3 2 2 2" xfId="25814"/>
    <cellStyle name="쉼표 [0] 3 4 7 3 2 3" xfId="10767"/>
    <cellStyle name="쉼표 [0] 3 4 7 3 2 3 2" xfId="23995"/>
    <cellStyle name="쉼표 [0] 3 4 7 3 2 4" xfId="19272"/>
    <cellStyle name="쉼표 [0] 3 4 7 3 3" xfId="10068"/>
    <cellStyle name="쉼표 [0] 3 4 7 3 3 2" xfId="23296"/>
    <cellStyle name="쉼표 [0] 3 4 7 3 4" xfId="12002"/>
    <cellStyle name="쉼표 [0] 3 4 7 3 4 2" xfId="25230"/>
    <cellStyle name="쉼표 [0] 3 4 7 3 5" xfId="9001"/>
    <cellStyle name="쉼표 [0] 3 4 7 3 5 2" xfId="22229"/>
    <cellStyle name="쉼표 [0] 3 4 7 3 6" xfId="18398"/>
    <cellStyle name="쉼표 [0] 3 4 7 4" xfId="5486"/>
    <cellStyle name="쉼표 [0] 3 4 7 4 2" xfId="12129"/>
    <cellStyle name="쉼표 [0] 3 4 7 4 2 2" xfId="25357"/>
    <cellStyle name="쉼표 [0] 3 4 7 4 3" xfId="10220"/>
    <cellStyle name="쉼표 [0] 3 4 7 4 3 2" xfId="23448"/>
    <cellStyle name="쉼표 [0] 3 4 7 4 4" xfId="18725"/>
    <cellStyle name="쉼표 [0] 3 4 7 5" xfId="9219"/>
    <cellStyle name="쉼표 [0] 3 4 7 5 2" xfId="22447"/>
    <cellStyle name="쉼표 [0] 3 4 7 6" xfId="11487"/>
    <cellStyle name="쉼표 [0] 3 4 7 6 2" xfId="24715"/>
    <cellStyle name="쉼표 [0] 3 4 7 7" xfId="6913"/>
    <cellStyle name="쉼표 [0] 3 4 7 7 2" xfId="20141"/>
    <cellStyle name="쉼표 [0] 3 4 7 8" xfId="14851"/>
    <cellStyle name="쉼표 [0] 3 4 8" xfId="438"/>
    <cellStyle name="쉼표 [0] 3 4 8 2" xfId="622"/>
    <cellStyle name="쉼표 [0] 3 4 8 2 2" xfId="4999"/>
    <cellStyle name="쉼표 [0] 3 4 8 2 2 2" xfId="5905"/>
    <cellStyle name="쉼표 [0] 3 4 8 2 2 2 2" xfId="12458"/>
    <cellStyle name="쉼표 [0] 3 4 8 2 2 2 2 2" xfId="25686"/>
    <cellStyle name="쉼표 [0] 3 4 8 2 2 2 3" xfId="10639"/>
    <cellStyle name="쉼표 [0] 3 4 8 2 2 2 3 2" xfId="23867"/>
    <cellStyle name="쉼표 [0] 3 4 8 2 2 2 4" xfId="19144"/>
    <cellStyle name="쉼표 [0] 3 4 8 2 2 3" xfId="9938"/>
    <cellStyle name="쉼표 [0] 3 4 8 2 2 3 2" xfId="23166"/>
    <cellStyle name="쉼표 [0] 3 4 8 2 2 4" xfId="11874"/>
    <cellStyle name="쉼표 [0] 3 4 8 2 2 4 2" xfId="25102"/>
    <cellStyle name="쉼표 [0] 3 4 8 2 2 5" xfId="8871"/>
    <cellStyle name="쉼표 [0] 3 4 8 2 2 5 2" xfId="22099"/>
    <cellStyle name="쉼표 [0] 3 4 8 2 2 6" xfId="18266"/>
    <cellStyle name="쉼표 [0] 3 4 8 2 3" xfId="5630"/>
    <cellStyle name="쉼표 [0] 3 4 8 2 3 2" xfId="12273"/>
    <cellStyle name="쉼표 [0] 3 4 8 2 3 2 2" xfId="25501"/>
    <cellStyle name="쉼표 [0] 3 4 8 2 3 3" xfId="10364"/>
    <cellStyle name="쉼표 [0] 3 4 8 2 3 3 2" xfId="23592"/>
    <cellStyle name="쉼표 [0] 3 4 8 2 3 4" xfId="18869"/>
    <cellStyle name="쉼표 [0] 3 4 8 2 4" xfId="9363"/>
    <cellStyle name="쉼표 [0] 3 4 8 2 4 2" xfId="22591"/>
    <cellStyle name="쉼표 [0] 3 4 8 2 5" xfId="11631"/>
    <cellStyle name="쉼표 [0] 3 4 8 2 5 2" xfId="24859"/>
    <cellStyle name="쉼표 [0] 3 4 8 2 6" xfId="7096"/>
    <cellStyle name="쉼표 [0] 3 4 8 2 6 2" xfId="20324"/>
    <cellStyle name="쉼표 [0] 3 4 8 2 7" xfId="15036"/>
    <cellStyle name="쉼표 [0] 3 4 8 3" xfId="4926"/>
    <cellStyle name="쉼표 [0] 3 4 8 3 2" xfId="5834"/>
    <cellStyle name="쉼표 [0] 3 4 8 3 2 2" xfId="12387"/>
    <cellStyle name="쉼표 [0] 3 4 8 3 2 2 2" xfId="25615"/>
    <cellStyle name="쉼표 [0] 3 4 8 3 2 3" xfId="10568"/>
    <cellStyle name="쉼표 [0] 3 4 8 3 2 3 2" xfId="23796"/>
    <cellStyle name="쉼표 [0] 3 4 8 3 2 4" xfId="19073"/>
    <cellStyle name="쉼표 [0] 3 4 8 3 3" xfId="9867"/>
    <cellStyle name="쉼표 [0] 3 4 8 3 3 2" xfId="23095"/>
    <cellStyle name="쉼표 [0] 3 4 8 3 4" xfId="11803"/>
    <cellStyle name="쉼표 [0] 3 4 8 3 4 2" xfId="25031"/>
    <cellStyle name="쉼표 [0] 3 4 8 3 5" xfId="8799"/>
    <cellStyle name="쉼표 [0] 3 4 8 3 5 2" xfId="22027"/>
    <cellStyle name="쉼표 [0] 3 4 8 3 6" xfId="18193"/>
    <cellStyle name="쉼표 [0] 3 4 8 4" xfId="5487"/>
    <cellStyle name="쉼표 [0] 3 4 8 4 2" xfId="12130"/>
    <cellStyle name="쉼표 [0] 3 4 8 4 2 2" xfId="25358"/>
    <cellStyle name="쉼표 [0] 3 4 8 4 3" xfId="10221"/>
    <cellStyle name="쉼표 [0] 3 4 8 4 3 2" xfId="23449"/>
    <cellStyle name="쉼표 [0] 3 4 8 4 4" xfId="18726"/>
    <cellStyle name="쉼표 [0] 3 4 8 5" xfId="9220"/>
    <cellStyle name="쉼표 [0] 3 4 8 5 2" xfId="22448"/>
    <cellStyle name="쉼표 [0] 3 4 8 6" xfId="11488"/>
    <cellStyle name="쉼표 [0] 3 4 8 6 2" xfId="24716"/>
    <cellStyle name="쉼표 [0] 3 4 8 7" xfId="6914"/>
    <cellStyle name="쉼표 [0] 3 4 8 7 2" xfId="20142"/>
    <cellStyle name="쉼표 [0] 3 4 8 8" xfId="14852"/>
    <cellStyle name="쉼표 [0] 3 4 9" xfId="615"/>
    <cellStyle name="쉼표 [0] 3 4 9 2" xfId="5178"/>
    <cellStyle name="쉼표 [0] 3 4 9 2 2" xfId="6078"/>
    <cellStyle name="쉼표 [0] 3 4 9 2 2 2" xfId="12631"/>
    <cellStyle name="쉼표 [0] 3 4 9 2 2 2 2" xfId="25859"/>
    <cellStyle name="쉼표 [0] 3 4 9 2 2 3" xfId="10812"/>
    <cellStyle name="쉼표 [0] 3 4 9 2 2 3 2" xfId="24040"/>
    <cellStyle name="쉼표 [0] 3 4 9 2 2 4" xfId="19317"/>
    <cellStyle name="쉼표 [0] 3 4 9 2 3" xfId="10113"/>
    <cellStyle name="쉼표 [0] 3 4 9 2 3 2" xfId="23341"/>
    <cellStyle name="쉼표 [0] 3 4 9 2 4" xfId="12047"/>
    <cellStyle name="쉼표 [0] 3 4 9 2 4 2" xfId="25275"/>
    <cellStyle name="쉼표 [0] 3 4 9 2 5" xfId="9046"/>
    <cellStyle name="쉼표 [0] 3 4 9 2 5 2" xfId="22274"/>
    <cellStyle name="쉼표 [0] 3 4 9 2 6" xfId="18444"/>
    <cellStyle name="쉼표 [0] 3 4 9 3" xfId="5623"/>
    <cellStyle name="쉼표 [0] 3 4 9 3 2" xfId="12266"/>
    <cellStyle name="쉼표 [0] 3 4 9 3 2 2" xfId="25494"/>
    <cellStyle name="쉼표 [0] 3 4 9 3 3" xfId="10357"/>
    <cellStyle name="쉼표 [0] 3 4 9 3 3 2" xfId="23585"/>
    <cellStyle name="쉼표 [0] 3 4 9 3 4" xfId="18862"/>
    <cellStyle name="쉼표 [0] 3 4 9 4" xfId="9356"/>
    <cellStyle name="쉼표 [0] 3 4 9 4 2" xfId="22584"/>
    <cellStyle name="쉼표 [0] 3 4 9 5" xfId="11624"/>
    <cellStyle name="쉼표 [0] 3 4 9 5 2" xfId="24852"/>
    <cellStyle name="쉼표 [0] 3 4 9 6" xfId="7089"/>
    <cellStyle name="쉼표 [0] 3 4 9 6 2" xfId="20317"/>
    <cellStyle name="쉼표 [0] 3 4 9 7" xfId="15029"/>
    <cellStyle name="쉼표 [0] 3 5" xfId="439"/>
    <cellStyle name="쉼표 [0] 3 5 10" xfId="4927"/>
    <cellStyle name="쉼표 [0] 3 5 10 2" xfId="5835"/>
    <cellStyle name="쉼표 [0] 3 5 10 2 2" xfId="12388"/>
    <cellStyle name="쉼표 [0] 3 5 10 2 2 2" xfId="25616"/>
    <cellStyle name="쉼표 [0] 3 5 10 2 3" xfId="10569"/>
    <cellStyle name="쉼표 [0] 3 5 10 2 3 2" xfId="23797"/>
    <cellStyle name="쉼표 [0] 3 5 10 2 4" xfId="19074"/>
    <cellStyle name="쉼표 [0] 3 5 10 3" xfId="9868"/>
    <cellStyle name="쉼표 [0] 3 5 10 3 2" xfId="23096"/>
    <cellStyle name="쉼표 [0] 3 5 10 4" xfId="11804"/>
    <cellStyle name="쉼표 [0] 3 5 10 4 2" xfId="25032"/>
    <cellStyle name="쉼표 [0] 3 5 10 5" xfId="8800"/>
    <cellStyle name="쉼표 [0] 3 5 10 5 2" xfId="22028"/>
    <cellStyle name="쉼표 [0] 3 5 10 6" xfId="18194"/>
    <cellStyle name="쉼표 [0] 3 5 11" xfId="5488"/>
    <cellStyle name="쉼표 [0] 3 5 11 2" xfId="12131"/>
    <cellStyle name="쉼표 [0] 3 5 11 2 2" xfId="25359"/>
    <cellStyle name="쉼표 [0] 3 5 11 3" xfId="10222"/>
    <cellStyle name="쉼표 [0] 3 5 11 3 2" xfId="23450"/>
    <cellStyle name="쉼표 [0] 3 5 11 4" xfId="18727"/>
    <cellStyle name="쉼표 [0] 3 5 12" xfId="9221"/>
    <cellStyle name="쉼표 [0] 3 5 12 2" xfId="22449"/>
    <cellStyle name="쉼표 [0] 3 5 13" xfId="11489"/>
    <cellStyle name="쉼표 [0] 3 5 13 2" xfId="24717"/>
    <cellStyle name="쉼표 [0] 3 5 14" xfId="6915"/>
    <cellStyle name="쉼표 [0] 3 5 14 2" xfId="20143"/>
    <cellStyle name="쉼표 [0] 3 5 15" xfId="14853"/>
    <cellStyle name="쉼표 [0] 3 5 2" xfId="440"/>
    <cellStyle name="쉼표 [0] 3 5 2 2" xfId="624"/>
    <cellStyle name="쉼표 [0] 3 5 2 2 2" xfId="5141"/>
    <cellStyle name="쉼표 [0] 3 5 2 2 2 2" xfId="6041"/>
    <cellStyle name="쉼표 [0] 3 5 2 2 2 2 2" xfId="12594"/>
    <cellStyle name="쉼표 [0] 3 5 2 2 2 2 2 2" xfId="25822"/>
    <cellStyle name="쉼표 [0] 3 5 2 2 2 2 3" xfId="10775"/>
    <cellStyle name="쉼표 [0] 3 5 2 2 2 2 3 2" xfId="24003"/>
    <cellStyle name="쉼표 [0] 3 5 2 2 2 2 4" xfId="19280"/>
    <cellStyle name="쉼표 [0] 3 5 2 2 2 3" xfId="10076"/>
    <cellStyle name="쉼표 [0] 3 5 2 2 2 3 2" xfId="23304"/>
    <cellStyle name="쉼표 [0] 3 5 2 2 2 4" xfId="12010"/>
    <cellStyle name="쉼표 [0] 3 5 2 2 2 4 2" xfId="25238"/>
    <cellStyle name="쉼표 [0] 3 5 2 2 2 5" xfId="9009"/>
    <cellStyle name="쉼표 [0] 3 5 2 2 2 5 2" xfId="22237"/>
    <cellStyle name="쉼표 [0] 3 5 2 2 2 6" xfId="18407"/>
    <cellStyle name="쉼표 [0] 3 5 2 2 3" xfId="5632"/>
    <cellStyle name="쉼표 [0] 3 5 2 2 3 2" xfId="12275"/>
    <cellStyle name="쉼표 [0] 3 5 2 2 3 2 2" xfId="25503"/>
    <cellStyle name="쉼표 [0] 3 5 2 2 3 3" xfId="10366"/>
    <cellStyle name="쉼표 [0] 3 5 2 2 3 3 2" xfId="23594"/>
    <cellStyle name="쉼표 [0] 3 5 2 2 3 4" xfId="18871"/>
    <cellStyle name="쉼표 [0] 3 5 2 2 4" xfId="9365"/>
    <cellStyle name="쉼표 [0] 3 5 2 2 4 2" xfId="22593"/>
    <cellStyle name="쉼표 [0] 3 5 2 2 5" xfId="11633"/>
    <cellStyle name="쉼표 [0] 3 5 2 2 5 2" xfId="24861"/>
    <cellStyle name="쉼표 [0] 3 5 2 2 6" xfId="7098"/>
    <cellStyle name="쉼표 [0] 3 5 2 2 6 2" xfId="20326"/>
    <cellStyle name="쉼표 [0] 3 5 2 2 7" xfId="15038"/>
    <cellStyle name="쉼표 [0] 3 5 2 3" xfId="4928"/>
    <cellStyle name="쉼표 [0] 3 5 2 3 2" xfId="5836"/>
    <cellStyle name="쉼표 [0] 3 5 2 3 2 2" xfId="12389"/>
    <cellStyle name="쉼표 [0] 3 5 2 3 2 2 2" xfId="25617"/>
    <cellStyle name="쉼표 [0] 3 5 2 3 2 3" xfId="10570"/>
    <cellStyle name="쉼표 [0] 3 5 2 3 2 3 2" xfId="23798"/>
    <cellStyle name="쉼표 [0] 3 5 2 3 2 4" xfId="19075"/>
    <cellStyle name="쉼표 [0] 3 5 2 3 3" xfId="9869"/>
    <cellStyle name="쉼표 [0] 3 5 2 3 3 2" xfId="23097"/>
    <cellStyle name="쉼표 [0] 3 5 2 3 4" xfId="11805"/>
    <cellStyle name="쉼표 [0] 3 5 2 3 4 2" xfId="25033"/>
    <cellStyle name="쉼표 [0] 3 5 2 3 5" xfId="8801"/>
    <cellStyle name="쉼표 [0] 3 5 2 3 5 2" xfId="22029"/>
    <cellStyle name="쉼표 [0] 3 5 2 3 6" xfId="18195"/>
    <cellStyle name="쉼표 [0] 3 5 2 4" xfId="5489"/>
    <cellStyle name="쉼표 [0] 3 5 2 4 2" xfId="12132"/>
    <cellStyle name="쉼표 [0] 3 5 2 4 2 2" xfId="25360"/>
    <cellStyle name="쉼표 [0] 3 5 2 4 3" xfId="10223"/>
    <cellStyle name="쉼표 [0] 3 5 2 4 3 2" xfId="23451"/>
    <cellStyle name="쉼표 [0] 3 5 2 4 4" xfId="18728"/>
    <cellStyle name="쉼표 [0] 3 5 2 5" xfId="9222"/>
    <cellStyle name="쉼표 [0] 3 5 2 5 2" xfId="22450"/>
    <cellStyle name="쉼표 [0] 3 5 2 6" xfId="11490"/>
    <cellStyle name="쉼표 [0] 3 5 2 6 2" xfId="24718"/>
    <cellStyle name="쉼표 [0] 3 5 2 7" xfId="6916"/>
    <cellStyle name="쉼표 [0] 3 5 2 7 2" xfId="20144"/>
    <cellStyle name="쉼표 [0] 3 5 2 8" xfId="14854"/>
    <cellStyle name="쉼표 [0] 3 5 3" xfId="441"/>
    <cellStyle name="쉼표 [0] 3 5 3 2" xfId="625"/>
    <cellStyle name="쉼표 [0] 3 5 3 2 2" xfId="5001"/>
    <cellStyle name="쉼표 [0] 3 5 3 2 2 2" xfId="5907"/>
    <cellStyle name="쉼표 [0] 3 5 3 2 2 2 2" xfId="12460"/>
    <cellStyle name="쉼표 [0] 3 5 3 2 2 2 2 2" xfId="25688"/>
    <cellStyle name="쉼표 [0] 3 5 3 2 2 2 3" xfId="10641"/>
    <cellStyle name="쉼표 [0] 3 5 3 2 2 2 3 2" xfId="23869"/>
    <cellStyle name="쉼표 [0] 3 5 3 2 2 2 4" xfId="19146"/>
    <cellStyle name="쉼표 [0] 3 5 3 2 2 3" xfId="9940"/>
    <cellStyle name="쉼표 [0] 3 5 3 2 2 3 2" xfId="23168"/>
    <cellStyle name="쉼표 [0] 3 5 3 2 2 4" xfId="11876"/>
    <cellStyle name="쉼표 [0] 3 5 3 2 2 4 2" xfId="25104"/>
    <cellStyle name="쉼표 [0] 3 5 3 2 2 5" xfId="8873"/>
    <cellStyle name="쉼표 [0] 3 5 3 2 2 5 2" xfId="22101"/>
    <cellStyle name="쉼표 [0] 3 5 3 2 2 6" xfId="18268"/>
    <cellStyle name="쉼표 [0] 3 5 3 2 3" xfId="5633"/>
    <cellStyle name="쉼표 [0] 3 5 3 2 3 2" xfId="12276"/>
    <cellStyle name="쉼표 [0] 3 5 3 2 3 2 2" xfId="25504"/>
    <cellStyle name="쉼표 [0] 3 5 3 2 3 3" xfId="10367"/>
    <cellStyle name="쉼표 [0] 3 5 3 2 3 3 2" xfId="23595"/>
    <cellStyle name="쉼표 [0] 3 5 3 2 3 4" xfId="18872"/>
    <cellStyle name="쉼표 [0] 3 5 3 2 4" xfId="9366"/>
    <cellStyle name="쉼표 [0] 3 5 3 2 4 2" xfId="22594"/>
    <cellStyle name="쉼표 [0] 3 5 3 2 5" xfId="11634"/>
    <cellStyle name="쉼표 [0] 3 5 3 2 5 2" xfId="24862"/>
    <cellStyle name="쉼표 [0] 3 5 3 2 6" xfId="7099"/>
    <cellStyle name="쉼표 [0] 3 5 3 2 6 2" xfId="20327"/>
    <cellStyle name="쉼표 [0] 3 5 3 2 7" xfId="15039"/>
    <cellStyle name="쉼표 [0] 3 5 3 3" xfId="5048"/>
    <cellStyle name="쉼표 [0] 3 5 3 3 2" xfId="5950"/>
    <cellStyle name="쉼표 [0] 3 5 3 3 2 2" xfId="12503"/>
    <cellStyle name="쉼표 [0] 3 5 3 3 2 2 2" xfId="25731"/>
    <cellStyle name="쉼표 [0] 3 5 3 3 2 3" xfId="10684"/>
    <cellStyle name="쉼표 [0] 3 5 3 3 2 3 2" xfId="23912"/>
    <cellStyle name="쉼표 [0] 3 5 3 3 2 4" xfId="19189"/>
    <cellStyle name="쉼표 [0] 3 5 3 3 3" xfId="9985"/>
    <cellStyle name="쉼표 [0] 3 5 3 3 3 2" xfId="23213"/>
    <cellStyle name="쉼표 [0] 3 5 3 3 4" xfId="11919"/>
    <cellStyle name="쉼표 [0] 3 5 3 3 4 2" xfId="25147"/>
    <cellStyle name="쉼표 [0] 3 5 3 3 5" xfId="8918"/>
    <cellStyle name="쉼표 [0] 3 5 3 3 5 2" xfId="22146"/>
    <cellStyle name="쉼표 [0] 3 5 3 3 6" xfId="18315"/>
    <cellStyle name="쉼표 [0] 3 5 3 4" xfId="5490"/>
    <cellStyle name="쉼표 [0] 3 5 3 4 2" xfId="12133"/>
    <cellStyle name="쉼표 [0] 3 5 3 4 2 2" xfId="25361"/>
    <cellStyle name="쉼표 [0] 3 5 3 4 3" xfId="10224"/>
    <cellStyle name="쉼표 [0] 3 5 3 4 3 2" xfId="23452"/>
    <cellStyle name="쉼표 [0] 3 5 3 4 4" xfId="18729"/>
    <cellStyle name="쉼표 [0] 3 5 3 5" xfId="9223"/>
    <cellStyle name="쉼표 [0] 3 5 3 5 2" xfId="22451"/>
    <cellStyle name="쉼표 [0] 3 5 3 6" xfId="11491"/>
    <cellStyle name="쉼표 [0] 3 5 3 6 2" xfId="24719"/>
    <cellStyle name="쉼표 [0] 3 5 3 7" xfId="6917"/>
    <cellStyle name="쉼표 [0] 3 5 3 7 2" xfId="20145"/>
    <cellStyle name="쉼표 [0] 3 5 3 8" xfId="14855"/>
    <cellStyle name="쉼표 [0] 3 5 4" xfId="442"/>
    <cellStyle name="쉼표 [0] 3 5 4 2" xfId="626"/>
    <cellStyle name="쉼표 [0] 3 5 4 2 2" xfId="5002"/>
    <cellStyle name="쉼표 [0] 3 5 4 2 2 2" xfId="5908"/>
    <cellStyle name="쉼표 [0] 3 5 4 2 2 2 2" xfId="12461"/>
    <cellStyle name="쉼표 [0] 3 5 4 2 2 2 2 2" xfId="25689"/>
    <cellStyle name="쉼표 [0] 3 5 4 2 2 2 3" xfId="10642"/>
    <cellStyle name="쉼표 [0] 3 5 4 2 2 2 3 2" xfId="23870"/>
    <cellStyle name="쉼표 [0] 3 5 4 2 2 2 4" xfId="19147"/>
    <cellStyle name="쉼표 [0] 3 5 4 2 2 3" xfId="9941"/>
    <cellStyle name="쉼표 [0] 3 5 4 2 2 3 2" xfId="23169"/>
    <cellStyle name="쉼표 [0] 3 5 4 2 2 4" xfId="11877"/>
    <cellStyle name="쉼표 [0] 3 5 4 2 2 4 2" xfId="25105"/>
    <cellStyle name="쉼표 [0] 3 5 4 2 2 5" xfId="8874"/>
    <cellStyle name="쉼표 [0] 3 5 4 2 2 5 2" xfId="22102"/>
    <cellStyle name="쉼표 [0] 3 5 4 2 2 6" xfId="18269"/>
    <cellStyle name="쉼표 [0] 3 5 4 2 3" xfId="5634"/>
    <cellStyle name="쉼표 [0] 3 5 4 2 3 2" xfId="12277"/>
    <cellStyle name="쉼표 [0] 3 5 4 2 3 2 2" xfId="25505"/>
    <cellStyle name="쉼표 [0] 3 5 4 2 3 3" xfId="10368"/>
    <cellStyle name="쉼표 [0] 3 5 4 2 3 3 2" xfId="23596"/>
    <cellStyle name="쉼표 [0] 3 5 4 2 3 4" xfId="18873"/>
    <cellStyle name="쉼표 [0] 3 5 4 2 4" xfId="9367"/>
    <cellStyle name="쉼표 [0] 3 5 4 2 4 2" xfId="22595"/>
    <cellStyle name="쉼표 [0] 3 5 4 2 5" xfId="11635"/>
    <cellStyle name="쉼표 [0] 3 5 4 2 5 2" xfId="24863"/>
    <cellStyle name="쉼표 [0] 3 5 4 2 6" xfId="7100"/>
    <cellStyle name="쉼표 [0] 3 5 4 2 6 2" xfId="20328"/>
    <cellStyle name="쉼표 [0] 3 5 4 2 7" xfId="15040"/>
    <cellStyle name="쉼표 [0] 3 5 4 3" xfId="5156"/>
    <cellStyle name="쉼표 [0] 3 5 4 3 2" xfId="6056"/>
    <cellStyle name="쉼표 [0] 3 5 4 3 2 2" xfId="12609"/>
    <cellStyle name="쉼표 [0] 3 5 4 3 2 2 2" xfId="25837"/>
    <cellStyle name="쉼표 [0] 3 5 4 3 2 3" xfId="10790"/>
    <cellStyle name="쉼표 [0] 3 5 4 3 2 3 2" xfId="24018"/>
    <cellStyle name="쉼표 [0] 3 5 4 3 2 4" xfId="19295"/>
    <cellStyle name="쉼표 [0] 3 5 4 3 3" xfId="10091"/>
    <cellStyle name="쉼표 [0] 3 5 4 3 3 2" xfId="23319"/>
    <cellStyle name="쉼표 [0] 3 5 4 3 4" xfId="12025"/>
    <cellStyle name="쉼표 [0] 3 5 4 3 4 2" xfId="25253"/>
    <cellStyle name="쉼표 [0] 3 5 4 3 5" xfId="9024"/>
    <cellStyle name="쉼표 [0] 3 5 4 3 5 2" xfId="22252"/>
    <cellStyle name="쉼표 [0] 3 5 4 3 6" xfId="18422"/>
    <cellStyle name="쉼표 [0] 3 5 4 4" xfId="5491"/>
    <cellStyle name="쉼표 [0] 3 5 4 4 2" xfId="12134"/>
    <cellStyle name="쉼표 [0] 3 5 4 4 2 2" xfId="25362"/>
    <cellStyle name="쉼표 [0] 3 5 4 4 3" xfId="10225"/>
    <cellStyle name="쉼표 [0] 3 5 4 4 3 2" xfId="23453"/>
    <cellStyle name="쉼표 [0] 3 5 4 4 4" xfId="18730"/>
    <cellStyle name="쉼표 [0] 3 5 4 5" xfId="9224"/>
    <cellStyle name="쉼표 [0] 3 5 4 5 2" xfId="22452"/>
    <cellStyle name="쉼표 [0] 3 5 4 6" xfId="11492"/>
    <cellStyle name="쉼표 [0] 3 5 4 6 2" xfId="24720"/>
    <cellStyle name="쉼표 [0] 3 5 4 7" xfId="6918"/>
    <cellStyle name="쉼표 [0] 3 5 4 7 2" xfId="20146"/>
    <cellStyle name="쉼표 [0] 3 5 4 8" xfId="14856"/>
    <cellStyle name="쉼표 [0] 3 5 5" xfId="443"/>
    <cellStyle name="쉼표 [0] 3 5 5 2" xfId="627"/>
    <cellStyle name="쉼표 [0] 3 5 5 2 2" xfId="5055"/>
    <cellStyle name="쉼표 [0] 3 5 5 2 2 2" xfId="5957"/>
    <cellStyle name="쉼표 [0] 3 5 5 2 2 2 2" xfId="12510"/>
    <cellStyle name="쉼표 [0] 3 5 5 2 2 2 2 2" xfId="25738"/>
    <cellStyle name="쉼표 [0] 3 5 5 2 2 2 3" xfId="10691"/>
    <cellStyle name="쉼표 [0] 3 5 5 2 2 2 3 2" xfId="23919"/>
    <cellStyle name="쉼표 [0] 3 5 5 2 2 2 4" xfId="19196"/>
    <cellStyle name="쉼표 [0] 3 5 5 2 2 3" xfId="9992"/>
    <cellStyle name="쉼표 [0] 3 5 5 2 2 3 2" xfId="23220"/>
    <cellStyle name="쉼표 [0] 3 5 5 2 2 4" xfId="11926"/>
    <cellStyle name="쉼표 [0] 3 5 5 2 2 4 2" xfId="25154"/>
    <cellStyle name="쉼표 [0] 3 5 5 2 2 5" xfId="8925"/>
    <cellStyle name="쉼표 [0] 3 5 5 2 2 5 2" xfId="22153"/>
    <cellStyle name="쉼표 [0] 3 5 5 2 2 6" xfId="18322"/>
    <cellStyle name="쉼표 [0] 3 5 5 2 3" xfId="5635"/>
    <cellStyle name="쉼표 [0] 3 5 5 2 3 2" xfId="12278"/>
    <cellStyle name="쉼표 [0] 3 5 5 2 3 2 2" xfId="25506"/>
    <cellStyle name="쉼표 [0] 3 5 5 2 3 3" xfId="10369"/>
    <cellStyle name="쉼표 [0] 3 5 5 2 3 3 2" xfId="23597"/>
    <cellStyle name="쉼표 [0] 3 5 5 2 3 4" xfId="18874"/>
    <cellStyle name="쉼표 [0] 3 5 5 2 4" xfId="9368"/>
    <cellStyle name="쉼표 [0] 3 5 5 2 4 2" xfId="22596"/>
    <cellStyle name="쉼표 [0] 3 5 5 2 5" xfId="11636"/>
    <cellStyle name="쉼표 [0] 3 5 5 2 5 2" xfId="24864"/>
    <cellStyle name="쉼표 [0] 3 5 5 2 6" xfId="7101"/>
    <cellStyle name="쉼표 [0] 3 5 5 2 6 2" xfId="20329"/>
    <cellStyle name="쉼표 [0] 3 5 5 2 7" xfId="15041"/>
    <cellStyle name="쉼표 [0] 3 5 5 3" xfId="4929"/>
    <cellStyle name="쉼표 [0] 3 5 5 3 2" xfId="5837"/>
    <cellStyle name="쉼표 [0] 3 5 5 3 2 2" xfId="12390"/>
    <cellStyle name="쉼표 [0] 3 5 5 3 2 2 2" xfId="25618"/>
    <cellStyle name="쉼표 [0] 3 5 5 3 2 3" xfId="10571"/>
    <cellStyle name="쉼표 [0] 3 5 5 3 2 3 2" xfId="23799"/>
    <cellStyle name="쉼표 [0] 3 5 5 3 2 4" xfId="19076"/>
    <cellStyle name="쉼표 [0] 3 5 5 3 3" xfId="9870"/>
    <cellStyle name="쉼표 [0] 3 5 5 3 3 2" xfId="23098"/>
    <cellStyle name="쉼표 [0] 3 5 5 3 4" xfId="11806"/>
    <cellStyle name="쉼표 [0] 3 5 5 3 4 2" xfId="25034"/>
    <cellStyle name="쉼표 [0] 3 5 5 3 5" xfId="8802"/>
    <cellStyle name="쉼표 [0] 3 5 5 3 5 2" xfId="22030"/>
    <cellStyle name="쉼표 [0] 3 5 5 3 6" xfId="18196"/>
    <cellStyle name="쉼표 [0] 3 5 5 4" xfId="5492"/>
    <cellStyle name="쉼표 [0] 3 5 5 4 2" xfId="12135"/>
    <cellStyle name="쉼표 [0] 3 5 5 4 2 2" xfId="25363"/>
    <cellStyle name="쉼표 [0] 3 5 5 4 3" xfId="10226"/>
    <cellStyle name="쉼표 [0] 3 5 5 4 3 2" xfId="23454"/>
    <cellStyle name="쉼표 [0] 3 5 5 4 4" xfId="18731"/>
    <cellStyle name="쉼표 [0] 3 5 5 5" xfId="9225"/>
    <cellStyle name="쉼표 [0] 3 5 5 5 2" xfId="22453"/>
    <cellStyle name="쉼표 [0] 3 5 5 6" xfId="11493"/>
    <cellStyle name="쉼표 [0] 3 5 5 6 2" xfId="24721"/>
    <cellStyle name="쉼표 [0] 3 5 5 7" xfId="6919"/>
    <cellStyle name="쉼표 [0] 3 5 5 7 2" xfId="20147"/>
    <cellStyle name="쉼표 [0] 3 5 5 8" xfId="14857"/>
    <cellStyle name="쉼표 [0] 3 5 6" xfId="444"/>
    <cellStyle name="쉼표 [0] 3 5 6 2" xfId="628"/>
    <cellStyle name="쉼표 [0] 3 5 6 2 2" xfId="5180"/>
    <cellStyle name="쉼표 [0] 3 5 6 2 2 2" xfId="6080"/>
    <cellStyle name="쉼표 [0] 3 5 6 2 2 2 2" xfId="12633"/>
    <cellStyle name="쉼표 [0] 3 5 6 2 2 2 2 2" xfId="25861"/>
    <cellStyle name="쉼표 [0] 3 5 6 2 2 2 3" xfId="10814"/>
    <cellStyle name="쉼표 [0] 3 5 6 2 2 2 3 2" xfId="24042"/>
    <cellStyle name="쉼표 [0] 3 5 6 2 2 2 4" xfId="19319"/>
    <cellStyle name="쉼표 [0] 3 5 6 2 2 3" xfId="10115"/>
    <cellStyle name="쉼표 [0] 3 5 6 2 2 3 2" xfId="23343"/>
    <cellStyle name="쉼표 [0] 3 5 6 2 2 4" xfId="12049"/>
    <cellStyle name="쉼표 [0] 3 5 6 2 2 4 2" xfId="25277"/>
    <cellStyle name="쉼표 [0] 3 5 6 2 2 5" xfId="9048"/>
    <cellStyle name="쉼표 [0] 3 5 6 2 2 5 2" xfId="22276"/>
    <cellStyle name="쉼표 [0] 3 5 6 2 2 6" xfId="18446"/>
    <cellStyle name="쉼표 [0] 3 5 6 2 3" xfId="5636"/>
    <cellStyle name="쉼표 [0] 3 5 6 2 3 2" xfId="12279"/>
    <cellStyle name="쉼표 [0] 3 5 6 2 3 2 2" xfId="25507"/>
    <cellStyle name="쉼표 [0] 3 5 6 2 3 3" xfId="10370"/>
    <cellStyle name="쉼표 [0] 3 5 6 2 3 3 2" xfId="23598"/>
    <cellStyle name="쉼표 [0] 3 5 6 2 3 4" xfId="18875"/>
    <cellStyle name="쉼표 [0] 3 5 6 2 4" xfId="9369"/>
    <cellStyle name="쉼표 [0] 3 5 6 2 4 2" xfId="22597"/>
    <cellStyle name="쉼표 [0] 3 5 6 2 5" xfId="11637"/>
    <cellStyle name="쉼표 [0] 3 5 6 2 5 2" xfId="24865"/>
    <cellStyle name="쉼표 [0] 3 5 6 2 6" xfId="7102"/>
    <cellStyle name="쉼표 [0] 3 5 6 2 6 2" xfId="20330"/>
    <cellStyle name="쉼표 [0] 3 5 6 2 7" xfId="15042"/>
    <cellStyle name="쉼표 [0] 3 5 6 3" xfId="4930"/>
    <cellStyle name="쉼표 [0] 3 5 6 3 2" xfId="5838"/>
    <cellStyle name="쉼표 [0] 3 5 6 3 2 2" xfId="12391"/>
    <cellStyle name="쉼표 [0] 3 5 6 3 2 2 2" xfId="25619"/>
    <cellStyle name="쉼표 [0] 3 5 6 3 2 3" xfId="10572"/>
    <cellStyle name="쉼표 [0] 3 5 6 3 2 3 2" xfId="23800"/>
    <cellStyle name="쉼표 [0] 3 5 6 3 2 4" xfId="19077"/>
    <cellStyle name="쉼표 [0] 3 5 6 3 3" xfId="9871"/>
    <cellStyle name="쉼표 [0] 3 5 6 3 3 2" xfId="23099"/>
    <cellStyle name="쉼표 [0] 3 5 6 3 4" xfId="11807"/>
    <cellStyle name="쉼표 [0] 3 5 6 3 4 2" xfId="25035"/>
    <cellStyle name="쉼표 [0] 3 5 6 3 5" xfId="8803"/>
    <cellStyle name="쉼표 [0] 3 5 6 3 5 2" xfId="22031"/>
    <cellStyle name="쉼표 [0] 3 5 6 3 6" xfId="18197"/>
    <cellStyle name="쉼표 [0] 3 5 6 4" xfId="5493"/>
    <cellStyle name="쉼표 [0] 3 5 6 4 2" xfId="12136"/>
    <cellStyle name="쉼표 [0] 3 5 6 4 2 2" xfId="25364"/>
    <cellStyle name="쉼표 [0] 3 5 6 4 3" xfId="10227"/>
    <cellStyle name="쉼표 [0] 3 5 6 4 3 2" xfId="23455"/>
    <cellStyle name="쉼표 [0] 3 5 6 4 4" xfId="18732"/>
    <cellStyle name="쉼표 [0] 3 5 6 5" xfId="9226"/>
    <cellStyle name="쉼표 [0] 3 5 6 5 2" xfId="22454"/>
    <cellStyle name="쉼표 [0] 3 5 6 6" xfId="11494"/>
    <cellStyle name="쉼표 [0] 3 5 6 6 2" xfId="24722"/>
    <cellStyle name="쉼표 [0] 3 5 6 7" xfId="6920"/>
    <cellStyle name="쉼표 [0] 3 5 6 7 2" xfId="20148"/>
    <cellStyle name="쉼표 [0] 3 5 6 8" xfId="14858"/>
    <cellStyle name="쉼표 [0] 3 5 7" xfId="445"/>
    <cellStyle name="쉼표 [0] 3 5 7 2" xfId="629"/>
    <cellStyle name="쉼표 [0] 3 5 7 2 2" xfId="5003"/>
    <cellStyle name="쉼표 [0] 3 5 7 2 2 2" xfId="5909"/>
    <cellStyle name="쉼표 [0] 3 5 7 2 2 2 2" xfId="12462"/>
    <cellStyle name="쉼표 [0] 3 5 7 2 2 2 2 2" xfId="25690"/>
    <cellStyle name="쉼표 [0] 3 5 7 2 2 2 3" xfId="10643"/>
    <cellStyle name="쉼표 [0] 3 5 7 2 2 2 3 2" xfId="23871"/>
    <cellStyle name="쉼표 [0] 3 5 7 2 2 2 4" xfId="19148"/>
    <cellStyle name="쉼표 [0] 3 5 7 2 2 3" xfId="9942"/>
    <cellStyle name="쉼표 [0] 3 5 7 2 2 3 2" xfId="23170"/>
    <cellStyle name="쉼표 [0] 3 5 7 2 2 4" xfId="11878"/>
    <cellStyle name="쉼표 [0] 3 5 7 2 2 4 2" xfId="25106"/>
    <cellStyle name="쉼표 [0] 3 5 7 2 2 5" xfId="8875"/>
    <cellStyle name="쉼표 [0] 3 5 7 2 2 5 2" xfId="22103"/>
    <cellStyle name="쉼표 [0] 3 5 7 2 2 6" xfId="18270"/>
    <cellStyle name="쉼표 [0] 3 5 7 2 3" xfId="5637"/>
    <cellStyle name="쉼표 [0] 3 5 7 2 3 2" xfId="12280"/>
    <cellStyle name="쉼표 [0] 3 5 7 2 3 2 2" xfId="25508"/>
    <cellStyle name="쉼표 [0] 3 5 7 2 3 3" xfId="10371"/>
    <cellStyle name="쉼표 [0] 3 5 7 2 3 3 2" xfId="23599"/>
    <cellStyle name="쉼표 [0] 3 5 7 2 3 4" xfId="18876"/>
    <cellStyle name="쉼표 [0] 3 5 7 2 4" xfId="9370"/>
    <cellStyle name="쉼표 [0] 3 5 7 2 4 2" xfId="22598"/>
    <cellStyle name="쉼표 [0] 3 5 7 2 5" xfId="11638"/>
    <cellStyle name="쉼표 [0] 3 5 7 2 5 2" xfId="24866"/>
    <cellStyle name="쉼표 [0] 3 5 7 2 6" xfId="7103"/>
    <cellStyle name="쉼표 [0] 3 5 7 2 6 2" xfId="20331"/>
    <cellStyle name="쉼표 [0] 3 5 7 2 7" xfId="15043"/>
    <cellStyle name="쉼표 [0] 3 5 7 3" xfId="5076"/>
    <cellStyle name="쉼표 [0] 3 5 7 3 2" xfId="5978"/>
    <cellStyle name="쉼표 [0] 3 5 7 3 2 2" xfId="12531"/>
    <cellStyle name="쉼표 [0] 3 5 7 3 2 2 2" xfId="25759"/>
    <cellStyle name="쉼표 [0] 3 5 7 3 2 3" xfId="10712"/>
    <cellStyle name="쉼표 [0] 3 5 7 3 2 3 2" xfId="23940"/>
    <cellStyle name="쉼표 [0] 3 5 7 3 2 4" xfId="19217"/>
    <cellStyle name="쉼표 [0] 3 5 7 3 3" xfId="10013"/>
    <cellStyle name="쉼표 [0] 3 5 7 3 3 2" xfId="23241"/>
    <cellStyle name="쉼표 [0] 3 5 7 3 4" xfId="11947"/>
    <cellStyle name="쉼표 [0] 3 5 7 3 4 2" xfId="25175"/>
    <cellStyle name="쉼표 [0] 3 5 7 3 5" xfId="8946"/>
    <cellStyle name="쉼표 [0] 3 5 7 3 5 2" xfId="22174"/>
    <cellStyle name="쉼표 [0] 3 5 7 3 6" xfId="18343"/>
    <cellStyle name="쉼표 [0] 3 5 7 4" xfId="5494"/>
    <cellStyle name="쉼표 [0] 3 5 7 4 2" xfId="12137"/>
    <cellStyle name="쉼표 [0] 3 5 7 4 2 2" xfId="25365"/>
    <cellStyle name="쉼표 [0] 3 5 7 4 3" xfId="10228"/>
    <cellStyle name="쉼표 [0] 3 5 7 4 3 2" xfId="23456"/>
    <cellStyle name="쉼표 [0] 3 5 7 4 4" xfId="18733"/>
    <cellStyle name="쉼표 [0] 3 5 7 5" xfId="9227"/>
    <cellStyle name="쉼표 [0] 3 5 7 5 2" xfId="22455"/>
    <cellStyle name="쉼표 [0] 3 5 7 6" xfId="11495"/>
    <cellStyle name="쉼표 [0] 3 5 7 6 2" xfId="24723"/>
    <cellStyle name="쉼표 [0] 3 5 7 7" xfId="6921"/>
    <cellStyle name="쉼표 [0] 3 5 7 7 2" xfId="20149"/>
    <cellStyle name="쉼표 [0] 3 5 7 8" xfId="14859"/>
    <cellStyle name="쉼표 [0] 3 5 8" xfId="446"/>
    <cellStyle name="쉼표 [0] 3 5 8 2" xfId="630"/>
    <cellStyle name="쉼표 [0] 3 5 8 2 2" xfId="5004"/>
    <cellStyle name="쉼표 [0] 3 5 8 2 2 2" xfId="5910"/>
    <cellStyle name="쉼표 [0] 3 5 8 2 2 2 2" xfId="12463"/>
    <cellStyle name="쉼표 [0] 3 5 8 2 2 2 2 2" xfId="25691"/>
    <cellStyle name="쉼표 [0] 3 5 8 2 2 2 3" xfId="10644"/>
    <cellStyle name="쉼표 [0] 3 5 8 2 2 2 3 2" xfId="23872"/>
    <cellStyle name="쉼표 [0] 3 5 8 2 2 2 4" xfId="19149"/>
    <cellStyle name="쉼표 [0] 3 5 8 2 2 3" xfId="9943"/>
    <cellStyle name="쉼표 [0] 3 5 8 2 2 3 2" xfId="23171"/>
    <cellStyle name="쉼표 [0] 3 5 8 2 2 4" xfId="11879"/>
    <cellStyle name="쉼표 [0] 3 5 8 2 2 4 2" xfId="25107"/>
    <cellStyle name="쉼표 [0] 3 5 8 2 2 5" xfId="8876"/>
    <cellStyle name="쉼표 [0] 3 5 8 2 2 5 2" xfId="22104"/>
    <cellStyle name="쉼표 [0] 3 5 8 2 2 6" xfId="18271"/>
    <cellStyle name="쉼표 [0] 3 5 8 2 3" xfId="5638"/>
    <cellStyle name="쉼표 [0] 3 5 8 2 3 2" xfId="12281"/>
    <cellStyle name="쉼표 [0] 3 5 8 2 3 2 2" xfId="25509"/>
    <cellStyle name="쉼표 [0] 3 5 8 2 3 3" xfId="10372"/>
    <cellStyle name="쉼표 [0] 3 5 8 2 3 3 2" xfId="23600"/>
    <cellStyle name="쉼표 [0] 3 5 8 2 3 4" xfId="18877"/>
    <cellStyle name="쉼표 [0] 3 5 8 2 4" xfId="9371"/>
    <cellStyle name="쉼표 [0] 3 5 8 2 4 2" xfId="22599"/>
    <cellStyle name="쉼표 [0] 3 5 8 2 5" xfId="11639"/>
    <cellStyle name="쉼표 [0] 3 5 8 2 5 2" xfId="24867"/>
    <cellStyle name="쉼표 [0] 3 5 8 2 6" xfId="7104"/>
    <cellStyle name="쉼표 [0] 3 5 8 2 6 2" xfId="20332"/>
    <cellStyle name="쉼표 [0] 3 5 8 2 7" xfId="15044"/>
    <cellStyle name="쉼표 [0] 3 5 8 3" xfId="5157"/>
    <cellStyle name="쉼표 [0] 3 5 8 3 2" xfId="6057"/>
    <cellStyle name="쉼표 [0] 3 5 8 3 2 2" xfId="12610"/>
    <cellStyle name="쉼표 [0] 3 5 8 3 2 2 2" xfId="25838"/>
    <cellStyle name="쉼표 [0] 3 5 8 3 2 3" xfId="10791"/>
    <cellStyle name="쉼표 [0] 3 5 8 3 2 3 2" xfId="24019"/>
    <cellStyle name="쉼표 [0] 3 5 8 3 2 4" xfId="19296"/>
    <cellStyle name="쉼표 [0] 3 5 8 3 3" xfId="10092"/>
    <cellStyle name="쉼표 [0] 3 5 8 3 3 2" xfId="23320"/>
    <cellStyle name="쉼표 [0] 3 5 8 3 4" xfId="12026"/>
    <cellStyle name="쉼표 [0] 3 5 8 3 4 2" xfId="25254"/>
    <cellStyle name="쉼표 [0] 3 5 8 3 5" xfId="9025"/>
    <cellStyle name="쉼표 [0] 3 5 8 3 5 2" xfId="22253"/>
    <cellStyle name="쉼표 [0] 3 5 8 3 6" xfId="18423"/>
    <cellStyle name="쉼표 [0] 3 5 8 4" xfId="5495"/>
    <cellStyle name="쉼표 [0] 3 5 8 4 2" xfId="12138"/>
    <cellStyle name="쉼표 [0] 3 5 8 4 2 2" xfId="25366"/>
    <cellStyle name="쉼표 [0] 3 5 8 4 3" xfId="10229"/>
    <cellStyle name="쉼표 [0] 3 5 8 4 3 2" xfId="23457"/>
    <cellStyle name="쉼표 [0] 3 5 8 4 4" xfId="18734"/>
    <cellStyle name="쉼표 [0] 3 5 8 5" xfId="9228"/>
    <cellStyle name="쉼표 [0] 3 5 8 5 2" xfId="22456"/>
    <cellStyle name="쉼표 [0] 3 5 8 6" xfId="11496"/>
    <cellStyle name="쉼표 [0] 3 5 8 6 2" xfId="24724"/>
    <cellStyle name="쉼표 [0] 3 5 8 7" xfId="6922"/>
    <cellStyle name="쉼표 [0] 3 5 8 7 2" xfId="20150"/>
    <cellStyle name="쉼표 [0] 3 5 8 8" xfId="14860"/>
    <cellStyle name="쉼표 [0] 3 5 9" xfId="623"/>
    <cellStyle name="쉼표 [0] 3 5 9 2" xfId="5000"/>
    <cellStyle name="쉼표 [0] 3 5 9 2 2" xfId="5906"/>
    <cellStyle name="쉼표 [0] 3 5 9 2 2 2" xfId="12459"/>
    <cellStyle name="쉼표 [0] 3 5 9 2 2 2 2" xfId="25687"/>
    <cellStyle name="쉼표 [0] 3 5 9 2 2 3" xfId="10640"/>
    <cellStyle name="쉼표 [0] 3 5 9 2 2 3 2" xfId="23868"/>
    <cellStyle name="쉼표 [0] 3 5 9 2 2 4" xfId="19145"/>
    <cellStyle name="쉼표 [0] 3 5 9 2 3" xfId="9939"/>
    <cellStyle name="쉼표 [0] 3 5 9 2 3 2" xfId="23167"/>
    <cellStyle name="쉼표 [0] 3 5 9 2 4" xfId="11875"/>
    <cellStyle name="쉼표 [0] 3 5 9 2 4 2" xfId="25103"/>
    <cellStyle name="쉼표 [0] 3 5 9 2 5" xfId="8872"/>
    <cellStyle name="쉼표 [0] 3 5 9 2 5 2" xfId="22100"/>
    <cellStyle name="쉼표 [0] 3 5 9 2 6" xfId="18267"/>
    <cellStyle name="쉼표 [0] 3 5 9 3" xfId="5631"/>
    <cellStyle name="쉼표 [0] 3 5 9 3 2" xfId="12274"/>
    <cellStyle name="쉼표 [0] 3 5 9 3 2 2" xfId="25502"/>
    <cellStyle name="쉼표 [0] 3 5 9 3 3" xfId="10365"/>
    <cellStyle name="쉼표 [0] 3 5 9 3 3 2" xfId="23593"/>
    <cellStyle name="쉼표 [0] 3 5 9 3 4" xfId="18870"/>
    <cellStyle name="쉼표 [0] 3 5 9 4" xfId="9364"/>
    <cellStyle name="쉼표 [0] 3 5 9 4 2" xfId="22592"/>
    <cellStyle name="쉼표 [0] 3 5 9 5" xfId="11632"/>
    <cellStyle name="쉼표 [0] 3 5 9 5 2" xfId="24860"/>
    <cellStyle name="쉼표 [0] 3 5 9 6" xfId="7097"/>
    <cellStyle name="쉼표 [0] 3 5 9 6 2" xfId="20325"/>
    <cellStyle name="쉼표 [0] 3 5 9 7" xfId="15037"/>
    <cellStyle name="쉼표 [0] 3 6" xfId="447"/>
    <cellStyle name="쉼표 [0] 3 6 2" xfId="631"/>
    <cellStyle name="쉼표 [0] 3 6 2 2" xfId="5111"/>
    <cellStyle name="쉼표 [0] 3 6 2 2 2" xfId="6013"/>
    <cellStyle name="쉼표 [0] 3 6 2 2 2 2" xfId="12566"/>
    <cellStyle name="쉼표 [0] 3 6 2 2 2 2 2" xfId="25794"/>
    <cellStyle name="쉼표 [0] 3 6 2 2 2 3" xfId="10747"/>
    <cellStyle name="쉼표 [0] 3 6 2 2 2 3 2" xfId="23975"/>
    <cellStyle name="쉼표 [0] 3 6 2 2 2 4" xfId="19252"/>
    <cellStyle name="쉼표 [0] 3 6 2 2 3" xfId="10048"/>
    <cellStyle name="쉼표 [0] 3 6 2 2 3 2" xfId="23276"/>
    <cellStyle name="쉼표 [0] 3 6 2 2 4" xfId="11982"/>
    <cellStyle name="쉼표 [0] 3 6 2 2 4 2" xfId="25210"/>
    <cellStyle name="쉼표 [0] 3 6 2 2 5" xfId="8981"/>
    <cellStyle name="쉼표 [0] 3 6 2 2 5 2" xfId="22209"/>
    <cellStyle name="쉼표 [0] 3 6 2 2 6" xfId="18378"/>
    <cellStyle name="쉼표 [0] 3 6 2 3" xfId="5639"/>
    <cellStyle name="쉼표 [0] 3 6 2 3 2" xfId="12282"/>
    <cellStyle name="쉼표 [0] 3 6 2 3 2 2" xfId="25510"/>
    <cellStyle name="쉼표 [0] 3 6 2 3 3" xfId="10373"/>
    <cellStyle name="쉼표 [0] 3 6 2 3 3 2" xfId="23601"/>
    <cellStyle name="쉼표 [0] 3 6 2 3 4" xfId="18878"/>
    <cellStyle name="쉼표 [0] 3 6 2 4" xfId="9372"/>
    <cellStyle name="쉼표 [0] 3 6 2 4 2" xfId="22600"/>
    <cellStyle name="쉼표 [0] 3 6 2 5" xfId="11640"/>
    <cellStyle name="쉼표 [0] 3 6 2 5 2" xfId="24868"/>
    <cellStyle name="쉼표 [0] 3 6 2 6" xfId="7105"/>
    <cellStyle name="쉼표 [0] 3 6 2 6 2" xfId="20333"/>
    <cellStyle name="쉼표 [0] 3 6 2 7" xfId="15045"/>
    <cellStyle name="쉼표 [0] 3 6 3" xfId="5075"/>
    <cellStyle name="쉼표 [0] 3 6 3 2" xfId="5977"/>
    <cellStyle name="쉼표 [0] 3 6 3 2 2" xfId="12530"/>
    <cellStyle name="쉼표 [0] 3 6 3 2 2 2" xfId="25758"/>
    <cellStyle name="쉼표 [0] 3 6 3 2 3" xfId="10711"/>
    <cellStyle name="쉼표 [0] 3 6 3 2 3 2" xfId="23939"/>
    <cellStyle name="쉼표 [0] 3 6 3 2 4" xfId="19216"/>
    <cellStyle name="쉼표 [0] 3 6 3 3" xfId="10012"/>
    <cellStyle name="쉼표 [0] 3 6 3 3 2" xfId="23240"/>
    <cellStyle name="쉼표 [0] 3 6 3 4" xfId="11946"/>
    <cellStyle name="쉼표 [0] 3 6 3 4 2" xfId="25174"/>
    <cellStyle name="쉼표 [0] 3 6 3 5" xfId="8945"/>
    <cellStyle name="쉼표 [0] 3 6 3 5 2" xfId="22173"/>
    <cellStyle name="쉼표 [0] 3 6 3 6" xfId="18342"/>
    <cellStyle name="쉼표 [0] 3 6 4" xfId="5496"/>
    <cellStyle name="쉼표 [0] 3 6 4 2" xfId="12139"/>
    <cellStyle name="쉼표 [0] 3 6 4 2 2" xfId="25367"/>
    <cellStyle name="쉼표 [0] 3 6 4 3" xfId="10230"/>
    <cellStyle name="쉼표 [0] 3 6 4 3 2" xfId="23458"/>
    <cellStyle name="쉼표 [0] 3 6 4 4" xfId="18735"/>
    <cellStyle name="쉼표 [0] 3 6 5" xfId="9229"/>
    <cellStyle name="쉼표 [0] 3 6 5 2" xfId="22457"/>
    <cellStyle name="쉼표 [0] 3 6 6" xfId="11497"/>
    <cellStyle name="쉼표 [0] 3 6 6 2" xfId="24725"/>
    <cellStyle name="쉼표 [0] 3 6 7" xfId="6923"/>
    <cellStyle name="쉼표 [0] 3 6 7 2" xfId="20151"/>
    <cellStyle name="쉼표 [0] 3 6 8" xfId="14861"/>
    <cellStyle name="쉼표 [0] 3 7" xfId="448"/>
    <cellStyle name="쉼표 [0] 3 7 2" xfId="632"/>
    <cellStyle name="쉼표 [0] 3 7 2 2" xfId="5181"/>
    <cellStyle name="쉼표 [0] 3 7 2 2 2" xfId="6081"/>
    <cellStyle name="쉼표 [0] 3 7 2 2 2 2" xfId="12634"/>
    <cellStyle name="쉼표 [0] 3 7 2 2 2 2 2" xfId="25862"/>
    <cellStyle name="쉼표 [0] 3 7 2 2 2 3" xfId="10815"/>
    <cellStyle name="쉼표 [0] 3 7 2 2 2 3 2" xfId="24043"/>
    <cellStyle name="쉼표 [0] 3 7 2 2 2 4" xfId="19320"/>
    <cellStyle name="쉼표 [0] 3 7 2 2 3" xfId="10116"/>
    <cellStyle name="쉼표 [0] 3 7 2 2 3 2" xfId="23344"/>
    <cellStyle name="쉼표 [0] 3 7 2 2 4" xfId="12050"/>
    <cellStyle name="쉼표 [0] 3 7 2 2 4 2" xfId="25278"/>
    <cellStyle name="쉼표 [0] 3 7 2 2 5" xfId="9049"/>
    <cellStyle name="쉼표 [0] 3 7 2 2 5 2" xfId="22277"/>
    <cellStyle name="쉼표 [0] 3 7 2 2 6" xfId="18447"/>
    <cellStyle name="쉼표 [0] 3 7 2 3" xfId="5640"/>
    <cellStyle name="쉼표 [0] 3 7 2 3 2" xfId="12283"/>
    <cellStyle name="쉼표 [0] 3 7 2 3 2 2" xfId="25511"/>
    <cellStyle name="쉼표 [0] 3 7 2 3 3" xfId="10374"/>
    <cellStyle name="쉼표 [0] 3 7 2 3 3 2" xfId="23602"/>
    <cellStyle name="쉼표 [0] 3 7 2 3 4" xfId="18879"/>
    <cellStyle name="쉼표 [0] 3 7 2 4" xfId="9373"/>
    <cellStyle name="쉼표 [0] 3 7 2 4 2" xfId="22601"/>
    <cellStyle name="쉼표 [0] 3 7 2 5" xfId="11641"/>
    <cellStyle name="쉼표 [0] 3 7 2 5 2" xfId="24869"/>
    <cellStyle name="쉼표 [0] 3 7 2 6" xfId="7106"/>
    <cellStyle name="쉼표 [0] 3 7 2 6 2" xfId="20334"/>
    <cellStyle name="쉼표 [0] 3 7 2 7" xfId="15046"/>
    <cellStyle name="쉼표 [0] 3 7 3" xfId="4931"/>
    <cellStyle name="쉼표 [0] 3 7 3 2" xfId="5839"/>
    <cellStyle name="쉼표 [0] 3 7 3 2 2" xfId="12392"/>
    <cellStyle name="쉼표 [0] 3 7 3 2 2 2" xfId="25620"/>
    <cellStyle name="쉼표 [0] 3 7 3 2 3" xfId="10573"/>
    <cellStyle name="쉼표 [0] 3 7 3 2 3 2" xfId="23801"/>
    <cellStyle name="쉼표 [0] 3 7 3 2 4" xfId="19078"/>
    <cellStyle name="쉼표 [0] 3 7 3 3" xfId="9872"/>
    <cellStyle name="쉼표 [0] 3 7 3 3 2" xfId="23100"/>
    <cellStyle name="쉼표 [0] 3 7 3 4" xfId="11808"/>
    <cellStyle name="쉼표 [0] 3 7 3 4 2" xfId="25036"/>
    <cellStyle name="쉼표 [0] 3 7 3 5" xfId="8804"/>
    <cellStyle name="쉼표 [0] 3 7 3 5 2" xfId="22032"/>
    <cellStyle name="쉼표 [0] 3 7 3 6" xfId="18198"/>
    <cellStyle name="쉼표 [0] 3 7 4" xfId="5497"/>
    <cellStyle name="쉼표 [0] 3 7 4 2" xfId="12140"/>
    <cellStyle name="쉼표 [0] 3 7 4 2 2" xfId="25368"/>
    <cellStyle name="쉼표 [0] 3 7 4 3" xfId="10231"/>
    <cellStyle name="쉼표 [0] 3 7 4 3 2" xfId="23459"/>
    <cellStyle name="쉼표 [0] 3 7 4 4" xfId="18736"/>
    <cellStyle name="쉼표 [0] 3 7 5" xfId="9230"/>
    <cellStyle name="쉼표 [0] 3 7 5 2" xfId="22458"/>
    <cellStyle name="쉼표 [0] 3 7 6" xfId="11498"/>
    <cellStyle name="쉼표 [0] 3 7 6 2" xfId="24726"/>
    <cellStyle name="쉼표 [0] 3 7 7" xfId="6924"/>
    <cellStyle name="쉼표 [0] 3 7 7 2" xfId="20152"/>
    <cellStyle name="쉼표 [0] 3 7 8" xfId="14862"/>
    <cellStyle name="쉼표 [0] 3 8" xfId="449"/>
    <cellStyle name="쉼표 [0] 3 8 2" xfId="633"/>
    <cellStyle name="쉼표 [0] 3 8 2 2" xfId="5110"/>
    <cellStyle name="쉼표 [0] 3 8 2 2 2" xfId="6012"/>
    <cellStyle name="쉼표 [0] 3 8 2 2 2 2" xfId="12565"/>
    <cellStyle name="쉼표 [0] 3 8 2 2 2 2 2" xfId="25793"/>
    <cellStyle name="쉼표 [0] 3 8 2 2 2 3" xfId="10746"/>
    <cellStyle name="쉼표 [0] 3 8 2 2 2 3 2" xfId="23974"/>
    <cellStyle name="쉼표 [0] 3 8 2 2 2 4" xfId="19251"/>
    <cellStyle name="쉼표 [0] 3 8 2 2 3" xfId="10047"/>
    <cellStyle name="쉼표 [0] 3 8 2 2 3 2" xfId="23275"/>
    <cellStyle name="쉼표 [0] 3 8 2 2 4" xfId="11981"/>
    <cellStyle name="쉼표 [0] 3 8 2 2 4 2" xfId="25209"/>
    <cellStyle name="쉼표 [0] 3 8 2 2 5" xfId="8980"/>
    <cellStyle name="쉼표 [0] 3 8 2 2 5 2" xfId="22208"/>
    <cellStyle name="쉼표 [0] 3 8 2 2 6" xfId="18377"/>
    <cellStyle name="쉼표 [0] 3 8 2 3" xfId="5641"/>
    <cellStyle name="쉼표 [0] 3 8 2 3 2" xfId="12284"/>
    <cellStyle name="쉼표 [0] 3 8 2 3 2 2" xfId="25512"/>
    <cellStyle name="쉼표 [0] 3 8 2 3 3" xfId="10375"/>
    <cellStyle name="쉼표 [0] 3 8 2 3 3 2" xfId="23603"/>
    <cellStyle name="쉼표 [0] 3 8 2 3 4" xfId="18880"/>
    <cellStyle name="쉼표 [0] 3 8 2 4" xfId="9374"/>
    <cellStyle name="쉼표 [0] 3 8 2 4 2" xfId="22602"/>
    <cellStyle name="쉼표 [0] 3 8 2 5" xfId="11642"/>
    <cellStyle name="쉼표 [0] 3 8 2 5 2" xfId="24870"/>
    <cellStyle name="쉼표 [0] 3 8 2 6" xfId="7107"/>
    <cellStyle name="쉼표 [0] 3 8 2 6 2" xfId="20335"/>
    <cellStyle name="쉼표 [0] 3 8 2 7" xfId="15047"/>
    <cellStyle name="쉼표 [0] 3 8 3" xfId="4932"/>
    <cellStyle name="쉼표 [0] 3 8 3 2" xfId="5840"/>
    <cellStyle name="쉼표 [0] 3 8 3 2 2" xfId="12393"/>
    <cellStyle name="쉼표 [0] 3 8 3 2 2 2" xfId="25621"/>
    <cellStyle name="쉼표 [0] 3 8 3 2 3" xfId="10574"/>
    <cellStyle name="쉼표 [0] 3 8 3 2 3 2" xfId="23802"/>
    <cellStyle name="쉼표 [0] 3 8 3 2 4" xfId="19079"/>
    <cellStyle name="쉼표 [0] 3 8 3 3" xfId="9873"/>
    <cellStyle name="쉼표 [0] 3 8 3 3 2" xfId="23101"/>
    <cellStyle name="쉼표 [0] 3 8 3 4" xfId="11809"/>
    <cellStyle name="쉼표 [0] 3 8 3 4 2" xfId="25037"/>
    <cellStyle name="쉼표 [0] 3 8 3 5" xfId="8805"/>
    <cellStyle name="쉼표 [0] 3 8 3 5 2" xfId="22033"/>
    <cellStyle name="쉼표 [0] 3 8 3 6" xfId="18199"/>
    <cellStyle name="쉼표 [0] 3 8 4" xfId="5498"/>
    <cellStyle name="쉼표 [0] 3 8 4 2" xfId="12141"/>
    <cellStyle name="쉼표 [0] 3 8 4 2 2" xfId="25369"/>
    <cellStyle name="쉼표 [0] 3 8 4 3" xfId="10232"/>
    <cellStyle name="쉼표 [0] 3 8 4 3 2" xfId="23460"/>
    <cellStyle name="쉼표 [0] 3 8 4 4" xfId="18737"/>
    <cellStyle name="쉼표 [0] 3 8 5" xfId="9231"/>
    <cellStyle name="쉼표 [0] 3 8 5 2" xfId="22459"/>
    <cellStyle name="쉼표 [0] 3 8 6" xfId="11499"/>
    <cellStyle name="쉼표 [0] 3 8 6 2" xfId="24727"/>
    <cellStyle name="쉼표 [0] 3 8 7" xfId="6925"/>
    <cellStyle name="쉼표 [0] 3 8 7 2" xfId="20153"/>
    <cellStyle name="쉼표 [0] 3 8 8" xfId="14863"/>
    <cellStyle name="쉼표 [0] 3 9" xfId="450"/>
    <cellStyle name="쉼표 [0] 3 9 2" xfId="634"/>
    <cellStyle name="쉼표 [0] 3 9 2 2" xfId="5005"/>
    <cellStyle name="쉼표 [0] 3 9 2 2 2" xfId="5911"/>
    <cellStyle name="쉼표 [0] 3 9 2 2 2 2" xfId="12464"/>
    <cellStyle name="쉼표 [0] 3 9 2 2 2 2 2" xfId="25692"/>
    <cellStyle name="쉼표 [0] 3 9 2 2 2 3" xfId="10645"/>
    <cellStyle name="쉼표 [0] 3 9 2 2 2 3 2" xfId="23873"/>
    <cellStyle name="쉼표 [0] 3 9 2 2 2 4" xfId="19150"/>
    <cellStyle name="쉼표 [0] 3 9 2 2 3" xfId="9944"/>
    <cellStyle name="쉼표 [0] 3 9 2 2 3 2" xfId="23172"/>
    <cellStyle name="쉼표 [0] 3 9 2 2 4" xfId="11880"/>
    <cellStyle name="쉼표 [0] 3 9 2 2 4 2" xfId="25108"/>
    <cellStyle name="쉼표 [0] 3 9 2 2 5" xfId="8877"/>
    <cellStyle name="쉼표 [0] 3 9 2 2 5 2" xfId="22105"/>
    <cellStyle name="쉼표 [0] 3 9 2 2 6" xfId="18272"/>
    <cellStyle name="쉼표 [0] 3 9 2 3" xfId="5642"/>
    <cellStyle name="쉼표 [0] 3 9 2 3 2" xfId="12285"/>
    <cellStyle name="쉼표 [0] 3 9 2 3 2 2" xfId="25513"/>
    <cellStyle name="쉼표 [0] 3 9 2 3 3" xfId="10376"/>
    <cellStyle name="쉼표 [0] 3 9 2 3 3 2" xfId="23604"/>
    <cellStyle name="쉼표 [0] 3 9 2 3 4" xfId="18881"/>
    <cellStyle name="쉼표 [0] 3 9 2 4" xfId="9375"/>
    <cellStyle name="쉼표 [0] 3 9 2 4 2" xfId="22603"/>
    <cellStyle name="쉼표 [0] 3 9 2 5" xfId="11643"/>
    <cellStyle name="쉼표 [0] 3 9 2 5 2" xfId="24871"/>
    <cellStyle name="쉼표 [0] 3 9 2 6" xfId="7108"/>
    <cellStyle name="쉼표 [0] 3 9 2 6 2" xfId="20336"/>
    <cellStyle name="쉼표 [0] 3 9 2 7" xfId="15048"/>
    <cellStyle name="쉼표 [0] 3 9 3" xfId="5077"/>
    <cellStyle name="쉼표 [0] 3 9 3 2" xfId="5979"/>
    <cellStyle name="쉼표 [0] 3 9 3 2 2" xfId="12532"/>
    <cellStyle name="쉼표 [0] 3 9 3 2 2 2" xfId="25760"/>
    <cellStyle name="쉼표 [0] 3 9 3 2 3" xfId="10713"/>
    <cellStyle name="쉼표 [0] 3 9 3 2 3 2" xfId="23941"/>
    <cellStyle name="쉼표 [0] 3 9 3 2 4" xfId="19218"/>
    <cellStyle name="쉼표 [0] 3 9 3 3" xfId="10014"/>
    <cellStyle name="쉼표 [0] 3 9 3 3 2" xfId="23242"/>
    <cellStyle name="쉼표 [0] 3 9 3 4" xfId="11948"/>
    <cellStyle name="쉼표 [0] 3 9 3 4 2" xfId="25176"/>
    <cellStyle name="쉼표 [0] 3 9 3 5" xfId="8947"/>
    <cellStyle name="쉼표 [0] 3 9 3 5 2" xfId="22175"/>
    <cellStyle name="쉼표 [0] 3 9 3 6" xfId="18344"/>
    <cellStyle name="쉼표 [0] 3 9 4" xfId="5499"/>
    <cellStyle name="쉼표 [0] 3 9 4 2" xfId="12142"/>
    <cellStyle name="쉼표 [0] 3 9 4 2 2" xfId="25370"/>
    <cellStyle name="쉼표 [0] 3 9 4 3" xfId="10233"/>
    <cellStyle name="쉼표 [0] 3 9 4 3 2" xfId="23461"/>
    <cellStyle name="쉼표 [0] 3 9 4 4" xfId="18738"/>
    <cellStyle name="쉼표 [0] 3 9 5" xfId="9232"/>
    <cellStyle name="쉼표 [0] 3 9 5 2" xfId="22460"/>
    <cellStyle name="쉼표 [0] 3 9 6" xfId="11500"/>
    <cellStyle name="쉼표 [0] 3 9 6 2" xfId="24728"/>
    <cellStyle name="쉼표 [0] 3 9 7" xfId="6926"/>
    <cellStyle name="쉼표 [0] 3 9 7 2" xfId="20154"/>
    <cellStyle name="쉼표 [0] 3 9 8" xfId="14864"/>
    <cellStyle name="쉼표 [0] 30" xfId="53963"/>
    <cellStyle name="쉼표 [0] 31" xfId="53964"/>
    <cellStyle name="쉼표 [0] 32" xfId="53965"/>
    <cellStyle name="쉼표 [0] 33" xfId="53966"/>
    <cellStyle name="쉼표 [0] 34" xfId="53967"/>
    <cellStyle name="쉼표 [0] 4" xfId="239"/>
    <cellStyle name="쉼표 [0] 4 10" xfId="451"/>
    <cellStyle name="쉼표 [0] 4 11" xfId="452"/>
    <cellStyle name="쉼표 [0] 4 12" xfId="453"/>
    <cellStyle name="쉼표 [0] 4 13" xfId="3163"/>
    <cellStyle name="쉼표 [0] 4 2" xfId="372"/>
    <cellStyle name="쉼표 [0] 4 2 10" xfId="3164"/>
    <cellStyle name="쉼표 [0] 4 2 11" xfId="51350"/>
    <cellStyle name="쉼표 [0] 4 2 2" xfId="454"/>
    <cellStyle name="쉼표 [0] 4 2 3" xfId="455"/>
    <cellStyle name="쉼표 [0] 4 2 4" xfId="456"/>
    <cellStyle name="쉼표 [0] 4 2 5" xfId="457"/>
    <cellStyle name="쉼표 [0] 4 2 6" xfId="458"/>
    <cellStyle name="쉼표 [0] 4 2 7" xfId="459"/>
    <cellStyle name="쉼표 [0] 4 2 8" xfId="460"/>
    <cellStyle name="쉼표 [0] 4 2 9" xfId="4894"/>
    <cellStyle name="쉼표 [0] 4 3" xfId="461"/>
    <cellStyle name="쉼표 [0] 4 3 2" xfId="462"/>
    <cellStyle name="쉼표 [0] 4 3 3" xfId="463"/>
    <cellStyle name="쉼표 [0] 4 3 4" xfId="464"/>
    <cellStyle name="쉼표 [0] 4 3 5" xfId="465"/>
    <cellStyle name="쉼표 [0] 4 3 6" xfId="466"/>
    <cellStyle name="쉼표 [0] 4 3 7" xfId="467"/>
    <cellStyle name="쉼표 [0] 4 3 8" xfId="468"/>
    <cellStyle name="쉼표 [0] 4 4" xfId="469"/>
    <cellStyle name="쉼표 [0] 4 4 2" xfId="470"/>
    <cellStyle name="쉼표 [0] 4 4 3" xfId="471"/>
    <cellStyle name="쉼표 [0] 4 4 4" xfId="472"/>
    <cellStyle name="쉼표 [0] 4 4 5" xfId="473"/>
    <cellStyle name="쉼표 [0] 4 4 6" xfId="474"/>
    <cellStyle name="쉼표 [0] 4 4 7" xfId="475"/>
    <cellStyle name="쉼표 [0] 4 4 8" xfId="476"/>
    <cellStyle name="쉼표 [0] 4 5" xfId="477"/>
    <cellStyle name="쉼표 [0] 4 5 2" xfId="478"/>
    <cellStyle name="쉼표 [0] 4 5 3" xfId="479"/>
    <cellStyle name="쉼표 [0] 4 5 4" xfId="480"/>
    <cellStyle name="쉼표 [0] 4 5 5" xfId="481"/>
    <cellStyle name="쉼표 [0] 4 5 6" xfId="482"/>
    <cellStyle name="쉼표 [0] 4 5 7" xfId="483"/>
    <cellStyle name="쉼표 [0] 4 5 8" xfId="484"/>
    <cellStyle name="쉼표 [0] 4 6" xfId="485"/>
    <cellStyle name="쉼표 [0] 4 7" xfId="486"/>
    <cellStyle name="쉼표 [0] 4 8" xfId="487"/>
    <cellStyle name="쉼표 [0] 4 9" xfId="488"/>
    <cellStyle name="쉼표 [0] 5" xfId="240"/>
    <cellStyle name="쉼표 [0] 5 10" xfId="489"/>
    <cellStyle name="쉼표 [0] 5 10 2" xfId="635"/>
    <cellStyle name="쉼표 [0] 5 10 2 2" xfId="5006"/>
    <cellStyle name="쉼표 [0] 5 10 2 2 2" xfId="5912"/>
    <cellStyle name="쉼표 [0] 5 10 2 2 2 2" xfId="12465"/>
    <cellStyle name="쉼표 [0] 5 10 2 2 2 2 2" xfId="25693"/>
    <cellStyle name="쉼표 [0] 5 10 2 2 2 3" xfId="10646"/>
    <cellStyle name="쉼표 [0] 5 10 2 2 2 3 2" xfId="23874"/>
    <cellStyle name="쉼표 [0] 5 10 2 2 2 4" xfId="19151"/>
    <cellStyle name="쉼표 [0] 5 10 2 2 3" xfId="9945"/>
    <cellStyle name="쉼표 [0] 5 10 2 2 3 2" xfId="23173"/>
    <cellStyle name="쉼표 [0] 5 10 2 2 4" xfId="11881"/>
    <cellStyle name="쉼표 [0] 5 10 2 2 4 2" xfId="25109"/>
    <cellStyle name="쉼표 [0] 5 10 2 2 5" xfId="8878"/>
    <cellStyle name="쉼표 [0] 5 10 2 2 5 2" xfId="22106"/>
    <cellStyle name="쉼표 [0] 5 10 2 2 6" xfId="18273"/>
    <cellStyle name="쉼표 [0] 5 10 2 3" xfId="5643"/>
    <cellStyle name="쉼표 [0] 5 10 2 3 2" xfId="12286"/>
    <cellStyle name="쉼표 [0] 5 10 2 3 2 2" xfId="25514"/>
    <cellStyle name="쉼표 [0] 5 10 2 3 3" xfId="10377"/>
    <cellStyle name="쉼표 [0] 5 10 2 3 3 2" xfId="23605"/>
    <cellStyle name="쉼표 [0] 5 10 2 3 4" xfId="18882"/>
    <cellStyle name="쉼표 [0] 5 10 2 4" xfId="9376"/>
    <cellStyle name="쉼표 [0] 5 10 2 4 2" xfId="22604"/>
    <cellStyle name="쉼표 [0] 5 10 2 5" xfId="11644"/>
    <cellStyle name="쉼표 [0] 5 10 2 5 2" xfId="24872"/>
    <cellStyle name="쉼표 [0] 5 10 2 6" xfId="7109"/>
    <cellStyle name="쉼표 [0] 5 10 2 6 2" xfId="20337"/>
    <cellStyle name="쉼표 [0] 5 10 2 7" xfId="15049"/>
    <cellStyle name="쉼표 [0] 5 10 3" xfId="4933"/>
    <cellStyle name="쉼표 [0] 5 10 3 2" xfId="5841"/>
    <cellStyle name="쉼표 [0] 5 10 3 2 2" xfId="12394"/>
    <cellStyle name="쉼표 [0] 5 10 3 2 2 2" xfId="25622"/>
    <cellStyle name="쉼표 [0] 5 10 3 2 3" xfId="10575"/>
    <cellStyle name="쉼표 [0] 5 10 3 2 3 2" xfId="23803"/>
    <cellStyle name="쉼표 [0] 5 10 3 2 4" xfId="19080"/>
    <cellStyle name="쉼표 [0] 5 10 3 3" xfId="9874"/>
    <cellStyle name="쉼표 [0] 5 10 3 3 2" xfId="23102"/>
    <cellStyle name="쉼표 [0] 5 10 3 4" xfId="11810"/>
    <cellStyle name="쉼표 [0] 5 10 3 4 2" xfId="25038"/>
    <cellStyle name="쉼표 [0] 5 10 3 5" xfId="8806"/>
    <cellStyle name="쉼표 [0] 5 10 3 5 2" xfId="22034"/>
    <cellStyle name="쉼표 [0] 5 10 3 6" xfId="18200"/>
    <cellStyle name="쉼표 [0] 5 10 4" xfId="5500"/>
    <cellStyle name="쉼표 [0] 5 10 4 2" xfId="12143"/>
    <cellStyle name="쉼표 [0] 5 10 4 2 2" xfId="25371"/>
    <cellStyle name="쉼표 [0] 5 10 4 3" xfId="10234"/>
    <cellStyle name="쉼표 [0] 5 10 4 3 2" xfId="23462"/>
    <cellStyle name="쉼표 [0] 5 10 4 4" xfId="18739"/>
    <cellStyle name="쉼표 [0] 5 10 5" xfId="9233"/>
    <cellStyle name="쉼표 [0] 5 10 5 2" xfId="22461"/>
    <cellStyle name="쉼표 [0] 5 10 6" xfId="11501"/>
    <cellStyle name="쉼표 [0] 5 10 6 2" xfId="24729"/>
    <cellStyle name="쉼표 [0] 5 10 7" xfId="6965"/>
    <cellStyle name="쉼표 [0] 5 10 7 2" xfId="20193"/>
    <cellStyle name="쉼표 [0] 5 10 8" xfId="14903"/>
    <cellStyle name="쉼표 [0] 5 11" xfId="490"/>
    <cellStyle name="쉼표 [0] 5 11 2" xfId="636"/>
    <cellStyle name="쉼표 [0] 5 11 2 2" xfId="5113"/>
    <cellStyle name="쉼표 [0] 5 11 2 2 2" xfId="6015"/>
    <cellStyle name="쉼표 [0] 5 11 2 2 2 2" xfId="12568"/>
    <cellStyle name="쉼표 [0] 5 11 2 2 2 2 2" xfId="25796"/>
    <cellStyle name="쉼표 [0] 5 11 2 2 2 3" xfId="10749"/>
    <cellStyle name="쉼표 [0] 5 11 2 2 2 3 2" xfId="23977"/>
    <cellStyle name="쉼표 [0] 5 11 2 2 2 4" xfId="19254"/>
    <cellStyle name="쉼표 [0] 5 11 2 2 3" xfId="10050"/>
    <cellStyle name="쉼표 [0] 5 11 2 2 3 2" xfId="23278"/>
    <cellStyle name="쉼표 [0] 5 11 2 2 4" xfId="11984"/>
    <cellStyle name="쉼표 [0] 5 11 2 2 4 2" xfId="25212"/>
    <cellStyle name="쉼표 [0] 5 11 2 2 5" xfId="8983"/>
    <cellStyle name="쉼표 [0] 5 11 2 2 5 2" xfId="22211"/>
    <cellStyle name="쉼표 [0] 5 11 2 2 6" xfId="18380"/>
    <cellStyle name="쉼표 [0] 5 11 2 3" xfId="5644"/>
    <cellStyle name="쉼표 [0] 5 11 2 3 2" xfId="12287"/>
    <cellStyle name="쉼표 [0] 5 11 2 3 2 2" xfId="25515"/>
    <cellStyle name="쉼표 [0] 5 11 2 3 3" xfId="10378"/>
    <cellStyle name="쉼표 [0] 5 11 2 3 3 2" xfId="23606"/>
    <cellStyle name="쉼표 [0] 5 11 2 3 4" xfId="18883"/>
    <cellStyle name="쉼표 [0] 5 11 2 4" xfId="9377"/>
    <cellStyle name="쉼표 [0] 5 11 2 4 2" xfId="22605"/>
    <cellStyle name="쉼표 [0] 5 11 2 5" xfId="11645"/>
    <cellStyle name="쉼표 [0] 5 11 2 5 2" xfId="24873"/>
    <cellStyle name="쉼표 [0] 5 11 2 6" xfId="7110"/>
    <cellStyle name="쉼표 [0] 5 11 2 6 2" xfId="20338"/>
    <cellStyle name="쉼표 [0] 5 11 2 7" xfId="15050"/>
    <cellStyle name="쉼표 [0] 5 11 3" xfId="4934"/>
    <cellStyle name="쉼표 [0] 5 11 3 2" xfId="5842"/>
    <cellStyle name="쉼표 [0] 5 11 3 2 2" xfId="12395"/>
    <cellStyle name="쉼표 [0] 5 11 3 2 2 2" xfId="25623"/>
    <cellStyle name="쉼표 [0] 5 11 3 2 3" xfId="10576"/>
    <cellStyle name="쉼표 [0] 5 11 3 2 3 2" xfId="23804"/>
    <cellStyle name="쉼표 [0] 5 11 3 2 4" xfId="19081"/>
    <cellStyle name="쉼표 [0] 5 11 3 3" xfId="9875"/>
    <cellStyle name="쉼표 [0] 5 11 3 3 2" xfId="23103"/>
    <cellStyle name="쉼표 [0] 5 11 3 4" xfId="11811"/>
    <cellStyle name="쉼표 [0] 5 11 3 4 2" xfId="25039"/>
    <cellStyle name="쉼표 [0] 5 11 3 5" xfId="8807"/>
    <cellStyle name="쉼표 [0] 5 11 3 5 2" xfId="22035"/>
    <cellStyle name="쉼표 [0] 5 11 3 6" xfId="18201"/>
    <cellStyle name="쉼표 [0] 5 11 4" xfId="5501"/>
    <cellStyle name="쉼표 [0] 5 11 4 2" xfId="12144"/>
    <cellStyle name="쉼표 [0] 5 11 4 2 2" xfId="25372"/>
    <cellStyle name="쉼표 [0] 5 11 4 3" xfId="10235"/>
    <cellStyle name="쉼표 [0] 5 11 4 3 2" xfId="23463"/>
    <cellStyle name="쉼표 [0] 5 11 4 4" xfId="18740"/>
    <cellStyle name="쉼표 [0] 5 11 5" xfId="9234"/>
    <cellStyle name="쉼표 [0] 5 11 5 2" xfId="22462"/>
    <cellStyle name="쉼표 [0] 5 11 6" xfId="11502"/>
    <cellStyle name="쉼표 [0] 5 11 6 2" xfId="24730"/>
    <cellStyle name="쉼표 [0] 5 11 7" xfId="6966"/>
    <cellStyle name="쉼표 [0] 5 11 7 2" xfId="20194"/>
    <cellStyle name="쉼표 [0] 5 11 8" xfId="14904"/>
    <cellStyle name="쉼표 [0] 5 12" xfId="491"/>
    <cellStyle name="쉼표 [0] 5 12 2" xfId="637"/>
    <cellStyle name="쉼표 [0] 5 12 2 2" xfId="5182"/>
    <cellStyle name="쉼표 [0] 5 12 2 2 2" xfId="6082"/>
    <cellStyle name="쉼표 [0] 5 12 2 2 2 2" xfId="12635"/>
    <cellStyle name="쉼표 [0] 5 12 2 2 2 2 2" xfId="25863"/>
    <cellStyle name="쉼표 [0] 5 12 2 2 2 3" xfId="10816"/>
    <cellStyle name="쉼표 [0] 5 12 2 2 2 3 2" xfId="24044"/>
    <cellStyle name="쉼표 [0] 5 12 2 2 2 4" xfId="19321"/>
    <cellStyle name="쉼표 [0] 5 12 2 2 3" xfId="10117"/>
    <cellStyle name="쉼표 [0] 5 12 2 2 3 2" xfId="23345"/>
    <cellStyle name="쉼표 [0] 5 12 2 2 4" xfId="12051"/>
    <cellStyle name="쉼표 [0] 5 12 2 2 4 2" xfId="25279"/>
    <cellStyle name="쉼표 [0] 5 12 2 2 5" xfId="9050"/>
    <cellStyle name="쉼표 [0] 5 12 2 2 5 2" xfId="22278"/>
    <cellStyle name="쉼표 [0] 5 12 2 2 6" xfId="18448"/>
    <cellStyle name="쉼표 [0] 5 12 2 3" xfId="5645"/>
    <cellStyle name="쉼표 [0] 5 12 2 3 2" xfId="12288"/>
    <cellStyle name="쉼표 [0] 5 12 2 3 2 2" xfId="25516"/>
    <cellStyle name="쉼표 [0] 5 12 2 3 3" xfId="10379"/>
    <cellStyle name="쉼표 [0] 5 12 2 3 3 2" xfId="23607"/>
    <cellStyle name="쉼표 [0] 5 12 2 3 4" xfId="18884"/>
    <cellStyle name="쉼표 [0] 5 12 2 4" xfId="9378"/>
    <cellStyle name="쉼표 [0] 5 12 2 4 2" xfId="22606"/>
    <cellStyle name="쉼표 [0] 5 12 2 5" xfId="11646"/>
    <cellStyle name="쉼표 [0] 5 12 2 5 2" xfId="24874"/>
    <cellStyle name="쉼표 [0] 5 12 2 6" xfId="7111"/>
    <cellStyle name="쉼표 [0] 5 12 2 6 2" xfId="20339"/>
    <cellStyle name="쉼표 [0] 5 12 2 7" xfId="15051"/>
    <cellStyle name="쉼표 [0] 5 12 3" xfId="5049"/>
    <cellStyle name="쉼표 [0] 5 12 3 2" xfId="5951"/>
    <cellStyle name="쉼표 [0] 5 12 3 2 2" xfId="12504"/>
    <cellStyle name="쉼표 [0] 5 12 3 2 2 2" xfId="25732"/>
    <cellStyle name="쉼표 [0] 5 12 3 2 3" xfId="10685"/>
    <cellStyle name="쉼표 [0] 5 12 3 2 3 2" xfId="23913"/>
    <cellStyle name="쉼표 [0] 5 12 3 2 4" xfId="19190"/>
    <cellStyle name="쉼표 [0] 5 12 3 3" xfId="9986"/>
    <cellStyle name="쉼표 [0] 5 12 3 3 2" xfId="23214"/>
    <cellStyle name="쉼표 [0] 5 12 3 4" xfId="11920"/>
    <cellStyle name="쉼표 [0] 5 12 3 4 2" xfId="25148"/>
    <cellStyle name="쉼표 [0] 5 12 3 5" xfId="8919"/>
    <cellStyle name="쉼표 [0] 5 12 3 5 2" xfId="22147"/>
    <cellStyle name="쉼표 [0] 5 12 3 6" xfId="18316"/>
    <cellStyle name="쉼표 [0] 5 12 4" xfId="5502"/>
    <cellStyle name="쉼표 [0] 5 12 4 2" xfId="12145"/>
    <cellStyle name="쉼표 [0] 5 12 4 2 2" xfId="25373"/>
    <cellStyle name="쉼표 [0] 5 12 4 3" xfId="10236"/>
    <cellStyle name="쉼표 [0] 5 12 4 3 2" xfId="23464"/>
    <cellStyle name="쉼표 [0] 5 12 4 4" xfId="18741"/>
    <cellStyle name="쉼표 [0] 5 12 5" xfId="9235"/>
    <cellStyle name="쉼표 [0] 5 12 5 2" xfId="22463"/>
    <cellStyle name="쉼표 [0] 5 12 6" xfId="11503"/>
    <cellStyle name="쉼표 [0] 5 12 6 2" xfId="24731"/>
    <cellStyle name="쉼표 [0] 5 12 7" xfId="6967"/>
    <cellStyle name="쉼표 [0] 5 12 7 2" xfId="20195"/>
    <cellStyle name="쉼표 [0] 5 12 8" xfId="14905"/>
    <cellStyle name="쉼표 [0] 5 2" xfId="241"/>
    <cellStyle name="쉼표 [0] 5 2 10" xfId="3165"/>
    <cellStyle name="쉼표 [0] 5 2 11" xfId="51351"/>
    <cellStyle name="쉼표 [0] 5 2 2" xfId="492"/>
    <cellStyle name="쉼표 [0] 5 2 2 2" xfId="638"/>
    <cellStyle name="쉼표 [0] 5 2 2 2 2" xfId="5112"/>
    <cellStyle name="쉼표 [0] 5 2 2 2 2 2" xfId="6014"/>
    <cellStyle name="쉼표 [0] 5 2 2 2 2 2 2" xfId="12567"/>
    <cellStyle name="쉼표 [0] 5 2 2 2 2 2 2 2" xfId="25795"/>
    <cellStyle name="쉼표 [0] 5 2 2 2 2 2 3" xfId="10748"/>
    <cellStyle name="쉼표 [0] 5 2 2 2 2 2 3 2" xfId="23976"/>
    <cellStyle name="쉼표 [0] 5 2 2 2 2 2 4" xfId="19253"/>
    <cellStyle name="쉼표 [0] 5 2 2 2 2 3" xfId="10049"/>
    <cellStyle name="쉼표 [0] 5 2 2 2 2 3 2" xfId="23277"/>
    <cellStyle name="쉼표 [0] 5 2 2 2 2 4" xfId="11983"/>
    <cellStyle name="쉼표 [0] 5 2 2 2 2 4 2" xfId="25211"/>
    <cellStyle name="쉼표 [0] 5 2 2 2 2 5" xfId="8982"/>
    <cellStyle name="쉼표 [0] 5 2 2 2 2 5 2" xfId="22210"/>
    <cellStyle name="쉼표 [0] 5 2 2 2 2 6" xfId="18379"/>
    <cellStyle name="쉼표 [0] 5 2 2 2 3" xfId="3167"/>
    <cellStyle name="쉼표 [0] 5 2 2 2 4" xfId="5646"/>
    <cellStyle name="쉼표 [0] 5 2 2 2 4 2" xfId="12289"/>
    <cellStyle name="쉼표 [0] 5 2 2 2 4 2 2" xfId="25517"/>
    <cellStyle name="쉼표 [0] 5 2 2 2 4 3" xfId="10380"/>
    <cellStyle name="쉼표 [0] 5 2 2 2 4 3 2" xfId="23608"/>
    <cellStyle name="쉼표 [0] 5 2 2 2 4 4" xfId="18885"/>
    <cellStyle name="쉼표 [0] 5 2 2 2 5" xfId="9379"/>
    <cellStyle name="쉼표 [0] 5 2 2 2 5 2" xfId="22607"/>
    <cellStyle name="쉼표 [0] 5 2 2 2 6" xfId="11647"/>
    <cellStyle name="쉼표 [0] 5 2 2 2 6 2" xfId="24875"/>
    <cellStyle name="쉼표 [0] 5 2 2 2 7" xfId="7112"/>
    <cellStyle name="쉼표 [0] 5 2 2 2 7 2" xfId="20340"/>
    <cellStyle name="쉼표 [0] 5 2 2 2 8" xfId="15052"/>
    <cellStyle name="쉼표 [0] 5 2 2 3" xfId="5158"/>
    <cellStyle name="쉼표 [0] 5 2 2 3 2" xfId="6058"/>
    <cellStyle name="쉼표 [0] 5 2 2 3 2 2" xfId="12611"/>
    <cellStyle name="쉼표 [0] 5 2 2 3 2 2 2" xfId="25839"/>
    <cellStyle name="쉼표 [0] 5 2 2 3 2 3" xfId="10792"/>
    <cellStyle name="쉼표 [0] 5 2 2 3 2 3 2" xfId="24020"/>
    <cellStyle name="쉼표 [0] 5 2 2 3 2 4" xfId="19297"/>
    <cellStyle name="쉼표 [0] 5 2 2 3 3" xfId="10093"/>
    <cellStyle name="쉼표 [0] 5 2 2 3 3 2" xfId="23321"/>
    <cellStyle name="쉼표 [0] 5 2 2 3 4" xfId="12027"/>
    <cellStyle name="쉼표 [0] 5 2 2 3 4 2" xfId="25255"/>
    <cellStyle name="쉼표 [0] 5 2 2 3 5" xfId="9026"/>
    <cellStyle name="쉼표 [0] 5 2 2 3 5 2" xfId="22254"/>
    <cellStyle name="쉼표 [0] 5 2 2 3 6" xfId="18424"/>
    <cellStyle name="쉼표 [0] 5 2 2 4" xfId="3166"/>
    <cellStyle name="쉼표 [0] 5 2 2 5" xfId="5503"/>
    <cellStyle name="쉼표 [0] 5 2 2 5 2" xfId="12146"/>
    <cellStyle name="쉼표 [0] 5 2 2 5 2 2" xfId="25374"/>
    <cellStyle name="쉼표 [0] 5 2 2 5 3" xfId="10237"/>
    <cellStyle name="쉼표 [0] 5 2 2 5 3 2" xfId="23465"/>
    <cellStyle name="쉼표 [0] 5 2 2 5 4" xfId="18742"/>
    <cellStyle name="쉼표 [0] 5 2 2 6" xfId="9236"/>
    <cellStyle name="쉼표 [0] 5 2 2 6 2" xfId="22464"/>
    <cellStyle name="쉼표 [0] 5 2 2 7" xfId="11504"/>
    <cellStyle name="쉼표 [0] 5 2 2 7 2" xfId="24732"/>
    <cellStyle name="쉼표 [0] 5 2 2 8" xfId="6968"/>
    <cellStyle name="쉼표 [0] 5 2 2 8 2" xfId="20196"/>
    <cellStyle name="쉼표 [0] 5 2 2 9" xfId="14906"/>
    <cellStyle name="쉼표 [0] 5 2 3" xfId="493"/>
    <cellStyle name="쉼표 [0] 5 2 3 2" xfId="639"/>
    <cellStyle name="쉼표 [0] 5 2 3 2 2" xfId="5007"/>
    <cellStyle name="쉼표 [0] 5 2 3 2 2 2" xfId="5913"/>
    <cellStyle name="쉼표 [0] 5 2 3 2 2 2 2" xfId="12466"/>
    <cellStyle name="쉼표 [0] 5 2 3 2 2 2 2 2" xfId="25694"/>
    <cellStyle name="쉼표 [0] 5 2 3 2 2 2 3" xfId="10647"/>
    <cellStyle name="쉼표 [0] 5 2 3 2 2 2 3 2" xfId="23875"/>
    <cellStyle name="쉼표 [0] 5 2 3 2 2 2 4" xfId="19152"/>
    <cellStyle name="쉼표 [0] 5 2 3 2 2 3" xfId="9946"/>
    <cellStyle name="쉼표 [0] 5 2 3 2 2 3 2" xfId="23174"/>
    <cellStyle name="쉼표 [0] 5 2 3 2 2 4" xfId="11882"/>
    <cellStyle name="쉼표 [0] 5 2 3 2 2 4 2" xfId="25110"/>
    <cellStyle name="쉼표 [0] 5 2 3 2 2 5" xfId="8879"/>
    <cellStyle name="쉼표 [0] 5 2 3 2 2 5 2" xfId="22107"/>
    <cellStyle name="쉼표 [0] 5 2 3 2 2 6" xfId="18274"/>
    <cellStyle name="쉼표 [0] 5 2 3 2 3" xfId="5647"/>
    <cellStyle name="쉼표 [0] 5 2 3 2 3 2" xfId="12290"/>
    <cellStyle name="쉼표 [0] 5 2 3 2 3 2 2" xfId="25518"/>
    <cellStyle name="쉼표 [0] 5 2 3 2 3 3" xfId="10381"/>
    <cellStyle name="쉼표 [0] 5 2 3 2 3 3 2" xfId="23609"/>
    <cellStyle name="쉼표 [0] 5 2 3 2 3 4" xfId="18886"/>
    <cellStyle name="쉼표 [0] 5 2 3 2 4" xfId="9380"/>
    <cellStyle name="쉼표 [0] 5 2 3 2 4 2" xfId="22608"/>
    <cellStyle name="쉼표 [0] 5 2 3 2 5" xfId="11648"/>
    <cellStyle name="쉼표 [0] 5 2 3 2 5 2" xfId="24876"/>
    <cellStyle name="쉼표 [0] 5 2 3 2 6" xfId="7113"/>
    <cellStyle name="쉼표 [0] 5 2 3 2 6 2" xfId="20341"/>
    <cellStyle name="쉼표 [0] 5 2 3 2 7" xfId="15053"/>
    <cellStyle name="쉼표 [0] 5 2 3 3" xfId="4935"/>
    <cellStyle name="쉼표 [0] 5 2 3 3 2" xfId="5843"/>
    <cellStyle name="쉼표 [0] 5 2 3 3 2 2" xfId="12396"/>
    <cellStyle name="쉼표 [0] 5 2 3 3 2 2 2" xfId="25624"/>
    <cellStyle name="쉼표 [0] 5 2 3 3 2 3" xfId="10577"/>
    <cellStyle name="쉼표 [0] 5 2 3 3 2 3 2" xfId="23805"/>
    <cellStyle name="쉼표 [0] 5 2 3 3 2 4" xfId="19082"/>
    <cellStyle name="쉼표 [0] 5 2 3 3 3" xfId="9876"/>
    <cellStyle name="쉼표 [0] 5 2 3 3 3 2" xfId="23104"/>
    <cellStyle name="쉼표 [0] 5 2 3 3 4" xfId="11812"/>
    <cellStyle name="쉼표 [0] 5 2 3 3 4 2" xfId="25040"/>
    <cellStyle name="쉼표 [0] 5 2 3 3 5" xfId="8808"/>
    <cellStyle name="쉼표 [0] 5 2 3 3 5 2" xfId="22036"/>
    <cellStyle name="쉼표 [0] 5 2 3 3 6" xfId="18202"/>
    <cellStyle name="쉼표 [0] 5 2 3 4" xfId="5504"/>
    <cellStyle name="쉼표 [0] 5 2 3 4 2" xfId="12147"/>
    <cellStyle name="쉼표 [0] 5 2 3 4 2 2" xfId="25375"/>
    <cellStyle name="쉼표 [0] 5 2 3 4 3" xfId="10238"/>
    <cellStyle name="쉼표 [0] 5 2 3 4 3 2" xfId="23466"/>
    <cellStyle name="쉼표 [0] 5 2 3 4 4" xfId="18743"/>
    <cellStyle name="쉼표 [0] 5 2 3 5" xfId="9237"/>
    <cellStyle name="쉼표 [0] 5 2 3 5 2" xfId="22465"/>
    <cellStyle name="쉼표 [0] 5 2 3 6" xfId="11505"/>
    <cellStyle name="쉼표 [0] 5 2 3 6 2" xfId="24733"/>
    <cellStyle name="쉼표 [0] 5 2 3 7" xfId="6969"/>
    <cellStyle name="쉼표 [0] 5 2 3 7 2" xfId="20197"/>
    <cellStyle name="쉼표 [0] 5 2 3 8" xfId="14907"/>
    <cellStyle name="쉼표 [0] 5 2 4" xfId="494"/>
    <cellStyle name="쉼표 [0] 5 2 4 2" xfId="640"/>
    <cellStyle name="쉼표 [0] 5 2 4 2 2" xfId="5008"/>
    <cellStyle name="쉼표 [0] 5 2 4 2 2 2" xfId="5914"/>
    <cellStyle name="쉼표 [0] 5 2 4 2 2 2 2" xfId="12467"/>
    <cellStyle name="쉼표 [0] 5 2 4 2 2 2 2 2" xfId="25695"/>
    <cellStyle name="쉼표 [0] 5 2 4 2 2 2 3" xfId="10648"/>
    <cellStyle name="쉼표 [0] 5 2 4 2 2 2 3 2" xfId="23876"/>
    <cellStyle name="쉼표 [0] 5 2 4 2 2 2 4" xfId="19153"/>
    <cellStyle name="쉼표 [0] 5 2 4 2 2 3" xfId="9947"/>
    <cellStyle name="쉼표 [0] 5 2 4 2 2 3 2" xfId="23175"/>
    <cellStyle name="쉼표 [0] 5 2 4 2 2 4" xfId="11883"/>
    <cellStyle name="쉼표 [0] 5 2 4 2 2 4 2" xfId="25111"/>
    <cellStyle name="쉼표 [0] 5 2 4 2 2 5" xfId="8880"/>
    <cellStyle name="쉼표 [0] 5 2 4 2 2 5 2" xfId="22108"/>
    <cellStyle name="쉼표 [0] 5 2 4 2 2 6" xfId="18275"/>
    <cellStyle name="쉼표 [0] 5 2 4 2 3" xfId="5648"/>
    <cellStyle name="쉼표 [0] 5 2 4 2 3 2" xfId="12291"/>
    <cellStyle name="쉼표 [0] 5 2 4 2 3 2 2" xfId="25519"/>
    <cellStyle name="쉼표 [0] 5 2 4 2 3 3" xfId="10382"/>
    <cellStyle name="쉼표 [0] 5 2 4 2 3 3 2" xfId="23610"/>
    <cellStyle name="쉼표 [0] 5 2 4 2 3 4" xfId="18887"/>
    <cellStyle name="쉼표 [0] 5 2 4 2 4" xfId="9381"/>
    <cellStyle name="쉼표 [0] 5 2 4 2 4 2" xfId="22609"/>
    <cellStyle name="쉼표 [0] 5 2 4 2 5" xfId="11649"/>
    <cellStyle name="쉼표 [0] 5 2 4 2 5 2" xfId="24877"/>
    <cellStyle name="쉼표 [0] 5 2 4 2 6" xfId="7114"/>
    <cellStyle name="쉼표 [0] 5 2 4 2 6 2" xfId="20342"/>
    <cellStyle name="쉼표 [0] 5 2 4 2 7" xfId="15054"/>
    <cellStyle name="쉼표 [0] 5 2 4 3" xfId="4936"/>
    <cellStyle name="쉼표 [0] 5 2 4 3 2" xfId="5844"/>
    <cellStyle name="쉼표 [0] 5 2 4 3 2 2" xfId="12397"/>
    <cellStyle name="쉼표 [0] 5 2 4 3 2 2 2" xfId="25625"/>
    <cellStyle name="쉼표 [0] 5 2 4 3 2 3" xfId="10578"/>
    <cellStyle name="쉼표 [0] 5 2 4 3 2 3 2" xfId="23806"/>
    <cellStyle name="쉼표 [0] 5 2 4 3 2 4" xfId="19083"/>
    <cellStyle name="쉼표 [0] 5 2 4 3 3" xfId="9877"/>
    <cellStyle name="쉼표 [0] 5 2 4 3 3 2" xfId="23105"/>
    <cellStyle name="쉼표 [0] 5 2 4 3 4" xfId="11813"/>
    <cellStyle name="쉼표 [0] 5 2 4 3 4 2" xfId="25041"/>
    <cellStyle name="쉼표 [0] 5 2 4 3 5" xfId="8809"/>
    <cellStyle name="쉼표 [0] 5 2 4 3 5 2" xfId="22037"/>
    <cellStyle name="쉼표 [0] 5 2 4 3 6" xfId="18203"/>
    <cellStyle name="쉼표 [0] 5 2 4 4" xfId="5505"/>
    <cellStyle name="쉼표 [0] 5 2 4 4 2" xfId="12148"/>
    <cellStyle name="쉼표 [0] 5 2 4 4 2 2" xfId="25376"/>
    <cellStyle name="쉼표 [0] 5 2 4 4 3" xfId="10239"/>
    <cellStyle name="쉼표 [0] 5 2 4 4 3 2" xfId="23467"/>
    <cellStyle name="쉼표 [0] 5 2 4 4 4" xfId="18744"/>
    <cellStyle name="쉼표 [0] 5 2 4 5" xfId="9238"/>
    <cellStyle name="쉼표 [0] 5 2 4 5 2" xfId="22466"/>
    <cellStyle name="쉼표 [0] 5 2 4 6" xfId="11506"/>
    <cellStyle name="쉼표 [0] 5 2 4 6 2" xfId="24734"/>
    <cellStyle name="쉼표 [0] 5 2 4 7" xfId="6970"/>
    <cellStyle name="쉼표 [0] 5 2 4 7 2" xfId="20198"/>
    <cellStyle name="쉼표 [0] 5 2 4 8" xfId="14908"/>
    <cellStyle name="쉼표 [0] 5 2 5" xfId="495"/>
    <cellStyle name="쉼표 [0] 5 2 5 2" xfId="641"/>
    <cellStyle name="쉼표 [0] 5 2 5 2 2" xfId="5142"/>
    <cellStyle name="쉼표 [0] 5 2 5 2 2 2" xfId="6042"/>
    <cellStyle name="쉼표 [0] 5 2 5 2 2 2 2" xfId="12595"/>
    <cellStyle name="쉼표 [0] 5 2 5 2 2 2 2 2" xfId="25823"/>
    <cellStyle name="쉼표 [0] 5 2 5 2 2 2 3" xfId="10776"/>
    <cellStyle name="쉼표 [0] 5 2 5 2 2 2 3 2" xfId="24004"/>
    <cellStyle name="쉼표 [0] 5 2 5 2 2 2 4" xfId="19281"/>
    <cellStyle name="쉼표 [0] 5 2 5 2 2 3" xfId="10077"/>
    <cellStyle name="쉼표 [0] 5 2 5 2 2 3 2" xfId="23305"/>
    <cellStyle name="쉼표 [0] 5 2 5 2 2 4" xfId="12011"/>
    <cellStyle name="쉼표 [0] 5 2 5 2 2 4 2" xfId="25239"/>
    <cellStyle name="쉼표 [0] 5 2 5 2 2 5" xfId="9010"/>
    <cellStyle name="쉼표 [0] 5 2 5 2 2 5 2" xfId="22238"/>
    <cellStyle name="쉼표 [0] 5 2 5 2 2 6" xfId="18408"/>
    <cellStyle name="쉼표 [0] 5 2 5 2 3" xfId="5649"/>
    <cellStyle name="쉼표 [0] 5 2 5 2 3 2" xfId="12292"/>
    <cellStyle name="쉼표 [0] 5 2 5 2 3 2 2" xfId="25520"/>
    <cellStyle name="쉼표 [0] 5 2 5 2 3 3" xfId="10383"/>
    <cellStyle name="쉼표 [0] 5 2 5 2 3 3 2" xfId="23611"/>
    <cellStyle name="쉼표 [0] 5 2 5 2 3 4" xfId="18888"/>
    <cellStyle name="쉼표 [0] 5 2 5 2 4" xfId="9382"/>
    <cellStyle name="쉼표 [0] 5 2 5 2 4 2" xfId="22610"/>
    <cellStyle name="쉼표 [0] 5 2 5 2 5" xfId="11650"/>
    <cellStyle name="쉼표 [0] 5 2 5 2 5 2" xfId="24878"/>
    <cellStyle name="쉼표 [0] 5 2 5 2 6" xfId="7115"/>
    <cellStyle name="쉼표 [0] 5 2 5 2 6 2" xfId="20343"/>
    <cellStyle name="쉼표 [0] 5 2 5 2 7" xfId="15055"/>
    <cellStyle name="쉼표 [0] 5 2 5 3" xfId="5079"/>
    <cellStyle name="쉼표 [0] 5 2 5 3 2" xfId="5981"/>
    <cellStyle name="쉼표 [0] 5 2 5 3 2 2" xfId="12534"/>
    <cellStyle name="쉼표 [0] 5 2 5 3 2 2 2" xfId="25762"/>
    <cellStyle name="쉼표 [0] 5 2 5 3 2 3" xfId="10715"/>
    <cellStyle name="쉼표 [0] 5 2 5 3 2 3 2" xfId="23943"/>
    <cellStyle name="쉼표 [0] 5 2 5 3 2 4" xfId="19220"/>
    <cellStyle name="쉼표 [0] 5 2 5 3 3" xfId="10016"/>
    <cellStyle name="쉼표 [0] 5 2 5 3 3 2" xfId="23244"/>
    <cellStyle name="쉼표 [0] 5 2 5 3 4" xfId="11950"/>
    <cellStyle name="쉼표 [0] 5 2 5 3 4 2" xfId="25178"/>
    <cellStyle name="쉼표 [0] 5 2 5 3 5" xfId="8949"/>
    <cellStyle name="쉼표 [0] 5 2 5 3 5 2" xfId="22177"/>
    <cellStyle name="쉼표 [0] 5 2 5 3 6" xfId="18346"/>
    <cellStyle name="쉼표 [0] 5 2 5 4" xfId="5506"/>
    <cellStyle name="쉼표 [0] 5 2 5 4 2" xfId="12149"/>
    <cellStyle name="쉼표 [0] 5 2 5 4 2 2" xfId="25377"/>
    <cellStyle name="쉼표 [0] 5 2 5 4 3" xfId="10240"/>
    <cellStyle name="쉼표 [0] 5 2 5 4 3 2" xfId="23468"/>
    <cellStyle name="쉼표 [0] 5 2 5 4 4" xfId="18745"/>
    <cellStyle name="쉼표 [0] 5 2 5 5" xfId="9239"/>
    <cellStyle name="쉼표 [0] 5 2 5 5 2" xfId="22467"/>
    <cellStyle name="쉼표 [0] 5 2 5 6" xfId="11507"/>
    <cellStyle name="쉼표 [0] 5 2 5 6 2" xfId="24735"/>
    <cellStyle name="쉼표 [0] 5 2 5 7" xfId="6971"/>
    <cellStyle name="쉼표 [0] 5 2 5 7 2" xfId="20199"/>
    <cellStyle name="쉼표 [0] 5 2 5 8" xfId="14909"/>
    <cellStyle name="쉼표 [0] 5 2 6" xfId="496"/>
    <cellStyle name="쉼표 [0] 5 2 6 2" xfId="642"/>
    <cellStyle name="쉼표 [0] 5 2 6 2 2" xfId="5009"/>
    <cellStyle name="쉼표 [0] 5 2 6 2 2 2" xfId="5915"/>
    <cellStyle name="쉼표 [0] 5 2 6 2 2 2 2" xfId="12468"/>
    <cellStyle name="쉼표 [0] 5 2 6 2 2 2 2 2" xfId="25696"/>
    <cellStyle name="쉼표 [0] 5 2 6 2 2 2 3" xfId="10649"/>
    <cellStyle name="쉼표 [0] 5 2 6 2 2 2 3 2" xfId="23877"/>
    <cellStyle name="쉼표 [0] 5 2 6 2 2 2 4" xfId="19154"/>
    <cellStyle name="쉼표 [0] 5 2 6 2 2 3" xfId="9948"/>
    <cellStyle name="쉼표 [0] 5 2 6 2 2 3 2" xfId="23176"/>
    <cellStyle name="쉼표 [0] 5 2 6 2 2 4" xfId="11884"/>
    <cellStyle name="쉼표 [0] 5 2 6 2 2 4 2" xfId="25112"/>
    <cellStyle name="쉼표 [0] 5 2 6 2 2 5" xfId="8881"/>
    <cellStyle name="쉼표 [0] 5 2 6 2 2 5 2" xfId="22109"/>
    <cellStyle name="쉼표 [0] 5 2 6 2 2 6" xfId="18276"/>
    <cellStyle name="쉼표 [0] 5 2 6 2 3" xfId="5650"/>
    <cellStyle name="쉼표 [0] 5 2 6 2 3 2" xfId="12293"/>
    <cellStyle name="쉼표 [0] 5 2 6 2 3 2 2" xfId="25521"/>
    <cellStyle name="쉼표 [0] 5 2 6 2 3 3" xfId="10384"/>
    <cellStyle name="쉼표 [0] 5 2 6 2 3 3 2" xfId="23612"/>
    <cellStyle name="쉼표 [0] 5 2 6 2 3 4" xfId="18889"/>
    <cellStyle name="쉼표 [0] 5 2 6 2 4" xfId="9383"/>
    <cellStyle name="쉼표 [0] 5 2 6 2 4 2" xfId="22611"/>
    <cellStyle name="쉼표 [0] 5 2 6 2 5" xfId="11651"/>
    <cellStyle name="쉼표 [0] 5 2 6 2 5 2" xfId="24879"/>
    <cellStyle name="쉼표 [0] 5 2 6 2 6" xfId="7116"/>
    <cellStyle name="쉼표 [0] 5 2 6 2 6 2" xfId="20344"/>
    <cellStyle name="쉼표 [0] 5 2 6 2 7" xfId="15056"/>
    <cellStyle name="쉼표 [0] 5 2 6 3" xfId="5159"/>
    <cellStyle name="쉼표 [0] 5 2 6 3 2" xfId="6059"/>
    <cellStyle name="쉼표 [0] 5 2 6 3 2 2" xfId="12612"/>
    <cellStyle name="쉼표 [0] 5 2 6 3 2 2 2" xfId="25840"/>
    <cellStyle name="쉼표 [0] 5 2 6 3 2 3" xfId="10793"/>
    <cellStyle name="쉼표 [0] 5 2 6 3 2 3 2" xfId="24021"/>
    <cellStyle name="쉼표 [0] 5 2 6 3 2 4" xfId="19298"/>
    <cellStyle name="쉼표 [0] 5 2 6 3 3" xfId="10094"/>
    <cellStyle name="쉼표 [0] 5 2 6 3 3 2" xfId="23322"/>
    <cellStyle name="쉼표 [0] 5 2 6 3 4" xfId="12028"/>
    <cellStyle name="쉼표 [0] 5 2 6 3 4 2" xfId="25256"/>
    <cellStyle name="쉼표 [0] 5 2 6 3 5" xfId="9027"/>
    <cellStyle name="쉼표 [0] 5 2 6 3 5 2" xfId="22255"/>
    <cellStyle name="쉼표 [0] 5 2 6 3 6" xfId="18425"/>
    <cellStyle name="쉼표 [0] 5 2 6 4" xfId="5507"/>
    <cellStyle name="쉼표 [0] 5 2 6 4 2" xfId="12150"/>
    <cellStyle name="쉼표 [0] 5 2 6 4 2 2" xfId="25378"/>
    <cellStyle name="쉼표 [0] 5 2 6 4 3" xfId="10241"/>
    <cellStyle name="쉼표 [0] 5 2 6 4 3 2" xfId="23469"/>
    <cellStyle name="쉼표 [0] 5 2 6 4 4" xfId="18746"/>
    <cellStyle name="쉼표 [0] 5 2 6 5" xfId="9240"/>
    <cellStyle name="쉼표 [0] 5 2 6 5 2" xfId="22468"/>
    <cellStyle name="쉼표 [0] 5 2 6 6" xfId="11508"/>
    <cellStyle name="쉼표 [0] 5 2 6 6 2" xfId="24736"/>
    <cellStyle name="쉼표 [0] 5 2 6 7" xfId="6972"/>
    <cellStyle name="쉼표 [0] 5 2 6 7 2" xfId="20200"/>
    <cellStyle name="쉼표 [0] 5 2 6 8" xfId="14910"/>
    <cellStyle name="쉼표 [0] 5 2 7" xfId="497"/>
    <cellStyle name="쉼표 [0] 5 2 7 2" xfId="643"/>
    <cellStyle name="쉼표 [0] 5 2 7 2 2" xfId="5010"/>
    <cellStyle name="쉼표 [0] 5 2 7 2 2 2" xfId="5916"/>
    <cellStyle name="쉼표 [0] 5 2 7 2 2 2 2" xfId="12469"/>
    <cellStyle name="쉼표 [0] 5 2 7 2 2 2 2 2" xfId="25697"/>
    <cellStyle name="쉼표 [0] 5 2 7 2 2 2 3" xfId="10650"/>
    <cellStyle name="쉼표 [0] 5 2 7 2 2 2 3 2" xfId="23878"/>
    <cellStyle name="쉼표 [0] 5 2 7 2 2 2 4" xfId="19155"/>
    <cellStyle name="쉼표 [0] 5 2 7 2 2 3" xfId="9949"/>
    <cellStyle name="쉼표 [0] 5 2 7 2 2 3 2" xfId="23177"/>
    <cellStyle name="쉼표 [0] 5 2 7 2 2 4" xfId="11885"/>
    <cellStyle name="쉼표 [0] 5 2 7 2 2 4 2" xfId="25113"/>
    <cellStyle name="쉼표 [0] 5 2 7 2 2 5" xfId="8882"/>
    <cellStyle name="쉼표 [0] 5 2 7 2 2 5 2" xfId="22110"/>
    <cellStyle name="쉼표 [0] 5 2 7 2 2 6" xfId="18277"/>
    <cellStyle name="쉼표 [0] 5 2 7 2 3" xfId="5651"/>
    <cellStyle name="쉼표 [0] 5 2 7 2 3 2" xfId="12294"/>
    <cellStyle name="쉼표 [0] 5 2 7 2 3 2 2" xfId="25522"/>
    <cellStyle name="쉼표 [0] 5 2 7 2 3 3" xfId="10385"/>
    <cellStyle name="쉼표 [0] 5 2 7 2 3 3 2" xfId="23613"/>
    <cellStyle name="쉼표 [0] 5 2 7 2 3 4" xfId="18890"/>
    <cellStyle name="쉼표 [0] 5 2 7 2 4" xfId="9384"/>
    <cellStyle name="쉼표 [0] 5 2 7 2 4 2" xfId="22612"/>
    <cellStyle name="쉼표 [0] 5 2 7 2 5" xfId="11652"/>
    <cellStyle name="쉼표 [0] 5 2 7 2 5 2" xfId="24880"/>
    <cellStyle name="쉼표 [0] 5 2 7 2 6" xfId="7117"/>
    <cellStyle name="쉼표 [0] 5 2 7 2 6 2" xfId="20345"/>
    <cellStyle name="쉼표 [0] 5 2 7 2 7" xfId="15057"/>
    <cellStyle name="쉼표 [0] 5 2 7 3" xfId="5078"/>
    <cellStyle name="쉼표 [0] 5 2 7 3 2" xfId="5980"/>
    <cellStyle name="쉼표 [0] 5 2 7 3 2 2" xfId="12533"/>
    <cellStyle name="쉼표 [0] 5 2 7 3 2 2 2" xfId="25761"/>
    <cellStyle name="쉼표 [0] 5 2 7 3 2 3" xfId="10714"/>
    <cellStyle name="쉼표 [0] 5 2 7 3 2 3 2" xfId="23942"/>
    <cellStyle name="쉼표 [0] 5 2 7 3 2 4" xfId="19219"/>
    <cellStyle name="쉼표 [0] 5 2 7 3 3" xfId="10015"/>
    <cellStyle name="쉼표 [0] 5 2 7 3 3 2" xfId="23243"/>
    <cellStyle name="쉼표 [0] 5 2 7 3 4" xfId="11949"/>
    <cellStyle name="쉼표 [0] 5 2 7 3 4 2" xfId="25177"/>
    <cellStyle name="쉼표 [0] 5 2 7 3 5" xfId="8948"/>
    <cellStyle name="쉼표 [0] 5 2 7 3 5 2" xfId="22176"/>
    <cellStyle name="쉼표 [0] 5 2 7 3 6" xfId="18345"/>
    <cellStyle name="쉼표 [0] 5 2 7 4" xfId="5508"/>
    <cellStyle name="쉼표 [0] 5 2 7 4 2" xfId="12151"/>
    <cellStyle name="쉼표 [0] 5 2 7 4 2 2" xfId="25379"/>
    <cellStyle name="쉼표 [0] 5 2 7 4 3" xfId="10242"/>
    <cellStyle name="쉼표 [0] 5 2 7 4 3 2" xfId="23470"/>
    <cellStyle name="쉼표 [0] 5 2 7 4 4" xfId="18747"/>
    <cellStyle name="쉼표 [0] 5 2 7 5" xfId="9241"/>
    <cellStyle name="쉼표 [0] 5 2 7 5 2" xfId="22469"/>
    <cellStyle name="쉼표 [0] 5 2 7 6" xfId="11509"/>
    <cellStyle name="쉼표 [0] 5 2 7 6 2" xfId="24737"/>
    <cellStyle name="쉼표 [0] 5 2 7 7" xfId="6973"/>
    <cellStyle name="쉼표 [0] 5 2 7 7 2" xfId="20201"/>
    <cellStyle name="쉼표 [0] 5 2 7 8" xfId="14911"/>
    <cellStyle name="쉼표 [0] 5 2 8" xfId="498"/>
    <cellStyle name="쉼표 [0] 5 2 8 2" xfId="644"/>
    <cellStyle name="쉼표 [0] 5 2 8 2 2" xfId="5011"/>
    <cellStyle name="쉼표 [0] 5 2 8 2 2 2" xfId="5917"/>
    <cellStyle name="쉼표 [0] 5 2 8 2 2 2 2" xfId="12470"/>
    <cellStyle name="쉼표 [0] 5 2 8 2 2 2 2 2" xfId="25698"/>
    <cellStyle name="쉼표 [0] 5 2 8 2 2 2 3" xfId="10651"/>
    <cellStyle name="쉼표 [0] 5 2 8 2 2 2 3 2" xfId="23879"/>
    <cellStyle name="쉼표 [0] 5 2 8 2 2 2 4" xfId="19156"/>
    <cellStyle name="쉼표 [0] 5 2 8 2 2 3" xfId="9950"/>
    <cellStyle name="쉼표 [0] 5 2 8 2 2 3 2" xfId="23178"/>
    <cellStyle name="쉼표 [0] 5 2 8 2 2 4" xfId="11886"/>
    <cellStyle name="쉼표 [0] 5 2 8 2 2 4 2" xfId="25114"/>
    <cellStyle name="쉼표 [0] 5 2 8 2 2 5" xfId="8883"/>
    <cellStyle name="쉼표 [0] 5 2 8 2 2 5 2" xfId="22111"/>
    <cellStyle name="쉼표 [0] 5 2 8 2 2 6" xfId="18278"/>
    <cellStyle name="쉼표 [0] 5 2 8 2 3" xfId="5652"/>
    <cellStyle name="쉼표 [0] 5 2 8 2 3 2" xfId="12295"/>
    <cellStyle name="쉼표 [0] 5 2 8 2 3 2 2" xfId="25523"/>
    <cellStyle name="쉼표 [0] 5 2 8 2 3 3" xfId="10386"/>
    <cellStyle name="쉼표 [0] 5 2 8 2 3 3 2" xfId="23614"/>
    <cellStyle name="쉼표 [0] 5 2 8 2 3 4" xfId="18891"/>
    <cellStyle name="쉼표 [0] 5 2 8 2 4" xfId="9385"/>
    <cellStyle name="쉼표 [0] 5 2 8 2 4 2" xfId="22613"/>
    <cellStyle name="쉼표 [0] 5 2 8 2 5" xfId="11653"/>
    <cellStyle name="쉼표 [0] 5 2 8 2 5 2" xfId="24881"/>
    <cellStyle name="쉼표 [0] 5 2 8 2 6" xfId="7118"/>
    <cellStyle name="쉼표 [0] 5 2 8 2 6 2" xfId="20346"/>
    <cellStyle name="쉼표 [0] 5 2 8 2 7" xfId="15058"/>
    <cellStyle name="쉼표 [0] 5 2 8 3" xfId="4937"/>
    <cellStyle name="쉼표 [0] 5 2 8 3 2" xfId="5845"/>
    <cellStyle name="쉼표 [0] 5 2 8 3 2 2" xfId="12398"/>
    <cellStyle name="쉼표 [0] 5 2 8 3 2 2 2" xfId="25626"/>
    <cellStyle name="쉼표 [0] 5 2 8 3 2 3" xfId="10579"/>
    <cellStyle name="쉼표 [0] 5 2 8 3 2 3 2" xfId="23807"/>
    <cellStyle name="쉼표 [0] 5 2 8 3 2 4" xfId="19084"/>
    <cellStyle name="쉼표 [0] 5 2 8 3 3" xfId="9878"/>
    <cellStyle name="쉼표 [0] 5 2 8 3 3 2" xfId="23106"/>
    <cellStyle name="쉼표 [0] 5 2 8 3 4" xfId="11814"/>
    <cellStyle name="쉼표 [0] 5 2 8 3 4 2" xfId="25042"/>
    <cellStyle name="쉼표 [0] 5 2 8 3 5" xfId="8810"/>
    <cellStyle name="쉼표 [0] 5 2 8 3 5 2" xfId="22038"/>
    <cellStyle name="쉼표 [0] 5 2 8 3 6" xfId="18204"/>
    <cellStyle name="쉼표 [0] 5 2 8 4" xfId="5509"/>
    <cellStyle name="쉼표 [0] 5 2 8 4 2" xfId="12152"/>
    <cellStyle name="쉼표 [0] 5 2 8 4 2 2" xfId="25380"/>
    <cellStyle name="쉼표 [0] 5 2 8 4 3" xfId="10243"/>
    <cellStyle name="쉼표 [0] 5 2 8 4 3 2" xfId="23471"/>
    <cellStyle name="쉼표 [0] 5 2 8 4 4" xfId="18748"/>
    <cellStyle name="쉼표 [0] 5 2 8 5" xfId="9242"/>
    <cellStyle name="쉼표 [0] 5 2 8 5 2" xfId="22470"/>
    <cellStyle name="쉼표 [0] 5 2 8 6" xfId="11510"/>
    <cellStyle name="쉼표 [0] 5 2 8 6 2" xfId="24738"/>
    <cellStyle name="쉼표 [0] 5 2 8 7" xfId="6974"/>
    <cellStyle name="쉼표 [0] 5 2 8 7 2" xfId="20202"/>
    <cellStyle name="쉼표 [0] 5 2 8 8" xfId="14912"/>
    <cellStyle name="쉼표 [0] 5 2 9" xfId="4876"/>
    <cellStyle name="쉼표 [0] 5 3" xfId="242"/>
    <cellStyle name="쉼표 [0] 5 3 2" xfId="499"/>
    <cellStyle name="쉼표 [0] 5 3 2 2" xfId="645"/>
    <cellStyle name="쉼표 [0] 5 3 2 2 2" xfId="5056"/>
    <cellStyle name="쉼표 [0] 5 3 2 2 2 2" xfId="5958"/>
    <cellStyle name="쉼표 [0] 5 3 2 2 2 2 2" xfId="12511"/>
    <cellStyle name="쉼표 [0] 5 3 2 2 2 2 2 2" xfId="25739"/>
    <cellStyle name="쉼표 [0] 5 3 2 2 2 2 3" xfId="10692"/>
    <cellStyle name="쉼표 [0] 5 3 2 2 2 2 3 2" xfId="23920"/>
    <cellStyle name="쉼표 [0] 5 3 2 2 2 2 4" xfId="19197"/>
    <cellStyle name="쉼표 [0] 5 3 2 2 2 3" xfId="9993"/>
    <cellStyle name="쉼표 [0] 5 3 2 2 2 3 2" xfId="23221"/>
    <cellStyle name="쉼표 [0] 5 3 2 2 2 4" xfId="11927"/>
    <cellStyle name="쉼표 [0] 5 3 2 2 2 4 2" xfId="25155"/>
    <cellStyle name="쉼표 [0] 5 3 2 2 2 5" xfId="8926"/>
    <cellStyle name="쉼표 [0] 5 3 2 2 2 5 2" xfId="22154"/>
    <cellStyle name="쉼표 [0] 5 3 2 2 2 6" xfId="18323"/>
    <cellStyle name="쉼표 [0] 5 3 2 2 3" xfId="5653"/>
    <cellStyle name="쉼표 [0] 5 3 2 2 3 2" xfId="12296"/>
    <cellStyle name="쉼표 [0] 5 3 2 2 3 2 2" xfId="25524"/>
    <cellStyle name="쉼표 [0] 5 3 2 2 3 3" xfId="10387"/>
    <cellStyle name="쉼표 [0] 5 3 2 2 3 3 2" xfId="23615"/>
    <cellStyle name="쉼표 [0] 5 3 2 2 3 4" xfId="18892"/>
    <cellStyle name="쉼표 [0] 5 3 2 2 4" xfId="9386"/>
    <cellStyle name="쉼표 [0] 5 3 2 2 4 2" xfId="22614"/>
    <cellStyle name="쉼표 [0] 5 3 2 2 5" xfId="11654"/>
    <cellStyle name="쉼표 [0] 5 3 2 2 5 2" xfId="24882"/>
    <cellStyle name="쉼표 [0] 5 3 2 2 6" xfId="7119"/>
    <cellStyle name="쉼표 [0] 5 3 2 2 6 2" xfId="20347"/>
    <cellStyle name="쉼표 [0] 5 3 2 2 7" xfId="15059"/>
    <cellStyle name="쉼표 [0] 5 3 2 3" xfId="4938"/>
    <cellStyle name="쉼표 [0] 5 3 2 3 2" xfId="5846"/>
    <cellStyle name="쉼표 [0] 5 3 2 3 2 2" xfId="12399"/>
    <cellStyle name="쉼표 [0] 5 3 2 3 2 2 2" xfId="25627"/>
    <cellStyle name="쉼표 [0] 5 3 2 3 2 3" xfId="10580"/>
    <cellStyle name="쉼표 [0] 5 3 2 3 2 3 2" xfId="23808"/>
    <cellStyle name="쉼표 [0] 5 3 2 3 2 4" xfId="19085"/>
    <cellStyle name="쉼표 [0] 5 3 2 3 3" xfId="9879"/>
    <cellStyle name="쉼표 [0] 5 3 2 3 3 2" xfId="23107"/>
    <cellStyle name="쉼표 [0] 5 3 2 3 4" xfId="11815"/>
    <cellStyle name="쉼표 [0] 5 3 2 3 4 2" xfId="25043"/>
    <cellStyle name="쉼표 [0] 5 3 2 3 5" xfId="8811"/>
    <cellStyle name="쉼표 [0] 5 3 2 3 5 2" xfId="22039"/>
    <cellStyle name="쉼표 [0] 5 3 2 3 6" xfId="18205"/>
    <cellStyle name="쉼표 [0] 5 3 2 4" xfId="3169"/>
    <cellStyle name="쉼표 [0] 5 3 2 5" xfId="5510"/>
    <cellStyle name="쉼표 [0] 5 3 2 5 2" xfId="12153"/>
    <cellStyle name="쉼표 [0] 5 3 2 5 2 2" xfId="25381"/>
    <cellStyle name="쉼표 [0] 5 3 2 5 3" xfId="10244"/>
    <cellStyle name="쉼표 [0] 5 3 2 5 3 2" xfId="23472"/>
    <cellStyle name="쉼표 [0] 5 3 2 5 4" xfId="18749"/>
    <cellStyle name="쉼표 [0] 5 3 2 6" xfId="9243"/>
    <cellStyle name="쉼표 [0] 5 3 2 6 2" xfId="22471"/>
    <cellStyle name="쉼표 [0] 5 3 2 7" xfId="11511"/>
    <cellStyle name="쉼표 [0] 5 3 2 7 2" xfId="24739"/>
    <cellStyle name="쉼표 [0] 5 3 2 8" xfId="6975"/>
    <cellStyle name="쉼표 [0] 5 3 2 8 2" xfId="20203"/>
    <cellStyle name="쉼표 [0] 5 3 2 9" xfId="14913"/>
    <cellStyle name="쉼표 [0] 5 3 3" xfId="500"/>
    <cellStyle name="쉼표 [0] 5 3 3 2" xfId="646"/>
    <cellStyle name="쉼표 [0] 5 3 3 2 2" xfId="5183"/>
    <cellStyle name="쉼표 [0] 5 3 3 2 2 2" xfId="6083"/>
    <cellStyle name="쉼표 [0] 5 3 3 2 2 2 2" xfId="12636"/>
    <cellStyle name="쉼표 [0] 5 3 3 2 2 2 2 2" xfId="25864"/>
    <cellStyle name="쉼표 [0] 5 3 3 2 2 2 3" xfId="10817"/>
    <cellStyle name="쉼표 [0] 5 3 3 2 2 2 3 2" xfId="24045"/>
    <cellStyle name="쉼표 [0] 5 3 3 2 2 2 4" xfId="19322"/>
    <cellStyle name="쉼표 [0] 5 3 3 2 2 3" xfId="10118"/>
    <cellStyle name="쉼표 [0] 5 3 3 2 2 3 2" xfId="23346"/>
    <cellStyle name="쉼표 [0] 5 3 3 2 2 4" xfId="12052"/>
    <cellStyle name="쉼표 [0] 5 3 3 2 2 4 2" xfId="25280"/>
    <cellStyle name="쉼표 [0] 5 3 3 2 2 5" xfId="9051"/>
    <cellStyle name="쉼표 [0] 5 3 3 2 2 5 2" xfId="22279"/>
    <cellStyle name="쉼표 [0] 5 3 3 2 2 6" xfId="18449"/>
    <cellStyle name="쉼표 [0] 5 3 3 2 3" xfId="5654"/>
    <cellStyle name="쉼표 [0] 5 3 3 2 3 2" xfId="12297"/>
    <cellStyle name="쉼표 [0] 5 3 3 2 3 2 2" xfId="25525"/>
    <cellStyle name="쉼표 [0] 5 3 3 2 3 3" xfId="10388"/>
    <cellStyle name="쉼표 [0] 5 3 3 2 3 3 2" xfId="23616"/>
    <cellStyle name="쉼표 [0] 5 3 3 2 3 4" xfId="18893"/>
    <cellStyle name="쉼표 [0] 5 3 3 2 4" xfId="9387"/>
    <cellStyle name="쉼표 [0] 5 3 3 2 4 2" xfId="22615"/>
    <cellStyle name="쉼표 [0] 5 3 3 2 5" xfId="11655"/>
    <cellStyle name="쉼표 [0] 5 3 3 2 5 2" xfId="24883"/>
    <cellStyle name="쉼표 [0] 5 3 3 2 6" xfId="7120"/>
    <cellStyle name="쉼표 [0] 5 3 3 2 6 2" xfId="20348"/>
    <cellStyle name="쉼표 [0] 5 3 3 2 7" xfId="15060"/>
    <cellStyle name="쉼표 [0] 5 3 3 3" xfId="5081"/>
    <cellStyle name="쉼표 [0] 5 3 3 3 2" xfId="5983"/>
    <cellStyle name="쉼표 [0] 5 3 3 3 2 2" xfId="12536"/>
    <cellStyle name="쉼표 [0] 5 3 3 3 2 2 2" xfId="25764"/>
    <cellStyle name="쉼표 [0] 5 3 3 3 2 3" xfId="10717"/>
    <cellStyle name="쉼표 [0] 5 3 3 3 2 3 2" xfId="23945"/>
    <cellStyle name="쉼표 [0] 5 3 3 3 2 4" xfId="19222"/>
    <cellStyle name="쉼표 [0] 5 3 3 3 3" xfId="10018"/>
    <cellStyle name="쉼표 [0] 5 3 3 3 3 2" xfId="23246"/>
    <cellStyle name="쉼표 [0] 5 3 3 3 4" xfId="11952"/>
    <cellStyle name="쉼표 [0] 5 3 3 3 4 2" xfId="25180"/>
    <cellStyle name="쉼표 [0] 5 3 3 3 5" xfId="8951"/>
    <cellStyle name="쉼표 [0] 5 3 3 3 5 2" xfId="22179"/>
    <cellStyle name="쉼표 [0] 5 3 3 3 6" xfId="18348"/>
    <cellStyle name="쉼표 [0] 5 3 3 4" xfId="5511"/>
    <cellStyle name="쉼표 [0] 5 3 3 4 2" xfId="12154"/>
    <cellStyle name="쉼표 [0] 5 3 3 4 2 2" xfId="25382"/>
    <cellStyle name="쉼표 [0] 5 3 3 4 3" xfId="10245"/>
    <cellStyle name="쉼표 [0] 5 3 3 4 3 2" xfId="23473"/>
    <cellStyle name="쉼표 [0] 5 3 3 4 4" xfId="18750"/>
    <cellStyle name="쉼표 [0] 5 3 3 5" xfId="9244"/>
    <cellStyle name="쉼표 [0] 5 3 3 5 2" xfId="22472"/>
    <cellStyle name="쉼표 [0] 5 3 3 6" xfId="11512"/>
    <cellStyle name="쉼표 [0] 5 3 3 6 2" xfId="24740"/>
    <cellStyle name="쉼표 [0] 5 3 3 7" xfId="6976"/>
    <cellStyle name="쉼표 [0] 5 3 3 7 2" xfId="20204"/>
    <cellStyle name="쉼표 [0] 5 3 3 8" xfId="14914"/>
    <cellStyle name="쉼표 [0] 5 3 4" xfId="501"/>
    <cellStyle name="쉼표 [0] 5 3 4 2" xfId="647"/>
    <cellStyle name="쉼표 [0] 5 3 4 2 2" xfId="5012"/>
    <cellStyle name="쉼표 [0] 5 3 4 2 2 2" xfId="5918"/>
    <cellStyle name="쉼표 [0] 5 3 4 2 2 2 2" xfId="12471"/>
    <cellStyle name="쉼표 [0] 5 3 4 2 2 2 2 2" xfId="25699"/>
    <cellStyle name="쉼표 [0] 5 3 4 2 2 2 3" xfId="10652"/>
    <cellStyle name="쉼표 [0] 5 3 4 2 2 2 3 2" xfId="23880"/>
    <cellStyle name="쉼표 [0] 5 3 4 2 2 2 4" xfId="19157"/>
    <cellStyle name="쉼표 [0] 5 3 4 2 2 3" xfId="9951"/>
    <cellStyle name="쉼표 [0] 5 3 4 2 2 3 2" xfId="23179"/>
    <cellStyle name="쉼표 [0] 5 3 4 2 2 4" xfId="11887"/>
    <cellStyle name="쉼표 [0] 5 3 4 2 2 4 2" xfId="25115"/>
    <cellStyle name="쉼표 [0] 5 3 4 2 2 5" xfId="8884"/>
    <cellStyle name="쉼표 [0] 5 3 4 2 2 5 2" xfId="22112"/>
    <cellStyle name="쉼표 [0] 5 3 4 2 2 6" xfId="18279"/>
    <cellStyle name="쉼표 [0] 5 3 4 2 3" xfId="5655"/>
    <cellStyle name="쉼표 [0] 5 3 4 2 3 2" xfId="12298"/>
    <cellStyle name="쉼표 [0] 5 3 4 2 3 2 2" xfId="25526"/>
    <cellStyle name="쉼표 [0] 5 3 4 2 3 3" xfId="10389"/>
    <cellStyle name="쉼표 [0] 5 3 4 2 3 3 2" xfId="23617"/>
    <cellStyle name="쉼표 [0] 5 3 4 2 3 4" xfId="18894"/>
    <cellStyle name="쉼표 [0] 5 3 4 2 4" xfId="9388"/>
    <cellStyle name="쉼표 [0] 5 3 4 2 4 2" xfId="22616"/>
    <cellStyle name="쉼표 [0] 5 3 4 2 5" xfId="11656"/>
    <cellStyle name="쉼표 [0] 5 3 4 2 5 2" xfId="24884"/>
    <cellStyle name="쉼표 [0] 5 3 4 2 6" xfId="7121"/>
    <cellStyle name="쉼표 [0] 5 3 4 2 6 2" xfId="20349"/>
    <cellStyle name="쉼표 [0] 5 3 4 2 7" xfId="15061"/>
    <cellStyle name="쉼표 [0] 5 3 4 3" xfId="5160"/>
    <cellStyle name="쉼표 [0] 5 3 4 3 2" xfId="6060"/>
    <cellStyle name="쉼표 [0] 5 3 4 3 2 2" xfId="12613"/>
    <cellStyle name="쉼표 [0] 5 3 4 3 2 2 2" xfId="25841"/>
    <cellStyle name="쉼표 [0] 5 3 4 3 2 3" xfId="10794"/>
    <cellStyle name="쉼표 [0] 5 3 4 3 2 3 2" xfId="24022"/>
    <cellStyle name="쉼표 [0] 5 3 4 3 2 4" xfId="19299"/>
    <cellStyle name="쉼표 [0] 5 3 4 3 3" xfId="10095"/>
    <cellStyle name="쉼표 [0] 5 3 4 3 3 2" xfId="23323"/>
    <cellStyle name="쉼표 [0] 5 3 4 3 4" xfId="12029"/>
    <cellStyle name="쉼표 [0] 5 3 4 3 4 2" xfId="25257"/>
    <cellStyle name="쉼표 [0] 5 3 4 3 5" xfId="9028"/>
    <cellStyle name="쉼표 [0] 5 3 4 3 5 2" xfId="22256"/>
    <cellStyle name="쉼표 [0] 5 3 4 3 6" xfId="18426"/>
    <cellStyle name="쉼표 [0] 5 3 4 4" xfId="5512"/>
    <cellStyle name="쉼표 [0] 5 3 4 4 2" xfId="12155"/>
    <cellStyle name="쉼표 [0] 5 3 4 4 2 2" xfId="25383"/>
    <cellStyle name="쉼표 [0] 5 3 4 4 3" xfId="10246"/>
    <cellStyle name="쉼표 [0] 5 3 4 4 3 2" xfId="23474"/>
    <cellStyle name="쉼표 [0] 5 3 4 4 4" xfId="18751"/>
    <cellStyle name="쉼표 [0] 5 3 4 5" xfId="9245"/>
    <cellStyle name="쉼표 [0] 5 3 4 5 2" xfId="22473"/>
    <cellStyle name="쉼표 [0] 5 3 4 6" xfId="11513"/>
    <cellStyle name="쉼표 [0] 5 3 4 6 2" xfId="24741"/>
    <cellStyle name="쉼표 [0] 5 3 4 7" xfId="6977"/>
    <cellStyle name="쉼표 [0] 5 3 4 7 2" xfId="20205"/>
    <cellStyle name="쉼표 [0] 5 3 4 8" xfId="14915"/>
    <cellStyle name="쉼표 [0] 5 3 5" xfId="502"/>
    <cellStyle name="쉼표 [0] 5 3 5 2" xfId="648"/>
    <cellStyle name="쉼표 [0] 5 3 5 2 2" xfId="5013"/>
    <cellStyle name="쉼표 [0] 5 3 5 2 2 2" xfId="5919"/>
    <cellStyle name="쉼표 [0] 5 3 5 2 2 2 2" xfId="12472"/>
    <cellStyle name="쉼표 [0] 5 3 5 2 2 2 2 2" xfId="25700"/>
    <cellStyle name="쉼표 [0] 5 3 5 2 2 2 3" xfId="10653"/>
    <cellStyle name="쉼표 [0] 5 3 5 2 2 2 3 2" xfId="23881"/>
    <cellStyle name="쉼표 [0] 5 3 5 2 2 2 4" xfId="19158"/>
    <cellStyle name="쉼표 [0] 5 3 5 2 2 3" xfId="9952"/>
    <cellStyle name="쉼표 [0] 5 3 5 2 2 3 2" xfId="23180"/>
    <cellStyle name="쉼표 [0] 5 3 5 2 2 4" xfId="11888"/>
    <cellStyle name="쉼표 [0] 5 3 5 2 2 4 2" xfId="25116"/>
    <cellStyle name="쉼표 [0] 5 3 5 2 2 5" xfId="8885"/>
    <cellStyle name="쉼표 [0] 5 3 5 2 2 5 2" xfId="22113"/>
    <cellStyle name="쉼표 [0] 5 3 5 2 2 6" xfId="18280"/>
    <cellStyle name="쉼표 [0] 5 3 5 2 3" xfId="5656"/>
    <cellStyle name="쉼표 [0] 5 3 5 2 3 2" xfId="12299"/>
    <cellStyle name="쉼표 [0] 5 3 5 2 3 2 2" xfId="25527"/>
    <cellStyle name="쉼표 [0] 5 3 5 2 3 3" xfId="10390"/>
    <cellStyle name="쉼표 [0] 5 3 5 2 3 3 2" xfId="23618"/>
    <cellStyle name="쉼표 [0] 5 3 5 2 3 4" xfId="18895"/>
    <cellStyle name="쉼표 [0] 5 3 5 2 4" xfId="9389"/>
    <cellStyle name="쉼표 [0] 5 3 5 2 4 2" xfId="22617"/>
    <cellStyle name="쉼표 [0] 5 3 5 2 5" xfId="11657"/>
    <cellStyle name="쉼표 [0] 5 3 5 2 5 2" xfId="24885"/>
    <cellStyle name="쉼표 [0] 5 3 5 2 6" xfId="7122"/>
    <cellStyle name="쉼표 [0] 5 3 5 2 6 2" xfId="20350"/>
    <cellStyle name="쉼표 [0] 5 3 5 2 7" xfId="15062"/>
    <cellStyle name="쉼표 [0] 5 3 5 3" xfId="5080"/>
    <cellStyle name="쉼표 [0] 5 3 5 3 2" xfId="5982"/>
    <cellStyle name="쉼표 [0] 5 3 5 3 2 2" xfId="12535"/>
    <cellStyle name="쉼표 [0] 5 3 5 3 2 2 2" xfId="25763"/>
    <cellStyle name="쉼표 [0] 5 3 5 3 2 3" xfId="10716"/>
    <cellStyle name="쉼표 [0] 5 3 5 3 2 3 2" xfId="23944"/>
    <cellStyle name="쉼표 [0] 5 3 5 3 2 4" xfId="19221"/>
    <cellStyle name="쉼표 [0] 5 3 5 3 3" xfId="10017"/>
    <cellStyle name="쉼표 [0] 5 3 5 3 3 2" xfId="23245"/>
    <cellStyle name="쉼표 [0] 5 3 5 3 4" xfId="11951"/>
    <cellStyle name="쉼표 [0] 5 3 5 3 4 2" xfId="25179"/>
    <cellStyle name="쉼표 [0] 5 3 5 3 5" xfId="8950"/>
    <cellStyle name="쉼표 [0] 5 3 5 3 5 2" xfId="22178"/>
    <cellStyle name="쉼표 [0] 5 3 5 3 6" xfId="18347"/>
    <cellStyle name="쉼표 [0] 5 3 5 4" xfId="5513"/>
    <cellStyle name="쉼표 [0] 5 3 5 4 2" xfId="12156"/>
    <cellStyle name="쉼표 [0] 5 3 5 4 2 2" xfId="25384"/>
    <cellStyle name="쉼표 [0] 5 3 5 4 3" xfId="10247"/>
    <cellStyle name="쉼표 [0] 5 3 5 4 3 2" xfId="23475"/>
    <cellStyle name="쉼표 [0] 5 3 5 4 4" xfId="18752"/>
    <cellStyle name="쉼표 [0] 5 3 5 5" xfId="9246"/>
    <cellStyle name="쉼표 [0] 5 3 5 5 2" xfId="22474"/>
    <cellStyle name="쉼표 [0] 5 3 5 6" xfId="11514"/>
    <cellStyle name="쉼표 [0] 5 3 5 6 2" xfId="24742"/>
    <cellStyle name="쉼표 [0] 5 3 5 7" xfId="6978"/>
    <cellStyle name="쉼표 [0] 5 3 5 7 2" xfId="20206"/>
    <cellStyle name="쉼표 [0] 5 3 5 8" xfId="14916"/>
    <cellStyle name="쉼표 [0] 5 3 6" xfId="503"/>
    <cellStyle name="쉼표 [0] 5 3 6 2" xfId="649"/>
    <cellStyle name="쉼표 [0] 5 3 6 2 2" xfId="5115"/>
    <cellStyle name="쉼표 [0] 5 3 6 2 2 2" xfId="6017"/>
    <cellStyle name="쉼표 [0] 5 3 6 2 2 2 2" xfId="12570"/>
    <cellStyle name="쉼표 [0] 5 3 6 2 2 2 2 2" xfId="25798"/>
    <cellStyle name="쉼표 [0] 5 3 6 2 2 2 3" xfId="10751"/>
    <cellStyle name="쉼표 [0] 5 3 6 2 2 2 3 2" xfId="23979"/>
    <cellStyle name="쉼표 [0] 5 3 6 2 2 2 4" xfId="19256"/>
    <cellStyle name="쉼표 [0] 5 3 6 2 2 3" xfId="10052"/>
    <cellStyle name="쉼표 [0] 5 3 6 2 2 3 2" xfId="23280"/>
    <cellStyle name="쉼표 [0] 5 3 6 2 2 4" xfId="11986"/>
    <cellStyle name="쉼표 [0] 5 3 6 2 2 4 2" xfId="25214"/>
    <cellStyle name="쉼표 [0] 5 3 6 2 2 5" xfId="8985"/>
    <cellStyle name="쉼표 [0] 5 3 6 2 2 5 2" xfId="22213"/>
    <cellStyle name="쉼표 [0] 5 3 6 2 2 6" xfId="18382"/>
    <cellStyle name="쉼표 [0] 5 3 6 2 3" xfId="5657"/>
    <cellStyle name="쉼표 [0] 5 3 6 2 3 2" xfId="12300"/>
    <cellStyle name="쉼표 [0] 5 3 6 2 3 2 2" xfId="25528"/>
    <cellStyle name="쉼표 [0] 5 3 6 2 3 3" xfId="10391"/>
    <cellStyle name="쉼표 [0] 5 3 6 2 3 3 2" xfId="23619"/>
    <cellStyle name="쉼표 [0] 5 3 6 2 3 4" xfId="18896"/>
    <cellStyle name="쉼표 [0] 5 3 6 2 4" xfId="9390"/>
    <cellStyle name="쉼표 [0] 5 3 6 2 4 2" xfId="22618"/>
    <cellStyle name="쉼표 [0] 5 3 6 2 5" xfId="11658"/>
    <cellStyle name="쉼표 [0] 5 3 6 2 5 2" xfId="24886"/>
    <cellStyle name="쉼표 [0] 5 3 6 2 6" xfId="7123"/>
    <cellStyle name="쉼표 [0] 5 3 6 2 6 2" xfId="20351"/>
    <cellStyle name="쉼표 [0] 5 3 6 2 7" xfId="15063"/>
    <cellStyle name="쉼표 [0] 5 3 6 3" xfId="4939"/>
    <cellStyle name="쉼표 [0] 5 3 6 3 2" xfId="5847"/>
    <cellStyle name="쉼표 [0] 5 3 6 3 2 2" xfId="12400"/>
    <cellStyle name="쉼표 [0] 5 3 6 3 2 2 2" xfId="25628"/>
    <cellStyle name="쉼표 [0] 5 3 6 3 2 3" xfId="10581"/>
    <cellStyle name="쉼표 [0] 5 3 6 3 2 3 2" xfId="23809"/>
    <cellStyle name="쉼표 [0] 5 3 6 3 2 4" xfId="19086"/>
    <cellStyle name="쉼표 [0] 5 3 6 3 3" xfId="9880"/>
    <cellStyle name="쉼표 [0] 5 3 6 3 3 2" xfId="23108"/>
    <cellStyle name="쉼표 [0] 5 3 6 3 4" xfId="11816"/>
    <cellStyle name="쉼표 [0] 5 3 6 3 4 2" xfId="25044"/>
    <cellStyle name="쉼표 [0] 5 3 6 3 5" xfId="8812"/>
    <cellStyle name="쉼표 [0] 5 3 6 3 5 2" xfId="22040"/>
    <cellStyle name="쉼표 [0] 5 3 6 3 6" xfId="18206"/>
    <cellStyle name="쉼표 [0] 5 3 6 4" xfId="5514"/>
    <cellStyle name="쉼표 [0] 5 3 6 4 2" xfId="12157"/>
    <cellStyle name="쉼표 [0] 5 3 6 4 2 2" xfId="25385"/>
    <cellStyle name="쉼표 [0] 5 3 6 4 3" xfId="10248"/>
    <cellStyle name="쉼표 [0] 5 3 6 4 3 2" xfId="23476"/>
    <cellStyle name="쉼표 [0] 5 3 6 4 4" xfId="18753"/>
    <cellStyle name="쉼표 [0] 5 3 6 5" xfId="9247"/>
    <cellStyle name="쉼표 [0] 5 3 6 5 2" xfId="22475"/>
    <cellStyle name="쉼표 [0] 5 3 6 6" xfId="11515"/>
    <cellStyle name="쉼표 [0] 5 3 6 6 2" xfId="24743"/>
    <cellStyle name="쉼표 [0] 5 3 6 7" xfId="6979"/>
    <cellStyle name="쉼표 [0] 5 3 6 7 2" xfId="20207"/>
    <cellStyle name="쉼표 [0] 5 3 6 8" xfId="14917"/>
    <cellStyle name="쉼표 [0] 5 3 7" xfId="504"/>
    <cellStyle name="쉼표 [0] 5 3 7 2" xfId="650"/>
    <cellStyle name="쉼표 [0] 5 3 7 2 2" xfId="5184"/>
    <cellStyle name="쉼표 [0] 5 3 7 2 2 2" xfId="6084"/>
    <cellStyle name="쉼표 [0] 5 3 7 2 2 2 2" xfId="12637"/>
    <cellStyle name="쉼표 [0] 5 3 7 2 2 2 2 2" xfId="25865"/>
    <cellStyle name="쉼표 [0] 5 3 7 2 2 2 3" xfId="10818"/>
    <cellStyle name="쉼표 [0] 5 3 7 2 2 2 3 2" xfId="24046"/>
    <cellStyle name="쉼표 [0] 5 3 7 2 2 2 4" xfId="19323"/>
    <cellStyle name="쉼표 [0] 5 3 7 2 2 3" xfId="10119"/>
    <cellStyle name="쉼표 [0] 5 3 7 2 2 3 2" xfId="23347"/>
    <cellStyle name="쉼표 [0] 5 3 7 2 2 4" xfId="12053"/>
    <cellStyle name="쉼표 [0] 5 3 7 2 2 4 2" xfId="25281"/>
    <cellStyle name="쉼표 [0] 5 3 7 2 2 5" xfId="9052"/>
    <cellStyle name="쉼표 [0] 5 3 7 2 2 5 2" xfId="22280"/>
    <cellStyle name="쉼표 [0] 5 3 7 2 2 6" xfId="18450"/>
    <cellStyle name="쉼표 [0] 5 3 7 2 3" xfId="5658"/>
    <cellStyle name="쉼표 [0] 5 3 7 2 3 2" xfId="12301"/>
    <cellStyle name="쉼표 [0] 5 3 7 2 3 2 2" xfId="25529"/>
    <cellStyle name="쉼표 [0] 5 3 7 2 3 3" xfId="10392"/>
    <cellStyle name="쉼표 [0] 5 3 7 2 3 3 2" xfId="23620"/>
    <cellStyle name="쉼표 [0] 5 3 7 2 3 4" xfId="18897"/>
    <cellStyle name="쉼표 [0] 5 3 7 2 4" xfId="9391"/>
    <cellStyle name="쉼표 [0] 5 3 7 2 4 2" xfId="22619"/>
    <cellStyle name="쉼표 [0] 5 3 7 2 5" xfId="11659"/>
    <cellStyle name="쉼표 [0] 5 3 7 2 5 2" xfId="24887"/>
    <cellStyle name="쉼표 [0] 5 3 7 2 6" xfId="7124"/>
    <cellStyle name="쉼표 [0] 5 3 7 2 6 2" xfId="20352"/>
    <cellStyle name="쉼표 [0] 5 3 7 2 7" xfId="15064"/>
    <cellStyle name="쉼표 [0] 5 3 7 3" xfId="4940"/>
    <cellStyle name="쉼표 [0] 5 3 7 3 2" xfId="5848"/>
    <cellStyle name="쉼표 [0] 5 3 7 3 2 2" xfId="12401"/>
    <cellStyle name="쉼표 [0] 5 3 7 3 2 2 2" xfId="25629"/>
    <cellStyle name="쉼표 [0] 5 3 7 3 2 3" xfId="10582"/>
    <cellStyle name="쉼표 [0] 5 3 7 3 2 3 2" xfId="23810"/>
    <cellStyle name="쉼표 [0] 5 3 7 3 2 4" xfId="19087"/>
    <cellStyle name="쉼표 [0] 5 3 7 3 3" xfId="9881"/>
    <cellStyle name="쉼표 [0] 5 3 7 3 3 2" xfId="23109"/>
    <cellStyle name="쉼표 [0] 5 3 7 3 4" xfId="11817"/>
    <cellStyle name="쉼표 [0] 5 3 7 3 4 2" xfId="25045"/>
    <cellStyle name="쉼표 [0] 5 3 7 3 5" xfId="8813"/>
    <cellStyle name="쉼표 [0] 5 3 7 3 5 2" xfId="22041"/>
    <cellStyle name="쉼표 [0] 5 3 7 3 6" xfId="18207"/>
    <cellStyle name="쉼표 [0] 5 3 7 4" xfId="5515"/>
    <cellStyle name="쉼표 [0] 5 3 7 4 2" xfId="12158"/>
    <cellStyle name="쉼표 [0] 5 3 7 4 2 2" xfId="25386"/>
    <cellStyle name="쉼표 [0] 5 3 7 4 3" xfId="10249"/>
    <cellStyle name="쉼표 [0] 5 3 7 4 3 2" xfId="23477"/>
    <cellStyle name="쉼표 [0] 5 3 7 4 4" xfId="18754"/>
    <cellStyle name="쉼표 [0] 5 3 7 5" xfId="9248"/>
    <cellStyle name="쉼표 [0] 5 3 7 5 2" xfId="22476"/>
    <cellStyle name="쉼표 [0] 5 3 7 6" xfId="11516"/>
    <cellStyle name="쉼표 [0] 5 3 7 6 2" xfId="24744"/>
    <cellStyle name="쉼표 [0] 5 3 7 7" xfId="6980"/>
    <cellStyle name="쉼표 [0] 5 3 7 7 2" xfId="20208"/>
    <cellStyle name="쉼표 [0] 5 3 7 8" xfId="14918"/>
    <cellStyle name="쉼표 [0] 5 3 8" xfId="505"/>
    <cellStyle name="쉼표 [0] 5 3 8 2" xfId="651"/>
    <cellStyle name="쉼표 [0] 5 3 8 2 2" xfId="5114"/>
    <cellStyle name="쉼표 [0] 5 3 8 2 2 2" xfId="6016"/>
    <cellStyle name="쉼표 [0] 5 3 8 2 2 2 2" xfId="12569"/>
    <cellStyle name="쉼표 [0] 5 3 8 2 2 2 2 2" xfId="25797"/>
    <cellStyle name="쉼표 [0] 5 3 8 2 2 2 3" xfId="10750"/>
    <cellStyle name="쉼표 [0] 5 3 8 2 2 2 3 2" xfId="23978"/>
    <cellStyle name="쉼표 [0] 5 3 8 2 2 2 4" xfId="19255"/>
    <cellStyle name="쉼표 [0] 5 3 8 2 2 3" xfId="10051"/>
    <cellStyle name="쉼표 [0] 5 3 8 2 2 3 2" xfId="23279"/>
    <cellStyle name="쉼표 [0] 5 3 8 2 2 4" xfId="11985"/>
    <cellStyle name="쉼표 [0] 5 3 8 2 2 4 2" xfId="25213"/>
    <cellStyle name="쉼표 [0] 5 3 8 2 2 5" xfId="8984"/>
    <cellStyle name="쉼표 [0] 5 3 8 2 2 5 2" xfId="22212"/>
    <cellStyle name="쉼표 [0] 5 3 8 2 2 6" xfId="18381"/>
    <cellStyle name="쉼표 [0] 5 3 8 2 3" xfId="5659"/>
    <cellStyle name="쉼표 [0] 5 3 8 2 3 2" xfId="12302"/>
    <cellStyle name="쉼표 [0] 5 3 8 2 3 2 2" xfId="25530"/>
    <cellStyle name="쉼표 [0] 5 3 8 2 3 3" xfId="10393"/>
    <cellStyle name="쉼표 [0] 5 3 8 2 3 3 2" xfId="23621"/>
    <cellStyle name="쉼표 [0] 5 3 8 2 3 4" xfId="18898"/>
    <cellStyle name="쉼표 [0] 5 3 8 2 4" xfId="9392"/>
    <cellStyle name="쉼표 [0] 5 3 8 2 4 2" xfId="22620"/>
    <cellStyle name="쉼표 [0] 5 3 8 2 5" xfId="11660"/>
    <cellStyle name="쉼표 [0] 5 3 8 2 5 2" xfId="24888"/>
    <cellStyle name="쉼표 [0] 5 3 8 2 6" xfId="7125"/>
    <cellStyle name="쉼표 [0] 5 3 8 2 6 2" xfId="20353"/>
    <cellStyle name="쉼표 [0] 5 3 8 2 7" xfId="15065"/>
    <cellStyle name="쉼표 [0] 5 3 8 3" xfId="5134"/>
    <cellStyle name="쉼표 [0] 5 3 8 3 2" xfId="6035"/>
    <cellStyle name="쉼표 [0] 5 3 8 3 2 2" xfId="12588"/>
    <cellStyle name="쉼표 [0] 5 3 8 3 2 2 2" xfId="25816"/>
    <cellStyle name="쉼표 [0] 5 3 8 3 2 3" xfId="10769"/>
    <cellStyle name="쉼표 [0] 5 3 8 3 2 3 2" xfId="23997"/>
    <cellStyle name="쉼표 [0] 5 3 8 3 2 4" xfId="19274"/>
    <cellStyle name="쉼표 [0] 5 3 8 3 3" xfId="10070"/>
    <cellStyle name="쉼표 [0] 5 3 8 3 3 2" xfId="23298"/>
    <cellStyle name="쉼표 [0] 5 3 8 3 4" xfId="12004"/>
    <cellStyle name="쉼표 [0] 5 3 8 3 4 2" xfId="25232"/>
    <cellStyle name="쉼표 [0] 5 3 8 3 5" xfId="9003"/>
    <cellStyle name="쉼표 [0] 5 3 8 3 5 2" xfId="22231"/>
    <cellStyle name="쉼표 [0] 5 3 8 3 6" xfId="18400"/>
    <cellStyle name="쉼표 [0] 5 3 8 4" xfId="5516"/>
    <cellStyle name="쉼표 [0] 5 3 8 4 2" xfId="12159"/>
    <cellStyle name="쉼표 [0] 5 3 8 4 2 2" xfId="25387"/>
    <cellStyle name="쉼표 [0] 5 3 8 4 3" xfId="10250"/>
    <cellStyle name="쉼표 [0] 5 3 8 4 3 2" xfId="23478"/>
    <cellStyle name="쉼표 [0] 5 3 8 4 4" xfId="18755"/>
    <cellStyle name="쉼표 [0] 5 3 8 5" xfId="9249"/>
    <cellStyle name="쉼표 [0] 5 3 8 5 2" xfId="22477"/>
    <cellStyle name="쉼표 [0] 5 3 8 6" xfId="11517"/>
    <cellStyle name="쉼표 [0] 5 3 8 6 2" xfId="24745"/>
    <cellStyle name="쉼표 [0] 5 3 8 7" xfId="6981"/>
    <cellStyle name="쉼표 [0] 5 3 8 7 2" xfId="20209"/>
    <cellStyle name="쉼표 [0] 5 3 8 8" xfId="14919"/>
    <cellStyle name="쉼표 [0] 5 3 9" xfId="3168"/>
    <cellStyle name="쉼표 [0] 5 4" xfId="506"/>
    <cellStyle name="쉼표 [0] 5 4 10" xfId="4941"/>
    <cellStyle name="쉼표 [0] 5 4 10 2" xfId="5849"/>
    <cellStyle name="쉼표 [0] 5 4 10 2 2" xfId="12402"/>
    <cellStyle name="쉼표 [0] 5 4 10 2 2 2" xfId="25630"/>
    <cellStyle name="쉼표 [0] 5 4 10 2 3" xfId="10583"/>
    <cellStyle name="쉼표 [0] 5 4 10 2 3 2" xfId="23811"/>
    <cellStyle name="쉼표 [0] 5 4 10 2 4" xfId="19088"/>
    <cellStyle name="쉼표 [0] 5 4 10 3" xfId="9882"/>
    <cellStyle name="쉼표 [0] 5 4 10 3 2" xfId="23110"/>
    <cellStyle name="쉼표 [0] 5 4 10 4" xfId="11818"/>
    <cellStyle name="쉼표 [0] 5 4 10 4 2" xfId="25046"/>
    <cellStyle name="쉼표 [0] 5 4 10 5" xfId="8814"/>
    <cellStyle name="쉼표 [0] 5 4 10 5 2" xfId="22042"/>
    <cellStyle name="쉼표 [0] 5 4 10 6" xfId="18208"/>
    <cellStyle name="쉼표 [0] 5 4 11" xfId="3170"/>
    <cellStyle name="쉼표 [0] 5 4 12" xfId="5517"/>
    <cellStyle name="쉼표 [0] 5 4 12 2" xfId="12160"/>
    <cellStyle name="쉼표 [0] 5 4 12 2 2" xfId="25388"/>
    <cellStyle name="쉼표 [0] 5 4 12 3" xfId="10251"/>
    <cellStyle name="쉼표 [0] 5 4 12 3 2" xfId="23479"/>
    <cellStyle name="쉼표 [0] 5 4 12 4" xfId="18756"/>
    <cellStyle name="쉼표 [0] 5 4 13" xfId="9250"/>
    <cellStyle name="쉼표 [0] 5 4 13 2" xfId="22478"/>
    <cellStyle name="쉼표 [0] 5 4 14" xfId="11518"/>
    <cellStyle name="쉼표 [0] 5 4 14 2" xfId="24746"/>
    <cellStyle name="쉼표 [0] 5 4 15" xfId="6982"/>
    <cellStyle name="쉼표 [0] 5 4 15 2" xfId="20210"/>
    <cellStyle name="쉼표 [0] 5 4 16" xfId="14920"/>
    <cellStyle name="쉼표 [0] 5 4 2" xfId="507"/>
    <cellStyle name="쉼표 [0] 5 4 2 2" xfId="653"/>
    <cellStyle name="쉼표 [0] 5 4 2 2 2" xfId="5015"/>
    <cellStyle name="쉼표 [0] 5 4 2 2 2 2" xfId="5921"/>
    <cellStyle name="쉼표 [0] 5 4 2 2 2 2 2" xfId="12474"/>
    <cellStyle name="쉼표 [0] 5 4 2 2 2 2 2 2" xfId="25702"/>
    <cellStyle name="쉼표 [0] 5 4 2 2 2 2 3" xfId="10655"/>
    <cellStyle name="쉼표 [0] 5 4 2 2 2 2 3 2" xfId="23883"/>
    <cellStyle name="쉼표 [0] 5 4 2 2 2 2 4" xfId="19160"/>
    <cellStyle name="쉼표 [0] 5 4 2 2 2 3" xfId="9954"/>
    <cellStyle name="쉼표 [0] 5 4 2 2 2 3 2" xfId="23182"/>
    <cellStyle name="쉼표 [0] 5 4 2 2 2 4" xfId="11890"/>
    <cellStyle name="쉼표 [0] 5 4 2 2 2 4 2" xfId="25118"/>
    <cellStyle name="쉼표 [0] 5 4 2 2 2 5" xfId="8887"/>
    <cellStyle name="쉼표 [0] 5 4 2 2 2 5 2" xfId="22115"/>
    <cellStyle name="쉼표 [0] 5 4 2 2 2 6" xfId="18282"/>
    <cellStyle name="쉼표 [0] 5 4 2 2 3" xfId="5661"/>
    <cellStyle name="쉼표 [0] 5 4 2 2 3 2" xfId="12304"/>
    <cellStyle name="쉼표 [0] 5 4 2 2 3 2 2" xfId="25532"/>
    <cellStyle name="쉼표 [0] 5 4 2 2 3 3" xfId="10395"/>
    <cellStyle name="쉼표 [0] 5 4 2 2 3 3 2" xfId="23623"/>
    <cellStyle name="쉼표 [0] 5 4 2 2 3 4" xfId="18900"/>
    <cellStyle name="쉼표 [0] 5 4 2 2 4" xfId="9394"/>
    <cellStyle name="쉼표 [0] 5 4 2 2 4 2" xfId="22622"/>
    <cellStyle name="쉼표 [0] 5 4 2 2 5" xfId="11662"/>
    <cellStyle name="쉼표 [0] 5 4 2 2 5 2" xfId="24890"/>
    <cellStyle name="쉼표 [0] 5 4 2 2 6" xfId="7127"/>
    <cellStyle name="쉼표 [0] 5 4 2 2 6 2" xfId="20355"/>
    <cellStyle name="쉼표 [0] 5 4 2 2 7" xfId="15067"/>
    <cellStyle name="쉼표 [0] 5 4 2 3" xfId="4942"/>
    <cellStyle name="쉼표 [0] 5 4 2 3 2" xfId="5850"/>
    <cellStyle name="쉼표 [0] 5 4 2 3 2 2" xfId="12403"/>
    <cellStyle name="쉼표 [0] 5 4 2 3 2 2 2" xfId="25631"/>
    <cellStyle name="쉼표 [0] 5 4 2 3 2 3" xfId="10584"/>
    <cellStyle name="쉼표 [0] 5 4 2 3 2 3 2" xfId="23812"/>
    <cellStyle name="쉼표 [0] 5 4 2 3 2 4" xfId="19089"/>
    <cellStyle name="쉼표 [0] 5 4 2 3 3" xfId="9883"/>
    <cellStyle name="쉼표 [0] 5 4 2 3 3 2" xfId="23111"/>
    <cellStyle name="쉼표 [0] 5 4 2 3 4" xfId="11819"/>
    <cellStyle name="쉼표 [0] 5 4 2 3 4 2" xfId="25047"/>
    <cellStyle name="쉼표 [0] 5 4 2 3 5" xfId="8815"/>
    <cellStyle name="쉼표 [0] 5 4 2 3 5 2" xfId="22043"/>
    <cellStyle name="쉼표 [0] 5 4 2 3 6" xfId="18209"/>
    <cellStyle name="쉼표 [0] 5 4 2 4" xfId="5518"/>
    <cellStyle name="쉼표 [0] 5 4 2 4 2" xfId="12161"/>
    <cellStyle name="쉼표 [0] 5 4 2 4 2 2" xfId="25389"/>
    <cellStyle name="쉼표 [0] 5 4 2 4 3" xfId="10252"/>
    <cellStyle name="쉼표 [0] 5 4 2 4 3 2" xfId="23480"/>
    <cellStyle name="쉼표 [0] 5 4 2 4 4" xfId="18757"/>
    <cellStyle name="쉼표 [0] 5 4 2 5" xfId="9251"/>
    <cellStyle name="쉼표 [0] 5 4 2 5 2" xfId="22479"/>
    <cellStyle name="쉼표 [0] 5 4 2 6" xfId="11519"/>
    <cellStyle name="쉼표 [0] 5 4 2 6 2" xfId="24747"/>
    <cellStyle name="쉼표 [0] 5 4 2 7" xfId="6983"/>
    <cellStyle name="쉼표 [0] 5 4 2 7 2" xfId="20211"/>
    <cellStyle name="쉼표 [0] 5 4 2 8" xfId="14921"/>
    <cellStyle name="쉼표 [0] 5 4 3" xfId="508"/>
    <cellStyle name="쉼표 [0] 5 4 3 2" xfId="654"/>
    <cellStyle name="쉼표 [0] 5 4 3 2 2" xfId="5117"/>
    <cellStyle name="쉼표 [0] 5 4 3 2 2 2" xfId="6019"/>
    <cellStyle name="쉼표 [0] 5 4 3 2 2 2 2" xfId="12572"/>
    <cellStyle name="쉼표 [0] 5 4 3 2 2 2 2 2" xfId="25800"/>
    <cellStyle name="쉼표 [0] 5 4 3 2 2 2 3" xfId="10753"/>
    <cellStyle name="쉼표 [0] 5 4 3 2 2 2 3 2" xfId="23981"/>
    <cellStyle name="쉼표 [0] 5 4 3 2 2 2 4" xfId="19258"/>
    <cellStyle name="쉼표 [0] 5 4 3 2 2 3" xfId="10054"/>
    <cellStyle name="쉼표 [0] 5 4 3 2 2 3 2" xfId="23282"/>
    <cellStyle name="쉼표 [0] 5 4 3 2 2 4" xfId="11988"/>
    <cellStyle name="쉼표 [0] 5 4 3 2 2 4 2" xfId="25216"/>
    <cellStyle name="쉼표 [0] 5 4 3 2 2 5" xfId="8987"/>
    <cellStyle name="쉼표 [0] 5 4 3 2 2 5 2" xfId="22215"/>
    <cellStyle name="쉼표 [0] 5 4 3 2 2 6" xfId="18384"/>
    <cellStyle name="쉼표 [0] 5 4 3 2 3" xfId="5662"/>
    <cellStyle name="쉼표 [0] 5 4 3 2 3 2" xfId="12305"/>
    <cellStyle name="쉼표 [0] 5 4 3 2 3 2 2" xfId="25533"/>
    <cellStyle name="쉼표 [0] 5 4 3 2 3 3" xfId="10396"/>
    <cellStyle name="쉼표 [0] 5 4 3 2 3 3 2" xfId="23624"/>
    <cellStyle name="쉼표 [0] 5 4 3 2 3 4" xfId="18901"/>
    <cellStyle name="쉼표 [0] 5 4 3 2 4" xfId="9395"/>
    <cellStyle name="쉼표 [0] 5 4 3 2 4 2" xfId="22623"/>
    <cellStyle name="쉼표 [0] 5 4 3 2 5" xfId="11663"/>
    <cellStyle name="쉼표 [0] 5 4 3 2 5 2" xfId="24891"/>
    <cellStyle name="쉼표 [0] 5 4 3 2 6" xfId="7128"/>
    <cellStyle name="쉼표 [0] 5 4 3 2 6 2" xfId="20356"/>
    <cellStyle name="쉼표 [0] 5 4 3 2 7" xfId="15068"/>
    <cellStyle name="쉼표 [0] 5 4 3 3" xfId="4943"/>
    <cellStyle name="쉼표 [0] 5 4 3 3 2" xfId="5851"/>
    <cellStyle name="쉼표 [0] 5 4 3 3 2 2" xfId="12404"/>
    <cellStyle name="쉼표 [0] 5 4 3 3 2 2 2" xfId="25632"/>
    <cellStyle name="쉼표 [0] 5 4 3 3 2 3" xfId="10585"/>
    <cellStyle name="쉼표 [0] 5 4 3 3 2 3 2" xfId="23813"/>
    <cellStyle name="쉼표 [0] 5 4 3 3 2 4" xfId="19090"/>
    <cellStyle name="쉼표 [0] 5 4 3 3 3" xfId="9884"/>
    <cellStyle name="쉼표 [0] 5 4 3 3 3 2" xfId="23112"/>
    <cellStyle name="쉼표 [0] 5 4 3 3 4" xfId="11820"/>
    <cellStyle name="쉼표 [0] 5 4 3 3 4 2" xfId="25048"/>
    <cellStyle name="쉼표 [0] 5 4 3 3 5" xfId="8816"/>
    <cellStyle name="쉼표 [0] 5 4 3 3 5 2" xfId="22044"/>
    <cellStyle name="쉼표 [0] 5 4 3 3 6" xfId="18210"/>
    <cellStyle name="쉼표 [0] 5 4 3 4" xfId="5519"/>
    <cellStyle name="쉼표 [0] 5 4 3 4 2" xfId="12162"/>
    <cellStyle name="쉼표 [0] 5 4 3 4 2 2" xfId="25390"/>
    <cellStyle name="쉼표 [0] 5 4 3 4 3" xfId="10253"/>
    <cellStyle name="쉼표 [0] 5 4 3 4 3 2" xfId="23481"/>
    <cellStyle name="쉼표 [0] 5 4 3 4 4" xfId="18758"/>
    <cellStyle name="쉼표 [0] 5 4 3 5" xfId="9252"/>
    <cellStyle name="쉼표 [0] 5 4 3 5 2" xfId="22480"/>
    <cellStyle name="쉼표 [0] 5 4 3 6" xfId="11520"/>
    <cellStyle name="쉼표 [0] 5 4 3 6 2" xfId="24748"/>
    <cellStyle name="쉼표 [0] 5 4 3 7" xfId="6984"/>
    <cellStyle name="쉼표 [0] 5 4 3 7 2" xfId="20212"/>
    <cellStyle name="쉼표 [0] 5 4 3 8" xfId="14922"/>
    <cellStyle name="쉼표 [0] 5 4 4" xfId="509"/>
    <cellStyle name="쉼표 [0] 5 4 4 2" xfId="655"/>
    <cellStyle name="쉼표 [0] 5 4 4 2 2" xfId="5185"/>
    <cellStyle name="쉼표 [0] 5 4 4 2 2 2" xfId="6085"/>
    <cellStyle name="쉼표 [0] 5 4 4 2 2 2 2" xfId="12638"/>
    <cellStyle name="쉼표 [0] 5 4 4 2 2 2 2 2" xfId="25866"/>
    <cellStyle name="쉼표 [0] 5 4 4 2 2 2 3" xfId="10819"/>
    <cellStyle name="쉼표 [0] 5 4 4 2 2 2 3 2" xfId="24047"/>
    <cellStyle name="쉼표 [0] 5 4 4 2 2 2 4" xfId="19324"/>
    <cellStyle name="쉼표 [0] 5 4 4 2 2 3" xfId="10120"/>
    <cellStyle name="쉼표 [0] 5 4 4 2 2 3 2" xfId="23348"/>
    <cellStyle name="쉼표 [0] 5 4 4 2 2 4" xfId="12054"/>
    <cellStyle name="쉼표 [0] 5 4 4 2 2 4 2" xfId="25282"/>
    <cellStyle name="쉼표 [0] 5 4 4 2 2 5" xfId="9053"/>
    <cellStyle name="쉼표 [0] 5 4 4 2 2 5 2" xfId="22281"/>
    <cellStyle name="쉼표 [0] 5 4 4 2 2 6" xfId="18451"/>
    <cellStyle name="쉼표 [0] 5 4 4 2 3" xfId="5663"/>
    <cellStyle name="쉼표 [0] 5 4 4 2 3 2" xfId="12306"/>
    <cellStyle name="쉼표 [0] 5 4 4 2 3 2 2" xfId="25534"/>
    <cellStyle name="쉼표 [0] 5 4 4 2 3 3" xfId="10397"/>
    <cellStyle name="쉼표 [0] 5 4 4 2 3 3 2" xfId="23625"/>
    <cellStyle name="쉼표 [0] 5 4 4 2 3 4" xfId="18902"/>
    <cellStyle name="쉼표 [0] 5 4 4 2 4" xfId="9396"/>
    <cellStyle name="쉼표 [0] 5 4 4 2 4 2" xfId="22624"/>
    <cellStyle name="쉼표 [0] 5 4 4 2 5" xfId="11664"/>
    <cellStyle name="쉼표 [0] 5 4 4 2 5 2" xfId="24892"/>
    <cellStyle name="쉼표 [0] 5 4 4 2 6" xfId="7129"/>
    <cellStyle name="쉼표 [0] 5 4 4 2 6 2" xfId="20357"/>
    <cellStyle name="쉼표 [0] 5 4 4 2 7" xfId="15069"/>
    <cellStyle name="쉼표 [0] 5 4 4 3" xfId="5050"/>
    <cellStyle name="쉼표 [0] 5 4 4 3 2" xfId="5952"/>
    <cellStyle name="쉼표 [0] 5 4 4 3 2 2" xfId="12505"/>
    <cellStyle name="쉼표 [0] 5 4 4 3 2 2 2" xfId="25733"/>
    <cellStyle name="쉼표 [0] 5 4 4 3 2 3" xfId="10686"/>
    <cellStyle name="쉼표 [0] 5 4 4 3 2 3 2" xfId="23914"/>
    <cellStyle name="쉼표 [0] 5 4 4 3 2 4" xfId="19191"/>
    <cellStyle name="쉼표 [0] 5 4 4 3 3" xfId="9987"/>
    <cellStyle name="쉼표 [0] 5 4 4 3 3 2" xfId="23215"/>
    <cellStyle name="쉼표 [0] 5 4 4 3 4" xfId="11921"/>
    <cellStyle name="쉼표 [0] 5 4 4 3 4 2" xfId="25149"/>
    <cellStyle name="쉼표 [0] 5 4 4 3 5" xfId="8920"/>
    <cellStyle name="쉼표 [0] 5 4 4 3 5 2" xfId="22148"/>
    <cellStyle name="쉼표 [0] 5 4 4 3 6" xfId="18317"/>
    <cellStyle name="쉼표 [0] 5 4 4 4" xfId="5520"/>
    <cellStyle name="쉼표 [0] 5 4 4 4 2" xfId="12163"/>
    <cellStyle name="쉼표 [0] 5 4 4 4 2 2" xfId="25391"/>
    <cellStyle name="쉼표 [0] 5 4 4 4 3" xfId="10254"/>
    <cellStyle name="쉼표 [0] 5 4 4 4 3 2" xfId="23482"/>
    <cellStyle name="쉼표 [0] 5 4 4 4 4" xfId="18759"/>
    <cellStyle name="쉼표 [0] 5 4 4 5" xfId="9253"/>
    <cellStyle name="쉼표 [0] 5 4 4 5 2" xfId="22481"/>
    <cellStyle name="쉼표 [0] 5 4 4 6" xfId="11521"/>
    <cellStyle name="쉼표 [0] 5 4 4 6 2" xfId="24749"/>
    <cellStyle name="쉼표 [0] 5 4 4 7" xfId="6985"/>
    <cellStyle name="쉼표 [0] 5 4 4 7 2" xfId="20213"/>
    <cellStyle name="쉼표 [0] 5 4 4 8" xfId="14923"/>
    <cellStyle name="쉼표 [0] 5 4 5" xfId="510"/>
    <cellStyle name="쉼표 [0] 5 4 5 2" xfId="656"/>
    <cellStyle name="쉼표 [0] 5 4 5 2 2" xfId="5116"/>
    <cellStyle name="쉼표 [0] 5 4 5 2 2 2" xfId="6018"/>
    <cellStyle name="쉼표 [0] 5 4 5 2 2 2 2" xfId="12571"/>
    <cellStyle name="쉼표 [0] 5 4 5 2 2 2 2 2" xfId="25799"/>
    <cellStyle name="쉼표 [0] 5 4 5 2 2 2 3" xfId="10752"/>
    <cellStyle name="쉼표 [0] 5 4 5 2 2 2 3 2" xfId="23980"/>
    <cellStyle name="쉼표 [0] 5 4 5 2 2 2 4" xfId="19257"/>
    <cellStyle name="쉼표 [0] 5 4 5 2 2 3" xfId="10053"/>
    <cellStyle name="쉼표 [0] 5 4 5 2 2 3 2" xfId="23281"/>
    <cellStyle name="쉼표 [0] 5 4 5 2 2 4" xfId="11987"/>
    <cellStyle name="쉼표 [0] 5 4 5 2 2 4 2" xfId="25215"/>
    <cellStyle name="쉼표 [0] 5 4 5 2 2 5" xfId="8986"/>
    <cellStyle name="쉼표 [0] 5 4 5 2 2 5 2" xfId="22214"/>
    <cellStyle name="쉼표 [0] 5 4 5 2 2 6" xfId="18383"/>
    <cellStyle name="쉼표 [0] 5 4 5 2 3" xfId="5664"/>
    <cellStyle name="쉼표 [0] 5 4 5 2 3 2" xfId="12307"/>
    <cellStyle name="쉼표 [0] 5 4 5 2 3 2 2" xfId="25535"/>
    <cellStyle name="쉼표 [0] 5 4 5 2 3 3" xfId="10398"/>
    <cellStyle name="쉼표 [0] 5 4 5 2 3 3 2" xfId="23626"/>
    <cellStyle name="쉼표 [0] 5 4 5 2 3 4" xfId="18903"/>
    <cellStyle name="쉼표 [0] 5 4 5 2 4" xfId="9397"/>
    <cellStyle name="쉼표 [0] 5 4 5 2 4 2" xfId="22625"/>
    <cellStyle name="쉼표 [0] 5 4 5 2 5" xfId="11665"/>
    <cellStyle name="쉼표 [0] 5 4 5 2 5 2" xfId="24893"/>
    <cellStyle name="쉼표 [0] 5 4 5 2 6" xfId="7130"/>
    <cellStyle name="쉼표 [0] 5 4 5 2 6 2" xfId="20358"/>
    <cellStyle name="쉼표 [0] 5 4 5 2 7" xfId="15070"/>
    <cellStyle name="쉼표 [0] 5 4 5 3" xfId="5161"/>
    <cellStyle name="쉼표 [0] 5 4 5 3 2" xfId="6061"/>
    <cellStyle name="쉼표 [0] 5 4 5 3 2 2" xfId="12614"/>
    <cellStyle name="쉼표 [0] 5 4 5 3 2 2 2" xfId="25842"/>
    <cellStyle name="쉼표 [0] 5 4 5 3 2 3" xfId="10795"/>
    <cellStyle name="쉼표 [0] 5 4 5 3 2 3 2" xfId="24023"/>
    <cellStyle name="쉼표 [0] 5 4 5 3 2 4" xfId="19300"/>
    <cellStyle name="쉼표 [0] 5 4 5 3 3" xfId="10096"/>
    <cellStyle name="쉼표 [0] 5 4 5 3 3 2" xfId="23324"/>
    <cellStyle name="쉼표 [0] 5 4 5 3 4" xfId="12030"/>
    <cellStyle name="쉼표 [0] 5 4 5 3 4 2" xfId="25258"/>
    <cellStyle name="쉼표 [0] 5 4 5 3 5" xfId="9029"/>
    <cellStyle name="쉼표 [0] 5 4 5 3 5 2" xfId="22257"/>
    <cellStyle name="쉼표 [0] 5 4 5 3 6" xfId="18427"/>
    <cellStyle name="쉼표 [0] 5 4 5 4" xfId="5521"/>
    <cellStyle name="쉼표 [0] 5 4 5 4 2" xfId="12164"/>
    <cellStyle name="쉼표 [0] 5 4 5 4 2 2" xfId="25392"/>
    <cellStyle name="쉼표 [0] 5 4 5 4 3" xfId="10255"/>
    <cellStyle name="쉼표 [0] 5 4 5 4 3 2" xfId="23483"/>
    <cellStyle name="쉼표 [0] 5 4 5 4 4" xfId="18760"/>
    <cellStyle name="쉼표 [0] 5 4 5 5" xfId="9254"/>
    <cellStyle name="쉼표 [0] 5 4 5 5 2" xfId="22482"/>
    <cellStyle name="쉼표 [0] 5 4 5 6" xfId="11522"/>
    <cellStyle name="쉼표 [0] 5 4 5 6 2" xfId="24750"/>
    <cellStyle name="쉼표 [0] 5 4 5 7" xfId="6986"/>
    <cellStyle name="쉼표 [0] 5 4 5 7 2" xfId="20214"/>
    <cellStyle name="쉼표 [0] 5 4 5 8" xfId="14924"/>
    <cellStyle name="쉼표 [0] 5 4 6" xfId="511"/>
    <cellStyle name="쉼표 [0] 5 4 6 2" xfId="657"/>
    <cellStyle name="쉼표 [0] 5 4 6 2 2" xfId="5016"/>
    <cellStyle name="쉼표 [0] 5 4 6 2 2 2" xfId="5922"/>
    <cellStyle name="쉼표 [0] 5 4 6 2 2 2 2" xfId="12475"/>
    <cellStyle name="쉼표 [0] 5 4 6 2 2 2 2 2" xfId="25703"/>
    <cellStyle name="쉼표 [0] 5 4 6 2 2 2 3" xfId="10656"/>
    <cellStyle name="쉼표 [0] 5 4 6 2 2 2 3 2" xfId="23884"/>
    <cellStyle name="쉼표 [0] 5 4 6 2 2 2 4" xfId="19161"/>
    <cellStyle name="쉼표 [0] 5 4 6 2 2 3" xfId="9955"/>
    <cellStyle name="쉼표 [0] 5 4 6 2 2 3 2" xfId="23183"/>
    <cellStyle name="쉼표 [0] 5 4 6 2 2 4" xfId="11891"/>
    <cellStyle name="쉼표 [0] 5 4 6 2 2 4 2" xfId="25119"/>
    <cellStyle name="쉼표 [0] 5 4 6 2 2 5" xfId="8888"/>
    <cellStyle name="쉼표 [0] 5 4 6 2 2 5 2" xfId="22116"/>
    <cellStyle name="쉼표 [0] 5 4 6 2 2 6" xfId="18283"/>
    <cellStyle name="쉼표 [0] 5 4 6 2 3" xfId="5665"/>
    <cellStyle name="쉼표 [0] 5 4 6 2 3 2" xfId="12308"/>
    <cellStyle name="쉼표 [0] 5 4 6 2 3 2 2" xfId="25536"/>
    <cellStyle name="쉼표 [0] 5 4 6 2 3 3" xfId="10399"/>
    <cellStyle name="쉼표 [0] 5 4 6 2 3 3 2" xfId="23627"/>
    <cellStyle name="쉼표 [0] 5 4 6 2 3 4" xfId="18904"/>
    <cellStyle name="쉼표 [0] 5 4 6 2 4" xfId="9398"/>
    <cellStyle name="쉼표 [0] 5 4 6 2 4 2" xfId="22626"/>
    <cellStyle name="쉼표 [0] 5 4 6 2 5" xfId="11666"/>
    <cellStyle name="쉼표 [0] 5 4 6 2 5 2" xfId="24894"/>
    <cellStyle name="쉼표 [0] 5 4 6 2 6" xfId="7131"/>
    <cellStyle name="쉼표 [0] 5 4 6 2 6 2" xfId="20359"/>
    <cellStyle name="쉼표 [0] 5 4 6 2 7" xfId="15071"/>
    <cellStyle name="쉼표 [0] 5 4 6 3" xfId="4944"/>
    <cellStyle name="쉼표 [0] 5 4 6 3 2" xfId="5852"/>
    <cellStyle name="쉼표 [0] 5 4 6 3 2 2" xfId="12405"/>
    <cellStyle name="쉼표 [0] 5 4 6 3 2 2 2" xfId="25633"/>
    <cellStyle name="쉼표 [0] 5 4 6 3 2 3" xfId="10586"/>
    <cellStyle name="쉼표 [0] 5 4 6 3 2 3 2" xfId="23814"/>
    <cellStyle name="쉼표 [0] 5 4 6 3 2 4" xfId="19091"/>
    <cellStyle name="쉼표 [0] 5 4 6 3 3" xfId="9885"/>
    <cellStyle name="쉼표 [0] 5 4 6 3 3 2" xfId="23113"/>
    <cellStyle name="쉼표 [0] 5 4 6 3 4" xfId="11821"/>
    <cellStyle name="쉼표 [0] 5 4 6 3 4 2" xfId="25049"/>
    <cellStyle name="쉼표 [0] 5 4 6 3 5" xfId="8817"/>
    <cellStyle name="쉼표 [0] 5 4 6 3 5 2" xfId="22045"/>
    <cellStyle name="쉼표 [0] 5 4 6 3 6" xfId="18211"/>
    <cellStyle name="쉼표 [0] 5 4 6 4" xfId="5522"/>
    <cellStyle name="쉼표 [0] 5 4 6 4 2" xfId="12165"/>
    <cellStyle name="쉼표 [0] 5 4 6 4 2 2" xfId="25393"/>
    <cellStyle name="쉼표 [0] 5 4 6 4 3" xfId="10256"/>
    <cellStyle name="쉼표 [0] 5 4 6 4 3 2" xfId="23484"/>
    <cellStyle name="쉼표 [0] 5 4 6 4 4" xfId="18761"/>
    <cellStyle name="쉼표 [0] 5 4 6 5" xfId="9255"/>
    <cellStyle name="쉼표 [0] 5 4 6 5 2" xfId="22483"/>
    <cellStyle name="쉼표 [0] 5 4 6 6" xfId="11523"/>
    <cellStyle name="쉼표 [0] 5 4 6 6 2" xfId="24751"/>
    <cellStyle name="쉼표 [0] 5 4 6 7" xfId="6987"/>
    <cellStyle name="쉼표 [0] 5 4 6 7 2" xfId="20215"/>
    <cellStyle name="쉼표 [0] 5 4 6 8" xfId="14925"/>
    <cellStyle name="쉼표 [0] 5 4 7" xfId="512"/>
    <cellStyle name="쉼표 [0] 5 4 7 2" xfId="658"/>
    <cellStyle name="쉼표 [0] 5 4 7 2 2" xfId="5017"/>
    <cellStyle name="쉼표 [0] 5 4 7 2 2 2" xfId="5923"/>
    <cellStyle name="쉼표 [0] 5 4 7 2 2 2 2" xfId="12476"/>
    <cellStyle name="쉼표 [0] 5 4 7 2 2 2 2 2" xfId="25704"/>
    <cellStyle name="쉼표 [0] 5 4 7 2 2 2 3" xfId="10657"/>
    <cellStyle name="쉼표 [0] 5 4 7 2 2 2 3 2" xfId="23885"/>
    <cellStyle name="쉼표 [0] 5 4 7 2 2 2 4" xfId="19162"/>
    <cellStyle name="쉼표 [0] 5 4 7 2 2 3" xfId="9956"/>
    <cellStyle name="쉼표 [0] 5 4 7 2 2 3 2" xfId="23184"/>
    <cellStyle name="쉼표 [0] 5 4 7 2 2 4" xfId="11892"/>
    <cellStyle name="쉼표 [0] 5 4 7 2 2 4 2" xfId="25120"/>
    <cellStyle name="쉼표 [0] 5 4 7 2 2 5" xfId="8889"/>
    <cellStyle name="쉼표 [0] 5 4 7 2 2 5 2" xfId="22117"/>
    <cellStyle name="쉼표 [0] 5 4 7 2 2 6" xfId="18284"/>
    <cellStyle name="쉼표 [0] 5 4 7 2 3" xfId="5666"/>
    <cellStyle name="쉼표 [0] 5 4 7 2 3 2" xfId="12309"/>
    <cellStyle name="쉼표 [0] 5 4 7 2 3 2 2" xfId="25537"/>
    <cellStyle name="쉼표 [0] 5 4 7 2 3 3" xfId="10400"/>
    <cellStyle name="쉼표 [0] 5 4 7 2 3 3 2" xfId="23628"/>
    <cellStyle name="쉼표 [0] 5 4 7 2 3 4" xfId="18905"/>
    <cellStyle name="쉼표 [0] 5 4 7 2 4" xfId="9399"/>
    <cellStyle name="쉼표 [0] 5 4 7 2 4 2" xfId="22627"/>
    <cellStyle name="쉼표 [0] 5 4 7 2 5" xfId="11667"/>
    <cellStyle name="쉼표 [0] 5 4 7 2 5 2" xfId="24895"/>
    <cellStyle name="쉼표 [0] 5 4 7 2 6" xfId="7132"/>
    <cellStyle name="쉼표 [0] 5 4 7 2 6 2" xfId="20360"/>
    <cellStyle name="쉼표 [0] 5 4 7 2 7" xfId="15072"/>
    <cellStyle name="쉼표 [0] 5 4 7 3" xfId="4945"/>
    <cellStyle name="쉼표 [0] 5 4 7 3 2" xfId="5853"/>
    <cellStyle name="쉼표 [0] 5 4 7 3 2 2" xfId="12406"/>
    <cellStyle name="쉼표 [0] 5 4 7 3 2 2 2" xfId="25634"/>
    <cellStyle name="쉼표 [0] 5 4 7 3 2 3" xfId="10587"/>
    <cellStyle name="쉼표 [0] 5 4 7 3 2 3 2" xfId="23815"/>
    <cellStyle name="쉼표 [0] 5 4 7 3 2 4" xfId="19092"/>
    <cellStyle name="쉼표 [0] 5 4 7 3 3" xfId="9886"/>
    <cellStyle name="쉼표 [0] 5 4 7 3 3 2" xfId="23114"/>
    <cellStyle name="쉼표 [0] 5 4 7 3 4" xfId="11822"/>
    <cellStyle name="쉼표 [0] 5 4 7 3 4 2" xfId="25050"/>
    <cellStyle name="쉼표 [0] 5 4 7 3 5" xfId="8818"/>
    <cellStyle name="쉼표 [0] 5 4 7 3 5 2" xfId="22046"/>
    <cellStyle name="쉼표 [0] 5 4 7 3 6" xfId="18212"/>
    <cellStyle name="쉼표 [0] 5 4 7 4" xfId="5523"/>
    <cellStyle name="쉼표 [0] 5 4 7 4 2" xfId="12166"/>
    <cellStyle name="쉼표 [0] 5 4 7 4 2 2" xfId="25394"/>
    <cellStyle name="쉼표 [0] 5 4 7 4 3" xfId="10257"/>
    <cellStyle name="쉼표 [0] 5 4 7 4 3 2" xfId="23485"/>
    <cellStyle name="쉼표 [0] 5 4 7 4 4" xfId="18762"/>
    <cellStyle name="쉼표 [0] 5 4 7 5" xfId="9256"/>
    <cellStyle name="쉼표 [0] 5 4 7 5 2" xfId="22484"/>
    <cellStyle name="쉼표 [0] 5 4 7 6" xfId="11524"/>
    <cellStyle name="쉼표 [0] 5 4 7 6 2" xfId="24752"/>
    <cellStyle name="쉼표 [0] 5 4 7 7" xfId="6988"/>
    <cellStyle name="쉼표 [0] 5 4 7 7 2" xfId="20216"/>
    <cellStyle name="쉼표 [0] 5 4 7 8" xfId="14926"/>
    <cellStyle name="쉼표 [0] 5 4 8" xfId="513"/>
    <cellStyle name="쉼표 [0] 5 4 8 2" xfId="659"/>
    <cellStyle name="쉼표 [0] 5 4 8 2 2" xfId="5143"/>
    <cellStyle name="쉼표 [0] 5 4 8 2 2 2" xfId="6043"/>
    <cellStyle name="쉼표 [0] 5 4 8 2 2 2 2" xfId="12596"/>
    <cellStyle name="쉼표 [0] 5 4 8 2 2 2 2 2" xfId="25824"/>
    <cellStyle name="쉼표 [0] 5 4 8 2 2 2 3" xfId="10777"/>
    <cellStyle name="쉼표 [0] 5 4 8 2 2 2 3 2" xfId="24005"/>
    <cellStyle name="쉼표 [0] 5 4 8 2 2 2 4" xfId="19282"/>
    <cellStyle name="쉼표 [0] 5 4 8 2 2 3" xfId="10078"/>
    <cellStyle name="쉼표 [0] 5 4 8 2 2 3 2" xfId="23306"/>
    <cellStyle name="쉼표 [0] 5 4 8 2 2 4" xfId="12012"/>
    <cellStyle name="쉼표 [0] 5 4 8 2 2 4 2" xfId="25240"/>
    <cellStyle name="쉼표 [0] 5 4 8 2 2 5" xfId="9011"/>
    <cellStyle name="쉼표 [0] 5 4 8 2 2 5 2" xfId="22239"/>
    <cellStyle name="쉼표 [0] 5 4 8 2 2 6" xfId="18409"/>
    <cellStyle name="쉼표 [0] 5 4 8 2 3" xfId="5667"/>
    <cellStyle name="쉼표 [0] 5 4 8 2 3 2" xfId="12310"/>
    <cellStyle name="쉼표 [0] 5 4 8 2 3 2 2" xfId="25538"/>
    <cellStyle name="쉼표 [0] 5 4 8 2 3 3" xfId="10401"/>
    <cellStyle name="쉼표 [0] 5 4 8 2 3 3 2" xfId="23629"/>
    <cellStyle name="쉼표 [0] 5 4 8 2 3 4" xfId="18906"/>
    <cellStyle name="쉼표 [0] 5 4 8 2 4" xfId="9400"/>
    <cellStyle name="쉼표 [0] 5 4 8 2 4 2" xfId="22628"/>
    <cellStyle name="쉼표 [0] 5 4 8 2 5" xfId="11668"/>
    <cellStyle name="쉼표 [0] 5 4 8 2 5 2" xfId="24896"/>
    <cellStyle name="쉼표 [0] 5 4 8 2 6" xfId="7133"/>
    <cellStyle name="쉼표 [0] 5 4 8 2 6 2" xfId="20361"/>
    <cellStyle name="쉼표 [0] 5 4 8 2 7" xfId="15073"/>
    <cellStyle name="쉼표 [0] 5 4 8 3" xfId="5083"/>
    <cellStyle name="쉼표 [0] 5 4 8 3 2" xfId="5985"/>
    <cellStyle name="쉼표 [0] 5 4 8 3 2 2" xfId="12538"/>
    <cellStyle name="쉼표 [0] 5 4 8 3 2 2 2" xfId="25766"/>
    <cellStyle name="쉼표 [0] 5 4 8 3 2 3" xfId="10719"/>
    <cellStyle name="쉼표 [0] 5 4 8 3 2 3 2" xfId="23947"/>
    <cellStyle name="쉼표 [0] 5 4 8 3 2 4" xfId="19224"/>
    <cellStyle name="쉼표 [0] 5 4 8 3 3" xfId="10020"/>
    <cellStyle name="쉼표 [0] 5 4 8 3 3 2" xfId="23248"/>
    <cellStyle name="쉼표 [0] 5 4 8 3 4" xfId="11954"/>
    <cellStyle name="쉼표 [0] 5 4 8 3 4 2" xfId="25182"/>
    <cellStyle name="쉼표 [0] 5 4 8 3 5" xfId="8953"/>
    <cellStyle name="쉼표 [0] 5 4 8 3 5 2" xfId="22181"/>
    <cellStyle name="쉼표 [0] 5 4 8 3 6" xfId="18350"/>
    <cellStyle name="쉼표 [0] 5 4 8 4" xfId="5524"/>
    <cellStyle name="쉼표 [0] 5 4 8 4 2" xfId="12167"/>
    <cellStyle name="쉼표 [0] 5 4 8 4 2 2" xfId="25395"/>
    <cellStyle name="쉼표 [0] 5 4 8 4 3" xfId="10258"/>
    <cellStyle name="쉼표 [0] 5 4 8 4 3 2" xfId="23486"/>
    <cellStyle name="쉼표 [0] 5 4 8 4 4" xfId="18763"/>
    <cellStyle name="쉼표 [0] 5 4 8 5" xfId="9257"/>
    <cellStyle name="쉼표 [0] 5 4 8 5 2" xfId="22485"/>
    <cellStyle name="쉼표 [0] 5 4 8 6" xfId="11525"/>
    <cellStyle name="쉼표 [0] 5 4 8 6 2" xfId="24753"/>
    <cellStyle name="쉼표 [0] 5 4 8 7" xfId="6989"/>
    <cellStyle name="쉼표 [0] 5 4 8 7 2" xfId="20217"/>
    <cellStyle name="쉼표 [0] 5 4 8 8" xfId="14927"/>
    <cellStyle name="쉼표 [0] 5 4 9" xfId="652"/>
    <cellStyle name="쉼표 [0] 5 4 9 2" xfId="5014"/>
    <cellStyle name="쉼표 [0] 5 4 9 2 2" xfId="5920"/>
    <cellStyle name="쉼표 [0] 5 4 9 2 2 2" xfId="12473"/>
    <cellStyle name="쉼표 [0] 5 4 9 2 2 2 2" xfId="25701"/>
    <cellStyle name="쉼표 [0] 5 4 9 2 2 3" xfId="10654"/>
    <cellStyle name="쉼표 [0] 5 4 9 2 2 3 2" xfId="23882"/>
    <cellStyle name="쉼표 [0] 5 4 9 2 2 4" xfId="19159"/>
    <cellStyle name="쉼표 [0] 5 4 9 2 3" xfId="9953"/>
    <cellStyle name="쉼표 [0] 5 4 9 2 3 2" xfId="23181"/>
    <cellStyle name="쉼표 [0] 5 4 9 2 4" xfId="11889"/>
    <cellStyle name="쉼표 [0] 5 4 9 2 4 2" xfId="25117"/>
    <cellStyle name="쉼표 [0] 5 4 9 2 5" xfId="8886"/>
    <cellStyle name="쉼표 [0] 5 4 9 2 5 2" xfId="22114"/>
    <cellStyle name="쉼표 [0] 5 4 9 2 6" xfId="18281"/>
    <cellStyle name="쉼표 [0] 5 4 9 3" xfId="5660"/>
    <cellStyle name="쉼표 [0] 5 4 9 3 2" xfId="12303"/>
    <cellStyle name="쉼표 [0] 5 4 9 3 2 2" xfId="25531"/>
    <cellStyle name="쉼표 [0] 5 4 9 3 3" xfId="10394"/>
    <cellStyle name="쉼표 [0] 5 4 9 3 3 2" xfId="23622"/>
    <cellStyle name="쉼표 [0] 5 4 9 3 4" xfId="18899"/>
    <cellStyle name="쉼표 [0] 5 4 9 4" xfId="9393"/>
    <cellStyle name="쉼표 [0] 5 4 9 4 2" xfId="22621"/>
    <cellStyle name="쉼표 [0] 5 4 9 5" xfId="11661"/>
    <cellStyle name="쉼표 [0] 5 4 9 5 2" xfId="24889"/>
    <cellStyle name="쉼표 [0] 5 4 9 6" xfId="7126"/>
    <cellStyle name="쉼표 [0] 5 4 9 6 2" xfId="20354"/>
    <cellStyle name="쉼표 [0] 5 4 9 7" xfId="15066"/>
    <cellStyle name="쉼표 [0] 5 5" xfId="514"/>
    <cellStyle name="쉼표 [0] 5 5 10" xfId="5162"/>
    <cellStyle name="쉼표 [0] 5 5 10 2" xfId="6062"/>
    <cellStyle name="쉼표 [0] 5 5 10 2 2" xfId="12615"/>
    <cellStyle name="쉼표 [0] 5 5 10 2 2 2" xfId="25843"/>
    <cellStyle name="쉼표 [0] 5 5 10 2 3" xfId="10796"/>
    <cellStyle name="쉼표 [0] 5 5 10 2 3 2" xfId="24024"/>
    <cellStyle name="쉼표 [0] 5 5 10 2 4" xfId="19301"/>
    <cellStyle name="쉼표 [0] 5 5 10 3" xfId="10097"/>
    <cellStyle name="쉼표 [0] 5 5 10 3 2" xfId="23325"/>
    <cellStyle name="쉼표 [0] 5 5 10 4" xfId="12031"/>
    <cellStyle name="쉼표 [0] 5 5 10 4 2" xfId="25259"/>
    <cellStyle name="쉼표 [0] 5 5 10 5" xfId="9030"/>
    <cellStyle name="쉼표 [0] 5 5 10 5 2" xfId="22258"/>
    <cellStyle name="쉼표 [0] 5 5 10 6" xfId="18428"/>
    <cellStyle name="쉼표 [0] 5 5 11" xfId="3171"/>
    <cellStyle name="쉼표 [0] 5 5 12" xfId="5525"/>
    <cellStyle name="쉼표 [0] 5 5 12 2" xfId="12168"/>
    <cellStyle name="쉼표 [0] 5 5 12 2 2" xfId="25396"/>
    <cellStyle name="쉼표 [0] 5 5 12 3" xfId="10259"/>
    <cellStyle name="쉼표 [0] 5 5 12 3 2" xfId="23487"/>
    <cellStyle name="쉼표 [0] 5 5 12 4" xfId="18764"/>
    <cellStyle name="쉼표 [0] 5 5 13" xfId="9258"/>
    <cellStyle name="쉼표 [0] 5 5 13 2" xfId="22486"/>
    <cellStyle name="쉼표 [0] 5 5 14" xfId="11526"/>
    <cellStyle name="쉼표 [0] 5 5 14 2" xfId="24754"/>
    <cellStyle name="쉼표 [0] 5 5 15" xfId="6990"/>
    <cellStyle name="쉼표 [0] 5 5 15 2" xfId="20218"/>
    <cellStyle name="쉼표 [0] 5 5 16" xfId="14928"/>
    <cellStyle name="쉼표 [0] 5 5 2" xfId="515"/>
    <cellStyle name="쉼표 [0] 5 5 2 2" xfId="661"/>
    <cellStyle name="쉼표 [0] 5 5 2 2 2" xfId="5019"/>
    <cellStyle name="쉼표 [0] 5 5 2 2 2 2" xfId="5925"/>
    <cellStyle name="쉼표 [0] 5 5 2 2 2 2 2" xfId="12478"/>
    <cellStyle name="쉼표 [0] 5 5 2 2 2 2 2 2" xfId="25706"/>
    <cellStyle name="쉼표 [0] 5 5 2 2 2 2 3" xfId="10659"/>
    <cellStyle name="쉼표 [0] 5 5 2 2 2 2 3 2" xfId="23887"/>
    <cellStyle name="쉼표 [0] 5 5 2 2 2 2 4" xfId="19164"/>
    <cellStyle name="쉼표 [0] 5 5 2 2 2 3" xfId="9958"/>
    <cellStyle name="쉼표 [0] 5 5 2 2 2 3 2" xfId="23186"/>
    <cellStyle name="쉼표 [0] 5 5 2 2 2 4" xfId="11894"/>
    <cellStyle name="쉼표 [0] 5 5 2 2 2 4 2" xfId="25122"/>
    <cellStyle name="쉼표 [0] 5 5 2 2 2 5" xfId="8891"/>
    <cellStyle name="쉼표 [0] 5 5 2 2 2 5 2" xfId="22119"/>
    <cellStyle name="쉼표 [0] 5 5 2 2 2 6" xfId="18286"/>
    <cellStyle name="쉼표 [0] 5 5 2 2 3" xfId="5669"/>
    <cellStyle name="쉼표 [0] 5 5 2 2 3 2" xfId="12312"/>
    <cellStyle name="쉼표 [0] 5 5 2 2 3 2 2" xfId="25540"/>
    <cellStyle name="쉼표 [0] 5 5 2 2 3 3" xfId="10403"/>
    <cellStyle name="쉼표 [0] 5 5 2 2 3 3 2" xfId="23631"/>
    <cellStyle name="쉼표 [0] 5 5 2 2 3 4" xfId="18908"/>
    <cellStyle name="쉼표 [0] 5 5 2 2 4" xfId="9402"/>
    <cellStyle name="쉼표 [0] 5 5 2 2 4 2" xfId="22630"/>
    <cellStyle name="쉼표 [0] 5 5 2 2 5" xfId="11670"/>
    <cellStyle name="쉼표 [0] 5 5 2 2 5 2" xfId="24898"/>
    <cellStyle name="쉼표 [0] 5 5 2 2 6" xfId="7135"/>
    <cellStyle name="쉼표 [0] 5 5 2 2 6 2" xfId="20363"/>
    <cellStyle name="쉼표 [0] 5 5 2 2 7" xfId="15075"/>
    <cellStyle name="쉼표 [0] 5 5 2 3" xfId="5082"/>
    <cellStyle name="쉼표 [0] 5 5 2 3 2" xfId="5984"/>
    <cellStyle name="쉼표 [0] 5 5 2 3 2 2" xfId="12537"/>
    <cellStyle name="쉼표 [0] 5 5 2 3 2 2 2" xfId="25765"/>
    <cellStyle name="쉼표 [0] 5 5 2 3 2 3" xfId="10718"/>
    <cellStyle name="쉼표 [0] 5 5 2 3 2 3 2" xfId="23946"/>
    <cellStyle name="쉼표 [0] 5 5 2 3 2 4" xfId="19223"/>
    <cellStyle name="쉼표 [0] 5 5 2 3 3" xfId="10019"/>
    <cellStyle name="쉼표 [0] 5 5 2 3 3 2" xfId="23247"/>
    <cellStyle name="쉼표 [0] 5 5 2 3 4" xfId="11953"/>
    <cellStyle name="쉼표 [0] 5 5 2 3 4 2" xfId="25181"/>
    <cellStyle name="쉼표 [0] 5 5 2 3 5" xfId="8952"/>
    <cellStyle name="쉼표 [0] 5 5 2 3 5 2" xfId="22180"/>
    <cellStyle name="쉼표 [0] 5 5 2 3 6" xfId="18349"/>
    <cellStyle name="쉼표 [0] 5 5 2 4" xfId="5526"/>
    <cellStyle name="쉼표 [0] 5 5 2 4 2" xfId="12169"/>
    <cellStyle name="쉼표 [0] 5 5 2 4 2 2" xfId="25397"/>
    <cellStyle name="쉼표 [0] 5 5 2 4 3" xfId="10260"/>
    <cellStyle name="쉼표 [0] 5 5 2 4 3 2" xfId="23488"/>
    <cellStyle name="쉼표 [0] 5 5 2 4 4" xfId="18765"/>
    <cellStyle name="쉼표 [0] 5 5 2 5" xfId="9259"/>
    <cellStyle name="쉼표 [0] 5 5 2 5 2" xfId="22487"/>
    <cellStyle name="쉼표 [0] 5 5 2 6" xfId="11527"/>
    <cellStyle name="쉼표 [0] 5 5 2 6 2" xfId="24755"/>
    <cellStyle name="쉼표 [0] 5 5 2 7" xfId="6991"/>
    <cellStyle name="쉼표 [0] 5 5 2 7 2" xfId="20219"/>
    <cellStyle name="쉼표 [0] 5 5 2 8" xfId="14929"/>
    <cellStyle name="쉼표 [0] 5 5 3" xfId="516"/>
    <cellStyle name="쉼표 [0] 5 5 3 2" xfId="662"/>
    <cellStyle name="쉼표 [0] 5 5 3 2 2" xfId="5119"/>
    <cellStyle name="쉼표 [0] 5 5 3 2 2 2" xfId="6021"/>
    <cellStyle name="쉼표 [0] 5 5 3 2 2 2 2" xfId="12574"/>
    <cellStyle name="쉼표 [0] 5 5 3 2 2 2 2 2" xfId="25802"/>
    <cellStyle name="쉼표 [0] 5 5 3 2 2 2 3" xfId="10755"/>
    <cellStyle name="쉼표 [0] 5 5 3 2 2 2 3 2" xfId="23983"/>
    <cellStyle name="쉼표 [0] 5 5 3 2 2 2 4" xfId="19260"/>
    <cellStyle name="쉼표 [0] 5 5 3 2 2 3" xfId="10056"/>
    <cellStyle name="쉼표 [0] 5 5 3 2 2 3 2" xfId="23284"/>
    <cellStyle name="쉼표 [0] 5 5 3 2 2 4" xfId="11990"/>
    <cellStyle name="쉼표 [0] 5 5 3 2 2 4 2" xfId="25218"/>
    <cellStyle name="쉼표 [0] 5 5 3 2 2 5" xfId="8989"/>
    <cellStyle name="쉼표 [0] 5 5 3 2 2 5 2" xfId="22217"/>
    <cellStyle name="쉼표 [0] 5 5 3 2 2 6" xfId="18386"/>
    <cellStyle name="쉼표 [0] 5 5 3 2 3" xfId="5670"/>
    <cellStyle name="쉼표 [0] 5 5 3 2 3 2" xfId="12313"/>
    <cellStyle name="쉼표 [0] 5 5 3 2 3 2 2" xfId="25541"/>
    <cellStyle name="쉼표 [0] 5 5 3 2 3 3" xfId="10404"/>
    <cellStyle name="쉼표 [0] 5 5 3 2 3 3 2" xfId="23632"/>
    <cellStyle name="쉼표 [0] 5 5 3 2 3 4" xfId="18909"/>
    <cellStyle name="쉼표 [0] 5 5 3 2 4" xfId="9403"/>
    <cellStyle name="쉼표 [0] 5 5 3 2 4 2" xfId="22631"/>
    <cellStyle name="쉼표 [0] 5 5 3 2 5" xfId="11671"/>
    <cellStyle name="쉼표 [0] 5 5 3 2 5 2" xfId="24899"/>
    <cellStyle name="쉼표 [0] 5 5 3 2 6" xfId="7136"/>
    <cellStyle name="쉼표 [0] 5 5 3 2 6 2" xfId="20364"/>
    <cellStyle name="쉼표 [0] 5 5 3 2 7" xfId="15076"/>
    <cellStyle name="쉼표 [0] 5 5 3 3" xfId="4946"/>
    <cellStyle name="쉼표 [0] 5 5 3 3 2" xfId="5854"/>
    <cellStyle name="쉼표 [0] 5 5 3 3 2 2" xfId="12407"/>
    <cellStyle name="쉼표 [0] 5 5 3 3 2 2 2" xfId="25635"/>
    <cellStyle name="쉼표 [0] 5 5 3 3 2 3" xfId="10588"/>
    <cellStyle name="쉼표 [0] 5 5 3 3 2 3 2" xfId="23816"/>
    <cellStyle name="쉼표 [0] 5 5 3 3 2 4" xfId="19093"/>
    <cellStyle name="쉼표 [0] 5 5 3 3 3" xfId="9887"/>
    <cellStyle name="쉼표 [0] 5 5 3 3 3 2" xfId="23115"/>
    <cellStyle name="쉼표 [0] 5 5 3 3 4" xfId="11823"/>
    <cellStyle name="쉼표 [0] 5 5 3 3 4 2" xfId="25051"/>
    <cellStyle name="쉼표 [0] 5 5 3 3 5" xfId="8819"/>
    <cellStyle name="쉼표 [0] 5 5 3 3 5 2" xfId="22047"/>
    <cellStyle name="쉼표 [0] 5 5 3 3 6" xfId="18213"/>
    <cellStyle name="쉼표 [0] 5 5 3 4" xfId="5527"/>
    <cellStyle name="쉼표 [0] 5 5 3 4 2" xfId="12170"/>
    <cellStyle name="쉼표 [0] 5 5 3 4 2 2" xfId="25398"/>
    <cellStyle name="쉼표 [0] 5 5 3 4 3" xfId="10261"/>
    <cellStyle name="쉼표 [0] 5 5 3 4 3 2" xfId="23489"/>
    <cellStyle name="쉼표 [0] 5 5 3 4 4" xfId="18766"/>
    <cellStyle name="쉼표 [0] 5 5 3 5" xfId="9260"/>
    <cellStyle name="쉼표 [0] 5 5 3 5 2" xfId="22488"/>
    <cellStyle name="쉼표 [0] 5 5 3 6" xfId="11528"/>
    <cellStyle name="쉼표 [0] 5 5 3 6 2" xfId="24756"/>
    <cellStyle name="쉼표 [0] 5 5 3 7" xfId="6992"/>
    <cellStyle name="쉼표 [0] 5 5 3 7 2" xfId="20220"/>
    <cellStyle name="쉼표 [0] 5 5 3 8" xfId="14930"/>
    <cellStyle name="쉼표 [0] 5 5 4" xfId="517"/>
    <cellStyle name="쉼표 [0] 5 5 4 2" xfId="663"/>
    <cellStyle name="쉼표 [0] 5 5 4 2 2" xfId="5186"/>
    <cellStyle name="쉼표 [0] 5 5 4 2 2 2" xfId="6086"/>
    <cellStyle name="쉼표 [0] 5 5 4 2 2 2 2" xfId="12639"/>
    <cellStyle name="쉼표 [0] 5 5 4 2 2 2 2 2" xfId="25867"/>
    <cellStyle name="쉼표 [0] 5 5 4 2 2 2 3" xfId="10820"/>
    <cellStyle name="쉼표 [0] 5 5 4 2 2 2 3 2" xfId="24048"/>
    <cellStyle name="쉼표 [0] 5 5 4 2 2 2 4" xfId="19325"/>
    <cellStyle name="쉼표 [0] 5 5 4 2 2 3" xfId="10121"/>
    <cellStyle name="쉼표 [0] 5 5 4 2 2 3 2" xfId="23349"/>
    <cellStyle name="쉼표 [0] 5 5 4 2 2 4" xfId="12055"/>
    <cellStyle name="쉼표 [0] 5 5 4 2 2 4 2" xfId="25283"/>
    <cellStyle name="쉼표 [0] 5 5 4 2 2 5" xfId="9054"/>
    <cellStyle name="쉼표 [0] 5 5 4 2 2 5 2" xfId="22282"/>
    <cellStyle name="쉼표 [0] 5 5 4 2 2 6" xfId="18452"/>
    <cellStyle name="쉼표 [0] 5 5 4 2 3" xfId="5671"/>
    <cellStyle name="쉼표 [0] 5 5 4 2 3 2" xfId="12314"/>
    <cellStyle name="쉼표 [0] 5 5 4 2 3 2 2" xfId="25542"/>
    <cellStyle name="쉼표 [0] 5 5 4 2 3 3" xfId="10405"/>
    <cellStyle name="쉼표 [0] 5 5 4 2 3 3 2" xfId="23633"/>
    <cellStyle name="쉼표 [0] 5 5 4 2 3 4" xfId="18910"/>
    <cellStyle name="쉼표 [0] 5 5 4 2 4" xfId="9404"/>
    <cellStyle name="쉼표 [0] 5 5 4 2 4 2" xfId="22632"/>
    <cellStyle name="쉼표 [0] 5 5 4 2 5" xfId="11672"/>
    <cellStyle name="쉼표 [0] 5 5 4 2 5 2" xfId="24900"/>
    <cellStyle name="쉼표 [0] 5 5 4 2 6" xfId="7137"/>
    <cellStyle name="쉼표 [0] 5 5 4 2 6 2" xfId="20365"/>
    <cellStyle name="쉼표 [0] 5 5 4 2 7" xfId="15077"/>
    <cellStyle name="쉼표 [0] 5 5 4 3" xfId="4947"/>
    <cellStyle name="쉼표 [0] 5 5 4 3 2" xfId="5855"/>
    <cellStyle name="쉼표 [0] 5 5 4 3 2 2" xfId="12408"/>
    <cellStyle name="쉼표 [0] 5 5 4 3 2 2 2" xfId="25636"/>
    <cellStyle name="쉼표 [0] 5 5 4 3 2 3" xfId="10589"/>
    <cellStyle name="쉼표 [0] 5 5 4 3 2 3 2" xfId="23817"/>
    <cellStyle name="쉼표 [0] 5 5 4 3 2 4" xfId="19094"/>
    <cellStyle name="쉼표 [0] 5 5 4 3 3" xfId="9888"/>
    <cellStyle name="쉼표 [0] 5 5 4 3 3 2" xfId="23116"/>
    <cellStyle name="쉼표 [0] 5 5 4 3 4" xfId="11824"/>
    <cellStyle name="쉼표 [0] 5 5 4 3 4 2" xfId="25052"/>
    <cellStyle name="쉼표 [0] 5 5 4 3 5" xfId="8820"/>
    <cellStyle name="쉼표 [0] 5 5 4 3 5 2" xfId="22048"/>
    <cellStyle name="쉼표 [0] 5 5 4 3 6" xfId="18214"/>
    <cellStyle name="쉼표 [0] 5 5 4 4" xfId="5528"/>
    <cellStyle name="쉼표 [0] 5 5 4 4 2" xfId="12171"/>
    <cellStyle name="쉼표 [0] 5 5 4 4 2 2" xfId="25399"/>
    <cellStyle name="쉼표 [0] 5 5 4 4 3" xfId="10262"/>
    <cellStyle name="쉼표 [0] 5 5 4 4 3 2" xfId="23490"/>
    <cellStyle name="쉼표 [0] 5 5 4 4 4" xfId="18767"/>
    <cellStyle name="쉼표 [0] 5 5 4 5" xfId="9261"/>
    <cellStyle name="쉼표 [0] 5 5 4 5 2" xfId="22489"/>
    <cellStyle name="쉼표 [0] 5 5 4 6" xfId="11529"/>
    <cellStyle name="쉼표 [0] 5 5 4 6 2" xfId="24757"/>
    <cellStyle name="쉼표 [0] 5 5 4 7" xfId="6993"/>
    <cellStyle name="쉼표 [0] 5 5 4 7 2" xfId="20221"/>
    <cellStyle name="쉼표 [0] 5 5 4 8" xfId="14931"/>
    <cellStyle name="쉼표 [0] 5 5 5" xfId="518"/>
    <cellStyle name="쉼표 [0] 5 5 5 2" xfId="664"/>
    <cellStyle name="쉼표 [0] 5 5 5 2 2" xfId="5118"/>
    <cellStyle name="쉼표 [0] 5 5 5 2 2 2" xfId="6020"/>
    <cellStyle name="쉼표 [0] 5 5 5 2 2 2 2" xfId="12573"/>
    <cellStyle name="쉼표 [0] 5 5 5 2 2 2 2 2" xfId="25801"/>
    <cellStyle name="쉼표 [0] 5 5 5 2 2 2 3" xfId="10754"/>
    <cellStyle name="쉼표 [0] 5 5 5 2 2 2 3 2" xfId="23982"/>
    <cellStyle name="쉼표 [0] 5 5 5 2 2 2 4" xfId="19259"/>
    <cellStyle name="쉼표 [0] 5 5 5 2 2 3" xfId="10055"/>
    <cellStyle name="쉼표 [0] 5 5 5 2 2 3 2" xfId="23283"/>
    <cellStyle name="쉼표 [0] 5 5 5 2 2 4" xfId="11989"/>
    <cellStyle name="쉼표 [0] 5 5 5 2 2 4 2" xfId="25217"/>
    <cellStyle name="쉼표 [0] 5 5 5 2 2 5" xfId="8988"/>
    <cellStyle name="쉼표 [0] 5 5 5 2 2 5 2" xfId="22216"/>
    <cellStyle name="쉼표 [0] 5 5 5 2 2 6" xfId="18385"/>
    <cellStyle name="쉼표 [0] 5 5 5 2 3" xfId="5672"/>
    <cellStyle name="쉼표 [0] 5 5 5 2 3 2" xfId="12315"/>
    <cellStyle name="쉼표 [0] 5 5 5 2 3 2 2" xfId="25543"/>
    <cellStyle name="쉼표 [0] 5 5 5 2 3 3" xfId="10406"/>
    <cellStyle name="쉼표 [0] 5 5 5 2 3 3 2" xfId="23634"/>
    <cellStyle name="쉼표 [0] 5 5 5 2 3 4" xfId="18911"/>
    <cellStyle name="쉼표 [0] 5 5 5 2 4" xfId="9405"/>
    <cellStyle name="쉼표 [0] 5 5 5 2 4 2" xfId="22633"/>
    <cellStyle name="쉼표 [0] 5 5 5 2 5" xfId="11673"/>
    <cellStyle name="쉼표 [0] 5 5 5 2 5 2" xfId="24901"/>
    <cellStyle name="쉼표 [0] 5 5 5 2 6" xfId="7138"/>
    <cellStyle name="쉼표 [0] 5 5 5 2 6 2" xfId="20366"/>
    <cellStyle name="쉼표 [0] 5 5 5 2 7" xfId="15078"/>
    <cellStyle name="쉼표 [0] 5 5 5 3" xfId="5085"/>
    <cellStyle name="쉼표 [0] 5 5 5 3 2" xfId="5987"/>
    <cellStyle name="쉼표 [0] 5 5 5 3 2 2" xfId="12540"/>
    <cellStyle name="쉼표 [0] 5 5 5 3 2 2 2" xfId="25768"/>
    <cellStyle name="쉼표 [0] 5 5 5 3 2 3" xfId="10721"/>
    <cellStyle name="쉼표 [0] 5 5 5 3 2 3 2" xfId="23949"/>
    <cellStyle name="쉼표 [0] 5 5 5 3 2 4" xfId="19226"/>
    <cellStyle name="쉼표 [0] 5 5 5 3 3" xfId="10022"/>
    <cellStyle name="쉼표 [0] 5 5 5 3 3 2" xfId="23250"/>
    <cellStyle name="쉼표 [0] 5 5 5 3 4" xfId="11956"/>
    <cellStyle name="쉼표 [0] 5 5 5 3 4 2" xfId="25184"/>
    <cellStyle name="쉼표 [0] 5 5 5 3 5" xfId="8955"/>
    <cellStyle name="쉼표 [0] 5 5 5 3 5 2" xfId="22183"/>
    <cellStyle name="쉼표 [0] 5 5 5 3 6" xfId="18352"/>
    <cellStyle name="쉼표 [0] 5 5 5 4" xfId="5529"/>
    <cellStyle name="쉼표 [0] 5 5 5 4 2" xfId="12172"/>
    <cellStyle name="쉼표 [0] 5 5 5 4 2 2" xfId="25400"/>
    <cellStyle name="쉼표 [0] 5 5 5 4 3" xfId="10263"/>
    <cellStyle name="쉼표 [0] 5 5 5 4 3 2" xfId="23491"/>
    <cellStyle name="쉼표 [0] 5 5 5 4 4" xfId="18768"/>
    <cellStyle name="쉼표 [0] 5 5 5 5" xfId="9262"/>
    <cellStyle name="쉼표 [0] 5 5 5 5 2" xfId="22490"/>
    <cellStyle name="쉼표 [0] 5 5 5 6" xfId="11530"/>
    <cellStyle name="쉼표 [0] 5 5 5 6 2" xfId="24758"/>
    <cellStyle name="쉼표 [0] 5 5 5 7" xfId="6994"/>
    <cellStyle name="쉼표 [0] 5 5 5 7 2" xfId="20222"/>
    <cellStyle name="쉼표 [0] 5 5 5 8" xfId="14932"/>
    <cellStyle name="쉼표 [0] 5 5 6" xfId="519"/>
    <cellStyle name="쉼표 [0] 5 5 6 2" xfId="665"/>
    <cellStyle name="쉼표 [0] 5 5 6 2 2" xfId="5020"/>
    <cellStyle name="쉼표 [0] 5 5 6 2 2 2" xfId="5926"/>
    <cellStyle name="쉼표 [0] 5 5 6 2 2 2 2" xfId="12479"/>
    <cellStyle name="쉼표 [0] 5 5 6 2 2 2 2 2" xfId="25707"/>
    <cellStyle name="쉼표 [0] 5 5 6 2 2 2 3" xfId="10660"/>
    <cellStyle name="쉼표 [0] 5 5 6 2 2 2 3 2" xfId="23888"/>
    <cellStyle name="쉼표 [0] 5 5 6 2 2 2 4" xfId="19165"/>
    <cellStyle name="쉼표 [0] 5 5 6 2 2 3" xfId="9959"/>
    <cellStyle name="쉼표 [0] 5 5 6 2 2 3 2" xfId="23187"/>
    <cellStyle name="쉼표 [0] 5 5 6 2 2 4" xfId="11895"/>
    <cellStyle name="쉼표 [0] 5 5 6 2 2 4 2" xfId="25123"/>
    <cellStyle name="쉼표 [0] 5 5 6 2 2 5" xfId="8892"/>
    <cellStyle name="쉼표 [0] 5 5 6 2 2 5 2" xfId="22120"/>
    <cellStyle name="쉼표 [0] 5 5 6 2 2 6" xfId="18287"/>
    <cellStyle name="쉼표 [0] 5 5 6 2 3" xfId="5673"/>
    <cellStyle name="쉼표 [0] 5 5 6 2 3 2" xfId="12316"/>
    <cellStyle name="쉼표 [0] 5 5 6 2 3 2 2" xfId="25544"/>
    <cellStyle name="쉼표 [0] 5 5 6 2 3 3" xfId="10407"/>
    <cellStyle name="쉼표 [0] 5 5 6 2 3 3 2" xfId="23635"/>
    <cellStyle name="쉼표 [0] 5 5 6 2 3 4" xfId="18912"/>
    <cellStyle name="쉼표 [0] 5 5 6 2 4" xfId="9406"/>
    <cellStyle name="쉼표 [0] 5 5 6 2 4 2" xfId="22634"/>
    <cellStyle name="쉼표 [0] 5 5 6 2 5" xfId="11674"/>
    <cellStyle name="쉼표 [0] 5 5 6 2 5 2" xfId="24902"/>
    <cellStyle name="쉼표 [0] 5 5 6 2 6" xfId="7139"/>
    <cellStyle name="쉼표 [0] 5 5 6 2 6 2" xfId="20367"/>
    <cellStyle name="쉼표 [0] 5 5 6 2 7" xfId="15079"/>
    <cellStyle name="쉼표 [0] 5 5 6 3" xfId="5163"/>
    <cellStyle name="쉼표 [0] 5 5 6 3 2" xfId="6063"/>
    <cellStyle name="쉼표 [0] 5 5 6 3 2 2" xfId="12616"/>
    <cellStyle name="쉼표 [0] 5 5 6 3 2 2 2" xfId="25844"/>
    <cellStyle name="쉼표 [0] 5 5 6 3 2 3" xfId="10797"/>
    <cellStyle name="쉼표 [0] 5 5 6 3 2 3 2" xfId="24025"/>
    <cellStyle name="쉼표 [0] 5 5 6 3 2 4" xfId="19302"/>
    <cellStyle name="쉼표 [0] 5 5 6 3 3" xfId="10098"/>
    <cellStyle name="쉼표 [0] 5 5 6 3 3 2" xfId="23326"/>
    <cellStyle name="쉼표 [0] 5 5 6 3 4" xfId="12032"/>
    <cellStyle name="쉼표 [0] 5 5 6 3 4 2" xfId="25260"/>
    <cellStyle name="쉼표 [0] 5 5 6 3 5" xfId="9031"/>
    <cellStyle name="쉼표 [0] 5 5 6 3 5 2" xfId="22259"/>
    <cellStyle name="쉼표 [0] 5 5 6 3 6" xfId="18429"/>
    <cellStyle name="쉼표 [0] 5 5 6 4" xfId="5530"/>
    <cellStyle name="쉼표 [0] 5 5 6 4 2" xfId="12173"/>
    <cellStyle name="쉼표 [0] 5 5 6 4 2 2" xfId="25401"/>
    <cellStyle name="쉼표 [0] 5 5 6 4 3" xfId="10264"/>
    <cellStyle name="쉼표 [0] 5 5 6 4 3 2" xfId="23492"/>
    <cellStyle name="쉼표 [0] 5 5 6 4 4" xfId="18769"/>
    <cellStyle name="쉼표 [0] 5 5 6 5" xfId="9263"/>
    <cellStyle name="쉼표 [0] 5 5 6 5 2" xfId="22491"/>
    <cellStyle name="쉼표 [0] 5 5 6 6" xfId="11531"/>
    <cellStyle name="쉼표 [0] 5 5 6 6 2" xfId="24759"/>
    <cellStyle name="쉼표 [0] 5 5 6 7" xfId="6995"/>
    <cellStyle name="쉼표 [0] 5 5 6 7 2" xfId="20223"/>
    <cellStyle name="쉼표 [0] 5 5 6 8" xfId="14933"/>
    <cellStyle name="쉼표 [0] 5 5 7" xfId="520"/>
    <cellStyle name="쉼표 [0] 5 5 7 2" xfId="666"/>
    <cellStyle name="쉼표 [0] 5 5 7 2 2" xfId="5021"/>
    <cellStyle name="쉼표 [0] 5 5 7 2 2 2" xfId="5927"/>
    <cellStyle name="쉼표 [0] 5 5 7 2 2 2 2" xfId="12480"/>
    <cellStyle name="쉼표 [0] 5 5 7 2 2 2 2 2" xfId="25708"/>
    <cellStyle name="쉼표 [0] 5 5 7 2 2 2 3" xfId="10661"/>
    <cellStyle name="쉼표 [0] 5 5 7 2 2 2 3 2" xfId="23889"/>
    <cellStyle name="쉼표 [0] 5 5 7 2 2 2 4" xfId="19166"/>
    <cellStyle name="쉼표 [0] 5 5 7 2 2 3" xfId="9960"/>
    <cellStyle name="쉼표 [0] 5 5 7 2 2 3 2" xfId="23188"/>
    <cellStyle name="쉼표 [0] 5 5 7 2 2 4" xfId="11896"/>
    <cellStyle name="쉼표 [0] 5 5 7 2 2 4 2" xfId="25124"/>
    <cellStyle name="쉼표 [0] 5 5 7 2 2 5" xfId="8893"/>
    <cellStyle name="쉼표 [0] 5 5 7 2 2 5 2" xfId="22121"/>
    <cellStyle name="쉼표 [0] 5 5 7 2 2 6" xfId="18288"/>
    <cellStyle name="쉼표 [0] 5 5 7 2 3" xfId="5674"/>
    <cellStyle name="쉼표 [0] 5 5 7 2 3 2" xfId="12317"/>
    <cellStyle name="쉼표 [0] 5 5 7 2 3 2 2" xfId="25545"/>
    <cellStyle name="쉼표 [0] 5 5 7 2 3 3" xfId="10408"/>
    <cellStyle name="쉼표 [0] 5 5 7 2 3 3 2" xfId="23636"/>
    <cellStyle name="쉼표 [0] 5 5 7 2 3 4" xfId="18913"/>
    <cellStyle name="쉼표 [0] 5 5 7 2 4" xfId="9407"/>
    <cellStyle name="쉼표 [0] 5 5 7 2 4 2" xfId="22635"/>
    <cellStyle name="쉼표 [0] 5 5 7 2 5" xfId="11675"/>
    <cellStyle name="쉼표 [0] 5 5 7 2 5 2" xfId="24903"/>
    <cellStyle name="쉼표 [0] 5 5 7 2 6" xfId="7140"/>
    <cellStyle name="쉼표 [0] 5 5 7 2 6 2" xfId="20368"/>
    <cellStyle name="쉼표 [0] 5 5 7 2 7" xfId="15080"/>
    <cellStyle name="쉼표 [0] 5 5 7 3" xfId="5084"/>
    <cellStyle name="쉼표 [0] 5 5 7 3 2" xfId="5986"/>
    <cellStyle name="쉼표 [0] 5 5 7 3 2 2" xfId="12539"/>
    <cellStyle name="쉼표 [0] 5 5 7 3 2 2 2" xfId="25767"/>
    <cellStyle name="쉼표 [0] 5 5 7 3 2 3" xfId="10720"/>
    <cellStyle name="쉼표 [0] 5 5 7 3 2 3 2" xfId="23948"/>
    <cellStyle name="쉼표 [0] 5 5 7 3 2 4" xfId="19225"/>
    <cellStyle name="쉼표 [0] 5 5 7 3 3" xfId="10021"/>
    <cellStyle name="쉼표 [0] 5 5 7 3 3 2" xfId="23249"/>
    <cellStyle name="쉼표 [0] 5 5 7 3 4" xfId="11955"/>
    <cellStyle name="쉼표 [0] 5 5 7 3 4 2" xfId="25183"/>
    <cellStyle name="쉼표 [0] 5 5 7 3 5" xfId="8954"/>
    <cellStyle name="쉼표 [0] 5 5 7 3 5 2" xfId="22182"/>
    <cellStyle name="쉼표 [0] 5 5 7 3 6" xfId="18351"/>
    <cellStyle name="쉼표 [0] 5 5 7 4" xfId="5531"/>
    <cellStyle name="쉼표 [0] 5 5 7 4 2" xfId="12174"/>
    <cellStyle name="쉼표 [0] 5 5 7 4 2 2" xfId="25402"/>
    <cellStyle name="쉼표 [0] 5 5 7 4 3" xfId="10265"/>
    <cellStyle name="쉼표 [0] 5 5 7 4 3 2" xfId="23493"/>
    <cellStyle name="쉼표 [0] 5 5 7 4 4" xfId="18770"/>
    <cellStyle name="쉼표 [0] 5 5 7 5" xfId="9264"/>
    <cellStyle name="쉼표 [0] 5 5 7 5 2" xfId="22492"/>
    <cellStyle name="쉼표 [0] 5 5 7 6" xfId="11532"/>
    <cellStyle name="쉼표 [0] 5 5 7 6 2" xfId="24760"/>
    <cellStyle name="쉼표 [0] 5 5 7 7" xfId="6996"/>
    <cellStyle name="쉼표 [0] 5 5 7 7 2" xfId="20224"/>
    <cellStyle name="쉼표 [0] 5 5 7 8" xfId="14934"/>
    <cellStyle name="쉼표 [0] 5 5 8" xfId="521"/>
    <cellStyle name="쉼표 [0] 5 5 8 2" xfId="667"/>
    <cellStyle name="쉼표 [0] 5 5 8 2 2" xfId="5121"/>
    <cellStyle name="쉼표 [0] 5 5 8 2 2 2" xfId="6023"/>
    <cellStyle name="쉼표 [0] 5 5 8 2 2 2 2" xfId="12576"/>
    <cellStyle name="쉼표 [0] 5 5 8 2 2 2 2 2" xfId="25804"/>
    <cellStyle name="쉼표 [0] 5 5 8 2 2 2 3" xfId="10757"/>
    <cellStyle name="쉼표 [0] 5 5 8 2 2 2 3 2" xfId="23985"/>
    <cellStyle name="쉼표 [0] 5 5 8 2 2 2 4" xfId="19262"/>
    <cellStyle name="쉼표 [0] 5 5 8 2 2 3" xfId="10058"/>
    <cellStyle name="쉼표 [0] 5 5 8 2 2 3 2" xfId="23286"/>
    <cellStyle name="쉼표 [0] 5 5 8 2 2 4" xfId="11992"/>
    <cellStyle name="쉼표 [0] 5 5 8 2 2 4 2" xfId="25220"/>
    <cellStyle name="쉼표 [0] 5 5 8 2 2 5" xfId="8991"/>
    <cellStyle name="쉼표 [0] 5 5 8 2 2 5 2" xfId="22219"/>
    <cellStyle name="쉼표 [0] 5 5 8 2 2 6" xfId="18388"/>
    <cellStyle name="쉼표 [0] 5 5 8 2 3" xfId="5675"/>
    <cellStyle name="쉼표 [0] 5 5 8 2 3 2" xfId="12318"/>
    <cellStyle name="쉼표 [0] 5 5 8 2 3 2 2" xfId="25546"/>
    <cellStyle name="쉼표 [0] 5 5 8 2 3 3" xfId="10409"/>
    <cellStyle name="쉼표 [0] 5 5 8 2 3 3 2" xfId="23637"/>
    <cellStyle name="쉼표 [0] 5 5 8 2 3 4" xfId="18914"/>
    <cellStyle name="쉼표 [0] 5 5 8 2 4" xfId="9408"/>
    <cellStyle name="쉼표 [0] 5 5 8 2 4 2" xfId="22636"/>
    <cellStyle name="쉼표 [0] 5 5 8 2 5" xfId="11676"/>
    <cellStyle name="쉼표 [0] 5 5 8 2 5 2" xfId="24904"/>
    <cellStyle name="쉼표 [0] 5 5 8 2 6" xfId="7141"/>
    <cellStyle name="쉼표 [0] 5 5 8 2 6 2" xfId="20369"/>
    <cellStyle name="쉼표 [0] 5 5 8 2 7" xfId="15081"/>
    <cellStyle name="쉼표 [0] 5 5 8 3" xfId="4948"/>
    <cellStyle name="쉼표 [0] 5 5 8 3 2" xfId="5856"/>
    <cellStyle name="쉼표 [0] 5 5 8 3 2 2" xfId="12409"/>
    <cellStyle name="쉼표 [0] 5 5 8 3 2 2 2" xfId="25637"/>
    <cellStyle name="쉼표 [0] 5 5 8 3 2 3" xfId="10590"/>
    <cellStyle name="쉼표 [0] 5 5 8 3 2 3 2" xfId="23818"/>
    <cellStyle name="쉼표 [0] 5 5 8 3 2 4" xfId="19095"/>
    <cellStyle name="쉼표 [0] 5 5 8 3 3" xfId="9889"/>
    <cellStyle name="쉼표 [0] 5 5 8 3 3 2" xfId="23117"/>
    <cellStyle name="쉼표 [0] 5 5 8 3 4" xfId="11825"/>
    <cellStyle name="쉼표 [0] 5 5 8 3 4 2" xfId="25053"/>
    <cellStyle name="쉼표 [0] 5 5 8 3 5" xfId="8821"/>
    <cellStyle name="쉼표 [0] 5 5 8 3 5 2" xfId="22049"/>
    <cellStyle name="쉼표 [0] 5 5 8 3 6" xfId="18215"/>
    <cellStyle name="쉼표 [0] 5 5 8 4" xfId="5532"/>
    <cellStyle name="쉼표 [0] 5 5 8 4 2" xfId="12175"/>
    <cellStyle name="쉼표 [0] 5 5 8 4 2 2" xfId="25403"/>
    <cellStyle name="쉼표 [0] 5 5 8 4 3" xfId="10266"/>
    <cellStyle name="쉼표 [0] 5 5 8 4 3 2" xfId="23494"/>
    <cellStyle name="쉼표 [0] 5 5 8 4 4" xfId="18771"/>
    <cellStyle name="쉼표 [0] 5 5 8 5" xfId="9265"/>
    <cellStyle name="쉼표 [0] 5 5 8 5 2" xfId="22493"/>
    <cellStyle name="쉼표 [0] 5 5 8 6" xfId="11533"/>
    <cellStyle name="쉼표 [0] 5 5 8 6 2" xfId="24761"/>
    <cellStyle name="쉼표 [0] 5 5 8 7" xfId="6997"/>
    <cellStyle name="쉼표 [0] 5 5 8 7 2" xfId="20225"/>
    <cellStyle name="쉼표 [0] 5 5 8 8" xfId="14935"/>
    <cellStyle name="쉼표 [0] 5 5 9" xfId="660"/>
    <cellStyle name="쉼표 [0] 5 5 9 2" xfId="5018"/>
    <cellStyle name="쉼표 [0] 5 5 9 2 2" xfId="5924"/>
    <cellStyle name="쉼표 [0] 5 5 9 2 2 2" xfId="12477"/>
    <cellStyle name="쉼표 [0] 5 5 9 2 2 2 2" xfId="25705"/>
    <cellStyle name="쉼표 [0] 5 5 9 2 2 3" xfId="10658"/>
    <cellStyle name="쉼표 [0] 5 5 9 2 2 3 2" xfId="23886"/>
    <cellStyle name="쉼표 [0] 5 5 9 2 2 4" xfId="19163"/>
    <cellStyle name="쉼표 [0] 5 5 9 2 3" xfId="9957"/>
    <cellStyle name="쉼표 [0] 5 5 9 2 3 2" xfId="23185"/>
    <cellStyle name="쉼표 [0] 5 5 9 2 4" xfId="11893"/>
    <cellStyle name="쉼표 [0] 5 5 9 2 4 2" xfId="25121"/>
    <cellStyle name="쉼표 [0] 5 5 9 2 5" xfId="8890"/>
    <cellStyle name="쉼표 [0] 5 5 9 2 5 2" xfId="22118"/>
    <cellStyle name="쉼표 [0] 5 5 9 2 6" xfId="18285"/>
    <cellStyle name="쉼표 [0] 5 5 9 3" xfId="5668"/>
    <cellStyle name="쉼표 [0] 5 5 9 3 2" xfId="12311"/>
    <cellStyle name="쉼표 [0] 5 5 9 3 2 2" xfId="25539"/>
    <cellStyle name="쉼표 [0] 5 5 9 3 3" xfId="10402"/>
    <cellStyle name="쉼표 [0] 5 5 9 3 3 2" xfId="23630"/>
    <cellStyle name="쉼표 [0] 5 5 9 3 4" xfId="18907"/>
    <cellStyle name="쉼표 [0] 5 5 9 4" xfId="9401"/>
    <cellStyle name="쉼표 [0] 5 5 9 4 2" xfId="22629"/>
    <cellStyle name="쉼표 [0] 5 5 9 5" xfId="11669"/>
    <cellStyle name="쉼표 [0] 5 5 9 5 2" xfId="24897"/>
    <cellStyle name="쉼표 [0] 5 5 9 6" xfId="7134"/>
    <cellStyle name="쉼표 [0] 5 5 9 6 2" xfId="20362"/>
    <cellStyle name="쉼표 [0] 5 5 9 7" xfId="15074"/>
    <cellStyle name="쉼표 [0] 5 6" xfId="522"/>
    <cellStyle name="쉼표 [0] 5 6 2" xfId="668"/>
    <cellStyle name="쉼표 [0] 5 6 2 2" xfId="5187"/>
    <cellStyle name="쉼표 [0] 5 6 2 2 2" xfId="6087"/>
    <cellStyle name="쉼표 [0] 5 6 2 2 2 2" xfId="12640"/>
    <cellStyle name="쉼표 [0] 5 6 2 2 2 2 2" xfId="25868"/>
    <cellStyle name="쉼표 [0] 5 6 2 2 2 3" xfId="10821"/>
    <cellStyle name="쉼표 [0] 5 6 2 2 2 3 2" xfId="24049"/>
    <cellStyle name="쉼표 [0] 5 6 2 2 2 4" xfId="19326"/>
    <cellStyle name="쉼표 [0] 5 6 2 2 3" xfId="10122"/>
    <cellStyle name="쉼표 [0] 5 6 2 2 3 2" xfId="23350"/>
    <cellStyle name="쉼표 [0] 5 6 2 2 4" xfId="12056"/>
    <cellStyle name="쉼표 [0] 5 6 2 2 4 2" xfId="25284"/>
    <cellStyle name="쉼표 [0] 5 6 2 2 5" xfId="9055"/>
    <cellStyle name="쉼표 [0] 5 6 2 2 5 2" xfId="22283"/>
    <cellStyle name="쉼표 [0] 5 6 2 2 6" xfId="18453"/>
    <cellStyle name="쉼표 [0] 5 6 2 3" xfId="5676"/>
    <cellStyle name="쉼표 [0] 5 6 2 3 2" xfId="12319"/>
    <cellStyle name="쉼표 [0] 5 6 2 3 2 2" xfId="25547"/>
    <cellStyle name="쉼표 [0] 5 6 2 3 3" xfId="10410"/>
    <cellStyle name="쉼표 [0] 5 6 2 3 3 2" xfId="23638"/>
    <cellStyle name="쉼표 [0] 5 6 2 3 4" xfId="18915"/>
    <cellStyle name="쉼표 [0] 5 6 2 4" xfId="9409"/>
    <cellStyle name="쉼표 [0] 5 6 2 4 2" xfId="22637"/>
    <cellStyle name="쉼표 [0] 5 6 2 5" xfId="11677"/>
    <cellStyle name="쉼표 [0] 5 6 2 5 2" xfId="24905"/>
    <cellStyle name="쉼표 [0] 5 6 2 6" xfId="7142"/>
    <cellStyle name="쉼표 [0] 5 6 2 6 2" xfId="20370"/>
    <cellStyle name="쉼표 [0] 5 6 2 7" xfId="15082"/>
    <cellStyle name="쉼표 [0] 5 6 3" xfId="4949"/>
    <cellStyle name="쉼표 [0] 5 6 3 2" xfId="5857"/>
    <cellStyle name="쉼표 [0] 5 6 3 2 2" xfId="12410"/>
    <cellStyle name="쉼표 [0] 5 6 3 2 2 2" xfId="25638"/>
    <cellStyle name="쉼표 [0] 5 6 3 2 3" xfId="10591"/>
    <cellStyle name="쉼표 [0] 5 6 3 2 3 2" xfId="23819"/>
    <cellStyle name="쉼표 [0] 5 6 3 2 4" xfId="19096"/>
    <cellStyle name="쉼표 [0] 5 6 3 3" xfId="9890"/>
    <cellStyle name="쉼표 [0] 5 6 3 3 2" xfId="23118"/>
    <cellStyle name="쉼표 [0] 5 6 3 4" xfId="11826"/>
    <cellStyle name="쉼표 [0] 5 6 3 4 2" xfId="25054"/>
    <cellStyle name="쉼표 [0] 5 6 3 5" xfId="8822"/>
    <cellStyle name="쉼표 [0] 5 6 3 5 2" xfId="22050"/>
    <cellStyle name="쉼표 [0] 5 6 3 6" xfId="18216"/>
    <cellStyle name="쉼표 [0] 5 6 4" xfId="3172"/>
    <cellStyle name="쉼표 [0] 5 6 5" xfId="5533"/>
    <cellStyle name="쉼표 [0] 5 6 5 2" xfId="12176"/>
    <cellStyle name="쉼표 [0] 5 6 5 2 2" xfId="25404"/>
    <cellStyle name="쉼표 [0] 5 6 5 3" xfId="10267"/>
    <cellStyle name="쉼표 [0] 5 6 5 3 2" xfId="23495"/>
    <cellStyle name="쉼표 [0] 5 6 5 4" xfId="18772"/>
    <cellStyle name="쉼표 [0] 5 6 6" xfId="9266"/>
    <cellStyle name="쉼표 [0] 5 6 6 2" xfId="22494"/>
    <cellStyle name="쉼표 [0] 5 6 7" xfId="11534"/>
    <cellStyle name="쉼표 [0] 5 6 7 2" xfId="24762"/>
    <cellStyle name="쉼표 [0] 5 6 8" xfId="6998"/>
    <cellStyle name="쉼표 [0] 5 6 8 2" xfId="20226"/>
    <cellStyle name="쉼표 [0] 5 6 9" xfId="14936"/>
    <cellStyle name="쉼표 [0] 5 7" xfId="523"/>
    <cellStyle name="쉼표 [0] 5 7 2" xfId="669"/>
    <cellStyle name="쉼표 [0] 5 7 2 2" xfId="5120"/>
    <cellStyle name="쉼표 [0] 5 7 2 2 2" xfId="6022"/>
    <cellStyle name="쉼표 [0] 5 7 2 2 2 2" xfId="12575"/>
    <cellStyle name="쉼표 [0] 5 7 2 2 2 2 2" xfId="25803"/>
    <cellStyle name="쉼표 [0] 5 7 2 2 2 3" xfId="10756"/>
    <cellStyle name="쉼표 [0] 5 7 2 2 2 3 2" xfId="23984"/>
    <cellStyle name="쉼표 [0] 5 7 2 2 2 4" xfId="19261"/>
    <cellStyle name="쉼표 [0] 5 7 2 2 3" xfId="10057"/>
    <cellStyle name="쉼표 [0] 5 7 2 2 3 2" xfId="23285"/>
    <cellStyle name="쉼표 [0] 5 7 2 2 4" xfId="11991"/>
    <cellStyle name="쉼표 [0] 5 7 2 2 4 2" xfId="25219"/>
    <cellStyle name="쉼표 [0] 5 7 2 2 5" xfId="8990"/>
    <cellStyle name="쉼표 [0] 5 7 2 2 5 2" xfId="22218"/>
    <cellStyle name="쉼표 [0] 5 7 2 2 6" xfId="18387"/>
    <cellStyle name="쉼표 [0] 5 7 2 3" xfId="5677"/>
    <cellStyle name="쉼표 [0] 5 7 2 3 2" xfId="12320"/>
    <cellStyle name="쉼표 [0] 5 7 2 3 2 2" xfId="25548"/>
    <cellStyle name="쉼표 [0] 5 7 2 3 3" xfId="10411"/>
    <cellStyle name="쉼표 [0] 5 7 2 3 3 2" xfId="23639"/>
    <cellStyle name="쉼표 [0] 5 7 2 3 4" xfId="18916"/>
    <cellStyle name="쉼표 [0] 5 7 2 4" xfId="9410"/>
    <cellStyle name="쉼표 [0] 5 7 2 4 2" xfId="22638"/>
    <cellStyle name="쉼표 [0] 5 7 2 5" xfId="11678"/>
    <cellStyle name="쉼표 [0] 5 7 2 5 2" xfId="24906"/>
    <cellStyle name="쉼표 [0] 5 7 2 6" xfId="7143"/>
    <cellStyle name="쉼표 [0] 5 7 2 6 2" xfId="20371"/>
    <cellStyle name="쉼표 [0] 5 7 2 7" xfId="15083"/>
    <cellStyle name="쉼표 [0] 5 7 3" xfId="5135"/>
    <cellStyle name="쉼표 [0] 5 7 3 2" xfId="6036"/>
    <cellStyle name="쉼표 [0] 5 7 3 2 2" xfId="12589"/>
    <cellStyle name="쉼표 [0] 5 7 3 2 2 2" xfId="25817"/>
    <cellStyle name="쉼표 [0] 5 7 3 2 3" xfId="10770"/>
    <cellStyle name="쉼표 [0] 5 7 3 2 3 2" xfId="23998"/>
    <cellStyle name="쉼표 [0] 5 7 3 2 4" xfId="19275"/>
    <cellStyle name="쉼표 [0] 5 7 3 3" xfId="10071"/>
    <cellStyle name="쉼표 [0] 5 7 3 3 2" xfId="23299"/>
    <cellStyle name="쉼표 [0] 5 7 3 4" xfId="12005"/>
    <cellStyle name="쉼표 [0] 5 7 3 4 2" xfId="25233"/>
    <cellStyle name="쉼표 [0] 5 7 3 5" xfId="9004"/>
    <cellStyle name="쉼표 [0] 5 7 3 5 2" xfId="22232"/>
    <cellStyle name="쉼표 [0] 5 7 3 6" xfId="18401"/>
    <cellStyle name="쉼표 [0] 5 7 4" xfId="3173"/>
    <cellStyle name="쉼표 [0] 5 7 5" xfId="5534"/>
    <cellStyle name="쉼표 [0] 5 7 5 2" xfId="12177"/>
    <cellStyle name="쉼표 [0] 5 7 5 2 2" xfId="25405"/>
    <cellStyle name="쉼표 [0] 5 7 5 3" xfId="10268"/>
    <cellStyle name="쉼표 [0] 5 7 5 3 2" xfId="23496"/>
    <cellStyle name="쉼표 [0] 5 7 5 4" xfId="18773"/>
    <cellStyle name="쉼표 [0] 5 7 6" xfId="9267"/>
    <cellStyle name="쉼표 [0] 5 7 6 2" xfId="22495"/>
    <cellStyle name="쉼표 [0] 5 7 7" xfId="11535"/>
    <cellStyle name="쉼표 [0] 5 7 7 2" xfId="24763"/>
    <cellStyle name="쉼표 [0] 5 7 8" xfId="6999"/>
    <cellStyle name="쉼표 [0] 5 7 8 2" xfId="20227"/>
    <cellStyle name="쉼표 [0] 5 7 9" xfId="14937"/>
    <cellStyle name="쉼표 [0] 5 8" xfId="524"/>
    <cellStyle name="쉼표 [0] 5 8 2" xfId="670"/>
    <cellStyle name="쉼표 [0] 5 8 2 2" xfId="5022"/>
    <cellStyle name="쉼표 [0] 5 8 2 2 2" xfId="5928"/>
    <cellStyle name="쉼표 [0] 5 8 2 2 2 2" xfId="12481"/>
    <cellStyle name="쉼표 [0] 5 8 2 2 2 2 2" xfId="25709"/>
    <cellStyle name="쉼표 [0] 5 8 2 2 2 3" xfId="10662"/>
    <cellStyle name="쉼표 [0] 5 8 2 2 2 3 2" xfId="23890"/>
    <cellStyle name="쉼표 [0] 5 8 2 2 2 4" xfId="19167"/>
    <cellStyle name="쉼표 [0] 5 8 2 2 3" xfId="9961"/>
    <cellStyle name="쉼표 [0] 5 8 2 2 3 2" xfId="23189"/>
    <cellStyle name="쉼표 [0] 5 8 2 2 4" xfId="11897"/>
    <cellStyle name="쉼표 [0] 5 8 2 2 4 2" xfId="25125"/>
    <cellStyle name="쉼표 [0] 5 8 2 2 5" xfId="8894"/>
    <cellStyle name="쉼표 [0] 5 8 2 2 5 2" xfId="22122"/>
    <cellStyle name="쉼표 [0] 5 8 2 2 6" xfId="18289"/>
    <cellStyle name="쉼표 [0] 5 8 2 3" xfId="5678"/>
    <cellStyle name="쉼표 [0] 5 8 2 3 2" xfId="12321"/>
    <cellStyle name="쉼표 [0] 5 8 2 3 2 2" xfId="25549"/>
    <cellStyle name="쉼표 [0] 5 8 2 3 3" xfId="10412"/>
    <cellStyle name="쉼표 [0] 5 8 2 3 3 2" xfId="23640"/>
    <cellStyle name="쉼표 [0] 5 8 2 3 4" xfId="18917"/>
    <cellStyle name="쉼표 [0] 5 8 2 4" xfId="9411"/>
    <cellStyle name="쉼표 [0] 5 8 2 4 2" xfId="22639"/>
    <cellStyle name="쉼표 [0] 5 8 2 5" xfId="11679"/>
    <cellStyle name="쉼표 [0] 5 8 2 5 2" xfId="24907"/>
    <cellStyle name="쉼표 [0] 5 8 2 6" xfId="7144"/>
    <cellStyle name="쉼표 [0] 5 8 2 6 2" xfId="20372"/>
    <cellStyle name="쉼표 [0] 5 8 2 7" xfId="15084"/>
    <cellStyle name="쉼표 [0] 5 8 3" xfId="4950"/>
    <cellStyle name="쉼표 [0] 5 8 3 2" xfId="5858"/>
    <cellStyle name="쉼표 [0] 5 8 3 2 2" xfId="12411"/>
    <cellStyle name="쉼표 [0] 5 8 3 2 2 2" xfId="25639"/>
    <cellStyle name="쉼표 [0] 5 8 3 2 3" xfId="10592"/>
    <cellStyle name="쉼표 [0] 5 8 3 2 3 2" xfId="23820"/>
    <cellStyle name="쉼표 [0] 5 8 3 2 4" xfId="19097"/>
    <cellStyle name="쉼표 [0] 5 8 3 3" xfId="9891"/>
    <cellStyle name="쉼표 [0] 5 8 3 3 2" xfId="23119"/>
    <cellStyle name="쉼표 [0] 5 8 3 4" xfId="11827"/>
    <cellStyle name="쉼표 [0] 5 8 3 4 2" xfId="25055"/>
    <cellStyle name="쉼표 [0] 5 8 3 5" xfId="8823"/>
    <cellStyle name="쉼표 [0] 5 8 3 5 2" xfId="22051"/>
    <cellStyle name="쉼표 [0] 5 8 3 6" xfId="18217"/>
    <cellStyle name="쉼표 [0] 5 8 4" xfId="5535"/>
    <cellStyle name="쉼표 [0] 5 8 4 2" xfId="12178"/>
    <cellStyle name="쉼표 [0] 5 8 4 2 2" xfId="25406"/>
    <cellStyle name="쉼표 [0] 5 8 4 3" xfId="10269"/>
    <cellStyle name="쉼표 [0] 5 8 4 3 2" xfId="23497"/>
    <cellStyle name="쉼표 [0] 5 8 4 4" xfId="18774"/>
    <cellStyle name="쉼표 [0] 5 8 5" xfId="9268"/>
    <cellStyle name="쉼표 [0] 5 8 5 2" xfId="22496"/>
    <cellStyle name="쉼표 [0] 5 8 6" xfId="11536"/>
    <cellStyle name="쉼표 [0] 5 8 6 2" xfId="24764"/>
    <cellStyle name="쉼표 [0] 5 8 7" xfId="7000"/>
    <cellStyle name="쉼표 [0] 5 8 7 2" xfId="20228"/>
    <cellStyle name="쉼표 [0] 5 8 8" xfId="14938"/>
    <cellStyle name="쉼표 [0] 5 9" xfId="525"/>
    <cellStyle name="쉼표 [0] 5 9 2" xfId="671"/>
    <cellStyle name="쉼표 [0] 5 9 2 2" xfId="5044"/>
    <cellStyle name="쉼표 [0] 5 9 2 2 2" xfId="5946"/>
    <cellStyle name="쉼표 [0] 5 9 2 2 2 2" xfId="12499"/>
    <cellStyle name="쉼표 [0] 5 9 2 2 2 2 2" xfId="25727"/>
    <cellStyle name="쉼표 [0] 5 9 2 2 2 3" xfId="10680"/>
    <cellStyle name="쉼표 [0] 5 9 2 2 2 3 2" xfId="23908"/>
    <cellStyle name="쉼표 [0] 5 9 2 2 2 4" xfId="19185"/>
    <cellStyle name="쉼표 [0] 5 9 2 2 3" xfId="9981"/>
    <cellStyle name="쉼표 [0] 5 9 2 2 3 2" xfId="23209"/>
    <cellStyle name="쉼표 [0] 5 9 2 2 4" xfId="11915"/>
    <cellStyle name="쉼표 [0] 5 9 2 2 4 2" xfId="25143"/>
    <cellStyle name="쉼표 [0] 5 9 2 2 5" xfId="8914"/>
    <cellStyle name="쉼표 [0] 5 9 2 2 5 2" xfId="22142"/>
    <cellStyle name="쉼표 [0] 5 9 2 2 6" xfId="18311"/>
    <cellStyle name="쉼표 [0] 5 9 2 3" xfId="5679"/>
    <cellStyle name="쉼표 [0] 5 9 2 3 2" xfId="12322"/>
    <cellStyle name="쉼표 [0] 5 9 2 3 2 2" xfId="25550"/>
    <cellStyle name="쉼표 [0] 5 9 2 3 3" xfId="10413"/>
    <cellStyle name="쉼표 [0] 5 9 2 3 3 2" xfId="23641"/>
    <cellStyle name="쉼표 [0] 5 9 2 3 4" xfId="18918"/>
    <cellStyle name="쉼표 [0] 5 9 2 4" xfId="9412"/>
    <cellStyle name="쉼표 [0] 5 9 2 4 2" xfId="22640"/>
    <cellStyle name="쉼표 [0] 5 9 2 5" xfId="11680"/>
    <cellStyle name="쉼표 [0] 5 9 2 5 2" xfId="24908"/>
    <cellStyle name="쉼표 [0] 5 9 2 6" xfId="7145"/>
    <cellStyle name="쉼표 [0] 5 9 2 6 2" xfId="20373"/>
    <cellStyle name="쉼표 [0] 5 9 2 7" xfId="15085"/>
    <cellStyle name="쉼표 [0] 5 9 3" xfId="4951"/>
    <cellStyle name="쉼표 [0] 5 9 3 2" xfId="5859"/>
    <cellStyle name="쉼표 [0] 5 9 3 2 2" xfId="12412"/>
    <cellStyle name="쉼표 [0] 5 9 3 2 2 2" xfId="25640"/>
    <cellStyle name="쉼표 [0] 5 9 3 2 3" xfId="10593"/>
    <cellStyle name="쉼표 [0] 5 9 3 2 3 2" xfId="23821"/>
    <cellStyle name="쉼표 [0] 5 9 3 2 4" xfId="19098"/>
    <cellStyle name="쉼표 [0] 5 9 3 3" xfId="9892"/>
    <cellStyle name="쉼표 [0] 5 9 3 3 2" xfId="23120"/>
    <cellStyle name="쉼표 [0] 5 9 3 4" xfId="11828"/>
    <cellStyle name="쉼표 [0] 5 9 3 4 2" xfId="25056"/>
    <cellStyle name="쉼표 [0] 5 9 3 5" xfId="8824"/>
    <cellStyle name="쉼표 [0] 5 9 3 5 2" xfId="22052"/>
    <cellStyle name="쉼표 [0] 5 9 3 6" xfId="18218"/>
    <cellStyle name="쉼표 [0] 5 9 4" xfId="5536"/>
    <cellStyle name="쉼표 [0] 5 9 4 2" xfId="12179"/>
    <cellStyle name="쉼표 [0] 5 9 4 2 2" xfId="25407"/>
    <cellStyle name="쉼표 [0] 5 9 4 3" xfId="10270"/>
    <cellStyle name="쉼표 [0] 5 9 4 3 2" xfId="23498"/>
    <cellStyle name="쉼표 [0] 5 9 4 4" xfId="18775"/>
    <cellStyle name="쉼표 [0] 5 9 5" xfId="9269"/>
    <cellStyle name="쉼표 [0] 5 9 5 2" xfId="22497"/>
    <cellStyle name="쉼표 [0] 5 9 6" xfId="11537"/>
    <cellStyle name="쉼표 [0] 5 9 6 2" xfId="24765"/>
    <cellStyle name="쉼표 [0] 5 9 7" xfId="7001"/>
    <cellStyle name="쉼표 [0] 5 9 7 2" xfId="20229"/>
    <cellStyle name="쉼표 [0] 5 9 8" xfId="14939"/>
    <cellStyle name="쉼표 [0] 5_20071105_발주의뢰서_신영_EKP발주의 건" xfId="53968"/>
    <cellStyle name="쉼표 [0] 6" xfId="243"/>
    <cellStyle name="쉼표 [0] 6 10" xfId="3174"/>
    <cellStyle name="쉼표 [0] 6 11" xfId="51352"/>
    <cellStyle name="쉼표 [0] 6 2" xfId="244"/>
    <cellStyle name="쉼표 [0] 6 2 2" xfId="3176"/>
    <cellStyle name="쉼표 [0] 6 2 3" xfId="3175"/>
    <cellStyle name="쉼표 [0] 6 3" xfId="526"/>
    <cellStyle name="쉼표 [0] 6 3 2" xfId="672"/>
    <cellStyle name="쉼표 [0] 6 3 2 2" xfId="5023"/>
    <cellStyle name="쉼표 [0] 6 3 2 2 2" xfId="5929"/>
    <cellStyle name="쉼표 [0] 6 3 2 2 2 2" xfId="12482"/>
    <cellStyle name="쉼표 [0] 6 3 2 2 2 2 2" xfId="25710"/>
    <cellStyle name="쉼표 [0] 6 3 2 2 2 3" xfId="10663"/>
    <cellStyle name="쉼표 [0] 6 3 2 2 2 3 2" xfId="23891"/>
    <cellStyle name="쉼표 [0] 6 3 2 2 2 4" xfId="19168"/>
    <cellStyle name="쉼표 [0] 6 3 2 2 3" xfId="9962"/>
    <cellStyle name="쉼표 [0] 6 3 2 2 3 2" xfId="23190"/>
    <cellStyle name="쉼표 [0] 6 3 2 2 4" xfId="11898"/>
    <cellStyle name="쉼표 [0] 6 3 2 2 4 2" xfId="25126"/>
    <cellStyle name="쉼표 [0] 6 3 2 2 5" xfId="8895"/>
    <cellStyle name="쉼표 [0] 6 3 2 2 5 2" xfId="22123"/>
    <cellStyle name="쉼표 [0] 6 3 2 2 6" xfId="18290"/>
    <cellStyle name="쉼표 [0] 6 3 2 3" xfId="5680"/>
    <cellStyle name="쉼표 [0] 6 3 2 3 2" xfId="12323"/>
    <cellStyle name="쉼표 [0] 6 3 2 3 2 2" xfId="25551"/>
    <cellStyle name="쉼표 [0] 6 3 2 3 3" xfId="10414"/>
    <cellStyle name="쉼표 [0] 6 3 2 3 3 2" xfId="23642"/>
    <cellStyle name="쉼표 [0] 6 3 2 3 4" xfId="18919"/>
    <cellStyle name="쉼표 [0] 6 3 2 4" xfId="9413"/>
    <cellStyle name="쉼표 [0] 6 3 2 4 2" xfId="22641"/>
    <cellStyle name="쉼표 [0] 6 3 2 5" xfId="11681"/>
    <cellStyle name="쉼표 [0] 6 3 2 5 2" xfId="24909"/>
    <cellStyle name="쉼표 [0] 6 3 2 6" xfId="7146"/>
    <cellStyle name="쉼표 [0] 6 3 2 6 2" xfId="20374"/>
    <cellStyle name="쉼표 [0] 6 3 2 7" xfId="15086"/>
    <cellStyle name="쉼표 [0] 6 3 3" xfId="5087"/>
    <cellStyle name="쉼표 [0] 6 3 3 2" xfId="5989"/>
    <cellStyle name="쉼표 [0] 6 3 3 2 2" xfId="12542"/>
    <cellStyle name="쉼표 [0] 6 3 3 2 2 2" xfId="25770"/>
    <cellStyle name="쉼표 [0] 6 3 3 2 3" xfId="10723"/>
    <cellStyle name="쉼표 [0] 6 3 3 2 3 2" xfId="23951"/>
    <cellStyle name="쉼표 [0] 6 3 3 2 4" xfId="19228"/>
    <cellStyle name="쉼표 [0] 6 3 3 3" xfId="10024"/>
    <cellStyle name="쉼표 [0] 6 3 3 3 2" xfId="23252"/>
    <cellStyle name="쉼표 [0] 6 3 3 4" xfId="11958"/>
    <cellStyle name="쉼표 [0] 6 3 3 4 2" xfId="25186"/>
    <cellStyle name="쉼표 [0] 6 3 3 5" xfId="8957"/>
    <cellStyle name="쉼표 [0] 6 3 3 5 2" xfId="22185"/>
    <cellStyle name="쉼표 [0] 6 3 3 6" xfId="18354"/>
    <cellStyle name="쉼표 [0] 6 3 4" xfId="3177"/>
    <cellStyle name="쉼표 [0] 6 3 5" xfId="5537"/>
    <cellStyle name="쉼표 [0] 6 3 5 2" xfId="12180"/>
    <cellStyle name="쉼표 [0] 6 3 5 2 2" xfId="25408"/>
    <cellStyle name="쉼표 [0] 6 3 5 3" xfId="10271"/>
    <cellStyle name="쉼표 [0] 6 3 5 3 2" xfId="23499"/>
    <cellStyle name="쉼표 [0] 6 3 5 4" xfId="18776"/>
    <cellStyle name="쉼표 [0] 6 3 6" xfId="9270"/>
    <cellStyle name="쉼표 [0] 6 3 6 2" xfId="22498"/>
    <cellStyle name="쉼표 [0] 6 3 7" xfId="11538"/>
    <cellStyle name="쉼표 [0] 6 3 7 2" xfId="24766"/>
    <cellStyle name="쉼표 [0] 6 3 8" xfId="7002"/>
    <cellStyle name="쉼표 [0] 6 3 8 2" xfId="20230"/>
    <cellStyle name="쉼표 [0] 6 3 9" xfId="14940"/>
    <cellStyle name="쉼표 [0] 6 4" xfId="527"/>
    <cellStyle name="쉼표 [0] 6 4 2" xfId="673"/>
    <cellStyle name="쉼표 [0] 6 4 2 2" xfId="5140"/>
    <cellStyle name="쉼표 [0] 6 4 2 2 2" xfId="6040"/>
    <cellStyle name="쉼표 [0] 6 4 2 2 2 2" xfId="12593"/>
    <cellStyle name="쉼표 [0] 6 4 2 2 2 2 2" xfId="25821"/>
    <cellStyle name="쉼표 [0] 6 4 2 2 2 3" xfId="10774"/>
    <cellStyle name="쉼표 [0] 6 4 2 2 2 3 2" xfId="24002"/>
    <cellStyle name="쉼표 [0] 6 4 2 2 2 4" xfId="19279"/>
    <cellStyle name="쉼표 [0] 6 4 2 2 3" xfId="10075"/>
    <cellStyle name="쉼표 [0] 6 4 2 2 3 2" xfId="23303"/>
    <cellStyle name="쉼표 [0] 6 4 2 2 4" xfId="12009"/>
    <cellStyle name="쉼표 [0] 6 4 2 2 4 2" xfId="25237"/>
    <cellStyle name="쉼표 [0] 6 4 2 2 5" xfId="9008"/>
    <cellStyle name="쉼표 [0] 6 4 2 2 5 2" xfId="22236"/>
    <cellStyle name="쉼표 [0] 6 4 2 2 6" xfId="18406"/>
    <cellStyle name="쉼표 [0] 6 4 2 3" xfId="5681"/>
    <cellStyle name="쉼표 [0] 6 4 2 3 2" xfId="12324"/>
    <cellStyle name="쉼표 [0] 6 4 2 3 2 2" xfId="25552"/>
    <cellStyle name="쉼표 [0] 6 4 2 3 3" xfId="10415"/>
    <cellStyle name="쉼표 [0] 6 4 2 3 3 2" xfId="23643"/>
    <cellStyle name="쉼표 [0] 6 4 2 3 4" xfId="18920"/>
    <cellStyle name="쉼표 [0] 6 4 2 4" xfId="9414"/>
    <cellStyle name="쉼표 [0] 6 4 2 4 2" xfId="22642"/>
    <cellStyle name="쉼표 [0] 6 4 2 5" xfId="11682"/>
    <cellStyle name="쉼표 [0] 6 4 2 5 2" xfId="24910"/>
    <cellStyle name="쉼표 [0] 6 4 2 6" xfId="7147"/>
    <cellStyle name="쉼표 [0] 6 4 2 6 2" xfId="20375"/>
    <cellStyle name="쉼표 [0] 6 4 2 7" xfId="15087"/>
    <cellStyle name="쉼표 [0] 6 4 3" xfId="5164"/>
    <cellStyle name="쉼표 [0] 6 4 3 2" xfId="6064"/>
    <cellStyle name="쉼표 [0] 6 4 3 2 2" xfId="12617"/>
    <cellStyle name="쉼표 [0] 6 4 3 2 2 2" xfId="25845"/>
    <cellStyle name="쉼표 [0] 6 4 3 2 3" xfId="10798"/>
    <cellStyle name="쉼표 [0] 6 4 3 2 3 2" xfId="24026"/>
    <cellStyle name="쉼표 [0] 6 4 3 2 4" xfId="19303"/>
    <cellStyle name="쉼표 [0] 6 4 3 3" xfId="10099"/>
    <cellStyle name="쉼표 [0] 6 4 3 3 2" xfId="23327"/>
    <cellStyle name="쉼표 [0] 6 4 3 4" xfId="12033"/>
    <cellStyle name="쉼표 [0] 6 4 3 4 2" xfId="25261"/>
    <cellStyle name="쉼표 [0] 6 4 3 5" xfId="9032"/>
    <cellStyle name="쉼표 [0] 6 4 3 5 2" xfId="22260"/>
    <cellStyle name="쉼표 [0] 6 4 3 6" xfId="18430"/>
    <cellStyle name="쉼표 [0] 6 4 4" xfId="3178"/>
    <cellStyle name="쉼표 [0] 6 4 5" xfId="5538"/>
    <cellStyle name="쉼표 [0] 6 4 5 2" xfId="12181"/>
    <cellStyle name="쉼표 [0] 6 4 5 2 2" xfId="25409"/>
    <cellStyle name="쉼표 [0] 6 4 5 3" xfId="10272"/>
    <cellStyle name="쉼표 [0] 6 4 5 3 2" xfId="23500"/>
    <cellStyle name="쉼표 [0] 6 4 5 4" xfId="18777"/>
    <cellStyle name="쉼표 [0] 6 4 6" xfId="9271"/>
    <cellStyle name="쉼표 [0] 6 4 6 2" xfId="22499"/>
    <cellStyle name="쉼표 [0] 6 4 7" xfId="11539"/>
    <cellStyle name="쉼표 [0] 6 4 7 2" xfId="24767"/>
    <cellStyle name="쉼표 [0] 6 4 8" xfId="7003"/>
    <cellStyle name="쉼표 [0] 6 4 8 2" xfId="20231"/>
    <cellStyle name="쉼표 [0] 6 4 9" xfId="14941"/>
    <cellStyle name="쉼표 [0] 6 5" xfId="528"/>
    <cellStyle name="쉼표 [0] 6 5 2" xfId="674"/>
    <cellStyle name="쉼표 [0] 6 5 2 2" xfId="5024"/>
    <cellStyle name="쉼표 [0] 6 5 2 2 2" xfId="5930"/>
    <cellStyle name="쉼표 [0] 6 5 2 2 2 2" xfId="12483"/>
    <cellStyle name="쉼표 [0] 6 5 2 2 2 2 2" xfId="25711"/>
    <cellStyle name="쉼표 [0] 6 5 2 2 2 3" xfId="10664"/>
    <cellStyle name="쉼표 [0] 6 5 2 2 2 3 2" xfId="23892"/>
    <cellStyle name="쉼표 [0] 6 5 2 2 2 4" xfId="19169"/>
    <cellStyle name="쉼표 [0] 6 5 2 2 3" xfId="9963"/>
    <cellStyle name="쉼표 [0] 6 5 2 2 3 2" xfId="23191"/>
    <cellStyle name="쉼표 [0] 6 5 2 2 4" xfId="11899"/>
    <cellStyle name="쉼표 [0] 6 5 2 2 4 2" xfId="25127"/>
    <cellStyle name="쉼표 [0] 6 5 2 2 5" xfId="8896"/>
    <cellStyle name="쉼표 [0] 6 5 2 2 5 2" xfId="22124"/>
    <cellStyle name="쉼표 [0] 6 5 2 2 6" xfId="18291"/>
    <cellStyle name="쉼표 [0] 6 5 2 3" xfId="5682"/>
    <cellStyle name="쉼표 [0] 6 5 2 3 2" xfId="12325"/>
    <cellStyle name="쉼표 [0] 6 5 2 3 2 2" xfId="25553"/>
    <cellStyle name="쉼표 [0] 6 5 2 3 3" xfId="10416"/>
    <cellStyle name="쉼표 [0] 6 5 2 3 3 2" xfId="23644"/>
    <cellStyle name="쉼표 [0] 6 5 2 3 4" xfId="18921"/>
    <cellStyle name="쉼표 [0] 6 5 2 4" xfId="9415"/>
    <cellStyle name="쉼표 [0] 6 5 2 4 2" xfId="22643"/>
    <cellStyle name="쉼표 [0] 6 5 2 5" xfId="11683"/>
    <cellStyle name="쉼표 [0] 6 5 2 5 2" xfId="24911"/>
    <cellStyle name="쉼표 [0] 6 5 2 6" xfId="7148"/>
    <cellStyle name="쉼표 [0] 6 5 2 6 2" xfId="20376"/>
    <cellStyle name="쉼표 [0] 6 5 2 7" xfId="15088"/>
    <cellStyle name="쉼표 [0] 6 5 3" xfId="5086"/>
    <cellStyle name="쉼표 [0] 6 5 3 2" xfId="5988"/>
    <cellStyle name="쉼표 [0] 6 5 3 2 2" xfId="12541"/>
    <cellStyle name="쉼표 [0] 6 5 3 2 2 2" xfId="25769"/>
    <cellStyle name="쉼표 [0] 6 5 3 2 3" xfId="10722"/>
    <cellStyle name="쉼표 [0] 6 5 3 2 3 2" xfId="23950"/>
    <cellStyle name="쉼표 [0] 6 5 3 2 4" xfId="19227"/>
    <cellStyle name="쉼표 [0] 6 5 3 3" xfId="10023"/>
    <cellStyle name="쉼표 [0] 6 5 3 3 2" xfId="23251"/>
    <cellStyle name="쉼표 [0] 6 5 3 4" xfId="11957"/>
    <cellStyle name="쉼표 [0] 6 5 3 4 2" xfId="25185"/>
    <cellStyle name="쉼표 [0] 6 5 3 5" xfId="8956"/>
    <cellStyle name="쉼표 [0] 6 5 3 5 2" xfId="22184"/>
    <cellStyle name="쉼표 [0] 6 5 3 6" xfId="18353"/>
    <cellStyle name="쉼표 [0] 6 5 4" xfId="3179"/>
    <cellStyle name="쉼표 [0] 6 5 5" xfId="5539"/>
    <cellStyle name="쉼표 [0] 6 5 5 2" xfId="12182"/>
    <cellStyle name="쉼표 [0] 6 5 5 2 2" xfId="25410"/>
    <cellStyle name="쉼표 [0] 6 5 5 3" xfId="10273"/>
    <cellStyle name="쉼표 [0] 6 5 5 3 2" xfId="23501"/>
    <cellStyle name="쉼표 [0] 6 5 5 4" xfId="18778"/>
    <cellStyle name="쉼표 [0] 6 5 6" xfId="9272"/>
    <cellStyle name="쉼표 [0] 6 5 6 2" xfId="22500"/>
    <cellStyle name="쉼표 [0] 6 5 7" xfId="11540"/>
    <cellStyle name="쉼표 [0] 6 5 7 2" xfId="24768"/>
    <cellStyle name="쉼표 [0] 6 5 8" xfId="7004"/>
    <cellStyle name="쉼표 [0] 6 5 8 2" xfId="20232"/>
    <cellStyle name="쉼표 [0] 6 5 9" xfId="14942"/>
    <cellStyle name="쉼표 [0] 6 6" xfId="529"/>
    <cellStyle name="쉼표 [0] 6 6 2" xfId="675"/>
    <cellStyle name="쉼표 [0] 6 6 2 2" xfId="5025"/>
    <cellStyle name="쉼표 [0] 6 6 2 2 2" xfId="5931"/>
    <cellStyle name="쉼표 [0] 6 6 2 2 2 2" xfId="12484"/>
    <cellStyle name="쉼표 [0] 6 6 2 2 2 2 2" xfId="25712"/>
    <cellStyle name="쉼표 [0] 6 6 2 2 2 3" xfId="10665"/>
    <cellStyle name="쉼표 [0] 6 6 2 2 2 3 2" xfId="23893"/>
    <cellStyle name="쉼표 [0] 6 6 2 2 2 4" xfId="19170"/>
    <cellStyle name="쉼표 [0] 6 6 2 2 3" xfId="9964"/>
    <cellStyle name="쉼표 [0] 6 6 2 2 3 2" xfId="23192"/>
    <cellStyle name="쉼표 [0] 6 6 2 2 4" xfId="11900"/>
    <cellStyle name="쉼표 [0] 6 6 2 2 4 2" xfId="25128"/>
    <cellStyle name="쉼표 [0] 6 6 2 2 5" xfId="8897"/>
    <cellStyle name="쉼표 [0] 6 6 2 2 5 2" xfId="22125"/>
    <cellStyle name="쉼표 [0] 6 6 2 2 6" xfId="18292"/>
    <cellStyle name="쉼표 [0] 6 6 2 3" xfId="5683"/>
    <cellStyle name="쉼표 [0] 6 6 2 3 2" xfId="12326"/>
    <cellStyle name="쉼표 [0] 6 6 2 3 2 2" xfId="25554"/>
    <cellStyle name="쉼표 [0] 6 6 2 3 3" xfId="10417"/>
    <cellStyle name="쉼표 [0] 6 6 2 3 3 2" xfId="23645"/>
    <cellStyle name="쉼표 [0] 6 6 2 3 4" xfId="18922"/>
    <cellStyle name="쉼표 [0] 6 6 2 4" xfId="9416"/>
    <cellStyle name="쉼표 [0] 6 6 2 4 2" xfId="22644"/>
    <cellStyle name="쉼표 [0] 6 6 2 5" xfId="11684"/>
    <cellStyle name="쉼표 [0] 6 6 2 5 2" xfId="24912"/>
    <cellStyle name="쉼표 [0] 6 6 2 6" xfId="7149"/>
    <cellStyle name="쉼표 [0] 6 6 2 6 2" xfId="20377"/>
    <cellStyle name="쉼표 [0] 6 6 2 7" xfId="15089"/>
    <cellStyle name="쉼표 [0] 6 6 3" xfId="4952"/>
    <cellStyle name="쉼표 [0] 6 6 3 2" xfId="5860"/>
    <cellStyle name="쉼표 [0] 6 6 3 2 2" xfId="12413"/>
    <cellStyle name="쉼표 [0] 6 6 3 2 2 2" xfId="25641"/>
    <cellStyle name="쉼표 [0] 6 6 3 2 3" xfId="10594"/>
    <cellStyle name="쉼표 [0] 6 6 3 2 3 2" xfId="23822"/>
    <cellStyle name="쉼표 [0] 6 6 3 2 4" xfId="19099"/>
    <cellStyle name="쉼표 [0] 6 6 3 3" xfId="9893"/>
    <cellStyle name="쉼표 [0] 6 6 3 3 2" xfId="23121"/>
    <cellStyle name="쉼표 [0] 6 6 3 4" xfId="11829"/>
    <cellStyle name="쉼표 [0] 6 6 3 4 2" xfId="25057"/>
    <cellStyle name="쉼표 [0] 6 6 3 5" xfId="8825"/>
    <cellStyle name="쉼표 [0] 6 6 3 5 2" xfId="22053"/>
    <cellStyle name="쉼표 [0] 6 6 3 6" xfId="18219"/>
    <cellStyle name="쉼표 [0] 6 6 4" xfId="3180"/>
    <cellStyle name="쉼표 [0] 6 6 5" xfId="5540"/>
    <cellStyle name="쉼표 [0] 6 6 5 2" xfId="12183"/>
    <cellStyle name="쉼표 [0] 6 6 5 2 2" xfId="25411"/>
    <cellStyle name="쉼표 [0] 6 6 5 3" xfId="10274"/>
    <cellStyle name="쉼표 [0] 6 6 5 3 2" xfId="23502"/>
    <cellStyle name="쉼표 [0] 6 6 5 4" xfId="18779"/>
    <cellStyle name="쉼표 [0] 6 6 6" xfId="9273"/>
    <cellStyle name="쉼표 [0] 6 6 6 2" xfId="22501"/>
    <cellStyle name="쉼표 [0] 6 6 7" xfId="11541"/>
    <cellStyle name="쉼표 [0] 6 6 7 2" xfId="24769"/>
    <cellStyle name="쉼표 [0] 6 6 8" xfId="7005"/>
    <cellStyle name="쉼표 [0] 6 6 8 2" xfId="20233"/>
    <cellStyle name="쉼표 [0] 6 6 9" xfId="14943"/>
    <cellStyle name="쉼표 [0] 6 7" xfId="530"/>
    <cellStyle name="쉼표 [0] 6 7 2" xfId="676"/>
    <cellStyle name="쉼표 [0] 6 7 2 2" xfId="5026"/>
    <cellStyle name="쉼표 [0] 6 7 2 2 2" xfId="5932"/>
    <cellStyle name="쉼표 [0] 6 7 2 2 2 2" xfId="12485"/>
    <cellStyle name="쉼표 [0] 6 7 2 2 2 2 2" xfId="25713"/>
    <cellStyle name="쉼표 [0] 6 7 2 2 2 3" xfId="10666"/>
    <cellStyle name="쉼표 [0] 6 7 2 2 2 3 2" xfId="23894"/>
    <cellStyle name="쉼표 [0] 6 7 2 2 2 4" xfId="19171"/>
    <cellStyle name="쉼표 [0] 6 7 2 2 3" xfId="9965"/>
    <cellStyle name="쉼표 [0] 6 7 2 2 3 2" xfId="23193"/>
    <cellStyle name="쉼표 [0] 6 7 2 2 4" xfId="11901"/>
    <cellStyle name="쉼표 [0] 6 7 2 2 4 2" xfId="25129"/>
    <cellStyle name="쉼표 [0] 6 7 2 2 5" xfId="8898"/>
    <cellStyle name="쉼표 [0] 6 7 2 2 5 2" xfId="22126"/>
    <cellStyle name="쉼표 [0] 6 7 2 2 6" xfId="18293"/>
    <cellStyle name="쉼표 [0] 6 7 2 3" xfId="3182"/>
    <cellStyle name="쉼표 [0] 6 7 2 4" xfId="5684"/>
    <cellStyle name="쉼표 [0] 6 7 2 4 2" xfId="12327"/>
    <cellStyle name="쉼표 [0] 6 7 2 4 2 2" xfId="25555"/>
    <cellStyle name="쉼표 [0] 6 7 2 4 3" xfId="10418"/>
    <cellStyle name="쉼표 [0] 6 7 2 4 3 2" xfId="23646"/>
    <cellStyle name="쉼표 [0] 6 7 2 4 4" xfId="18923"/>
    <cellStyle name="쉼표 [0] 6 7 2 5" xfId="9417"/>
    <cellStyle name="쉼표 [0] 6 7 2 5 2" xfId="22645"/>
    <cellStyle name="쉼표 [0] 6 7 2 6" xfId="11685"/>
    <cellStyle name="쉼표 [0] 6 7 2 6 2" xfId="24913"/>
    <cellStyle name="쉼표 [0] 6 7 2 7" xfId="7150"/>
    <cellStyle name="쉼표 [0] 6 7 2 7 2" xfId="20378"/>
    <cellStyle name="쉼표 [0] 6 7 2 8" xfId="15090"/>
    <cellStyle name="쉼표 [0] 6 7 3" xfId="4953"/>
    <cellStyle name="쉼표 [0] 6 7 3 2" xfId="5861"/>
    <cellStyle name="쉼표 [0] 6 7 3 2 2" xfId="12414"/>
    <cellStyle name="쉼표 [0] 6 7 3 2 2 2" xfId="25642"/>
    <cellStyle name="쉼표 [0] 6 7 3 2 3" xfId="10595"/>
    <cellStyle name="쉼표 [0] 6 7 3 2 3 2" xfId="23823"/>
    <cellStyle name="쉼표 [0] 6 7 3 2 4" xfId="19100"/>
    <cellStyle name="쉼표 [0] 6 7 3 3" xfId="9894"/>
    <cellStyle name="쉼표 [0] 6 7 3 3 2" xfId="23122"/>
    <cellStyle name="쉼표 [0] 6 7 3 4" xfId="11830"/>
    <cellStyle name="쉼표 [0] 6 7 3 4 2" xfId="25058"/>
    <cellStyle name="쉼표 [0] 6 7 3 5" xfId="8826"/>
    <cellStyle name="쉼표 [0] 6 7 3 5 2" xfId="22054"/>
    <cellStyle name="쉼표 [0] 6 7 3 6" xfId="18220"/>
    <cellStyle name="쉼표 [0] 6 7 4" xfId="3181"/>
    <cellStyle name="쉼표 [0] 6 7 5" xfId="5541"/>
    <cellStyle name="쉼표 [0] 6 7 5 2" xfId="12184"/>
    <cellStyle name="쉼표 [0] 6 7 5 2 2" xfId="25412"/>
    <cellStyle name="쉼표 [0] 6 7 5 3" xfId="10275"/>
    <cellStyle name="쉼표 [0] 6 7 5 3 2" xfId="23503"/>
    <cellStyle name="쉼표 [0] 6 7 5 4" xfId="18780"/>
    <cellStyle name="쉼표 [0] 6 7 6" xfId="9274"/>
    <cellStyle name="쉼표 [0] 6 7 6 2" xfId="22502"/>
    <cellStyle name="쉼표 [0] 6 7 7" xfId="11542"/>
    <cellStyle name="쉼표 [0] 6 7 7 2" xfId="24770"/>
    <cellStyle name="쉼표 [0] 6 7 8" xfId="7006"/>
    <cellStyle name="쉼표 [0] 6 7 8 2" xfId="20234"/>
    <cellStyle name="쉼표 [0] 6 7 9" xfId="14944"/>
    <cellStyle name="쉼표 [0] 6 8" xfId="531"/>
    <cellStyle name="쉼표 [0] 6 8 2" xfId="677"/>
    <cellStyle name="쉼표 [0] 6 8 2 2" xfId="5027"/>
    <cellStyle name="쉼표 [0] 6 8 2 2 2" xfId="5933"/>
    <cellStyle name="쉼표 [0] 6 8 2 2 2 2" xfId="12486"/>
    <cellStyle name="쉼표 [0] 6 8 2 2 2 2 2" xfId="25714"/>
    <cellStyle name="쉼표 [0] 6 8 2 2 2 3" xfId="10667"/>
    <cellStyle name="쉼표 [0] 6 8 2 2 2 3 2" xfId="23895"/>
    <cellStyle name="쉼표 [0] 6 8 2 2 2 4" xfId="19172"/>
    <cellStyle name="쉼표 [0] 6 8 2 2 3" xfId="9966"/>
    <cellStyle name="쉼표 [0] 6 8 2 2 3 2" xfId="23194"/>
    <cellStyle name="쉼표 [0] 6 8 2 2 4" xfId="11902"/>
    <cellStyle name="쉼표 [0] 6 8 2 2 4 2" xfId="25130"/>
    <cellStyle name="쉼표 [0] 6 8 2 2 5" xfId="8899"/>
    <cellStyle name="쉼표 [0] 6 8 2 2 5 2" xfId="22127"/>
    <cellStyle name="쉼표 [0] 6 8 2 2 6" xfId="18294"/>
    <cellStyle name="쉼표 [0] 6 8 2 3" xfId="5685"/>
    <cellStyle name="쉼표 [0] 6 8 2 3 2" xfId="12328"/>
    <cellStyle name="쉼표 [0] 6 8 2 3 2 2" xfId="25556"/>
    <cellStyle name="쉼표 [0] 6 8 2 3 3" xfId="10419"/>
    <cellStyle name="쉼표 [0] 6 8 2 3 3 2" xfId="23647"/>
    <cellStyle name="쉼표 [0] 6 8 2 3 4" xfId="18924"/>
    <cellStyle name="쉼표 [0] 6 8 2 4" xfId="9418"/>
    <cellStyle name="쉼표 [0] 6 8 2 4 2" xfId="22646"/>
    <cellStyle name="쉼표 [0] 6 8 2 5" xfId="11686"/>
    <cellStyle name="쉼표 [0] 6 8 2 5 2" xfId="24914"/>
    <cellStyle name="쉼표 [0] 6 8 2 6" xfId="7151"/>
    <cellStyle name="쉼표 [0] 6 8 2 6 2" xfId="20379"/>
    <cellStyle name="쉼표 [0] 6 8 2 7" xfId="15091"/>
    <cellStyle name="쉼표 [0] 6 8 3" xfId="5089"/>
    <cellStyle name="쉼표 [0] 6 8 3 2" xfId="5991"/>
    <cellStyle name="쉼표 [0] 6 8 3 2 2" xfId="12544"/>
    <cellStyle name="쉼표 [0] 6 8 3 2 2 2" xfId="25772"/>
    <cellStyle name="쉼표 [0] 6 8 3 2 3" xfId="10725"/>
    <cellStyle name="쉼표 [0] 6 8 3 2 3 2" xfId="23953"/>
    <cellStyle name="쉼표 [0] 6 8 3 2 4" xfId="19230"/>
    <cellStyle name="쉼표 [0] 6 8 3 3" xfId="10026"/>
    <cellStyle name="쉼표 [0] 6 8 3 3 2" xfId="23254"/>
    <cellStyle name="쉼표 [0] 6 8 3 4" xfId="11960"/>
    <cellStyle name="쉼표 [0] 6 8 3 4 2" xfId="25188"/>
    <cellStyle name="쉼표 [0] 6 8 3 5" xfId="8959"/>
    <cellStyle name="쉼표 [0] 6 8 3 5 2" xfId="22187"/>
    <cellStyle name="쉼표 [0] 6 8 3 6" xfId="18356"/>
    <cellStyle name="쉼표 [0] 6 8 4" xfId="5542"/>
    <cellStyle name="쉼표 [0] 6 8 4 2" xfId="12185"/>
    <cellStyle name="쉼표 [0] 6 8 4 2 2" xfId="25413"/>
    <cellStyle name="쉼표 [0] 6 8 4 3" xfId="10276"/>
    <cellStyle name="쉼표 [0] 6 8 4 3 2" xfId="23504"/>
    <cellStyle name="쉼표 [0] 6 8 4 4" xfId="18781"/>
    <cellStyle name="쉼표 [0] 6 8 5" xfId="9275"/>
    <cellStyle name="쉼표 [0] 6 8 5 2" xfId="22503"/>
    <cellStyle name="쉼표 [0] 6 8 6" xfId="11543"/>
    <cellStyle name="쉼표 [0] 6 8 6 2" xfId="24771"/>
    <cellStyle name="쉼표 [0] 6 8 7" xfId="7007"/>
    <cellStyle name="쉼표 [0] 6 8 7 2" xfId="20235"/>
    <cellStyle name="쉼표 [0] 6 8 8" xfId="14945"/>
    <cellStyle name="쉼표 [0] 6 9" xfId="4877"/>
    <cellStyle name="쉼표 [0] 6_20071105_발주의뢰서_신영_EKP발주의 건" xfId="53969"/>
    <cellStyle name="쉼표 [0] 7" xfId="245"/>
    <cellStyle name="쉼표 [0] 7 10" xfId="3183"/>
    <cellStyle name="쉼표 [0] 7 11" xfId="51353"/>
    <cellStyle name="쉼표 [0] 7 2" xfId="532"/>
    <cellStyle name="쉼표 [0] 7 2 2" xfId="678"/>
    <cellStyle name="쉼표 [0] 7 2 2 2" xfId="5028"/>
    <cellStyle name="쉼표 [0] 7 2 2 2 2" xfId="5934"/>
    <cellStyle name="쉼표 [0] 7 2 2 2 2 2" xfId="12487"/>
    <cellStyle name="쉼표 [0] 7 2 2 2 2 2 2" xfId="25715"/>
    <cellStyle name="쉼표 [0] 7 2 2 2 2 3" xfId="10668"/>
    <cellStyle name="쉼표 [0] 7 2 2 2 2 3 2" xfId="23896"/>
    <cellStyle name="쉼표 [0] 7 2 2 2 2 4" xfId="19173"/>
    <cellStyle name="쉼표 [0] 7 2 2 2 3" xfId="9967"/>
    <cellStyle name="쉼표 [0] 7 2 2 2 3 2" xfId="23195"/>
    <cellStyle name="쉼표 [0] 7 2 2 2 4" xfId="11903"/>
    <cellStyle name="쉼표 [0] 7 2 2 2 4 2" xfId="25131"/>
    <cellStyle name="쉼표 [0] 7 2 2 2 5" xfId="8900"/>
    <cellStyle name="쉼표 [0] 7 2 2 2 5 2" xfId="22128"/>
    <cellStyle name="쉼표 [0] 7 2 2 2 6" xfId="18295"/>
    <cellStyle name="쉼표 [0] 7 2 2 3" xfId="3185"/>
    <cellStyle name="쉼표 [0] 7 2 2 4" xfId="5686"/>
    <cellStyle name="쉼표 [0] 7 2 2 4 2" xfId="12329"/>
    <cellStyle name="쉼표 [0] 7 2 2 4 2 2" xfId="25557"/>
    <cellStyle name="쉼표 [0] 7 2 2 4 3" xfId="10420"/>
    <cellStyle name="쉼표 [0] 7 2 2 4 3 2" xfId="23648"/>
    <cellStyle name="쉼표 [0] 7 2 2 4 4" xfId="18925"/>
    <cellStyle name="쉼표 [0] 7 2 2 5" xfId="9419"/>
    <cellStyle name="쉼표 [0] 7 2 2 5 2" xfId="22647"/>
    <cellStyle name="쉼표 [0] 7 2 2 6" xfId="11687"/>
    <cellStyle name="쉼표 [0] 7 2 2 6 2" xfId="24915"/>
    <cellStyle name="쉼표 [0] 7 2 2 7" xfId="7152"/>
    <cellStyle name="쉼표 [0] 7 2 2 7 2" xfId="20380"/>
    <cellStyle name="쉼표 [0] 7 2 2 8" xfId="15092"/>
    <cellStyle name="쉼표 [0] 7 2 3" xfId="5165"/>
    <cellStyle name="쉼표 [0] 7 2 3 2" xfId="6065"/>
    <cellStyle name="쉼표 [0] 7 2 3 2 2" xfId="12618"/>
    <cellStyle name="쉼표 [0] 7 2 3 2 2 2" xfId="25846"/>
    <cellStyle name="쉼표 [0] 7 2 3 2 3" xfId="10799"/>
    <cellStyle name="쉼표 [0] 7 2 3 2 3 2" xfId="24027"/>
    <cellStyle name="쉼표 [0] 7 2 3 2 4" xfId="19304"/>
    <cellStyle name="쉼표 [0] 7 2 3 3" xfId="10100"/>
    <cellStyle name="쉼표 [0] 7 2 3 3 2" xfId="23328"/>
    <cellStyle name="쉼표 [0] 7 2 3 4" xfId="12034"/>
    <cellStyle name="쉼표 [0] 7 2 3 4 2" xfId="25262"/>
    <cellStyle name="쉼표 [0] 7 2 3 5" xfId="9033"/>
    <cellStyle name="쉼표 [0] 7 2 3 5 2" xfId="22261"/>
    <cellStyle name="쉼표 [0] 7 2 3 6" xfId="18431"/>
    <cellStyle name="쉼표 [0] 7 2 4" xfId="3184"/>
    <cellStyle name="쉼표 [0] 7 2 5" xfId="5543"/>
    <cellStyle name="쉼표 [0] 7 2 5 2" xfId="12186"/>
    <cellStyle name="쉼표 [0] 7 2 5 2 2" xfId="25414"/>
    <cellStyle name="쉼표 [0] 7 2 5 3" xfId="10277"/>
    <cellStyle name="쉼표 [0] 7 2 5 3 2" xfId="23505"/>
    <cellStyle name="쉼표 [0] 7 2 5 4" xfId="18782"/>
    <cellStyle name="쉼표 [0] 7 2 6" xfId="9276"/>
    <cellStyle name="쉼표 [0] 7 2 6 2" xfId="22504"/>
    <cellStyle name="쉼표 [0] 7 2 7" xfId="11544"/>
    <cellStyle name="쉼표 [0] 7 2 7 2" xfId="24772"/>
    <cellStyle name="쉼표 [0] 7 2 8" xfId="7008"/>
    <cellStyle name="쉼표 [0] 7 2 8 2" xfId="20236"/>
    <cellStyle name="쉼표 [0] 7 2 9" xfId="14946"/>
    <cellStyle name="쉼표 [0] 7 3" xfId="533"/>
    <cellStyle name="쉼표 [0] 7 3 2" xfId="679"/>
    <cellStyle name="쉼표 [0] 7 3 2 2" xfId="5057"/>
    <cellStyle name="쉼표 [0] 7 3 2 2 2" xfId="5959"/>
    <cellStyle name="쉼표 [0] 7 3 2 2 2 2" xfId="12512"/>
    <cellStyle name="쉼표 [0] 7 3 2 2 2 2 2" xfId="25740"/>
    <cellStyle name="쉼표 [0] 7 3 2 2 2 3" xfId="10693"/>
    <cellStyle name="쉼표 [0] 7 3 2 2 2 3 2" xfId="23921"/>
    <cellStyle name="쉼표 [0] 7 3 2 2 2 4" xfId="19198"/>
    <cellStyle name="쉼표 [0] 7 3 2 2 3" xfId="9994"/>
    <cellStyle name="쉼표 [0] 7 3 2 2 3 2" xfId="23222"/>
    <cellStyle name="쉼표 [0] 7 3 2 2 4" xfId="11928"/>
    <cellStyle name="쉼표 [0] 7 3 2 2 4 2" xfId="25156"/>
    <cellStyle name="쉼표 [0] 7 3 2 2 5" xfId="8927"/>
    <cellStyle name="쉼표 [0] 7 3 2 2 5 2" xfId="22155"/>
    <cellStyle name="쉼표 [0] 7 3 2 2 6" xfId="18324"/>
    <cellStyle name="쉼표 [0] 7 3 2 3" xfId="5687"/>
    <cellStyle name="쉼표 [0] 7 3 2 3 2" xfId="12330"/>
    <cellStyle name="쉼표 [0] 7 3 2 3 2 2" xfId="25558"/>
    <cellStyle name="쉼표 [0] 7 3 2 3 3" xfId="10421"/>
    <cellStyle name="쉼표 [0] 7 3 2 3 3 2" xfId="23649"/>
    <cellStyle name="쉼표 [0] 7 3 2 3 4" xfId="18926"/>
    <cellStyle name="쉼표 [0] 7 3 2 4" xfId="9420"/>
    <cellStyle name="쉼표 [0] 7 3 2 4 2" xfId="22648"/>
    <cellStyle name="쉼표 [0] 7 3 2 5" xfId="11688"/>
    <cellStyle name="쉼표 [0] 7 3 2 5 2" xfId="24916"/>
    <cellStyle name="쉼표 [0] 7 3 2 6" xfId="7153"/>
    <cellStyle name="쉼표 [0] 7 3 2 6 2" xfId="20381"/>
    <cellStyle name="쉼표 [0] 7 3 2 7" xfId="15093"/>
    <cellStyle name="쉼표 [0] 7 3 3" xfId="5088"/>
    <cellStyle name="쉼표 [0] 7 3 3 2" xfId="5990"/>
    <cellStyle name="쉼표 [0] 7 3 3 2 2" xfId="12543"/>
    <cellStyle name="쉼표 [0] 7 3 3 2 2 2" xfId="25771"/>
    <cellStyle name="쉼표 [0] 7 3 3 2 3" xfId="10724"/>
    <cellStyle name="쉼표 [0] 7 3 3 2 3 2" xfId="23952"/>
    <cellStyle name="쉼표 [0] 7 3 3 2 4" xfId="19229"/>
    <cellStyle name="쉼표 [0] 7 3 3 3" xfId="10025"/>
    <cellStyle name="쉼표 [0] 7 3 3 3 2" xfId="23253"/>
    <cellStyle name="쉼표 [0] 7 3 3 4" xfId="11959"/>
    <cellStyle name="쉼표 [0] 7 3 3 4 2" xfId="25187"/>
    <cellStyle name="쉼표 [0] 7 3 3 5" xfId="8958"/>
    <cellStyle name="쉼표 [0] 7 3 3 5 2" xfId="22186"/>
    <cellStyle name="쉼표 [0] 7 3 3 6" xfId="18355"/>
    <cellStyle name="쉼표 [0] 7 3 4" xfId="5544"/>
    <cellStyle name="쉼표 [0] 7 3 4 2" xfId="12187"/>
    <cellStyle name="쉼표 [0] 7 3 4 2 2" xfId="25415"/>
    <cellStyle name="쉼표 [0] 7 3 4 3" xfId="10278"/>
    <cellStyle name="쉼표 [0] 7 3 4 3 2" xfId="23506"/>
    <cellStyle name="쉼표 [0] 7 3 4 4" xfId="18783"/>
    <cellStyle name="쉼표 [0] 7 3 5" xfId="9277"/>
    <cellStyle name="쉼표 [0] 7 3 5 2" xfId="22505"/>
    <cellStyle name="쉼표 [0] 7 3 6" xfId="11545"/>
    <cellStyle name="쉼표 [0] 7 3 6 2" xfId="24773"/>
    <cellStyle name="쉼표 [0] 7 3 7" xfId="7009"/>
    <cellStyle name="쉼표 [0] 7 3 7 2" xfId="20237"/>
    <cellStyle name="쉼표 [0] 7 3 8" xfId="14947"/>
    <cellStyle name="쉼표 [0] 7 4" xfId="534"/>
    <cellStyle name="쉼표 [0] 7 4 2" xfId="680"/>
    <cellStyle name="쉼표 [0] 7 4 2 2" xfId="5188"/>
    <cellStyle name="쉼표 [0] 7 4 2 2 2" xfId="6088"/>
    <cellStyle name="쉼표 [0] 7 4 2 2 2 2" xfId="12641"/>
    <cellStyle name="쉼표 [0] 7 4 2 2 2 2 2" xfId="25869"/>
    <cellStyle name="쉼표 [0] 7 4 2 2 2 3" xfId="10822"/>
    <cellStyle name="쉼표 [0] 7 4 2 2 2 3 2" xfId="24050"/>
    <cellStyle name="쉼표 [0] 7 4 2 2 2 4" xfId="19327"/>
    <cellStyle name="쉼표 [0] 7 4 2 2 3" xfId="10123"/>
    <cellStyle name="쉼표 [0] 7 4 2 2 3 2" xfId="23351"/>
    <cellStyle name="쉼표 [0] 7 4 2 2 4" xfId="12057"/>
    <cellStyle name="쉼표 [0] 7 4 2 2 4 2" xfId="25285"/>
    <cellStyle name="쉼표 [0] 7 4 2 2 5" xfId="9056"/>
    <cellStyle name="쉼표 [0] 7 4 2 2 5 2" xfId="22284"/>
    <cellStyle name="쉼표 [0] 7 4 2 2 6" xfId="18454"/>
    <cellStyle name="쉼표 [0] 7 4 2 3" xfId="5688"/>
    <cellStyle name="쉼표 [0] 7 4 2 3 2" xfId="12331"/>
    <cellStyle name="쉼표 [0] 7 4 2 3 2 2" xfId="25559"/>
    <cellStyle name="쉼표 [0] 7 4 2 3 3" xfId="10422"/>
    <cellStyle name="쉼표 [0] 7 4 2 3 3 2" xfId="23650"/>
    <cellStyle name="쉼표 [0] 7 4 2 3 4" xfId="18927"/>
    <cellStyle name="쉼표 [0] 7 4 2 4" xfId="9421"/>
    <cellStyle name="쉼표 [0] 7 4 2 4 2" xfId="22649"/>
    <cellStyle name="쉼표 [0] 7 4 2 5" xfId="11689"/>
    <cellStyle name="쉼표 [0] 7 4 2 5 2" xfId="24917"/>
    <cellStyle name="쉼표 [0] 7 4 2 6" xfId="7154"/>
    <cellStyle name="쉼표 [0] 7 4 2 6 2" xfId="20382"/>
    <cellStyle name="쉼표 [0] 7 4 2 7" xfId="15094"/>
    <cellStyle name="쉼표 [0] 7 4 3" xfId="4954"/>
    <cellStyle name="쉼표 [0] 7 4 3 2" xfId="5862"/>
    <cellStyle name="쉼표 [0] 7 4 3 2 2" xfId="12415"/>
    <cellStyle name="쉼표 [0] 7 4 3 2 2 2" xfId="25643"/>
    <cellStyle name="쉼표 [0] 7 4 3 2 3" xfId="10596"/>
    <cellStyle name="쉼표 [0] 7 4 3 2 3 2" xfId="23824"/>
    <cellStyle name="쉼표 [0] 7 4 3 2 4" xfId="19101"/>
    <cellStyle name="쉼표 [0] 7 4 3 3" xfId="9895"/>
    <cellStyle name="쉼표 [0] 7 4 3 3 2" xfId="23123"/>
    <cellStyle name="쉼표 [0] 7 4 3 4" xfId="11831"/>
    <cellStyle name="쉼표 [0] 7 4 3 4 2" xfId="25059"/>
    <cellStyle name="쉼표 [0] 7 4 3 5" xfId="8827"/>
    <cellStyle name="쉼표 [0] 7 4 3 5 2" xfId="22055"/>
    <cellStyle name="쉼표 [0] 7 4 3 6" xfId="18221"/>
    <cellStyle name="쉼표 [0] 7 4 4" xfId="5545"/>
    <cellStyle name="쉼표 [0] 7 4 4 2" xfId="12188"/>
    <cellStyle name="쉼표 [0] 7 4 4 2 2" xfId="25416"/>
    <cellStyle name="쉼표 [0] 7 4 4 3" xfId="10279"/>
    <cellStyle name="쉼표 [0] 7 4 4 3 2" xfId="23507"/>
    <cellStyle name="쉼표 [0] 7 4 4 4" xfId="18784"/>
    <cellStyle name="쉼표 [0] 7 4 5" xfId="9278"/>
    <cellStyle name="쉼표 [0] 7 4 5 2" xfId="22506"/>
    <cellStyle name="쉼표 [0] 7 4 6" xfId="11546"/>
    <cellStyle name="쉼표 [0] 7 4 6 2" xfId="24774"/>
    <cellStyle name="쉼표 [0] 7 4 7" xfId="7010"/>
    <cellStyle name="쉼표 [0] 7 4 7 2" xfId="20238"/>
    <cellStyle name="쉼표 [0] 7 4 8" xfId="14948"/>
    <cellStyle name="쉼표 [0] 7 5" xfId="535"/>
    <cellStyle name="쉼표 [0] 7 5 2" xfId="681"/>
    <cellStyle name="쉼표 [0] 7 5 2 2" xfId="5029"/>
    <cellStyle name="쉼표 [0] 7 5 2 2 2" xfId="5935"/>
    <cellStyle name="쉼표 [0] 7 5 2 2 2 2" xfId="12488"/>
    <cellStyle name="쉼표 [0] 7 5 2 2 2 2 2" xfId="25716"/>
    <cellStyle name="쉼표 [0] 7 5 2 2 2 3" xfId="10669"/>
    <cellStyle name="쉼표 [0] 7 5 2 2 2 3 2" xfId="23897"/>
    <cellStyle name="쉼표 [0] 7 5 2 2 2 4" xfId="19174"/>
    <cellStyle name="쉼표 [0] 7 5 2 2 3" xfId="9968"/>
    <cellStyle name="쉼표 [0] 7 5 2 2 3 2" xfId="23196"/>
    <cellStyle name="쉼표 [0] 7 5 2 2 4" xfId="11904"/>
    <cellStyle name="쉼표 [0] 7 5 2 2 4 2" xfId="25132"/>
    <cellStyle name="쉼표 [0] 7 5 2 2 5" xfId="8901"/>
    <cellStyle name="쉼표 [0] 7 5 2 2 5 2" xfId="22129"/>
    <cellStyle name="쉼표 [0] 7 5 2 2 6" xfId="18296"/>
    <cellStyle name="쉼표 [0] 7 5 2 3" xfId="5689"/>
    <cellStyle name="쉼표 [0] 7 5 2 3 2" xfId="12332"/>
    <cellStyle name="쉼표 [0] 7 5 2 3 2 2" xfId="25560"/>
    <cellStyle name="쉼표 [0] 7 5 2 3 3" xfId="10423"/>
    <cellStyle name="쉼표 [0] 7 5 2 3 3 2" xfId="23651"/>
    <cellStyle name="쉼표 [0] 7 5 2 3 4" xfId="18928"/>
    <cellStyle name="쉼표 [0] 7 5 2 4" xfId="9422"/>
    <cellStyle name="쉼표 [0] 7 5 2 4 2" xfId="22650"/>
    <cellStyle name="쉼표 [0] 7 5 2 5" xfId="11690"/>
    <cellStyle name="쉼표 [0] 7 5 2 5 2" xfId="24918"/>
    <cellStyle name="쉼표 [0] 7 5 2 6" xfId="7155"/>
    <cellStyle name="쉼표 [0] 7 5 2 6 2" xfId="20383"/>
    <cellStyle name="쉼표 [0] 7 5 2 7" xfId="15095"/>
    <cellStyle name="쉼표 [0] 7 5 3" xfId="4955"/>
    <cellStyle name="쉼표 [0] 7 5 3 2" xfId="5863"/>
    <cellStyle name="쉼표 [0] 7 5 3 2 2" xfId="12416"/>
    <cellStyle name="쉼표 [0] 7 5 3 2 2 2" xfId="25644"/>
    <cellStyle name="쉼표 [0] 7 5 3 2 3" xfId="10597"/>
    <cellStyle name="쉼표 [0] 7 5 3 2 3 2" xfId="23825"/>
    <cellStyle name="쉼표 [0] 7 5 3 2 4" xfId="19102"/>
    <cellStyle name="쉼표 [0] 7 5 3 3" xfId="9896"/>
    <cellStyle name="쉼표 [0] 7 5 3 3 2" xfId="23124"/>
    <cellStyle name="쉼표 [0] 7 5 3 4" xfId="11832"/>
    <cellStyle name="쉼표 [0] 7 5 3 4 2" xfId="25060"/>
    <cellStyle name="쉼표 [0] 7 5 3 5" xfId="8828"/>
    <cellStyle name="쉼표 [0] 7 5 3 5 2" xfId="22056"/>
    <cellStyle name="쉼표 [0] 7 5 3 6" xfId="18222"/>
    <cellStyle name="쉼표 [0] 7 5 4" xfId="5546"/>
    <cellStyle name="쉼표 [0] 7 5 4 2" xfId="12189"/>
    <cellStyle name="쉼표 [0] 7 5 4 2 2" xfId="25417"/>
    <cellStyle name="쉼표 [0] 7 5 4 3" xfId="10280"/>
    <cellStyle name="쉼표 [0] 7 5 4 3 2" xfId="23508"/>
    <cellStyle name="쉼표 [0] 7 5 4 4" xfId="18785"/>
    <cellStyle name="쉼표 [0] 7 5 5" xfId="9279"/>
    <cellStyle name="쉼표 [0] 7 5 5 2" xfId="22507"/>
    <cellStyle name="쉼표 [0] 7 5 6" xfId="11547"/>
    <cellStyle name="쉼표 [0] 7 5 6 2" xfId="24775"/>
    <cellStyle name="쉼표 [0] 7 5 7" xfId="7011"/>
    <cellStyle name="쉼표 [0] 7 5 7 2" xfId="20239"/>
    <cellStyle name="쉼표 [0] 7 5 8" xfId="14949"/>
    <cellStyle name="쉼표 [0] 7 6" xfId="536"/>
    <cellStyle name="쉼표 [0] 7 6 2" xfId="682"/>
    <cellStyle name="쉼표 [0] 7 6 2 2" xfId="5030"/>
    <cellStyle name="쉼표 [0] 7 6 2 2 2" xfId="5936"/>
    <cellStyle name="쉼표 [0] 7 6 2 2 2 2" xfId="12489"/>
    <cellStyle name="쉼표 [0] 7 6 2 2 2 2 2" xfId="25717"/>
    <cellStyle name="쉼표 [0] 7 6 2 2 2 3" xfId="10670"/>
    <cellStyle name="쉼표 [0] 7 6 2 2 2 3 2" xfId="23898"/>
    <cellStyle name="쉼표 [0] 7 6 2 2 2 4" xfId="19175"/>
    <cellStyle name="쉼표 [0] 7 6 2 2 3" xfId="9969"/>
    <cellStyle name="쉼표 [0] 7 6 2 2 3 2" xfId="23197"/>
    <cellStyle name="쉼표 [0] 7 6 2 2 4" xfId="11905"/>
    <cellStyle name="쉼표 [0] 7 6 2 2 4 2" xfId="25133"/>
    <cellStyle name="쉼표 [0] 7 6 2 2 5" xfId="8902"/>
    <cellStyle name="쉼표 [0] 7 6 2 2 5 2" xfId="22130"/>
    <cellStyle name="쉼표 [0] 7 6 2 2 6" xfId="18297"/>
    <cellStyle name="쉼표 [0] 7 6 2 3" xfId="5690"/>
    <cellStyle name="쉼표 [0] 7 6 2 3 2" xfId="12333"/>
    <cellStyle name="쉼표 [0] 7 6 2 3 2 2" xfId="25561"/>
    <cellStyle name="쉼표 [0] 7 6 2 3 3" xfId="10424"/>
    <cellStyle name="쉼표 [0] 7 6 2 3 3 2" xfId="23652"/>
    <cellStyle name="쉼표 [0] 7 6 2 3 4" xfId="18929"/>
    <cellStyle name="쉼표 [0] 7 6 2 4" xfId="9423"/>
    <cellStyle name="쉼표 [0] 7 6 2 4 2" xfId="22651"/>
    <cellStyle name="쉼표 [0] 7 6 2 5" xfId="11691"/>
    <cellStyle name="쉼표 [0] 7 6 2 5 2" xfId="24919"/>
    <cellStyle name="쉼표 [0] 7 6 2 6" xfId="7156"/>
    <cellStyle name="쉼표 [0] 7 6 2 6 2" xfId="20384"/>
    <cellStyle name="쉼표 [0] 7 6 2 7" xfId="15096"/>
    <cellStyle name="쉼표 [0] 7 6 3" xfId="5133"/>
    <cellStyle name="쉼표 [0] 7 6 3 2" xfId="6034"/>
    <cellStyle name="쉼표 [0] 7 6 3 2 2" xfId="12587"/>
    <cellStyle name="쉼표 [0] 7 6 3 2 2 2" xfId="25815"/>
    <cellStyle name="쉼표 [0] 7 6 3 2 3" xfId="10768"/>
    <cellStyle name="쉼표 [0] 7 6 3 2 3 2" xfId="23996"/>
    <cellStyle name="쉼표 [0] 7 6 3 2 4" xfId="19273"/>
    <cellStyle name="쉼표 [0] 7 6 3 3" xfId="10069"/>
    <cellStyle name="쉼표 [0] 7 6 3 3 2" xfId="23297"/>
    <cellStyle name="쉼표 [0] 7 6 3 4" xfId="12003"/>
    <cellStyle name="쉼표 [0] 7 6 3 4 2" xfId="25231"/>
    <cellStyle name="쉼표 [0] 7 6 3 5" xfId="9002"/>
    <cellStyle name="쉼표 [0] 7 6 3 5 2" xfId="22230"/>
    <cellStyle name="쉼표 [0] 7 6 3 6" xfId="18399"/>
    <cellStyle name="쉼표 [0] 7 6 4" xfId="5547"/>
    <cellStyle name="쉼표 [0] 7 6 4 2" xfId="12190"/>
    <cellStyle name="쉼표 [0] 7 6 4 2 2" xfId="25418"/>
    <cellStyle name="쉼표 [0] 7 6 4 3" xfId="10281"/>
    <cellStyle name="쉼표 [0] 7 6 4 3 2" xfId="23509"/>
    <cellStyle name="쉼표 [0] 7 6 4 4" xfId="18786"/>
    <cellStyle name="쉼표 [0] 7 6 5" xfId="9280"/>
    <cellStyle name="쉼표 [0] 7 6 5 2" xfId="22508"/>
    <cellStyle name="쉼표 [0] 7 6 6" xfId="11548"/>
    <cellStyle name="쉼표 [0] 7 6 6 2" xfId="24776"/>
    <cellStyle name="쉼표 [0] 7 6 7" xfId="7012"/>
    <cellStyle name="쉼표 [0] 7 6 7 2" xfId="20240"/>
    <cellStyle name="쉼표 [0] 7 6 8" xfId="14950"/>
    <cellStyle name="쉼표 [0] 7 7" xfId="537"/>
    <cellStyle name="쉼표 [0] 7 7 2" xfId="683"/>
    <cellStyle name="쉼표 [0] 7 7 2 2" xfId="5123"/>
    <cellStyle name="쉼표 [0] 7 7 2 2 2" xfId="6025"/>
    <cellStyle name="쉼표 [0] 7 7 2 2 2 2" xfId="12578"/>
    <cellStyle name="쉼표 [0] 7 7 2 2 2 2 2" xfId="25806"/>
    <cellStyle name="쉼표 [0] 7 7 2 2 2 3" xfId="10759"/>
    <cellStyle name="쉼표 [0] 7 7 2 2 2 3 2" xfId="23987"/>
    <cellStyle name="쉼표 [0] 7 7 2 2 2 4" xfId="19264"/>
    <cellStyle name="쉼표 [0] 7 7 2 2 3" xfId="10060"/>
    <cellStyle name="쉼표 [0] 7 7 2 2 3 2" xfId="23288"/>
    <cellStyle name="쉼표 [0] 7 7 2 2 4" xfId="11994"/>
    <cellStyle name="쉼표 [0] 7 7 2 2 4 2" xfId="25222"/>
    <cellStyle name="쉼표 [0] 7 7 2 2 5" xfId="8993"/>
    <cellStyle name="쉼표 [0] 7 7 2 2 5 2" xfId="22221"/>
    <cellStyle name="쉼표 [0] 7 7 2 2 6" xfId="18390"/>
    <cellStyle name="쉼표 [0] 7 7 2 3" xfId="5691"/>
    <cellStyle name="쉼표 [0] 7 7 2 3 2" xfId="12334"/>
    <cellStyle name="쉼표 [0] 7 7 2 3 2 2" xfId="25562"/>
    <cellStyle name="쉼표 [0] 7 7 2 3 3" xfId="10425"/>
    <cellStyle name="쉼표 [0] 7 7 2 3 3 2" xfId="23653"/>
    <cellStyle name="쉼표 [0] 7 7 2 3 4" xfId="18930"/>
    <cellStyle name="쉼표 [0] 7 7 2 4" xfId="9424"/>
    <cellStyle name="쉼표 [0] 7 7 2 4 2" xfId="22652"/>
    <cellStyle name="쉼표 [0] 7 7 2 5" xfId="11692"/>
    <cellStyle name="쉼표 [0] 7 7 2 5 2" xfId="24920"/>
    <cellStyle name="쉼표 [0] 7 7 2 6" xfId="7157"/>
    <cellStyle name="쉼표 [0] 7 7 2 6 2" xfId="20385"/>
    <cellStyle name="쉼표 [0] 7 7 2 7" xfId="15097"/>
    <cellStyle name="쉼표 [0] 7 7 3" xfId="4956"/>
    <cellStyle name="쉼표 [0] 7 7 3 2" xfId="5864"/>
    <cellStyle name="쉼표 [0] 7 7 3 2 2" xfId="12417"/>
    <cellStyle name="쉼표 [0] 7 7 3 2 2 2" xfId="25645"/>
    <cellStyle name="쉼표 [0] 7 7 3 2 3" xfId="10598"/>
    <cellStyle name="쉼표 [0] 7 7 3 2 3 2" xfId="23826"/>
    <cellStyle name="쉼표 [0] 7 7 3 2 4" xfId="19103"/>
    <cellStyle name="쉼표 [0] 7 7 3 3" xfId="9897"/>
    <cellStyle name="쉼표 [0] 7 7 3 3 2" xfId="23125"/>
    <cellStyle name="쉼표 [0] 7 7 3 4" xfId="11833"/>
    <cellStyle name="쉼표 [0] 7 7 3 4 2" xfId="25061"/>
    <cellStyle name="쉼표 [0] 7 7 3 5" xfId="8829"/>
    <cellStyle name="쉼표 [0] 7 7 3 5 2" xfId="22057"/>
    <cellStyle name="쉼표 [0] 7 7 3 6" xfId="18223"/>
    <cellStyle name="쉼표 [0] 7 7 4" xfId="5548"/>
    <cellStyle name="쉼표 [0] 7 7 4 2" xfId="12191"/>
    <cellStyle name="쉼표 [0] 7 7 4 2 2" xfId="25419"/>
    <cellStyle name="쉼표 [0] 7 7 4 3" xfId="10282"/>
    <cellStyle name="쉼표 [0] 7 7 4 3 2" xfId="23510"/>
    <cellStyle name="쉼표 [0] 7 7 4 4" xfId="18787"/>
    <cellStyle name="쉼표 [0] 7 7 5" xfId="9281"/>
    <cellStyle name="쉼표 [0] 7 7 5 2" xfId="22509"/>
    <cellStyle name="쉼표 [0] 7 7 6" xfId="11549"/>
    <cellStyle name="쉼표 [0] 7 7 6 2" xfId="24777"/>
    <cellStyle name="쉼표 [0] 7 7 7" xfId="7013"/>
    <cellStyle name="쉼표 [0] 7 7 7 2" xfId="20241"/>
    <cellStyle name="쉼표 [0] 7 7 8" xfId="14951"/>
    <cellStyle name="쉼표 [0] 7 8" xfId="538"/>
    <cellStyle name="쉼표 [0] 7 8 2" xfId="684"/>
    <cellStyle name="쉼표 [0] 7 8 2 2" xfId="5189"/>
    <cellStyle name="쉼표 [0] 7 8 2 2 2" xfId="6089"/>
    <cellStyle name="쉼표 [0] 7 8 2 2 2 2" xfId="12642"/>
    <cellStyle name="쉼표 [0] 7 8 2 2 2 2 2" xfId="25870"/>
    <cellStyle name="쉼표 [0] 7 8 2 2 2 3" xfId="10823"/>
    <cellStyle name="쉼표 [0] 7 8 2 2 2 3 2" xfId="24051"/>
    <cellStyle name="쉼표 [0] 7 8 2 2 2 4" xfId="19328"/>
    <cellStyle name="쉼표 [0] 7 8 2 2 3" xfId="10124"/>
    <cellStyle name="쉼표 [0] 7 8 2 2 3 2" xfId="23352"/>
    <cellStyle name="쉼표 [0] 7 8 2 2 4" xfId="12058"/>
    <cellStyle name="쉼표 [0] 7 8 2 2 4 2" xfId="25286"/>
    <cellStyle name="쉼표 [0] 7 8 2 2 5" xfId="9057"/>
    <cellStyle name="쉼표 [0] 7 8 2 2 5 2" xfId="22285"/>
    <cellStyle name="쉼표 [0] 7 8 2 2 6" xfId="18455"/>
    <cellStyle name="쉼표 [0] 7 8 2 3" xfId="5692"/>
    <cellStyle name="쉼표 [0] 7 8 2 3 2" xfId="12335"/>
    <cellStyle name="쉼표 [0] 7 8 2 3 2 2" xfId="25563"/>
    <cellStyle name="쉼표 [0] 7 8 2 3 3" xfId="10426"/>
    <cellStyle name="쉼표 [0] 7 8 2 3 3 2" xfId="23654"/>
    <cellStyle name="쉼표 [0] 7 8 2 3 4" xfId="18931"/>
    <cellStyle name="쉼표 [0] 7 8 2 4" xfId="9425"/>
    <cellStyle name="쉼표 [0] 7 8 2 4 2" xfId="22653"/>
    <cellStyle name="쉼표 [0] 7 8 2 5" xfId="11693"/>
    <cellStyle name="쉼표 [0] 7 8 2 5 2" xfId="24921"/>
    <cellStyle name="쉼표 [0] 7 8 2 6" xfId="7158"/>
    <cellStyle name="쉼표 [0] 7 8 2 6 2" xfId="20386"/>
    <cellStyle name="쉼표 [0] 7 8 2 7" xfId="15098"/>
    <cellStyle name="쉼표 [0] 7 8 3" xfId="4957"/>
    <cellStyle name="쉼표 [0] 7 8 3 2" xfId="5865"/>
    <cellStyle name="쉼표 [0] 7 8 3 2 2" xfId="12418"/>
    <cellStyle name="쉼표 [0] 7 8 3 2 2 2" xfId="25646"/>
    <cellStyle name="쉼표 [0] 7 8 3 2 3" xfId="10599"/>
    <cellStyle name="쉼표 [0] 7 8 3 2 3 2" xfId="23827"/>
    <cellStyle name="쉼표 [0] 7 8 3 2 4" xfId="19104"/>
    <cellStyle name="쉼표 [0] 7 8 3 3" xfId="9898"/>
    <cellStyle name="쉼표 [0] 7 8 3 3 2" xfId="23126"/>
    <cellStyle name="쉼표 [0] 7 8 3 4" xfId="11834"/>
    <cellStyle name="쉼표 [0] 7 8 3 4 2" xfId="25062"/>
    <cellStyle name="쉼표 [0] 7 8 3 5" xfId="8830"/>
    <cellStyle name="쉼표 [0] 7 8 3 5 2" xfId="22058"/>
    <cellStyle name="쉼표 [0] 7 8 3 6" xfId="18224"/>
    <cellStyle name="쉼표 [0] 7 8 4" xfId="5549"/>
    <cellStyle name="쉼표 [0] 7 8 4 2" xfId="12192"/>
    <cellStyle name="쉼표 [0] 7 8 4 2 2" xfId="25420"/>
    <cellStyle name="쉼표 [0] 7 8 4 3" xfId="10283"/>
    <cellStyle name="쉼표 [0] 7 8 4 3 2" xfId="23511"/>
    <cellStyle name="쉼표 [0] 7 8 4 4" xfId="18788"/>
    <cellStyle name="쉼표 [0] 7 8 5" xfId="9282"/>
    <cellStyle name="쉼표 [0] 7 8 5 2" xfId="22510"/>
    <cellStyle name="쉼표 [0] 7 8 6" xfId="11550"/>
    <cellStyle name="쉼표 [0] 7 8 6 2" xfId="24778"/>
    <cellStyle name="쉼표 [0] 7 8 7" xfId="7014"/>
    <cellStyle name="쉼표 [0] 7 8 7 2" xfId="20242"/>
    <cellStyle name="쉼표 [0] 7 8 8" xfId="14952"/>
    <cellStyle name="쉼표 [0] 7 9" xfId="4878"/>
    <cellStyle name="쉼표 [0] 7_20071105_발주의뢰서_신영_EKP발주의 건" xfId="53970"/>
    <cellStyle name="쉼표 [0] 8" xfId="246"/>
    <cellStyle name="쉼표 [0] 8 10" xfId="53971"/>
    <cellStyle name="쉼표 [0] 8 11" xfId="53972"/>
    <cellStyle name="쉼표 [0] 8 2" xfId="539"/>
    <cellStyle name="쉼표 [0] 8 2 10" xfId="53973"/>
    <cellStyle name="쉼표 [0] 8 2 11" xfId="53974"/>
    <cellStyle name="쉼표 [0] 8 2 2" xfId="685"/>
    <cellStyle name="쉼표 [0] 8 2 2 2" xfId="5122"/>
    <cellStyle name="쉼표 [0] 8 2 2 2 2" xfId="6024"/>
    <cellStyle name="쉼표 [0] 8 2 2 2 2 2" xfId="12577"/>
    <cellStyle name="쉼표 [0] 8 2 2 2 2 2 2" xfId="25805"/>
    <cellStyle name="쉼표 [0] 8 2 2 2 2 3" xfId="10758"/>
    <cellStyle name="쉼표 [0] 8 2 2 2 2 3 2" xfId="23986"/>
    <cellStyle name="쉼표 [0] 8 2 2 2 2 4" xfId="19263"/>
    <cellStyle name="쉼표 [0] 8 2 2 2 3" xfId="10059"/>
    <cellStyle name="쉼표 [0] 8 2 2 2 3 2" xfId="23287"/>
    <cellStyle name="쉼표 [0] 8 2 2 2 4" xfId="11993"/>
    <cellStyle name="쉼표 [0] 8 2 2 2 4 2" xfId="25221"/>
    <cellStyle name="쉼표 [0] 8 2 2 2 5" xfId="8992"/>
    <cellStyle name="쉼표 [0] 8 2 2 2 5 2" xfId="22220"/>
    <cellStyle name="쉼표 [0] 8 2 2 2 6" xfId="18389"/>
    <cellStyle name="쉼표 [0] 8 2 2 3" xfId="5693"/>
    <cellStyle name="쉼표 [0] 8 2 2 3 2" xfId="12336"/>
    <cellStyle name="쉼표 [0] 8 2 2 3 2 2" xfId="25564"/>
    <cellStyle name="쉼표 [0] 8 2 2 3 3" xfId="10427"/>
    <cellStyle name="쉼표 [0] 8 2 2 3 3 2" xfId="23655"/>
    <cellStyle name="쉼표 [0] 8 2 2 3 4" xfId="18932"/>
    <cellStyle name="쉼표 [0] 8 2 2 4" xfId="9426"/>
    <cellStyle name="쉼표 [0] 8 2 2 4 2" xfId="22654"/>
    <cellStyle name="쉼표 [0] 8 2 2 5" xfId="11694"/>
    <cellStyle name="쉼표 [0] 8 2 2 5 2" xfId="24922"/>
    <cellStyle name="쉼표 [0] 8 2 2 6" xfId="7159"/>
    <cellStyle name="쉼표 [0] 8 2 2 6 2" xfId="20387"/>
    <cellStyle name="쉼표 [0] 8 2 2 7" xfId="15099"/>
    <cellStyle name="쉼표 [0] 8 2 3" xfId="4958"/>
    <cellStyle name="쉼표 [0] 8 2 3 2" xfId="5866"/>
    <cellStyle name="쉼표 [0] 8 2 3 2 2" xfId="12419"/>
    <cellStyle name="쉼표 [0] 8 2 3 2 2 2" xfId="25647"/>
    <cellStyle name="쉼표 [0] 8 2 3 2 3" xfId="10600"/>
    <cellStyle name="쉼표 [0] 8 2 3 2 3 2" xfId="23828"/>
    <cellStyle name="쉼표 [0] 8 2 3 2 4" xfId="19105"/>
    <cellStyle name="쉼표 [0] 8 2 3 3" xfId="9899"/>
    <cellStyle name="쉼표 [0] 8 2 3 3 2" xfId="23127"/>
    <cellStyle name="쉼표 [0] 8 2 3 4" xfId="11835"/>
    <cellStyle name="쉼표 [0] 8 2 3 4 2" xfId="25063"/>
    <cellStyle name="쉼표 [0] 8 2 3 5" xfId="8831"/>
    <cellStyle name="쉼표 [0] 8 2 3 5 2" xfId="22059"/>
    <cellStyle name="쉼표 [0] 8 2 3 6" xfId="18225"/>
    <cellStyle name="쉼표 [0] 8 2 4" xfId="3187"/>
    <cellStyle name="쉼표 [0] 8 2 5" xfId="5550"/>
    <cellStyle name="쉼표 [0] 8 2 5 2" xfId="12193"/>
    <cellStyle name="쉼표 [0] 8 2 5 2 2" xfId="25421"/>
    <cellStyle name="쉼표 [0] 8 2 5 3" xfId="10284"/>
    <cellStyle name="쉼표 [0] 8 2 5 3 2" xfId="23512"/>
    <cellStyle name="쉼표 [0] 8 2 5 4" xfId="18789"/>
    <cellStyle name="쉼표 [0] 8 2 6" xfId="9283"/>
    <cellStyle name="쉼표 [0] 8 2 6 2" xfId="22511"/>
    <cellStyle name="쉼표 [0] 8 2 7" xfId="11551"/>
    <cellStyle name="쉼표 [0] 8 2 7 2" xfId="24779"/>
    <cellStyle name="쉼표 [0] 8 2 8" xfId="7015"/>
    <cellStyle name="쉼표 [0] 8 2 8 2" xfId="20243"/>
    <cellStyle name="쉼표 [0] 8 2 9" xfId="14953"/>
    <cellStyle name="쉼표 [0] 8 3" xfId="540"/>
    <cellStyle name="쉼표 [0] 8 3 2" xfId="686"/>
    <cellStyle name="쉼표 [0] 8 3 2 2" xfId="5031"/>
    <cellStyle name="쉼표 [0] 8 3 2 2 2" xfId="5937"/>
    <cellStyle name="쉼표 [0] 8 3 2 2 2 2" xfId="12490"/>
    <cellStyle name="쉼표 [0] 8 3 2 2 2 2 2" xfId="25718"/>
    <cellStyle name="쉼표 [0] 8 3 2 2 2 3" xfId="10671"/>
    <cellStyle name="쉼표 [0] 8 3 2 2 2 3 2" xfId="23899"/>
    <cellStyle name="쉼표 [0] 8 3 2 2 2 4" xfId="19176"/>
    <cellStyle name="쉼표 [0] 8 3 2 2 3" xfId="9970"/>
    <cellStyle name="쉼표 [0] 8 3 2 2 3 2" xfId="23198"/>
    <cellStyle name="쉼표 [0] 8 3 2 2 4" xfId="11906"/>
    <cellStyle name="쉼표 [0] 8 3 2 2 4 2" xfId="25134"/>
    <cellStyle name="쉼표 [0] 8 3 2 2 5" xfId="8903"/>
    <cellStyle name="쉼표 [0] 8 3 2 2 5 2" xfId="22131"/>
    <cellStyle name="쉼표 [0] 8 3 2 2 6" xfId="18298"/>
    <cellStyle name="쉼표 [0] 8 3 2 3" xfId="5694"/>
    <cellStyle name="쉼표 [0] 8 3 2 3 2" xfId="12337"/>
    <cellStyle name="쉼표 [0] 8 3 2 3 2 2" xfId="25565"/>
    <cellStyle name="쉼표 [0] 8 3 2 3 3" xfId="10428"/>
    <cellStyle name="쉼표 [0] 8 3 2 3 3 2" xfId="23656"/>
    <cellStyle name="쉼표 [0] 8 3 2 3 4" xfId="18933"/>
    <cellStyle name="쉼표 [0] 8 3 2 4" xfId="9427"/>
    <cellStyle name="쉼표 [0] 8 3 2 4 2" xfId="22655"/>
    <cellStyle name="쉼표 [0] 8 3 2 5" xfId="11695"/>
    <cellStyle name="쉼표 [0] 8 3 2 5 2" xfId="24923"/>
    <cellStyle name="쉼표 [0] 8 3 2 6" xfId="7160"/>
    <cellStyle name="쉼표 [0] 8 3 2 6 2" xfId="20388"/>
    <cellStyle name="쉼표 [0] 8 3 2 7" xfId="15100"/>
    <cellStyle name="쉼표 [0] 8 3 3" xfId="4959"/>
    <cellStyle name="쉼표 [0] 8 3 3 2" xfId="5867"/>
    <cellStyle name="쉼표 [0] 8 3 3 2 2" xfId="12420"/>
    <cellStyle name="쉼표 [0] 8 3 3 2 2 2" xfId="25648"/>
    <cellStyle name="쉼표 [0] 8 3 3 2 3" xfId="10601"/>
    <cellStyle name="쉼표 [0] 8 3 3 2 3 2" xfId="23829"/>
    <cellStyle name="쉼표 [0] 8 3 3 2 4" xfId="19106"/>
    <cellStyle name="쉼표 [0] 8 3 3 3" xfId="9900"/>
    <cellStyle name="쉼표 [0] 8 3 3 3 2" xfId="23128"/>
    <cellStyle name="쉼표 [0] 8 3 3 4" xfId="11836"/>
    <cellStyle name="쉼표 [0] 8 3 3 4 2" xfId="25064"/>
    <cellStyle name="쉼표 [0] 8 3 3 5" xfId="8832"/>
    <cellStyle name="쉼표 [0] 8 3 3 5 2" xfId="22060"/>
    <cellStyle name="쉼표 [0] 8 3 3 6" xfId="18226"/>
    <cellStyle name="쉼표 [0] 8 3 4" xfId="5551"/>
    <cellStyle name="쉼표 [0] 8 3 4 2" xfId="12194"/>
    <cellStyle name="쉼표 [0] 8 3 4 2 2" xfId="25422"/>
    <cellStyle name="쉼표 [0] 8 3 4 3" xfId="10285"/>
    <cellStyle name="쉼표 [0] 8 3 4 3 2" xfId="23513"/>
    <cellStyle name="쉼표 [0] 8 3 4 4" xfId="18790"/>
    <cellStyle name="쉼표 [0] 8 3 5" xfId="9284"/>
    <cellStyle name="쉼표 [0] 8 3 5 2" xfId="22512"/>
    <cellStyle name="쉼표 [0] 8 3 6" xfId="11552"/>
    <cellStyle name="쉼표 [0] 8 3 6 2" xfId="24780"/>
    <cellStyle name="쉼표 [0] 8 3 7" xfId="7016"/>
    <cellStyle name="쉼표 [0] 8 3 7 2" xfId="20244"/>
    <cellStyle name="쉼표 [0] 8 3 8" xfId="14954"/>
    <cellStyle name="쉼표 [0] 8 4" xfId="541"/>
    <cellStyle name="쉼표 [0] 8 4 2" xfId="687"/>
    <cellStyle name="쉼표 [0] 8 4 2 2" xfId="5032"/>
    <cellStyle name="쉼표 [0] 8 4 2 2 2" xfId="5938"/>
    <cellStyle name="쉼표 [0] 8 4 2 2 2 2" xfId="12491"/>
    <cellStyle name="쉼표 [0] 8 4 2 2 2 2 2" xfId="25719"/>
    <cellStyle name="쉼표 [0] 8 4 2 2 2 3" xfId="10672"/>
    <cellStyle name="쉼표 [0] 8 4 2 2 2 3 2" xfId="23900"/>
    <cellStyle name="쉼표 [0] 8 4 2 2 2 4" xfId="19177"/>
    <cellStyle name="쉼표 [0] 8 4 2 2 3" xfId="9971"/>
    <cellStyle name="쉼표 [0] 8 4 2 2 3 2" xfId="23199"/>
    <cellStyle name="쉼표 [0] 8 4 2 2 4" xfId="11907"/>
    <cellStyle name="쉼표 [0] 8 4 2 2 4 2" xfId="25135"/>
    <cellStyle name="쉼표 [0] 8 4 2 2 5" xfId="8904"/>
    <cellStyle name="쉼표 [0] 8 4 2 2 5 2" xfId="22132"/>
    <cellStyle name="쉼표 [0] 8 4 2 2 6" xfId="18299"/>
    <cellStyle name="쉼표 [0] 8 4 2 3" xfId="5695"/>
    <cellStyle name="쉼표 [0] 8 4 2 3 2" xfId="12338"/>
    <cellStyle name="쉼표 [0] 8 4 2 3 2 2" xfId="25566"/>
    <cellStyle name="쉼표 [0] 8 4 2 3 3" xfId="10429"/>
    <cellStyle name="쉼표 [0] 8 4 2 3 3 2" xfId="23657"/>
    <cellStyle name="쉼표 [0] 8 4 2 3 4" xfId="18934"/>
    <cellStyle name="쉼표 [0] 8 4 2 4" xfId="9428"/>
    <cellStyle name="쉼표 [0] 8 4 2 4 2" xfId="22656"/>
    <cellStyle name="쉼표 [0] 8 4 2 5" xfId="11696"/>
    <cellStyle name="쉼표 [0] 8 4 2 5 2" xfId="24924"/>
    <cellStyle name="쉼표 [0] 8 4 2 6" xfId="7161"/>
    <cellStyle name="쉼표 [0] 8 4 2 6 2" xfId="20389"/>
    <cellStyle name="쉼표 [0] 8 4 2 7" xfId="15101"/>
    <cellStyle name="쉼표 [0] 8 4 3" xfId="4960"/>
    <cellStyle name="쉼표 [0] 8 4 3 2" xfId="5868"/>
    <cellStyle name="쉼표 [0] 8 4 3 2 2" xfId="12421"/>
    <cellStyle name="쉼표 [0] 8 4 3 2 2 2" xfId="25649"/>
    <cellStyle name="쉼표 [0] 8 4 3 2 3" xfId="10602"/>
    <cellStyle name="쉼표 [0] 8 4 3 2 3 2" xfId="23830"/>
    <cellStyle name="쉼표 [0] 8 4 3 2 4" xfId="19107"/>
    <cellStyle name="쉼표 [0] 8 4 3 3" xfId="9901"/>
    <cellStyle name="쉼표 [0] 8 4 3 3 2" xfId="23129"/>
    <cellStyle name="쉼표 [0] 8 4 3 4" xfId="11837"/>
    <cellStyle name="쉼표 [0] 8 4 3 4 2" xfId="25065"/>
    <cellStyle name="쉼표 [0] 8 4 3 5" xfId="8833"/>
    <cellStyle name="쉼표 [0] 8 4 3 5 2" xfId="22061"/>
    <cellStyle name="쉼표 [0] 8 4 3 6" xfId="18227"/>
    <cellStyle name="쉼표 [0] 8 4 4" xfId="5552"/>
    <cellStyle name="쉼표 [0] 8 4 4 2" xfId="12195"/>
    <cellStyle name="쉼표 [0] 8 4 4 2 2" xfId="25423"/>
    <cellStyle name="쉼표 [0] 8 4 4 3" xfId="10286"/>
    <cellStyle name="쉼표 [0] 8 4 4 3 2" xfId="23514"/>
    <cellStyle name="쉼표 [0] 8 4 4 4" xfId="18791"/>
    <cellStyle name="쉼표 [0] 8 4 5" xfId="9285"/>
    <cellStyle name="쉼표 [0] 8 4 5 2" xfId="22513"/>
    <cellStyle name="쉼표 [0] 8 4 6" xfId="11553"/>
    <cellStyle name="쉼표 [0] 8 4 6 2" xfId="24781"/>
    <cellStyle name="쉼표 [0] 8 4 7" xfId="7017"/>
    <cellStyle name="쉼표 [0] 8 4 7 2" xfId="20245"/>
    <cellStyle name="쉼표 [0] 8 4 8" xfId="14955"/>
    <cellStyle name="쉼표 [0] 8 5" xfId="542"/>
    <cellStyle name="쉼표 [0] 8 5 2" xfId="688"/>
    <cellStyle name="쉼표 [0] 8 5 2 2" xfId="5125"/>
    <cellStyle name="쉼표 [0] 8 5 2 2 2" xfId="6027"/>
    <cellStyle name="쉼표 [0] 8 5 2 2 2 2" xfId="12580"/>
    <cellStyle name="쉼표 [0] 8 5 2 2 2 2 2" xfId="25808"/>
    <cellStyle name="쉼표 [0] 8 5 2 2 2 3" xfId="10761"/>
    <cellStyle name="쉼표 [0] 8 5 2 2 2 3 2" xfId="23989"/>
    <cellStyle name="쉼표 [0] 8 5 2 2 2 4" xfId="19266"/>
    <cellStyle name="쉼표 [0] 8 5 2 2 3" xfId="10062"/>
    <cellStyle name="쉼표 [0] 8 5 2 2 3 2" xfId="23290"/>
    <cellStyle name="쉼표 [0] 8 5 2 2 4" xfId="11996"/>
    <cellStyle name="쉼표 [0] 8 5 2 2 4 2" xfId="25224"/>
    <cellStyle name="쉼표 [0] 8 5 2 2 5" xfId="8995"/>
    <cellStyle name="쉼표 [0] 8 5 2 2 5 2" xfId="22223"/>
    <cellStyle name="쉼표 [0] 8 5 2 2 6" xfId="18392"/>
    <cellStyle name="쉼표 [0] 8 5 2 3" xfId="5696"/>
    <cellStyle name="쉼표 [0] 8 5 2 3 2" xfId="12339"/>
    <cellStyle name="쉼표 [0] 8 5 2 3 2 2" xfId="25567"/>
    <cellStyle name="쉼표 [0] 8 5 2 3 3" xfId="10430"/>
    <cellStyle name="쉼표 [0] 8 5 2 3 3 2" xfId="23658"/>
    <cellStyle name="쉼표 [0] 8 5 2 3 4" xfId="18935"/>
    <cellStyle name="쉼표 [0] 8 5 2 4" xfId="9429"/>
    <cellStyle name="쉼표 [0] 8 5 2 4 2" xfId="22657"/>
    <cellStyle name="쉼표 [0] 8 5 2 5" xfId="11697"/>
    <cellStyle name="쉼표 [0] 8 5 2 5 2" xfId="24925"/>
    <cellStyle name="쉼표 [0] 8 5 2 6" xfId="7162"/>
    <cellStyle name="쉼표 [0] 8 5 2 6 2" xfId="20390"/>
    <cellStyle name="쉼표 [0] 8 5 2 7" xfId="15102"/>
    <cellStyle name="쉼표 [0] 8 5 3" xfId="5051"/>
    <cellStyle name="쉼표 [0] 8 5 3 2" xfId="5953"/>
    <cellStyle name="쉼표 [0] 8 5 3 2 2" xfId="12506"/>
    <cellStyle name="쉼표 [0] 8 5 3 2 2 2" xfId="25734"/>
    <cellStyle name="쉼표 [0] 8 5 3 2 3" xfId="10687"/>
    <cellStyle name="쉼표 [0] 8 5 3 2 3 2" xfId="23915"/>
    <cellStyle name="쉼표 [0] 8 5 3 2 4" xfId="19192"/>
    <cellStyle name="쉼표 [0] 8 5 3 3" xfId="9988"/>
    <cellStyle name="쉼표 [0] 8 5 3 3 2" xfId="23216"/>
    <cellStyle name="쉼표 [0] 8 5 3 4" xfId="11922"/>
    <cellStyle name="쉼표 [0] 8 5 3 4 2" xfId="25150"/>
    <cellStyle name="쉼표 [0] 8 5 3 5" xfId="8921"/>
    <cellStyle name="쉼표 [0] 8 5 3 5 2" xfId="22149"/>
    <cellStyle name="쉼표 [0] 8 5 3 6" xfId="18318"/>
    <cellStyle name="쉼표 [0] 8 5 4" xfId="5553"/>
    <cellStyle name="쉼표 [0] 8 5 4 2" xfId="12196"/>
    <cellStyle name="쉼표 [0] 8 5 4 2 2" xfId="25424"/>
    <cellStyle name="쉼표 [0] 8 5 4 3" xfId="10287"/>
    <cellStyle name="쉼표 [0] 8 5 4 3 2" xfId="23515"/>
    <cellStyle name="쉼표 [0] 8 5 4 4" xfId="18792"/>
    <cellStyle name="쉼표 [0] 8 5 5" xfId="9286"/>
    <cellStyle name="쉼표 [0] 8 5 5 2" xfId="22514"/>
    <cellStyle name="쉼표 [0] 8 5 6" xfId="11554"/>
    <cellStyle name="쉼표 [0] 8 5 6 2" xfId="24782"/>
    <cellStyle name="쉼표 [0] 8 5 7" xfId="7018"/>
    <cellStyle name="쉼표 [0] 8 5 7 2" xfId="20246"/>
    <cellStyle name="쉼표 [0] 8 5 8" xfId="14956"/>
    <cellStyle name="쉼표 [0] 8 6" xfId="543"/>
    <cellStyle name="쉼표 [0] 8 6 2" xfId="689"/>
    <cellStyle name="쉼표 [0] 8 6 2 2" xfId="5190"/>
    <cellStyle name="쉼표 [0] 8 6 2 2 2" xfId="6090"/>
    <cellStyle name="쉼표 [0] 8 6 2 2 2 2" xfId="12643"/>
    <cellStyle name="쉼표 [0] 8 6 2 2 2 2 2" xfId="25871"/>
    <cellStyle name="쉼표 [0] 8 6 2 2 2 3" xfId="10824"/>
    <cellStyle name="쉼표 [0] 8 6 2 2 2 3 2" xfId="24052"/>
    <cellStyle name="쉼표 [0] 8 6 2 2 2 4" xfId="19329"/>
    <cellStyle name="쉼표 [0] 8 6 2 2 3" xfId="10125"/>
    <cellStyle name="쉼표 [0] 8 6 2 2 3 2" xfId="23353"/>
    <cellStyle name="쉼표 [0] 8 6 2 2 4" xfId="12059"/>
    <cellStyle name="쉼표 [0] 8 6 2 2 4 2" xfId="25287"/>
    <cellStyle name="쉼표 [0] 8 6 2 2 5" xfId="9058"/>
    <cellStyle name="쉼표 [0] 8 6 2 2 5 2" xfId="22286"/>
    <cellStyle name="쉼표 [0] 8 6 2 2 6" xfId="18456"/>
    <cellStyle name="쉼표 [0] 8 6 2 3" xfId="5697"/>
    <cellStyle name="쉼표 [0] 8 6 2 3 2" xfId="12340"/>
    <cellStyle name="쉼표 [0] 8 6 2 3 2 2" xfId="25568"/>
    <cellStyle name="쉼표 [0] 8 6 2 3 3" xfId="10431"/>
    <cellStyle name="쉼표 [0] 8 6 2 3 3 2" xfId="23659"/>
    <cellStyle name="쉼표 [0] 8 6 2 3 4" xfId="18936"/>
    <cellStyle name="쉼표 [0] 8 6 2 4" xfId="9430"/>
    <cellStyle name="쉼표 [0] 8 6 2 4 2" xfId="22658"/>
    <cellStyle name="쉼표 [0] 8 6 2 5" xfId="11698"/>
    <cellStyle name="쉼표 [0] 8 6 2 5 2" xfId="24926"/>
    <cellStyle name="쉼표 [0] 8 6 2 6" xfId="7163"/>
    <cellStyle name="쉼표 [0] 8 6 2 6 2" xfId="20391"/>
    <cellStyle name="쉼표 [0] 8 6 2 7" xfId="15103"/>
    <cellStyle name="쉼표 [0] 8 6 3" xfId="5166"/>
    <cellStyle name="쉼표 [0] 8 6 3 2" xfId="6066"/>
    <cellStyle name="쉼표 [0] 8 6 3 2 2" xfId="12619"/>
    <cellStyle name="쉼표 [0] 8 6 3 2 2 2" xfId="25847"/>
    <cellStyle name="쉼표 [0] 8 6 3 2 3" xfId="10800"/>
    <cellStyle name="쉼표 [0] 8 6 3 2 3 2" xfId="24028"/>
    <cellStyle name="쉼표 [0] 8 6 3 2 4" xfId="19305"/>
    <cellStyle name="쉼표 [0] 8 6 3 3" xfId="10101"/>
    <cellStyle name="쉼표 [0] 8 6 3 3 2" xfId="23329"/>
    <cellStyle name="쉼표 [0] 8 6 3 4" xfId="12035"/>
    <cellStyle name="쉼표 [0] 8 6 3 4 2" xfId="25263"/>
    <cellStyle name="쉼표 [0] 8 6 3 5" xfId="9034"/>
    <cellStyle name="쉼표 [0] 8 6 3 5 2" xfId="22262"/>
    <cellStyle name="쉼표 [0] 8 6 3 6" xfId="18432"/>
    <cellStyle name="쉼표 [0] 8 6 4" xfId="5554"/>
    <cellStyle name="쉼표 [0] 8 6 4 2" xfId="12197"/>
    <cellStyle name="쉼표 [0] 8 6 4 2 2" xfId="25425"/>
    <cellStyle name="쉼표 [0] 8 6 4 3" xfId="10288"/>
    <cellStyle name="쉼표 [0] 8 6 4 3 2" xfId="23516"/>
    <cellStyle name="쉼표 [0] 8 6 4 4" xfId="18793"/>
    <cellStyle name="쉼표 [0] 8 6 5" xfId="9287"/>
    <cellStyle name="쉼표 [0] 8 6 5 2" xfId="22515"/>
    <cellStyle name="쉼표 [0] 8 6 6" xfId="11555"/>
    <cellStyle name="쉼표 [0] 8 6 6 2" xfId="24783"/>
    <cellStyle name="쉼표 [0] 8 6 7" xfId="7019"/>
    <cellStyle name="쉼표 [0] 8 6 7 2" xfId="20247"/>
    <cellStyle name="쉼표 [0] 8 6 8" xfId="14957"/>
    <cellStyle name="쉼표 [0] 8 7" xfId="544"/>
    <cellStyle name="쉼표 [0] 8 7 2" xfId="690"/>
    <cellStyle name="쉼표 [0] 8 7 2 2" xfId="5124"/>
    <cellStyle name="쉼표 [0] 8 7 2 2 2" xfId="6026"/>
    <cellStyle name="쉼표 [0] 8 7 2 2 2 2" xfId="12579"/>
    <cellStyle name="쉼표 [0] 8 7 2 2 2 2 2" xfId="25807"/>
    <cellStyle name="쉼표 [0] 8 7 2 2 2 3" xfId="10760"/>
    <cellStyle name="쉼표 [0] 8 7 2 2 2 3 2" xfId="23988"/>
    <cellStyle name="쉼표 [0] 8 7 2 2 2 4" xfId="19265"/>
    <cellStyle name="쉼표 [0] 8 7 2 2 3" xfId="10061"/>
    <cellStyle name="쉼표 [0] 8 7 2 2 3 2" xfId="23289"/>
    <cellStyle name="쉼표 [0] 8 7 2 2 4" xfId="11995"/>
    <cellStyle name="쉼표 [0] 8 7 2 2 4 2" xfId="25223"/>
    <cellStyle name="쉼표 [0] 8 7 2 2 5" xfId="8994"/>
    <cellStyle name="쉼표 [0] 8 7 2 2 5 2" xfId="22222"/>
    <cellStyle name="쉼표 [0] 8 7 2 2 6" xfId="18391"/>
    <cellStyle name="쉼표 [0] 8 7 2 3" xfId="5698"/>
    <cellStyle name="쉼표 [0] 8 7 2 3 2" xfId="12341"/>
    <cellStyle name="쉼표 [0] 8 7 2 3 2 2" xfId="25569"/>
    <cellStyle name="쉼표 [0] 8 7 2 3 3" xfId="10432"/>
    <cellStyle name="쉼표 [0] 8 7 2 3 3 2" xfId="23660"/>
    <cellStyle name="쉼표 [0] 8 7 2 3 4" xfId="18937"/>
    <cellStyle name="쉼표 [0] 8 7 2 4" xfId="9431"/>
    <cellStyle name="쉼표 [0] 8 7 2 4 2" xfId="22659"/>
    <cellStyle name="쉼표 [0] 8 7 2 5" xfId="11699"/>
    <cellStyle name="쉼표 [0] 8 7 2 5 2" xfId="24927"/>
    <cellStyle name="쉼표 [0] 8 7 2 6" xfId="7164"/>
    <cellStyle name="쉼표 [0] 8 7 2 6 2" xfId="20392"/>
    <cellStyle name="쉼표 [0] 8 7 2 7" xfId="15104"/>
    <cellStyle name="쉼표 [0] 8 7 3" xfId="4961"/>
    <cellStyle name="쉼표 [0] 8 7 3 2" xfId="5869"/>
    <cellStyle name="쉼표 [0] 8 7 3 2 2" xfId="12422"/>
    <cellStyle name="쉼표 [0] 8 7 3 2 2 2" xfId="25650"/>
    <cellStyle name="쉼표 [0] 8 7 3 2 3" xfId="10603"/>
    <cellStyle name="쉼표 [0] 8 7 3 2 3 2" xfId="23831"/>
    <cellStyle name="쉼표 [0] 8 7 3 2 4" xfId="19108"/>
    <cellStyle name="쉼표 [0] 8 7 3 3" xfId="9902"/>
    <cellStyle name="쉼표 [0] 8 7 3 3 2" xfId="23130"/>
    <cellStyle name="쉼표 [0] 8 7 3 4" xfId="11838"/>
    <cellStyle name="쉼표 [0] 8 7 3 4 2" xfId="25066"/>
    <cellStyle name="쉼표 [0] 8 7 3 5" xfId="8834"/>
    <cellStyle name="쉼표 [0] 8 7 3 5 2" xfId="22062"/>
    <cellStyle name="쉼표 [0] 8 7 3 6" xfId="18228"/>
    <cellStyle name="쉼표 [0] 8 7 4" xfId="5555"/>
    <cellStyle name="쉼표 [0] 8 7 4 2" xfId="12198"/>
    <cellStyle name="쉼표 [0] 8 7 4 2 2" xfId="25426"/>
    <cellStyle name="쉼표 [0] 8 7 4 3" xfId="10289"/>
    <cellStyle name="쉼표 [0] 8 7 4 3 2" xfId="23517"/>
    <cellStyle name="쉼표 [0] 8 7 4 4" xfId="18794"/>
    <cellStyle name="쉼표 [0] 8 7 5" xfId="9288"/>
    <cellStyle name="쉼표 [0] 8 7 5 2" xfId="22516"/>
    <cellStyle name="쉼표 [0] 8 7 6" xfId="11556"/>
    <cellStyle name="쉼표 [0] 8 7 6 2" xfId="24784"/>
    <cellStyle name="쉼표 [0] 8 7 7" xfId="7020"/>
    <cellStyle name="쉼표 [0] 8 7 7 2" xfId="20248"/>
    <cellStyle name="쉼표 [0] 8 7 8" xfId="14958"/>
    <cellStyle name="쉼표 [0] 8 8" xfId="545"/>
    <cellStyle name="쉼표 [0] 8 8 2" xfId="691"/>
    <cellStyle name="쉼표 [0] 8 8 2 2" xfId="5033"/>
    <cellStyle name="쉼표 [0] 8 8 2 2 2" xfId="5939"/>
    <cellStyle name="쉼표 [0] 8 8 2 2 2 2" xfId="12492"/>
    <cellStyle name="쉼표 [0] 8 8 2 2 2 2 2" xfId="25720"/>
    <cellStyle name="쉼표 [0] 8 8 2 2 2 3" xfId="10673"/>
    <cellStyle name="쉼표 [0] 8 8 2 2 2 3 2" xfId="23901"/>
    <cellStyle name="쉼표 [0] 8 8 2 2 2 4" xfId="19178"/>
    <cellStyle name="쉼표 [0] 8 8 2 2 3" xfId="9972"/>
    <cellStyle name="쉼표 [0] 8 8 2 2 3 2" xfId="23200"/>
    <cellStyle name="쉼표 [0] 8 8 2 2 4" xfId="11908"/>
    <cellStyle name="쉼표 [0] 8 8 2 2 4 2" xfId="25136"/>
    <cellStyle name="쉼표 [0] 8 8 2 2 5" xfId="8905"/>
    <cellStyle name="쉼표 [0] 8 8 2 2 5 2" xfId="22133"/>
    <cellStyle name="쉼표 [0] 8 8 2 2 6" xfId="18300"/>
    <cellStyle name="쉼표 [0] 8 8 2 3" xfId="5699"/>
    <cellStyle name="쉼표 [0] 8 8 2 3 2" xfId="12342"/>
    <cellStyle name="쉼표 [0] 8 8 2 3 2 2" xfId="25570"/>
    <cellStyle name="쉼표 [0] 8 8 2 3 3" xfId="10433"/>
    <cellStyle name="쉼표 [0] 8 8 2 3 3 2" xfId="23661"/>
    <cellStyle name="쉼표 [0] 8 8 2 3 4" xfId="18938"/>
    <cellStyle name="쉼표 [0] 8 8 2 4" xfId="9432"/>
    <cellStyle name="쉼표 [0] 8 8 2 4 2" xfId="22660"/>
    <cellStyle name="쉼표 [0] 8 8 2 5" xfId="11700"/>
    <cellStyle name="쉼표 [0] 8 8 2 5 2" xfId="24928"/>
    <cellStyle name="쉼표 [0] 8 8 2 6" xfId="7165"/>
    <cellStyle name="쉼표 [0] 8 8 2 6 2" xfId="20393"/>
    <cellStyle name="쉼표 [0] 8 8 2 7" xfId="15105"/>
    <cellStyle name="쉼표 [0] 8 8 3" xfId="4962"/>
    <cellStyle name="쉼표 [0] 8 8 3 2" xfId="5870"/>
    <cellStyle name="쉼표 [0] 8 8 3 2 2" xfId="12423"/>
    <cellStyle name="쉼표 [0] 8 8 3 2 2 2" xfId="25651"/>
    <cellStyle name="쉼표 [0] 8 8 3 2 3" xfId="10604"/>
    <cellStyle name="쉼표 [0] 8 8 3 2 3 2" xfId="23832"/>
    <cellStyle name="쉼표 [0] 8 8 3 2 4" xfId="19109"/>
    <cellStyle name="쉼표 [0] 8 8 3 3" xfId="9903"/>
    <cellStyle name="쉼표 [0] 8 8 3 3 2" xfId="23131"/>
    <cellStyle name="쉼표 [0] 8 8 3 4" xfId="11839"/>
    <cellStyle name="쉼표 [0] 8 8 3 4 2" xfId="25067"/>
    <cellStyle name="쉼표 [0] 8 8 3 5" xfId="8835"/>
    <cellStyle name="쉼표 [0] 8 8 3 5 2" xfId="22063"/>
    <cellStyle name="쉼표 [0] 8 8 3 6" xfId="18229"/>
    <cellStyle name="쉼표 [0] 8 8 4" xfId="5556"/>
    <cellStyle name="쉼표 [0] 8 8 4 2" xfId="12199"/>
    <cellStyle name="쉼표 [0] 8 8 4 2 2" xfId="25427"/>
    <cellStyle name="쉼표 [0] 8 8 4 3" xfId="10290"/>
    <cellStyle name="쉼표 [0] 8 8 4 3 2" xfId="23518"/>
    <cellStyle name="쉼표 [0] 8 8 4 4" xfId="18795"/>
    <cellStyle name="쉼표 [0] 8 8 5" xfId="9289"/>
    <cellStyle name="쉼표 [0] 8 8 5 2" xfId="22517"/>
    <cellStyle name="쉼표 [0] 8 8 6" xfId="11557"/>
    <cellStyle name="쉼표 [0] 8 8 6 2" xfId="24785"/>
    <cellStyle name="쉼표 [0] 8 8 7" xfId="7021"/>
    <cellStyle name="쉼표 [0] 8 8 7 2" xfId="20249"/>
    <cellStyle name="쉼표 [0] 8 8 8" xfId="14959"/>
    <cellStyle name="쉼표 [0] 8 9" xfId="3186"/>
    <cellStyle name="쉼표 [0] 9" xfId="247"/>
    <cellStyle name="쉼표 [0] 9 10" xfId="3188"/>
    <cellStyle name="쉼표 [0] 9 11" xfId="51354"/>
    <cellStyle name="쉼표 [0] 9 11 2" xfId="53975"/>
    <cellStyle name="쉼표 [0] 9 12" xfId="53976"/>
    <cellStyle name="쉼표 [0] 9 13" xfId="53977"/>
    <cellStyle name="쉼표 [0] 9 2" xfId="248"/>
    <cellStyle name="쉼표 [0] 9 2 2" xfId="53978"/>
    <cellStyle name="쉼표 [0] 9 2 3" xfId="53979"/>
    <cellStyle name="쉼표 [0] 9 2 4" xfId="53980"/>
    <cellStyle name="쉼표 [0] 9 2 5" xfId="53981"/>
    <cellStyle name="쉼표 [0] 9 2 6" xfId="53982"/>
    <cellStyle name="쉼표 [0] 9 3" xfId="546"/>
    <cellStyle name="쉼표 [0] 9 3 2" xfId="692"/>
    <cellStyle name="쉼표 [0] 9 3 2 2" xfId="5034"/>
    <cellStyle name="쉼표 [0] 9 3 2 2 2" xfId="5940"/>
    <cellStyle name="쉼표 [0] 9 3 2 2 2 2" xfId="12493"/>
    <cellStyle name="쉼표 [0] 9 3 2 2 2 2 2" xfId="25721"/>
    <cellStyle name="쉼표 [0] 9 3 2 2 2 3" xfId="10674"/>
    <cellStyle name="쉼표 [0] 9 3 2 2 2 3 2" xfId="23902"/>
    <cellStyle name="쉼표 [0] 9 3 2 2 2 4" xfId="19179"/>
    <cellStyle name="쉼표 [0] 9 3 2 2 3" xfId="9973"/>
    <cellStyle name="쉼표 [0] 9 3 2 2 3 2" xfId="23201"/>
    <cellStyle name="쉼표 [0] 9 3 2 2 4" xfId="11909"/>
    <cellStyle name="쉼표 [0] 9 3 2 2 4 2" xfId="25137"/>
    <cellStyle name="쉼표 [0] 9 3 2 2 5" xfId="8906"/>
    <cellStyle name="쉼표 [0] 9 3 2 2 5 2" xfId="22134"/>
    <cellStyle name="쉼표 [0] 9 3 2 2 6" xfId="18301"/>
    <cellStyle name="쉼표 [0] 9 3 2 3" xfId="3190"/>
    <cellStyle name="쉼표 [0] 9 3 2 4" xfId="5700"/>
    <cellStyle name="쉼표 [0] 9 3 2 4 2" xfId="12343"/>
    <cellStyle name="쉼표 [0] 9 3 2 4 2 2" xfId="25571"/>
    <cellStyle name="쉼표 [0] 9 3 2 4 3" xfId="10434"/>
    <cellStyle name="쉼표 [0] 9 3 2 4 3 2" xfId="23662"/>
    <cellStyle name="쉼표 [0] 9 3 2 4 4" xfId="18939"/>
    <cellStyle name="쉼표 [0] 9 3 2 5" xfId="9433"/>
    <cellStyle name="쉼표 [0] 9 3 2 5 2" xfId="22661"/>
    <cellStyle name="쉼표 [0] 9 3 2 6" xfId="11701"/>
    <cellStyle name="쉼표 [0] 9 3 2 6 2" xfId="24929"/>
    <cellStyle name="쉼표 [0] 9 3 2 7" xfId="7166"/>
    <cellStyle name="쉼표 [0] 9 3 2 7 2" xfId="20394"/>
    <cellStyle name="쉼표 [0] 9 3 2 8" xfId="15106"/>
    <cellStyle name="쉼표 [0] 9 3 3" xfId="5091"/>
    <cellStyle name="쉼표 [0] 9 3 3 2" xfId="5993"/>
    <cellStyle name="쉼표 [0] 9 3 3 2 2" xfId="12546"/>
    <cellStyle name="쉼표 [0] 9 3 3 2 2 2" xfId="25774"/>
    <cellStyle name="쉼표 [0] 9 3 3 2 3" xfId="10727"/>
    <cellStyle name="쉼표 [0] 9 3 3 2 3 2" xfId="23955"/>
    <cellStyle name="쉼표 [0] 9 3 3 2 4" xfId="19232"/>
    <cellStyle name="쉼표 [0] 9 3 3 3" xfId="10028"/>
    <cellStyle name="쉼표 [0] 9 3 3 3 2" xfId="23256"/>
    <cellStyle name="쉼표 [0] 9 3 3 4" xfId="11962"/>
    <cellStyle name="쉼표 [0] 9 3 3 4 2" xfId="25190"/>
    <cellStyle name="쉼표 [0] 9 3 3 5" xfId="8961"/>
    <cellStyle name="쉼표 [0] 9 3 3 5 2" xfId="22189"/>
    <cellStyle name="쉼표 [0] 9 3 3 6" xfId="18358"/>
    <cellStyle name="쉼표 [0] 9 3 4" xfId="3189"/>
    <cellStyle name="쉼표 [0] 9 3 5" xfId="5557"/>
    <cellStyle name="쉼표 [0] 9 3 5 2" xfId="12200"/>
    <cellStyle name="쉼표 [0] 9 3 5 2 2" xfId="25428"/>
    <cellStyle name="쉼표 [0] 9 3 5 3" xfId="10291"/>
    <cellStyle name="쉼표 [0] 9 3 5 3 2" xfId="23519"/>
    <cellStyle name="쉼표 [0] 9 3 5 4" xfId="18796"/>
    <cellStyle name="쉼표 [0] 9 3 6" xfId="9290"/>
    <cellStyle name="쉼표 [0] 9 3 6 2" xfId="22518"/>
    <cellStyle name="쉼표 [0] 9 3 7" xfId="11558"/>
    <cellStyle name="쉼표 [0] 9 3 7 2" xfId="24786"/>
    <cellStyle name="쉼표 [0] 9 3 8" xfId="7022"/>
    <cellStyle name="쉼표 [0] 9 3 8 2" xfId="20250"/>
    <cellStyle name="쉼표 [0] 9 3 9" xfId="14960"/>
    <cellStyle name="쉼표 [0] 9 4" xfId="547"/>
    <cellStyle name="쉼표 [0] 9 4 2" xfId="693"/>
    <cellStyle name="쉼표 [0] 9 4 2 2" xfId="5144"/>
    <cellStyle name="쉼표 [0] 9 4 2 2 2" xfId="6044"/>
    <cellStyle name="쉼표 [0] 9 4 2 2 2 2" xfId="12597"/>
    <cellStyle name="쉼표 [0] 9 4 2 2 2 2 2" xfId="25825"/>
    <cellStyle name="쉼표 [0] 9 4 2 2 2 3" xfId="10778"/>
    <cellStyle name="쉼표 [0] 9 4 2 2 2 3 2" xfId="24006"/>
    <cellStyle name="쉼표 [0] 9 4 2 2 2 4" xfId="19283"/>
    <cellStyle name="쉼표 [0] 9 4 2 2 3" xfId="10079"/>
    <cellStyle name="쉼표 [0] 9 4 2 2 3 2" xfId="23307"/>
    <cellStyle name="쉼표 [0] 9 4 2 2 4" xfId="12013"/>
    <cellStyle name="쉼표 [0] 9 4 2 2 4 2" xfId="25241"/>
    <cellStyle name="쉼표 [0] 9 4 2 2 5" xfId="9012"/>
    <cellStyle name="쉼표 [0] 9 4 2 2 5 2" xfId="22240"/>
    <cellStyle name="쉼표 [0] 9 4 2 2 6" xfId="18410"/>
    <cellStyle name="쉼표 [0] 9 4 2 3" xfId="5701"/>
    <cellStyle name="쉼표 [0] 9 4 2 3 2" xfId="12344"/>
    <cellStyle name="쉼표 [0] 9 4 2 3 2 2" xfId="25572"/>
    <cellStyle name="쉼표 [0] 9 4 2 3 3" xfId="10435"/>
    <cellStyle name="쉼표 [0] 9 4 2 3 3 2" xfId="23663"/>
    <cellStyle name="쉼표 [0] 9 4 2 3 4" xfId="18940"/>
    <cellStyle name="쉼표 [0] 9 4 2 4" xfId="9434"/>
    <cellStyle name="쉼표 [0] 9 4 2 4 2" xfId="22662"/>
    <cellStyle name="쉼표 [0] 9 4 2 5" xfId="11702"/>
    <cellStyle name="쉼표 [0] 9 4 2 5 2" xfId="24930"/>
    <cellStyle name="쉼표 [0] 9 4 2 6" xfId="7167"/>
    <cellStyle name="쉼표 [0] 9 4 2 6 2" xfId="20395"/>
    <cellStyle name="쉼표 [0] 9 4 2 7" xfId="15107"/>
    <cellStyle name="쉼표 [0] 9 4 3" xfId="5167"/>
    <cellStyle name="쉼표 [0] 9 4 3 2" xfId="6067"/>
    <cellStyle name="쉼표 [0] 9 4 3 2 2" xfId="12620"/>
    <cellStyle name="쉼표 [0] 9 4 3 2 2 2" xfId="25848"/>
    <cellStyle name="쉼표 [0] 9 4 3 2 3" xfId="10801"/>
    <cellStyle name="쉼표 [0] 9 4 3 2 3 2" xfId="24029"/>
    <cellStyle name="쉼표 [0] 9 4 3 2 4" xfId="19306"/>
    <cellStyle name="쉼표 [0] 9 4 3 3" xfId="10102"/>
    <cellStyle name="쉼표 [0] 9 4 3 3 2" xfId="23330"/>
    <cellStyle name="쉼표 [0] 9 4 3 4" xfId="12036"/>
    <cellStyle name="쉼표 [0] 9 4 3 4 2" xfId="25264"/>
    <cellStyle name="쉼표 [0] 9 4 3 5" xfId="9035"/>
    <cellStyle name="쉼표 [0] 9 4 3 5 2" xfId="22263"/>
    <cellStyle name="쉼표 [0] 9 4 3 6" xfId="18433"/>
    <cellStyle name="쉼표 [0] 9 4 4" xfId="5558"/>
    <cellStyle name="쉼표 [0] 9 4 4 2" xfId="12201"/>
    <cellStyle name="쉼표 [0] 9 4 4 2 2" xfId="25429"/>
    <cellStyle name="쉼표 [0] 9 4 4 3" xfId="10292"/>
    <cellStyle name="쉼표 [0] 9 4 4 3 2" xfId="23520"/>
    <cellStyle name="쉼표 [0] 9 4 4 4" xfId="18797"/>
    <cellStyle name="쉼표 [0] 9 4 5" xfId="9291"/>
    <cellStyle name="쉼표 [0] 9 4 5 2" xfId="22519"/>
    <cellStyle name="쉼표 [0] 9 4 6" xfId="11559"/>
    <cellStyle name="쉼표 [0] 9 4 6 2" xfId="24787"/>
    <cellStyle name="쉼표 [0] 9 4 7" xfId="7023"/>
    <cellStyle name="쉼표 [0] 9 4 7 2" xfId="20251"/>
    <cellStyle name="쉼표 [0] 9 4 8" xfId="14961"/>
    <cellStyle name="쉼표 [0] 9 5" xfId="548"/>
    <cellStyle name="쉼표 [0] 9 5 2" xfId="694"/>
    <cellStyle name="쉼표 [0] 9 5 2 2" xfId="5035"/>
    <cellStyle name="쉼표 [0] 9 5 2 2 2" xfId="5941"/>
    <cellStyle name="쉼표 [0] 9 5 2 2 2 2" xfId="12494"/>
    <cellStyle name="쉼표 [0] 9 5 2 2 2 2 2" xfId="25722"/>
    <cellStyle name="쉼표 [0] 9 5 2 2 2 3" xfId="10675"/>
    <cellStyle name="쉼표 [0] 9 5 2 2 2 3 2" xfId="23903"/>
    <cellStyle name="쉼표 [0] 9 5 2 2 2 4" xfId="19180"/>
    <cellStyle name="쉼표 [0] 9 5 2 2 3" xfId="9974"/>
    <cellStyle name="쉼표 [0] 9 5 2 2 3 2" xfId="23202"/>
    <cellStyle name="쉼표 [0] 9 5 2 2 4" xfId="11910"/>
    <cellStyle name="쉼표 [0] 9 5 2 2 4 2" xfId="25138"/>
    <cellStyle name="쉼표 [0] 9 5 2 2 5" xfId="8907"/>
    <cellStyle name="쉼표 [0] 9 5 2 2 5 2" xfId="22135"/>
    <cellStyle name="쉼표 [0] 9 5 2 2 6" xfId="18302"/>
    <cellStyle name="쉼표 [0] 9 5 2 3" xfId="5702"/>
    <cellStyle name="쉼표 [0] 9 5 2 3 2" xfId="12345"/>
    <cellStyle name="쉼표 [0] 9 5 2 3 2 2" xfId="25573"/>
    <cellStyle name="쉼표 [0] 9 5 2 3 3" xfId="10436"/>
    <cellStyle name="쉼표 [0] 9 5 2 3 3 2" xfId="23664"/>
    <cellStyle name="쉼표 [0] 9 5 2 3 4" xfId="18941"/>
    <cellStyle name="쉼표 [0] 9 5 2 4" xfId="9435"/>
    <cellStyle name="쉼표 [0] 9 5 2 4 2" xfId="22663"/>
    <cellStyle name="쉼표 [0] 9 5 2 5" xfId="11703"/>
    <cellStyle name="쉼표 [0] 9 5 2 5 2" xfId="24931"/>
    <cellStyle name="쉼표 [0] 9 5 2 6" xfId="7168"/>
    <cellStyle name="쉼표 [0] 9 5 2 6 2" xfId="20396"/>
    <cellStyle name="쉼표 [0] 9 5 2 7" xfId="15108"/>
    <cellStyle name="쉼표 [0] 9 5 3" xfId="5090"/>
    <cellStyle name="쉼표 [0] 9 5 3 2" xfId="5992"/>
    <cellStyle name="쉼표 [0] 9 5 3 2 2" xfId="12545"/>
    <cellStyle name="쉼표 [0] 9 5 3 2 2 2" xfId="25773"/>
    <cellStyle name="쉼표 [0] 9 5 3 2 3" xfId="10726"/>
    <cellStyle name="쉼표 [0] 9 5 3 2 3 2" xfId="23954"/>
    <cellStyle name="쉼표 [0] 9 5 3 2 4" xfId="19231"/>
    <cellStyle name="쉼표 [0] 9 5 3 3" xfId="10027"/>
    <cellStyle name="쉼표 [0] 9 5 3 3 2" xfId="23255"/>
    <cellStyle name="쉼표 [0] 9 5 3 4" xfId="11961"/>
    <cellStyle name="쉼표 [0] 9 5 3 4 2" xfId="25189"/>
    <cellStyle name="쉼표 [0] 9 5 3 5" xfId="8960"/>
    <cellStyle name="쉼표 [0] 9 5 3 5 2" xfId="22188"/>
    <cellStyle name="쉼표 [0] 9 5 3 6" xfId="18357"/>
    <cellStyle name="쉼표 [0] 9 5 4" xfId="5559"/>
    <cellStyle name="쉼표 [0] 9 5 4 2" xfId="12202"/>
    <cellStyle name="쉼표 [0] 9 5 4 2 2" xfId="25430"/>
    <cellStyle name="쉼표 [0] 9 5 4 3" xfId="10293"/>
    <cellStyle name="쉼표 [0] 9 5 4 3 2" xfId="23521"/>
    <cellStyle name="쉼표 [0] 9 5 4 4" xfId="18798"/>
    <cellStyle name="쉼표 [0] 9 5 5" xfId="9292"/>
    <cellStyle name="쉼표 [0] 9 5 5 2" xfId="22520"/>
    <cellStyle name="쉼표 [0] 9 5 6" xfId="11560"/>
    <cellStyle name="쉼표 [0] 9 5 6 2" xfId="24788"/>
    <cellStyle name="쉼표 [0] 9 5 7" xfId="7024"/>
    <cellStyle name="쉼표 [0] 9 5 7 2" xfId="20252"/>
    <cellStyle name="쉼표 [0] 9 5 8" xfId="14962"/>
    <cellStyle name="쉼표 [0] 9 6" xfId="549"/>
    <cellStyle name="쉼표 [0] 9 6 2" xfId="695"/>
    <cellStyle name="쉼표 [0] 9 6 2 2" xfId="5036"/>
    <cellStyle name="쉼표 [0] 9 6 2 2 2" xfId="5942"/>
    <cellStyle name="쉼표 [0] 9 6 2 2 2 2" xfId="12495"/>
    <cellStyle name="쉼표 [0] 9 6 2 2 2 2 2" xfId="25723"/>
    <cellStyle name="쉼표 [0] 9 6 2 2 2 3" xfId="10676"/>
    <cellStyle name="쉼표 [0] 9 6 2 2 2 3 2" xfId="23904"/>
    <cellStyle name="쉼표 [0] 9 6 2 2 2 4" xfId="19181"/>
    <cellStyle name="쉼표 [0] 9 6 2 2 3" xfId="9975"/>
    <cellStyle name="쉼표 [0] 9 6 2 2 3 2" xfId="23203"/>
    <cellStyle name="쉼표 [0] 9 6 2 2 4" xfId="11911"/>
    <cellStyle name="쉼표 [0] 9 6 2 2 4 2" xfId="25139"/>
    <cellStyle name="쉼표 [0] 9 6 2 2 5" xfId="8908"/>
    <cellStyle name="쉼표 [0] 9 6 2 2 5 2" xfId="22136"/>
    <cellStyle name="쉼표 [0] 9 6 2 2 6" xfId="18303"/>
    <cellStyle name="쉼표 [0] 9 6 2 3" xfId="5703"/>
    <cellStyle name="쉼표 [0] 9 6 2 3 2" xfId="12346"/>
    <cellStyle name="쉼표 [0] 9 6 2 3 2 2" xfId="25574"/>
    <cellStyle name="쉼표 [0] 9 6 2 3 3" xfId="10437"/>
    <cellStyle name="쉼표 [0] 9 6 2 3 3 2" xfId="23665"/>
    <cellStyle name="쉼표 [0] 9 6 2 3 4" xfId="18942"/>
    <cellStyle name="쉼표 [0] 9 6 2 4" xfId="9436"/>
    <cellStyle name="쉼표 [0] 9 6 2 4 2" xfId="22664"/>
    <cellStyle name="쉼표 [0] 9 6 2 5" xfId="11704"/>
    <cellStyle name="쉼표 [0] 9 6 2 5 2" xfId="24932"/>
    <cellStyle name="쉼표 [0] 9 6 2 6" xfId="7169"/>
    <cellStyle name="쉼표 [0] 9 6 2 6 2" xfId="20397"/>
    <cellStyle name="쉼표 [0] 9 6 2 7" xfId="15109"/>
    <cellStyle name="쉼표 [0] 9 6 3" xfId="4963"/>
    <cellStyle name="쉼표 [0] 9 6 3 2" xfId="5871"/>
    <cellStyle name="쉼표 [0] 9 6 3 2 2" xfId="12424"/>
    <cellStyle name="쉼표 [0] 9 6 3 2 2 2" xfId="25652"/>
    <cellStyle name="쉼표 [0] 9 6 3 2 3" xfId="10605"/>
    <cellStyle name="쉼표 [0] 9 6 3 2 3 2" xfId="23833"/>
    <cellStyle name="쉼표 [0] 9 6 3 2 4" xfId="19110"/>
    <cellStyle name="쉼표 [0] 9 6 3 3" xfId="9904"/>
    <cellStyle name="쉼표 [0] 9 6 3 3 2" xfId="23132"/>
    <cellStyle name="쉼표 [0] 9 6 3 4" xfId="11840"/>
    <cellStyle name="쉼표 [0] 9 6 3 4 2" xfId="25068"/>
    <cellStyle name="쉼표 [0] 9 6 3 5" xfId="8836"/>
    <cellStyle name="쉼표 [0] 9 6 3 5 2" xfId="22064"/>
    <cellStyle name="쉼표 [0] 9 6 3 6" xfId="18230"/>
    <cellStyle name="쉼표 [0] 9 6 4" xfId="5560"/>
    <cellStyle name="쉼표 [0] 9 6 4 2" xfId="12203"/>
    <cellStyle name="쉼표 [0] 9 6 4 2 2" xfId="25431"/>
    <cellStyle name="쉼표 [0] 9 6 4 3" xfId="10294"/>
    <cellStyle name="쉼표 [0] 9 6 4 3 2" xfId="23522"/>
    <cellStyle name="쉼표 [0] 9 6 4 4" xfId="18799"/>
    <cellStyle name="쉼표 [0] 9 6 5" xfId="9293"/>
    <cellStyle name="쉼표 [0] 9 6 5 2" xfId="22521"/>
    <cellStyle name="쉼표 [0] 9 6 6" xfId="11561"/>
    <cellStyle name="쉼표 [0] 9 6 6 2" xfId="24789"/>
    <cellStyle name="쉼표 [0] 9 6 7" xfId="7025"/>
    <cellStyle name="쉼표 [0] 9 6 7 2" xfId="20253"/>
    <cellStyle name="쉼표 [0] 9 6 8" xfId="14963"/>
    <cellStyle name="쉼표 [0] 9 7" xfId="550"/>
    <cellStyle name="쉼표 [0] 9 7 2" xfId="696"/>
    <cellStyle name="쉼표 [0] 9 7 2 2" xfId="5058"/>
    <cellStyle name="쉼표 [0] 9 7 2 2 2" xfId="5960"/>
    <cellStyle name="쉼표 [0] 9 7 2 2 2 2" xfId="12513"/>
    <cellStyle name="쉼표 [0] 9 7 2 2 2 2 2" xfId="25741"/>
    <cellStyle name="쉼표 [0] 9 7 2 2 2 3" xfId="10694"/>
    <cellStyle name="쉼표 [0] 9 7 2 2 2 3 2" xfId="23922"/>
    <cellStyle name="쉼표 [0] 9 7 2 2 2 4" xfId="19199"/>
    <cellStyle name="쉼표 [0] 9 7 2 2 3" xfId="9995"/>
    <cellStyle name="쉼표 [0] 9 7 2 2 3 2" xfId="23223"/>
    <cellStyle name="쉼표 [0] 9 7 2 2 4" xfId="11929"/>
    <cellStyle name="쉼표 [0] 9 7 2 2 4 2" xfId="25157"/>
    <cellStyle name="쉼표 [0] 9 7 2 2 5" xfId="8928"/>
    <cellStyle name="쉼표 [0] 9 7 2 2 5 2" xfId="22156"/>
    <cellStyle name="쉼표 [0] 9 7 2 2 6" xfId="18325"/>
    <cellStyle name="쉼표 [0] 9 7 2 3" xfId="5704"/>
    <cellStyle name="쉼표 [0] 9 7 2 3 2" xfId="12347"/>
    <cellStyle name="쉼표 [0] 9 7 2 3 2 2" xfId="25575"/>
    <cellStyle name="쉼표 [0] 9 7 2 3 3" xfId="10438"/>
    <cellStyle name="쉼표 [0] 9 7 2 3 3 2" xfId="23666"/>
    <cellStyle name="쉼표 [0] 9 7 2 3 4" xfId="18943"/>
    <cellStyle name="쉼표 [0] 9 7 2 4" xfId="9437"/>
    <cellStyle name="쉼표 [0] 9 7 2 4 2" xfId="22665"/>
    <cellStyle name="쉼표 [0] 9 7 2 5" xfId="11705"/>
    <cellStyle name="쉼표 [0] 9 7 2 5 2" xfId="24933"/>
    <cellStyle name="쉼표 [0] 9 7 2 6" xfId="7170"/>
    <cellStyle name="쉼표 [0] 9 7 2 6 2" xfId="20398"/>
    <cellStyle name="쉼표 [0] 9 7 2 7" xfId="15110"/>
    <cellStyle name="쉼표 [0] 9 7 3" xfId="4964"/>
    <cellStyle name="쉼표 [0] 9 7 3 2" xfId="5872"/>
    <cellStyle name="쉼표 [0] 9 7 3 2 2" xfId="12425"/>
    <cellStyle name="쉼표 [0] 9 7 3 2 2 2" xfId="25653"/>
    <cellStyle name="쉼표 [0] 9 7 3 2 3" xfId="10606"/>
    <cellStyle name="쉼표 [0] 9 7 3 2 3 2" xfId="23834"/>
    <cellStyle name="쉼표 [0] 9 7 3 2 4" xfId="19111"/>
    <cellStyle name="쉼표 [0] 9 7 3 3" xfId="9905"/>
    <cellStyle name="쉼표 [0] 9 7 3 3 2" xfId="23133"/>
    <cellStyle name="쉼표 [0] 9 7 3 4" xfId="11841"/>
    <cellStyle name="쉼표 [0] 9 7 3 4 2" xfId="25069"/>
    <cellStyle name="쉼표 [0] 9 7 3 5" xfId="8837"/>
    <cellStyle name="쉼표 [0] 9 7 3 5 2" xfId="22065"/>
    <cellStyle name="쉼표 [0] 9 7 3 6" xfId="18231"/>
    <cellStyle name="쉼표 [0] 9 7 4" xfId="5561"/>
    <cellStyle name="쉼표 [0] 9 7 4 2" xfId="12204"/>
    <cellStyle name="쉼표 [0] 9 7 4 2 2" xfId="25432"/>
    <cellStyle name="쉼표 [0] 9 7 4 3" xfId="10295"/>
    <cellStyle name="쉼표 [0] 9 7 4 3 2" xfId="23523"/>
    <cellStyle name="쉼표 [0] 9 7 4 4" xfId="18800"/>
    <cellStyle name="쉼표 [0] 9 7 5" xfId="9294"/>
    <cellStyle name="쉼표 [0] 9 7 5 2" xfId="22522"/>
    <cellStyle name="쉼표 [0] 9 7 6" xfId="11562"/>
    <cellStyle name="쉼표 [0] 9 7 6 2" xfId="24790"/>
    <cellStyle name="쉼표 [0] 9 7 7" xfId="7026"/>
    <cellStyle name="쉼표 [0] 9 7 7 2" xfId="20254"/>
    <cellStyle name="쉼표 [0] 9 7 8" xfId="14964"/>
    <cellStyle name="쉼표 [0] 9 8" xfId="551"/>
    <cellStyle name="쉼표 [0] 9 8 2" xfId="697"/>
    <cellStyle name="쉼표 [0] 9 8 2 2" xfId="5191"/>
    <cellStyle name="쉼표 [0] 9 8 2 2 2" xfId="6091"/>
    <cellStyle name="쉼표 [0] 9 8 2 2 2 2" xfId="12644"/>
    <cellStyle name="쉼표 [0] 9 8 2 2 2 2 2" xfId="25872"/>
    <cellStyle name="쉼표 [0] 9 8 2 2 2 3" xfId="10825"/>
    <cellStyle name="쉼표 [0] 9 8 2 2 2 3 2" xfId="24053"/>
    <cellStyle name="쉼표 [0] 9 8 2 2 2 4" xfId="19330"/>
    <cellStyle name="쉼표 [0] 9 8 2 2 3" xfId="10126"/>
    <cellStyle name="쉼표 [0] 9 8 2 2 3 2" xfId="23354"/>
    <cellStyle name="쉼표 [0] 9 8 2 2 4" xfId="12060"/>
    <cellStyle name="쉼표 [0] 9 8 2 2 4 2" xfId="25288"/>
    <cellStyle name="쉼표 [0] 9 8 2 2 5" xfId="9059"/>
    <cellStyle name="쉼표 [0] 9 8 2 2 5 2" xfId="22287"/>
    <cellStyle name="쉼표 [0] 9 8 2 2 6" xfId="18457"/>
    <cellStyle name="쉼표 [0] 9 8 2 3" xfId="5705"/>
    <cellStyle name="쉼표 [0] 9 8 2 3 2" xfId="12348"/>
    <cellStyle name="쉼표 [0] 9 8 2 3 2 2" xfId="25576"/>
    <cellStyle name="쉼표 [0] 9 8 2 3 3" xfId="10439"/>
    <cellStyle name="쉼표 [0] 9 8 2 3 3 2" xfId="23667"/>
    <cellStyle name="쉼표 [0] 9 8 2 3 4" xfId="18944"/>
    <cellStyle name="쉼표 [0] 9 8 2 4" xfId="9438"/>
    <cellStyle name="쉼표 [0] 9 8 2 4 2" xfId="22666"/>
    <cellStyle name="쉼표 [0] 9 8 2 5" xfId="11706"/>
    <cellStyle name="쉼표 [0] 9 8 2 5 2" xfId="24934"/>
    <cellStyle name="쉼표 [0] 9 8 2 6" xfId="7171"/>
    <cellStyle name="쉼표 [0] 9 8 2 6 2" xfId="20399"/>
    <cellStyle name="쉼표 [0] 9 8 2 7" xfId="15111"/>
    <cellStyle name="쉼표 [0] 9 8 3" xfId="5093"/>
    <cellStyle name="쉼표 [0] 9 8 3 2" xfId="5995"/>
    <cellStyle name="쉼표 [0] 9 8 3 2 2" xfId="12548"/>
    <cellStyle name="쉼표 [0] 9 8 3 2 2 2" xfId="25776"/>
    <cellStyle name="쉼표 [0] 9 8 3 2 3" xfId="10729"/>
    <cellStyle name="쉼표 [0] 9 8 3 2 3 2" xfId="23957"/>
    <cellStyle name="쉼표 [0] 9 8 3 2 4" xfId="19234"/>
    <cellStyle name="쉼표 [0] 9 8 3 3" xfId="10030"/>
    <cellStyle name="쉼표 [0] 9 8 3 3 2" xfId="23258"/>
    <cellStyle name="쉼표 [0] 9 8 3 4" xfId="11964"/>
    <cellStyle name="쉼표 [0] 9 8 3 4 2" xfId="25192"/>
    <cellStyle name="쉼표 [0] 9 8 3 5" xfId="8963"/>
    <cellStyle name="쉼표 [0] 9 8 3 5 2" xfId="22191"/>
    <cellStyle name="쉼표 [0] 9 8 3 6" xfId="18360"/>
    <cellStyle name="쉼표 [0] 9 8 4" xfId="5562"/>
    <cellStyle name="쉼표 [0] 9 8 4 2" xfId="12205"/>
    <cellStyle name="쉼표 [0] 9 8 4 2 2" xfId="25433"/>
    <cellStyle name="쉼표 [0] 9 8 4 3" xfId="10296"/>
    <cellStyle name="쉼표 [0] 9 8 4 3 2" xfId="23524"/>
    <cellStyle name="쉼표 [0] 9 8 4 4" xfId="18801"/>
    <cellStyle name="쉼표 [0] 9 8 5" xfId="9295"/>
    <cellStyle name="쉼표 [0] 9 8 5 2" xfId="22523"/>
    <cellStyle name="쉼표 [0] 9 8 6" xfId="11563"/>
    <cellStyle name="쉼표 [0] 9 8 6 2" xfId="24791"/>
    <cellStyle name="쉼표 [0] 9 8 7" xfId="7027"/>
    <cellStyle name="쉼표 [0] 9 8 7 2" xfId="20255"/>
    <cellStyle name="쉼표 [0] 9 8 8" xfId="14965"/>
    <cellStyle name="쉼표 [0] 9 9" xfId="4879"/>
    <cellStyle name="쉼표 2" xfId="53983"/>
    <cellStyle name="쉼표 3" xfId="53984"/>
    <cellStyle name="스타일 1" xfId="249"/>
    <cellStyle name="스타일 1 2" xfId="53985"/>
    <cellStyle name="스타일 1 3" xfId="53986"/>
    <cellStyle name="스타일 1 3 2" xfId="53987"/>
    <cellStyle name="스타일 1 4" xfId="53988"/>
    <cellStyle name="스타일 1_2010_매출및매출원가계획(외부용_외부416_091106_송부용)최종" xfId="53989"/>
    <cellStyle name="스타일 10" xfId="53990"/>
    <cellStyle name="스타일 100" xfId="53991"/>
    <cellStyle name="스타일 101" xfId="53992"/>
    <cellStyle name="스타일 102" xfId="53993"/>
    <cellStyle name="스타일 103" xfId="53994"/>
    <cellStyle name="스타일 104" xfId="53995"/>
    <cellStyle name="스타일 105" xfId="53996"/>
    <cellStyle name="스타일 106" xfId="53997"/>
    <cellStyle name="스타일 107" xfId="53998"/>
    <cellStyle name="스타일 108" xfId="53999"/>
    <cellStyle name="스타일 109" xfId="54000"/>
    <cellStyle name="스타일 11" xfId="54001"/>
    <cellStyle name="스타일 110" xfId="54002"/>
    <cellStyle name="스타일 111" xfId="54003"/>
    <cellStyle name="스타일 112" xfId="54004"/>
    <cellStyle name="스타일 113" xfId="54005"/>
    <cellStyle name="스타일 114" xfId="54006"/>
    <cellStyle name="스타일 115" xfId="54007"/>
    <cellStyle name="스타일 116" xfId="54008"/>
    <cellStyle name="스타일 117" xfId="54009"/>
    <cellStyle name="스타일 118" xfId="54010"/>
    <cellStyle name="스타일 119" xfId="54011"/>
    <cellStyle name="스타일 12" xfId="54012"/>
    <cellStyle name="스타일 120" xfId="54013"/>
    <cellStyle name="스타일 121" xfId="54014"/>
    <cellStyle name="스타일 122" xfId="54015"/>
    <cellStyle name="스타일 123" xfId="54016"/>
    <cellStyle name="스타일 124" xfId="54017"/>
    <cellStyle name="스타일 125" xfId="54018"/>
    <cellStyle name="스타일 126" xfId="54019"/>
    <cellStyle name="스타일 127" xfId="54020"/>
    <cellStyle name="스타일 128" xfId="54021"/>
    <cellStyle name="스타일 129" xfId="54022"/>
    <cellStyle name="스타일 13" xfId="54023"/>
    <cellStyle name="스타일 130" xfId="54024"/>
    <cellStyle name="스타일 131" xfId="54025"/>
    <cellStyle name="스타일 132" xfId="54026"/>
    <cellStyle name="스타일 133" xfId="54027"/>
    <cellStyle name="스타일 134" xfId="54028"/>
    <cellStyle name="스타일 135" xfId="54029"/>
    <cellStyle name="스타일 136" xfId="54030"/>
    <cellStyle name="스타일 137" xfId="54031"/>
    <cellStyle name="스타일 138" xfId="54032"/>
    <cellStyle name="스타일 139" xfId="54033"/>
    <cellStyle name="스타일 14" xfId="54034"/>
    <cellStyle name="스타일 140" xfId="54035"/>
    <cellStyle name="스타일 141" xfId="54036"/>
    <cellStyle name="스타일 142" xfId="54037"/>
    <cellStyle name="스타일 143" xfId="54038"/>
    <cellStyle name="스타일 144" xfId="54039"/>
    <cellStyle name="스타일 145" xfId="54040"/>
    <cellStyle name="스타일 146" xfId="54041"/>
    <cellStyle name="스타일 147" xfId="54042"/>
    <cellStyle name="스타일 148" xfId="54043"/>
    <cellStyle name="스타일 149" xfId="54044"/>
    <cellStyle name="스타일 15" xfId="54045"/>
    <cellStyle name="스타일 150" xfId="54046"/>
    <cellStyle name="스타일 151" xfId="54047"/>
    <cellStyle name="스타일 152" xfId="54048"/>
    <cellStyle name="스타일 153" xfId="54049"/>
    <cellStyle name="스타일 154" xfId="54050"/>
    <cellStyle name="스타일 155" xfId="54051"/>
    <cellStyle name="스타일 156" xfId="54052"/>
    <cellStyle name="스타일 157" xfId="54053"/>
    <cellStyle name="스타일 158" xfId="54054"/>
    <cellStyle name="스타일 159" xfId="54055"/>
    <cellStyle name="스타일 16" xfId="54056"/>
    <cellStyle name="스타일 160" xfId="54057"/>
    <cellStyle name="스타일 161" xfId="54058"/>
    <cellStyle name="스타일 162" xfId="54059"/>
    <cellStyle name="스타일 163" xfId="54060"/>
    <cellStyle name="스타일 164" xfId="54061"/>
    <cellStyle name="스타일 165" xfId="54062"/>
    <cellStyle name="스타일 166" xfId="54063"/>
    <cellStyle name="스타일 167" xfId="54064"/>
    <cellStyle name="스타일 168" xfId="54065"/>
    <cellStyle name="스타일 169" xfId="54066"/>
    <cellStyle name="스타일 17" xfId="54067"/>
    <cellStyle name="스타일 170" xfId="54068"/>
    <cellStyle name="스타일 171" xfId="54069"/>
    <cellStyle name="스타일 172" xfId="54070"/>
    <cellStyle name="스타일 173" xfId="54071"/>
    <cellStyle name="스타일 174" xfId="54072"/>
    <cellStyle name="스타일 175" xfId="54073"/>
    <cellStyle name="스타일 176" xfId="54074"/>
    <cellStyle name="스타일 177" xfId="54075"/>
    <cellStyle name="스타일 178" xfId="54076"/>
    <cellStyle name="스타일 179" xfId="54077"/>
    <cellStyle name="스타일 18" xfId="54078"/>
    <cellStyle name="스타일 180" xfId="54079"/>
    <cellStyle name="스타일 181" xfId="54080"/>
    <cellStyle name="스타일 182" xfId="54081"/>
    <cellStyle name="스타일 183" xfId="54082"/>
    <cellStyle name="스타일 184" xfId="54083"/>
    <cellStyle name="스타일 185" xfId="54084"/>
    <cellStyle name="스타일 186" xfId="54085"/>
    <cellStyle name="스타일 187" xfId="54086"/>
    <cellStyle name="스타일 188" xfId="54087"/>
    <cellStyle name="스타일 189" xfId="54088"/>
    <cellStyle name="스타일 19" xfId="54089"/>
    <cellStyle name="스타일 190" xfId="54090"/>
    <cellStyle name="스타일 191" xfId="54091"/>
    <cellStyle name="스타일 192" xfId="54092"/>
    <cellStyle name="스타일 193" xfId="54093"/>
    <cellStyle name="스타일 194" xfId="54094"/>
    <cellStyle name="스타일 195" xfId="54095"/>
    <cellStyle name="스타일 196" xfId="54096"/>
    <cellStyle name="스타일 197" xfId="54097"/>
    <cellStyle name="스타일 198" xfId="54098"/>
    <cellStyle name="스타일 199" xfId="54099"/>
    <cellStyle name="스타일 2" xfId="54100"/>
    <cellStyle name="스타일 20" xfId="54101"/>
    <cellStyle name="스타일 200" xfId="54102"/>
    <cellStyle name="스타일 201" xfId="54103"/>
    <cellStyle name="스타일 202" xfId="54104"/>
    <cellStyle name="스타일 203" xfId="54105"/>
    <cellStyle name="스타일 204" xfId="54106"/>
    <cellStyle name="스타일 205" xfId="54107"/>
    <cellStyle name="스타일 206" xfId="54108"/>
    <cellStyle name="스타일 207" xfId="54109"/>
    <cellStyle name="스타일 208" xfId="54110"/>
    <cellStyle name="스타일 209" xfId="54111"/>
    <cellStyle name="스타일 21" xfId="54112"/>
    <cellStyle name="스타일 210" xfId="54113"/>
    <cellStyle name="스타일 211" xfId="54114"/>
    <cellStyle name="스타일 212" xfId="54115"/>
    <cellStyle name="스타일 213" xfId="54116"/>
    <cellStyle name="스타일 214" xfId="54117"/>
    <cellStyle name="스타일 215" xfId="54118"/>
    <cellStyle name="스타일 216" xfId="54119"/>
    <cellStyle name="스타일 217" xfId="54120"/>
    <cellStyle name="스타일 218" xfId="54121"/>
    <cellStyle name="스타일 219" xfId="54122"/>
    <cellStyle name="스타일 22" xfId="54123"/>
    <cellStyle name="스타일 220" xfId="54124"/>
    <cellStyle name="스타일 221" xfId="54125"/>
    <cellStyle name="스타일 222" xfId="54126"/>
    <cellStyle name="스타일 223" xfId="54127"/>
    <cellStyle name="스타일 224" xfId="54128"/>
    <cellStyle name="스타일 225" xfId="54129"/>
    <cellStyle name="스타일 226" xfId="54130"/>
    <cellStyle name="스타일 227" xfId="54131"/>
    <cellStyle name="스타일 228" xfId="54132"/>
    <cellStyle name="스타일 229" xfId="54133"/>
    <cellStyle name="스타일 23" xfId="54134"/>
    <cellStyle name="스타일 230" xfId="54135"/>
    <cellStyle name="스타일 231" xfId="54136"/>
    <cellStyle name="스타일 232" xfId="54137"/>
    <cellStyle name="스타일 233" xfId="54138"/>
    <cellStyle name="스타일 234" xfId="54139"/>
    <cellStyle name="스타일 235" xfId="54140"/>
    <cellStyle name="스타일 236" xfId="54141"/>
    <cellStyle name="스타일 237" xfId="54142"/>
    <cellStyle name="스타일 238" xfId="54143"/>
    <cellStyle name="스타일 239" xfId="54144"/>
    <cellStyle name="스타일 24" xfId="54145"/>
    <cellStyle name="스타일 240" xfId="54146"/>
    <cellStyle name="스타일 241" xfId="54147"/>
    <cellStyle name="스타일 242" xfId="54148"/>
    <cellStyle name="스타일 243" xfId="54149"/>
    <cellStyle name="스타일 244" xfId="54150"/>
    <cellStyle name="스타일 245" xfId="54151"/>
    <cellStyle name="스타일 246" xfId="54152"/>
    <cellStyle name="스타일 247" xfId="54153"/>
    <cellStyle name="스타일 248" xfId="54154"/>
    <cellStyle name="스타일 249" xfId="54155"/>
    <cellStyle name="스타일 25" xfId="54156"/>
    <cellStyle name="스타일 250" xfId="54157"/>
    <cellStyle name="스타일 251" xfId="54158"/>
    <cellStyle name="스타일 252" xfId="54159"/>
    <cellStyle name="스타일 253" xfId="54160"/>
    <cellStyle name="스타일 254" xfId="54161"/>
    <cellStyle name="스타일 255" xfId="54162"/>
    <cellStyle name="스타일 26" xfId="54163"/>
    <cellStyle name="스타일 27" xfId="54164"/>
    <cellStyle name="스타일 28" xfId="54165"/>
    <cellStyle name="스타일 29" xfId="54166"/>
    <cellStyle name="스타일 3" xfId="54167"/>
    <cellStyle name="스타일 30" xfId="54168"/>
    <cellStyle name="스타일 31" xfId="54169"/>
    <cellStyle name="스타일 32" xfId="54170"/>
    <cellStyle name="스타일 33" xfId="54171"/>
    <cellStyle name="스타일 34" xfId="54172"/>
    <cellStyle name="스타일 35" xfId="54173"/>
    <cellStyle name="스타일 36" xfId="54174"/>
    <cellStyle name="스타일 37" xfId="54175"/>
    <cellStyle name="스타일 38" xfId="54176"/>
    <cellStyle name="스타일 39" xfId="54177"/>
    <cellStyle name="스타일 4" xfId="54178"/>
    <cellStyle name="스타일 40" xfId="54179"/>
    <cellStyle name="스타일 41" xfId="54180"/>
    <cellStyle name="스타일 42" xfId="54181"/>
    <cellStyle name="스타일 43" xfId="54182"/>
    <cellStyle name="스타일 44" xfId="54183"/>
    <cellStyle name="스타일 45" xfId="54184"/>
    <cellStyle name="스타일 46" xfId="54185"/>
    <cellStyle name="스타일 47" xfId="54186"/>
    <cellStyle name="스타일 48" xfId="54187"/>
    <cellStyle name="스타일 49" xfId="54188"/>
    <cellStyle name="스타일 5" xfId="54189"/>
    <cellStyle name="스타일 50" xfId="54190"/>
    <cellStyle name="스타일 51" xfId="54191"/>
    <cellStyle name="스타일 52" xfId="54192"/>
    <cellStyle name="스타일 53" xfId="54193"/>
    <cellStyle name="스타일 54" xfId="54194"/>
    <cellStyle name="스타일 55" xfId="54195"/>
    <cellStyle name="스타일 56" xfId="54196"/>
    <cellStyle name="스타일 57" xfId="54197"/>
    <cellStyle name="스타일 58" xfId="54198"/>
    <cellStyle name="스타일 59" xfId="54199"/>
    <cellStyle name="스타일 6" xfId="54200"/>
    <cellStyle name="스타일 60" xfId="54201"/>
    <cellStyle name="스타일 61" xfId="54202"/>
    <cellStyle name="스타일 62" xfId="54203"/>
    <cellStyle name="스타일 63" xfId="54204"/>
    <cellStyle name="스타일 64" xfId="54205"/>
    <cellStyle name="스타일 65" xfId="54206"/>
    <cellStyle name="스타일 66" xfId="54207"/>
    <cellStyle name="스타일 67" xfId="54208"/>
    <cellStyle name="스타일 68" xfId="54209"/>
    <cellStyle name="스타일 69" xfId="54210"/>
    <cellStyle name="스타일 7" xfId="54211"/>
    <cellStyle name="스타일 70" xfId="54212"/>
    <cellStyle name="스타일 71" xfId="54213"/>
    <cellStyle name="스타일 72" xfId="54214"/>
    <cellStyle name="스타일 73" xfId="54215"/>
    <cellStyle name="스타일 74" xfId="54216"/>
    <cellStyle name="스타일 75" xfId="54217"/>
    <cellStyle name="스타일 76" xfId="54218"/>
    <cellStyle name="스타일 77" xfId="54219"/>
    <cellStyle name="스타일 78" xfId="54220"/>
    <cellStyle name="스타일 79" xfId="54221"/>
    <cellStyle name="스타일 8" xfId="54222"/>
    <cellStyle name="스타일 80" xfId="54223"/>
    <cellStyle name="스타일 81" xfId="54224"/>
    <cellStyle name="스타일 82" xfId="54225"/>
    <cellStyle name="스타일 83" xfId="54226"/>
    <cellStyle name="스타일 84" xfId="54227"/>
    <cellStyle name="스타일 85" xfId="54228"/>
    <cellStyle name="스타일 86" xfId="54229"/>
    <cellStyle name="스타일 87" xfId="54230"/>
    <cellStyle name="스타일 88" xfId="54231"/>
    <cellStyle name="스타일 89" xfId="54232"/>
    <cellStyle name="스타일 9" xfId="54233"/>
    <cellStyle name="스타일 90" xfId="54234"/>
    <cellStyle name="스타일 91" xfId="54235"/>
    <cellStyle name="스타일 92" xfId="54236"/>
    <cellStyle name="스타일 93" xfId="54237"/>
    <cellStyle name="스타일 94" xfId="54238"/>
    <cellStyle name="스타일 95" xfId="54239"/>
    <cellStyle name="스타일 96" xfId="54240"/>
    <cellStyle name="스타일 97" xfId="54241"/>
    <cellStyle name="스타일 98" xfId="54242"/>
    <cellStyle name="스타일 99" xfId="54243"/>
    <cellStyle name="시트 제목" xfId="54244"/>
    <cellStyle name="실선" xfId="54245"/>
    <cellStyle name="안건회계법인" xfId="250"/>
    <cellStyle name="안건회계법인 1" xfId="54246"/>
    <cellStyle name="안건회계법인 1 1" xfId="54247"/>
    <cellStyle name="안건회계법인 1 2" xfId="54248"/>
    <cellStyle name="안건회계법인 2" xfId="54249"/>
    <cellStyle name="안건회계법인 2 1" xfId="54250"/>
    <cellStyle name="안건회계법인 2 2" xfId="54251"/>
    <cellStyle name="안건회계법인 3" xfId="54252"/>
    <cellStyle name="안건회계법인 4" xfId="54253"/>
    <cellStyle name="안건회계법인⁬⸵⼰⸷‰o" xfId="54254"/>
    <cellStyle name="연결된 셀 10" xfId="54255"/>
    <cellStyle name="연결된 셀 10 2" xfId="54256"/>
    <cellStyle name="연결된 셀 11" xfId="54257"/>
    <cellStyle name="연결된 셀 11 2" xfId="54258"/>
    <cellStyle name="연결된 셀 12" xfId="54259"/>
    <cellStyle name="연결된 셀 13" xfId="54260"/>
    <cellStyle name="연결된 셀 14" xfId="54261"/>
    <cellStyle name="연결된 셀 15" xfId="54262"/>
    <cellStyle name="연결된 셀 16" xfId="54263"/>
    <cellStyle name="연결된 셀 17" xfId="54264"/>
    <cellStyle name="연결된 셀 18" xfId="54265"/>
    <cellStyle name="연결된 셀 19" xfId="54266"/>
    <cellStyle name="연결된 셀 2" xfId="251"/>
    <cellStyle name="연결된 셀 2 10" xfId="3193"/>
    <cellStyle name="연결된 셀 2 11" xfId="3194"/>
    <cellStyle name="연결된 셀 2 12" xfId="3195"/>
    <cellStyle name="연결된 셀 2 13" xfId="3196"/>
    <cellStyle name="연결된 셀 2 14" xfId="3197"/>
    <cellStyle name="연결된 셀 2 15" xfId="3198"/>
    <cellStyle name="연결된 셀 2 16" xfId="3199"/>
    <cellStyle name="연결된 셀 2 17" xfId="3200"/>
    <cellStyle name="연결된 셀 2 18" xfId="3201"/>
    <cellStyle name="연결된 셀 2 19" xfId="3202"/>
    <cellStyle name="연결된 셀 2 2" xfId="3203"/>
    <cellStyle name="연결된 셀 2 2 2" xfId="3204"/>
    <cellStyle name="연결된 셀 2 2_CRM팀 1단계 정보확인 DB 검색코드_110425" xfId="3205"/>
    <cellStyle name="연결된 셀 2 20" xfId="3206"/>
    <cellStyle name="연결된 셀 2 21" xfId="3207"/>
    <cellStyle name="연결된 셀 2 22" xfId="3208"/>
    <cellStyle name="연결된 셀 2 23" xfId="3209"/>
    <cellStyle name="연결된 셀 2 24" xfId="3210"/>
    <cellStyle name="연결된 셀 2 25" xfId="3211"/>
    <cellStyle name="연결된 셀 2 26" xfId="3212"/>
    <cellStyle name="연결된 셀 2 27" xfId="4880"/>
    <cellStyle name="연결된 셀 2 28" xfId="3192"/>
    <cellStyle name="연결된 셀 2 29" xfId="51355"/>
    <cellStyle name="연결된 셀 2 3" xfId="3213"/>
    <cellStyle name="연결된 셀 2 4" xfId="3214"/>
    <cellStyle name="연결된 셀 2 5" xfId="3215"/>
    <cellStyle name="연결된 셀 2 6" xfId="3216"/>
    <cellStyle name="연결된 셀 2 7" xfId="3217"/>
    <cellStyle name="연결된 셀 2 8" xfId="3218"/>
    <cellStyle name="연결된 셀 2 9" xfId="3219"/>
    <cellStyle name="연결된 셀 2_CRM팀 1단계 정보확인 DB 검색코드_110425" xfId="3220"/>
    <cellStyle name="연결된 셀 20" xfId="54267"/>
    <cellStyle name="연결된 셀 21" xfId="54268"/>
    <cellStyle name="연결된 셀 22" xfId="54269"/>
    <cellStyle name="연결된 셀 23" xfId="54270"/>
    <cellStyle name="연결된 셀 24" xfId="54271"/>
    <cellStyle name="연결된 셀 25" xfId="54272"/>
    <cellStyle name="연결된 셀 26" xfId="54273"/>
    <cellStyle name="연결된 셀 3" xfId="252"/>
    <cellStyle name="연결된 셀 3 2" xfId="3222"/>
    <cellStyle name="연결된 셀 3 2 2" xfId="51073"/>
    <cellStyle name="연결된 셀 3 3" xfId="3221"/>
    <cellStyle name="연결된 셀 3 4" xfId="54274"/>
    <cellStyle name="연결된 셀 3 5" xfId="54275"/>
    <cellStyle name="연결된 셀 3_사업부문" xfId="54276"/>
    <cellStyle name="연결된 셀 4" xfId="253"/>
    <cellStyle name="연결된 셀 4 2" xfId="3224"/>
    <cellStyle name="연결된 셀 4 2 2" xfId="51074"/>
    <cellStyle name="연결된 셀 4 3" xfId="3223"/>
    <cellStyle name="연결된 셀 4 4" xfId="54277"/>
    <cellStyle name="연결된 셀 4 5" xfId="54278"/>
    <cellStyle name="연결된 셀 4_사업부문" xfId="54279"/>
    <cellStyle name="연결된 셀 5" xfId="254"/>
    <cellStyle name="연결된 셀 5 2" xfId="3226"/>
    <cellStyle name="연결된 셀 5 2 2" xfId="51075"/>
    <cellStyle name="연결된 셀 5 3" xfId="3225"/>
    <cellStyle name="연결된 셀 5_사업부문" xfId="54280"/>
    <cellStyle name="연결된 셀 6" xfId="255"/>
    <cellStyle name="연결된 셀 6 2" xfId="3228"/>
    <cellStyle name="연결된 셀 6 2 2" xfId="51076"/>
    <cellStyle name="연결된 셀 6 3" xfId="3227"/>
    <cellStyle name="연결된 셀 6_사업부문" xfId="54281"/>
    <cellStyle name="연결된 셀 7" xfId="256"/>
    <cellStyle name="연결된 셀 7 2" xfId="5289"/>
    <cellStyle name="연결된 셀 7 3" xfId="51077"/>
    <cellStyle name="연결된 셀 7_사업부문" xfId="54282"/>
    <cellStyle name="연결된 셀 8" xfId="3229"/>
    <cellStyle name="연결된 셀 8 2" xfId="54283"/>
    <cellStyle name="연결된 셀 8 3" xfId="54284"/>
    <cellStyle name="연결된 셀 9" xfId="3191"/>
    <cellStyle name="연결된 셀 9 2" xfId="54285"/>
    <cellStyle name="열어 본 하이퍼링크" xfId="3230" builtinId="9" customBuiltin="1"/>
    <cellStyle name="열어 본 하이퍼링크 2" xfId="257"/>
    <cellStyle name="열어 본 하이퍼링크 3" xfId="258"/>
    <cellStyle name="요약 10" xfId="54286"/>
    <cellStyle name="요약 10 2" xfId="54287"/>
    <cellStyle name="요약 11" xfId="54288"/>
    <cellStyle name="요약 11 2" xfId="54289"/>
    <cellStyle name="요약 12" xfId="54290"/>
    <cellStyle name="요약 13" xfId="54291"/>
    <cellStyle name="요약 14" xfId="54292"/>
    <cellStyle name="요약 15" xfId="54293"/>
    <cellStyle name="요약 16" xfId="54294"/>
    <cellStyle name="요약 17" xfId="54295"/>
    <cellStyle name="요약 18" xfId="54296"/>
    <cellStyle name="요약 19" xfId="54297"/>
    <cellStyle name="요약 2" xfId="259"/>
    <cellStyle name="요약 2 10" xfId="3233"/>
    <cellStyle name="요약 2 10 2" xfId="6416"/>
    <cellStyle name="요약 2 10 2 2" xfId="11150"/>
    <cellStyle name="요약 2 10 2 2 2" xfId="24378"/>
    <cellStyle name="요약 2 10 2 2 3" xfId="33780"/>
    <cellStyle name="요약 2 10 2 2 4" xfId="41222"/>
    <cellStyle name="요약 2 10 2 3" xfId="12961"/>
    <cellStyle name="요약 2 10 2 3 2" xfId="26189"/>
    <cellStyle name="요약 2 10 2 3 3" xfId="36206"/>
    <cellStyle name="요약 2 10 2 3 4" xfId="42099"/>
    <cellStyle name="요약 2 10 2 3 5" xfId="48933"/>
    <cellStyle name="요약 2 10 2 4" xfId="19644"/>
    <cellStyle name="요약 2 10 2 4 2" xfId="30672"/>
    <cellStyle name="요약 2 10 2 4 3" xfId="17781"/>
    <cellStyle name="요약 2 10 2 4 4" xfId="45671"/>
    <cellStyle name="요약 2 10 2 5" xfId="36539"/>
    <cellStyle name="요약 2 10 2 5 2" xfId="42437"/>
    <cellStyle name="요약 2 10 2 5 3" xfId="49271"/>
    <cellStyle name="요약 2 10 2 6" xfId="29468"/>
    <cellStyle name="요약 2 10 2 7" xfId="16133"/>
    <cellStyle name="요약 2 10 2 8" xfId="15482"/>
    <cellStyle name="요약 2 10 3" xfId="5730"/>
    <cellStyle name="요약 2 10 3 2" xfId="10464"/>
    <cellStyle name="요약 2 10 3 2 2" xfId="23692"/>
    <cellStyle name="요약 2 10 3 2 3" xfId="33244"/>
    <cellStyle name="요약 2 10 3 2 4" xfId="46912"/>
    <cellStyle name="요약 2 10 3 3" xfId="7925"/>
    <cellStyle name="요약 2 10 3 3 2" xfId="21153"/>
    <cellStyle name="요약 2 10 3 3 3" xfId="35725"/>
    <cellStyle name="요약 2 10 3 3 4" xfId="41609"/>
    <cellStyle name="요약 2 10 3 3 5" xfId="48443"/>
    <cellStyle name="요약 2 10 3 4" xfId="18969"/>
    <cellStyle name="요약 2 10 3 4 2" xfId="32033"/>
    <cellStyle name="요약 2 10 3 4 3" xfId="38256"/>
    <cellStyle name="요약 2 10 3 4 4" xfId="47256"/>
    <cellStyle name="요약 2 10 3 5" xfId="34875"/>
    <cellStyle name="요약 2 10 3 5 2" xfId="40873"/>
    <cellStyle name="요약 2 10 3 5 3" xfId="40174"/>
    <cellStyle name="요약 2 10 3 6" xfId="28941"/>
    <cellStyle name="요약 2 10 3 7" xfId="15878"/>
    <cellStyle name="요약 2 10 3 8" xfId="45511"/>
    <cellStyle name="요약 2 10 4" xfId="9646"/>
    <cellStyle name="요약 2 10 4 10" xfId="44423"/>
    <cellStyle name="요약 2 10 4 2" xfId="13283"/>
    <cellStyle name="요약 2 10 4 2 2" xfId="26511"/>
    <cellStyle name="요약 2 10 4 2 3" xfId="32763"/>
    <cellStyle name="요약 2 10 4 2 4" xfId="38983"/>
    <cellStyle name="요약 2 10 4 2 5" xfId="47288"/>
    <cellStyle name="요약 2 10 4 3" xfId="7586"/>
    <cellStyle name="요약 2 10 4 3 2" xfId="20814"/>
    <cellStyle name="요약 2 10 4 3 3" xfId="35259"/>
    <cellStyle name="요약 2 10 4 3 4" xfId="47962"/>
    <cellStyle name="요약 2 10 4 4" xfId="14217"/>
    <cellStyle name="요약 2 10 4 4 2" xfId="27445"/>
    <cellStyle name="요약 2 10 4 4 3" xfId="31856"/>
    <cellStyle name="요약 2 10 4 4 4" xfId="38077"/>
    <cellStyle name="요약 2 10 4 4 5" xfId="44170"/>
    <cellStyle name="요약 2 10 4 5" xfId="14321"/>
    <cellStyle name="요약 2 10 4 5 2" xfId="27549"/>
    <cellStyle name="요약 2 10 4 5 3" xfId="38387"/>
    <cellStyle name="요약 2 10 4 5 4" xfId="46877"/>
    <cellStyle name="요약 2 10 4 6" xfId="22874"/>
    <cellStyle name="요약 2 10 4 6 2" xfId="29808"/>
    <cellStyle name="요약 2 10 4 6 3" xfId="28038"/>
    <cellStyle name="요약 2 10 4 6 4" xfId="44294"/>
    <cellStyle name="요약 2 10 4 7" xfId="31721"/>
    <cellStyle name="요약 2 10 4 7 2" xfId="37942"/>
    <cellStyle name="요약 2 10 4 7 3" xfId="47096"/>
    <cellStyle name="요약 2 10 4 8" xfId="28452"/>
    <cellStyle name="요약 2 10 4 9" xfId="39329"/>
    <cellStyle name="요약 2 10 5" xfId="8126"/>
    <cellStyle name="요약 2 10 5 2" xfId="21354"/>
    <cellStyle name="요약 2 10 6" xfId="28081"/>
    <cellStyle name="요약 2 11" xfId="3234"/>
    <cellStyle name="요약 2 11 2" xfId="6417"/>
    <cellStyle name="요약 2 11 2 2" xfId="11151"/>
    <cellStyle name="요약 2 11 2 2 2" xfId="24379"/>
    <cellStyle name="요약 2 11 2 2 3" xfId="33781"/>
    <cellStyle name="요약 2 11 2 2 4" xfId="15404"/>
    <cellStyle name="요약 2 11 2 3" xfId="8104"/>
    <cellStyle name="요약 2 11 2 3 2" xfId="21332"/>
    <cellStyle name="요약 2 11 2 3 3" xfId="36207"/>
    <cellStyle name="요약 2 11 2 3 4" xfId="42100"/>
    <cellStyle name="요약 2 11 2 3 5" xfId="48934"/>
    <cellStyle name="요약 2 11 2 4" xfId="19645"/>
    <cellStyle name="요약 2 11 2 4 2" xfId="37244"/>
    <cellStyle name="요약 2 11 2 4 3" xfId="43164"/>
    <cellStyle name="요약 2 11 2 4 4" xfId="49998"/>
    <cellStyle name="요약 2 11 2 5" xfId="35455"/>
    <cellStyle name="요약 2 11 2 5 2" xfId="41324"/>
    <cellStyle name="요약 2 11 2 5 3" xfId="48158"/>
    <cellStyle name="요약 2 11 2 6" xfId="29469"/>
    <cellStyle name="요약 2 11 2 7" xfId="16148"/>
    <cellStyle name="요약 2 11 2 8" xfId="45304"/>
    <cellStyle name="요약 2 11 3" xfId="5731"/>
    <cellStyle name="요약 2 11 3 2" xfId="10465"/>
    <cellStyle name="요약 2 11 3 2 2" xfId="23693"/>
    <cellStyle name="요약 2 11 3 2 3" xfId="33245"/>
    <cellStyle name="요약 2 11 3 2 4" xfId="18160"/>
    <cellStyle name="요약 2 11 3 3" xfId="7926"/>
    <cellStyle name="요약 2 11 3 3 2" xfId="21154"/>
    <cellStyle name="요약 2 11 3 3 3" xfId="35726"/>
    <cellStyle name="요약 2 11 3 3 4" xfId="41610"/>
    <cellStyle name="요약 2 11 3 3 5" xfId="48444"/>
    <cellStyle name="요약 2 11 3 4" xfId="18970"/>
    <cellStyle name="요약 2 11 3 4 2" xfId="36486"/>
    <cellStyle name="요약 2 11 3 4 3" xfId="42379"/>
    <cellStyle name="요약 2 11 3 4 4" xfId="49213"/>
    <cellStyle name="요약 2 11 3 5" xfId="31703"/>
    <cellStyle name="요약 2 11 3 5 2" xfId="17370"/>
    <cellStyle name="요약 2 11 3 5 3" xfId="15342"/>
    <cellStyle name="요약 2 11 3 6" xfId="28942"/>
    <cellStyle name="요약 2 11 3 7" xfId="17631"/>
    <cellStyle name="요약 2 11 3 8" xfId="28129"/>
    <cellStyle name="요약 2 11 4" xfId="9647"/>
    <cellStyle name="요약 2 11 4 10" xfId="45408"/>
    <cellStyle name="요약 2 11 4 2" xfId="13284"/>
    <cellStyle name="요약 2 11 4 2 2" xfId="26512"/>
    <cellStyle name="요약 2 11 4 2 3" xfId="32764"/>
    <cellStyle name="요약 2 11 4 2 4" xfId="38984"/>
    <cellStyle name="요약 2 11 4 2 5" xfId="15583"/>
    <cellStyle name="요약 2 11 4 3" xfId="6731"/>
    <cellStyle name="요약 2 11 4 3 2" xfId="19959"/>
    <cellStyle name="요약 2 11 4 3 3" xfId="35260"/>
    <cellStyle name="요약 2 11 4 3 4" xfId="47963"/>
    <cellStyle name="요약 2 11 4 4" xfId="7326"/>
    <cellStyle name="요약 2 11 4 4 2" xfId="20554"/>
    <cellStyle name="요약 2 11 4 4 3" xfId="32154"/>
    <cellStyle name="요약 2 11 4 4 4" xfId="38379"/>
    <cellStyle name="요약 2 11 4 4 5" xfId="27972"/>
    <cellStyle name="요약 2 11 4 5" xfId="12795"/>
    <cellStyle name="요약 2 11 4 5 2" xfId="26023"/>
    <cellStyle name="요약 2 11 4 5 3" xfId="43389"/>
    <cellStyle name="요약 2 11 4 5 4" xfId="50223"/>
    <cellStyle name="요약 2 11 4 6" xfId="22875"/>
    <cellStyle name="요약 2 11 4 6 2" xfId="36885"/>
    <cellStyle name="요약 2 11 4 6 3" xfId="42800"/>
    <cellStyle name="요약 2 11 4 6 4" xfId="49634"/>
    <cellStyle name="요약 2 11 4 7" xfId="31365"/>
    <cellStyle name="요약 2 11 4 7 2" xfId="17219"/>
    <cellStyle name="요약 2 11 4 7 3" xfId="17880"/>
    <cellStyle name="요약 2 11 4 8" xfId="28453"/>
    <cellStyle name="요약 2 11 4 9" xfId="40393"/>
    <cellStyle name="요약 2 11 5" xfId="8127"/>
    <cellStyle name="요약 2 11 5 2" xfId="21355"/>
    <cellStyle name="요약 2 11 6" xfId="29952"/>
    <cellStyle name="요약 2 12" xfId="3235"/>
    <cellStyle name="요약 2 12 2" xfId="6418"/>
    <cellStyle name="요약 2 12 2 2" xfId="11152"/>
    <cellStyle name="요약 2 12 2 2 2" xfId="24380"/>
    <cellStyle name="요약 2 12 2 2 3" xfId="33782"/>
    <cellStyle name="요약 2 12 2 2 4" xfId="39472"/>
    <cellStyle name="요약 2 12 2 3" xfId="8203"/>
    <cellStyle name="요약 2 12 2 3 2" xfId="21431"/>
    <cellStyle name="요약 2 12 2 3 3" xfId="36208"/>
    <cellStyle name="요약 2 12 2 3 4" xfId="42101"/>
    <cellStyle name="요약 2 12 2 3 5" xfId="48935"/>
    <cellStyle name="요약 2 12 2 4" xfId="19646"/>
    <cellStyle name="요약 2 12 2 4 2" xfId="36695"/>
    <cellStyle name="요약 2 12 2 4 3" xfId="42598"/>
    <cellStyle name="요약 2 12 2 4 4" xfId="49432"/>
    <cellStyle name="요약 2 12 2 5" xfId="30565"/>
    <cellStyle name="요약 2 12 2 5 2" xfId="16843"/>
    <cellStyle name="요약 2 12 2 5 3" xfId="47434"/>
    <cellStyle name="요약 2 12 2 6" xfId="29470"/>
    <cellStyle name="요약 2 12 2 7" xfId="27815"/>
    <cellStyle name="요약 2 12 2 8" xfId="44298"/>
    <cellStyle name="요약 2 12 3" xfId="5732"/>
    <cellStyle name="요약 2 12 3 2" xfId="10466"/>
    <cellStyle name="요약 2 12 3 2 2" xfId="23694"/>
    <cellStyle name="요약 2 12 3 2 3" xfId="33246"/>
    <cellStyle name="요약 2 12 3 2 4" xfId="44086"/>
    <cellStyle name="요약 2 12 3 3" xfId="7927"/>
    <cellStyle name="요약 2 12 3 3 2" xfId="21155"/>
    <cellStyle name="요약 2 12 3 3 3" xfId="35727"/>
    <cellStyle name="요약 2 12 3 3 4" xfId="41611"/>
    <cellStyle name="요약 2 12 3 3 5" xfId="48445"/>
    <cellStyle name="요약 2 12 3 4" xfId="18971"/>
    <cellStyle name="요약 2 12 3 4 2" xfId="32432"/>
    <cellStyle name="요약 2 12 3 4 3" xfId="38650"/>
    <cellStyle name="요약 2 12 3 4 4" xfId="47548"/>
    <cellStyle name="요약 2 12 3 5" xfId="37453"/>
    <cellStyle name="요약 2 12 3 5 2" xfId="43373"/>
    <cellStyle name="요약 2 12 3 5 3" xfId="50207"/>
    <cellStyle name="요약 2 12 3 6" xfId="28943"/>
    <cellStyle name="요약 2 12 3 7" xfId="27943"/>
    <cellStyle name="요약 2 12 3 8" xfId="40317"/>
    <cellStyle name="요약 2 12 4" xfId="9648"/>
    <cellStyle name="요약 2 12 4 10" xfId="40581"/>
    <cellStyle name="요약 2 12 4 2" xfId="13285"/>
    <cellStyle name="요약 2 12 4 2 2" xfId="26513"/>
    <cellStyle name="요약 2 12 4 2 3" xfId="32765"/>
    <cellStyle name="요약 2 12 4 2 4" xfId="38985"/>
    <cellStyle name="요약 2 12 4 2 5" xfId="47430"/>
    <cellStyle name="요약 2 12 4 3" xfId="9078"/>
    <cellStyle name="요약 2 12 4 3 2" xfId="22306"/>
    <cellStyle name="요약 2 12 4 3 3" xfId="35261"/>
    <cellStyle name="요약 2 12 4 3 4" xfId="47964"/>
    <cellStyle name="요약 2 12 4 4" xfId="14216"/>
    <cellStyle name="요약 2 12 4 4 2" xfId="27444"/>
    <cellStyle name="요약 2 12 4 4 3" xfId="31057"/>
    <cellStyle name="요약 2 12 4 4 4" xfId="18576"/>
    <cellStyle name="요약 2 12 4 4 5" xfId="29096"/>
    <cellStyle name="요약 2 12 4 5" xfId="8320"/>
    <cellStyle name="요약 2 12 4 5 2" xfId="21548"/>
    <cellStyle name="요약 2 12 4 5 3" xfId="15176"/>
    <cellStyle name="요약 2 12 4 5 4" xfId="45800"/>
    <cellStyle name="요약 2 12 4 6" xfId="22876"/>
    <cellStyle name="요약 2 12 4 6 2" xfId="30294"/>
    <cellStyle name="요약 2 12 4 6 3" xfId="16730"/>
    <cellStyle name="요약 2 12 4 6 4" xfId="44032"/>
    <cellStyle name="요약 2 12 4 7" xfId="37416"/>
    <cellStyle name="요약 2 12 4 7 2" xfId="43336"/>
    <cellStyle name="요약 2 12 4 7 3" xfId="50170"/>
    <cellStyle name="요약 2 12 4 8" xfId="28454"/>
    <cellStyle name="요약 2 12 4 9" xfId="15776"/>
    <cellStyle name="요약 2 12 5" xfId="8128"/>
    <cellStyle name="요약 2 12 5 2" xfId="21356"/>
    <cellStyle name="요약 2 12 6" xfId="43916"/>
    <cellStyle name="요약 2 13" xfId="3236"/>
    <cellStyle name="요약 2 13 2" xfId="6419"/>
    <cellStyle name="요약 2 13 2 2" xfId="11153"/>
    <cellStyle name="요약 2 13 2 2 2" xfId="24381"/>
    <cellStyle name="요약 2 13 2 2 3" xfId="33783"/>
    <cellStyle name="요약 2 13 2 2 4" xfId="39913"/>
    <cellStyle name="요약 2 13 2 3" xfId="8105"/>
    <cellStyle name="요약 2 13 2 3 2" xfId="21333"/>
    <cellStyle name="요약 2 13 2 3 3" xfId="36209"/>
    <cellStyle name="요약 2 13 2 3 4" xfId="42102"/>
    <cellStyle name="요약 2 13 2 3 5" xfId="48936"/>
    <cellStyle name="요약 2 13 2 4" xfId="19647"/>
    <cellStyle name="요약 2 13 2 4 2" xfId="30397"/>
    <cellStyle name="요약 2 13 2 4 3" xfId="14664"/>
    <cellStyle name="요약 2 13 2 4 4" xfId="15652"/>
    <cellStyle name="요약 2 13 2 5" xfId="36682"/>
    <cellStyle name="요약 2 13 2 5 2" xfId="42585"/>
    <cellStyle name="요약 2 13 2 5 3" xfId="49419"/>
    <cellStyle name="요약 2 13 2 6" xfId="29471"/>
    <cellStyle name="요약 2 13 2 7" xfId="16134"/>
    <cellStyle name="요약 2 13 2 8" xfId="40354"/>
    <cellStyle name="요약 2 13 3" xfId="5733"/>
    <cellStyle name="요약 2 13 3 2" xfId="10467"/>
    <cellStyle name="요약 2 13 3 2 2" xfId="23695"/>
    <cellStyle name="요약 2 13 3 2 3" xfId="33247"/>
    <cellStyle name="요약 2 13 3 2 4" xfId="27963"/>
    <cellStyle name="요약 2 13 3 3" xfId="7928"/>
    <cellStyle name="요약 2 13 3 3 2" xfId="21156"/>
    <cellStyle name="요약 2 13 3 3 3" xfId="35728"/>
    <cellStyle name="요약 2 13 3 3 4" xfId="41612"/>
    <cellStyle name="요약 2 13 3 3 5" xfId="48446"/>
    <cellStyle name="요약 2 13 3 4" xfId="18972"/>
    <cellStyle name="요약 2 13 3 4 2" xfId="31358"/>
    <cellStyle name="요약 2 13 3 4 3" xfId="17216"/>
    <cellStyle name="요약 2 13 3 4 4" xfId="46727"/>
    <cellStyle name="요약 2 13 3 5" xfId="34772"/>
    <cellStyle name="요약 2 13 3 5 2" xfId="40767"/>
    <cellStyle name="요약 2 13 3 5 3" xfId="40470"/>
    <cellStyle name="요약 2 13 3 6" xfId="28944"/>
    <cellStyle name="요약 2 13 3 7" xfId="15877"/>
    <cellStyle name="요약 2 13 3 8" xfId="34090"/>
    <cellStyle name="요약 2 13 4" xfId="9649"/>
    <cellStyle name="요약 2 13 4 10" xfId="34379"/>
    <cellStyle name="요약 2 13 4 2" xfId="13286"/>
    <cellStyle name="요약 2 13 4 2 2" xfId="26514"/>
    <cellStyle name="요약 2 13 4 2 3" xfId="32766"/>
    <cellStyle name="요약 2 13 4 2 4" xfId="38986"/>
    <cellStyle name="요약 2 13 4 2 5" xfId="45660"/>
    <cellStyle name="요약 2 13 4 3" xfId="7588"/>
    <cellStyle name="요약 2 13 4 3 2" xfId="20816"/>
    <cellStyle name="요약 2 13 4 3 3" xfId="35262"/>
    <cellStyle name="요약 2 13 4 3 4" xfId="47965"/>
    <cellStyle name="요약 2 13 4 4" xfId="13073"/>
    <cellStyle name="요약 2 13 4 4 2" xfId="26301"/>
    <cellStyle name="요약 2 13 4 4 3" xfId="34853"/>
    <cellStyle name="요약 2 13 4 4 4" xfId="40852"/>
    <cellStyle name="요약 2 13 4 4 5" xfId="39346"/>
    <cellStyle name="요약 2 13 4 5" xfId="13012"/>
    <cellStyle name="요약 2 13 4 5 2" xfId="26240"/>
    <cellStyle name="요약 2 13 4 5 3" xfId="17961"/>
    <cellStyle name="요약 2 13 4 5 4" xfId="17547"/>
    <cellStyle name="요약 2 13 4 6" xfId="22877"/>
    <cellStyle name="요약 2 13 4 6 2" xfId="30062"/>
    <cellStyle name="요약 2 13 4 6 3" xfId="18660"/>
    <cellStyle name="요약 2 13 4 6 4" xfId="27894"/>
    <cellStyle name="요약 2 13 4 7" xfId="31262"/>
    <cellStyle name="요약 2 13 4 7 2" xfId="17159"/>
    <cellStyle name="요약 2 13 4 7 3" xfId="46768"/>
    <cellStyle name="요약 2 13 4 8" xfId="28455"/>
    <cellStyle name="요약 2 13 4 9" xfId="38463"/>
    <cellStyle name="요약 2 13 5" xfId="8129"/>
    <cellStyle name="요약 2 13 5 2" xfId="21357"/>
    <cellStyle name="요약 2 13 6" xfId="44236"/>
    <cellStyle name="요약 2 14" xfId="3237"/>
    <cellStyle name="요약 2 14 2" xfId="6420"/>
    <cellStyle name="요약 2 14 2 2" xfId="11154"/>
    <cellStyle name="요약 2 14 2 2 2" xfId="24382"/>
    <cellStyle name="요약 2 14 2 2 3" xfId="33784"/>
    <cellStyle name="요약 2 14 2 2 4" xfId="15405"/>
    <cellStyle name="요약 2 14 2 3" xfId="12960"/>
    <cellStyle name="요약 2 14 2 3 2" xfId="26188"/>
    <cellStyle name="요약 2 14 2 3 3" xfId="36210"/>
    <cellStyle name="요약 2 14 2 3 4" xfId="42103"/>
    <cellStyle name="요약 2 14 2 3 5" xfId="48937"/>
    <cellStyle name="요약 2 14 2 4" xfId="19648"/>
    <cellStyle name="요약 2 14 2 4 2" xfId="35056"/>
    <cellStyle name="요약 2 14 2 4 3" xfId="41063"/>
    <cellStyle name="요약 2 14 2 4 4" xfId="47759"/>
    <cellStyle name="요약 2 14 2 5" xfId="37557"/>
    <cellStyle name="요약 2 14 2 5 2" xfId="43478"/>
    <cellStyle name="요약 2 14 2 5 3" xfId="50312"/>
    <cellStyle name="요약 2 14 2 6" xfId="29472"/>
    <cellStyle name="요약 2 14 2 7" xfId="16135"/>
    <cellStyle name="요약 2 14 2 8" xfId="44536"/>
    <cellStyle name="요약 2 14 3" xfId="5734"/>
    <cellStyle name="요약 2 14 3 2" xfId="10468"/>
    <cellStyle name="요약 2 14 3 2 2" xfId="23696"/>
    <cellStyle name="요약 2 14 3 2 3" xfId="33248"/>
    <cellStyle name="요약 2 14 3 2 4" xfId="47214"/>
    <cellStyle name="요약 2 14 3 3" xfId="7929"/>
    <cellStyle name="요약 2 14 3 3 2" xfId="21157"/>
    <cellStyle name="요약 2 14 3 3 3" xfId="35729"/>
    <cellStyle name="요약 2 14 3 3 4" xfId="41613"/>
    <cellStyle name="요약 2 14 3 3 5" xfId="48447"/>
    <cellStyle name="요약 2 14 3 4" xfId="18973"/>
    <cellStyle name="요약 2 14 3 4 2" xfId="31770"/>
    <cellStyle name="요약 2 14 3 4 3" xfId="37991"/>
    <cellStyle name="요약 2 14 3 4 4" xfId="46409"/>
    <cellStyle name="요약 2 14 3 5" xfId="37505"/>
    <cellStyle name="요약 2 14 3 5 2" xfId="43425"/>
    <cellStyle name="요약 2 14 3 5 3" xfId="50259"/>
    <cellStyle name="요약 2 14 3 6" xfId="28945"/>
    <cellStyle name="요약 2 14 3 7" xfId="14545"/>
    <cellStyle name="요약 2 14 3 8" xfId="28657"/>
    <cellStyle name="요약 2 14 4" xfId="9650"/>
    <cellStyle name="요약 2 14 4 10" xfId="45290"/>
    <cellStyle name="요약 2 14 4 2" xfId="13287"/>
    <cellStyle name="요약 2 14 4 2 2" xfId="26515"/>
    <cellStyle name="요약 2 14 4 2 3" xfId="32767"/>
    <cellStyle name="요약 2 14 4 2 4" xfId="38987"/>
    <cellStyle name="요약 2 14 4 2 5" xfId="45619"/>
    <cellStyle name="요약 2 14 4 3" xfId="7553"/>
    <cellStyle name="요약 2 14 4 3 2" xfId="20781"/>
    <cellStyle name="요약 2 14 4 3 3" xfId="35263"/>
    <cellStyle name="요약 2 14 4 3 4" xfId="47966"/>
    <cellStyle name="요약 2 14 4 4" xfId="14076"/>
    <cellStyle name="요약 2 14 4 4 2" xfId="27304"/>
    <cellStyle name="요약 2 14 4 4 3" xfId="31857"/>
    <cellStyle name="요약 2 14 4 4 4" xfId="38078"/>
    <cellStyle name="요약 2 14 4 4 5" xfId="39697"/>
    <cellStyle name="요약 2 14 4 5" xfId="7211"/>
    <cellStyle name="요약 2 14 4 5 2" xfId="20439"/>
    <cellStyle name="요약 2 14 4 5 3" xfId="17788"/>
    <cellStyle name="요약 2 14 4 5 4" xfId="39802"/>
    <cellStyle name="요약 2 14 4 6" xfId="22878"/>
    <cellStyle name="요약 2 14 4 6 2" xfId="32024"/>
    <cellStyle name="요약 2 14 4 6 3" xfId="38247"/>
    <cellStyle name="요약 2 14 4 6 4" xfId="33412"/>
    <cellStyle name="요약 2 14 4 7" xfId="35462"/>
    <cellStyle name="요약 2 14 4 7 2" xfId="41331"/>
    <cellStyle name="요약 2 14 4 7 3" xfId="48165"/>
    <cellStyle name="요약 2 14 4 8" xfId="28456"/>
    <cellStyle name="요약 2 14 4 9" xfId="40324"/>
    <cellStyle name="요약 2 14 5" xfId="8130"/>
    <cellStyle name="요약 2 14 5 2" xfId="21358"/>
    <cellStyle name="요약 2 14 6" xfId="15323"/>
    <cellStyle name="요약 2 15" xfId="3238"/>
    <cellStyle name="요약 2 15 2" xfId="6421"/>
    <cellStyle name="요약 2 15 2 2" xfId="11155"/>
    <cellStyle name="요약 2 15 2 2 2" xfId="24383"/>
    <cellStyle name="요약 2 15 2 2 3" xfId="33785"/>
    <cellStyle name="요약 2 15 2 2 4" xfId="41223"/>
    <cellStyle name="요약 2 15 2 3" xfId="6845"/>
    <cellStyle name="요약 2 15 2 3 2" xfId="20073"/>
    <cellStyle name="요약 2 15 2 3 3" xfId="36211"/>
    <cellStyle name="요약 2 15 2 3 4" xfId="42104"/>
    <cellStyle name="요약 2 15 2 3 5" xfId="48938"/>
    <cellStyle name="요약 2 15 2 4" xfId="19649"/>
    <cellStyle name="요약 2 15 2 4 2" xfId="30396"/>
    <cellStyle name="요약 2 15 2 4 3" xfId="16791"/>
    <cellStyle name="요약 2 15 2 4 4" xfId="47049"/>
    <cellStyle name="요약 2 15 2 5" xfId="36796"/>
    <cellStyle name="요약 2 15 2 5 2" xfId="42707"/>
    <cellStyle name="요약 2 15 2 5 3" xfId="49541"/>
    <cellStyle name="요약 2 15 2 6" xfId="29473"/>
    <cellStyle name="요약 2 15 2 7" xfId="16136"/>
    <cellStyle name="요약 2 15 2 8" xfId="45506"/>
    <cellStyle name="요약 2 15 3" xfId="5735"/>
    <cellStyle name="요약 2 15 3 2" xfId="10469"/>
    <cellStyle name="요약 2 15 3 2 2" xfId="23697"/>
    <cellStyle name="요약 2 15 3 2 3" xfId="33249"/>
    <cellStyle name="요약 2 15 3 2 4" xfId="46462"/>
    <cellStyle name="요약 2 15 3 3" xfId="7930"/>
    <cellStyle name="요약 2 15 3 3 2" xfId="21158"/>
    <cellStyle name="요약 2 15 3 3 3" xfId="35730"/>
    <cellStyle name="요약 2 15 3 3 4" xfId="41614"/>
    <cellStyle name="요약 2 15 3 3 5" xfId="48448"/>
    <cellStyle name="요약 2 15 3 4" xfId="18974"/>
    <cellStyle name="요약 2 15 3 4 2" xfId="31733"/>
    <cellStyle name="요약 2 15 3 4 3" xfId="37954"/>
    <cellStyle name="요약 2 15 3 4 4" xfId="15520"/>
    <cellStyle name="요약 2 15 3 5" xfId="37305"/>
    <cellStyle name="요약 2 15 3 5 2" xfId="43225"/>
    <cellStyle name="요약 2 15 3 5 3" xfId="50059"/>
    <cellStyle name="요약 2 15 3 6" xfId="28946"/>
    <cellStyle name="요약 2 15 3 7" xfId="18493"/>
    <cellStyle name="요약 2 15 3 8" xfId="34107"/>
    <cellStyle name="요약 2 15 4" xfId="9651"/>
    <cellStyle name="요약 2 15 4 10" xfId="44284"/>
    <cellStyle name="요약 2 15 4 2" xfId="13288"/>
    <cellStyle name="요약 2 15 4 2 2" xfId="26516"/>
    <cellStyle name="요약 2 15 4 2 3" xfId="32768"/>
    <cellStyle name="요약 2 15 4 2 4" xfId="38988"/>
    <cellStyle name="요약 2 15 4 2 5" xfId="18095"/>
    <cellStyle name="요약 2 15 4 3" xfId="7589"/>
    <cellStyle name="요약 2 15 4 3 2" xfId="20817"/>
    <cellStyle name="요약 2 15 4 3 3" xfId="35264"/>
    <cellStyle name="요약 2 15 4 3 4" xfId="47967"/>
    <cellStyle name="요약 2 15 4 4" xfId="12943"/>
    <cellStyle name="요약 2 15 4 4 2" xfId="26171"/>
    <cellStyle name="요약 2 15 4 4 3" xfId="31059"/>
    <cellStyle name="요약 2 15 4 4 4" xfId="18578"/>
    <cellStyle name="요약 2 15 4 4 5" xfId="35837"/>
    <cellStyle name="요약 2 15 4 5" xfId="12878"/>
    <cellStyle name="요약 2 15 4 5 2" xfId="26106"/>
    <cellStyle name="요약 2 15 4 5 3" xfId="42610"/>
    <cellStyle name="요약 2 15 4 5 4" xfId="49444"/>
    <cellStyle name="요약 2 15 4 6" xfId="22879"/>
    <cellStyle name="요약 2 15 4 6 2" xfId="37410"/>
    <cellStyle name="요약 2 15 4 6 3" xfId="43330"/>
    <cellStyle name="요약 2 15 4 6 4" xfId="50164"/>
    <cellStyle name="요약 2 15 4 7" xfId="37803"/>
    <cellStyle name="요약 2 15 4 7 2" xfId="43727"/>
    <cellStyle name="요약 2 15 4 7 3" xfId="50561"/>
    <cellStyle name="요약 2 15 4 8" xfId="28457"/>
    <cellStyle name="요약 2 15 4 9" xfId="39239"/>
    <cellStyle name="요약 2 15 5" xfId="8131"/>
    <cellStyle name="요약 2 15 5 2" xfId="21359"/>
    <cellStyle name="요약 2 15 6" xfId="17902"/>
    <cellStyle name="요약 2 16" xfId="3239"/>
    <cellStyle name="요약 2 16 2" xfId="6422"/>
    <cellStyle name="요약 2 16 2 2" xfId="11156"/>
    <cellStyle name="요약 2 16 2 2 2" xfId="24384"/>
    <cellStyle name="요약 2 16 2 2 3" xfId="33786"/>
    <cellStyle name="요약 2 16 2 2 4" xfId="32174"/>
    <cellStyle name="요약 2 16 2 3" xfId="8085"/>
    <cellStyle name="요약 2 16 2 3 2" xfId="21313"/>
    <cellStyle name="요약 2 16 2 3 3" xfId="36212"/>
    <cellStyle name="요약 2 16 2 3 4" xfId="42105"/>
    <cellStyle name="요약 2 16 2 3 5" xfId="48939"/>
    <cellStyle name="요약 2 16 2 4" xfId="19650"/>
    <cellStyle name="요약 2 16 2 4 2" xfId="31605"/>
    <cellStyle name="요약 2 16 2 4 3" xfId="17328"/>
    <cellStyle name="요약 2 16 2 4 4" xfId="28130"/>
    <cellStyle name="요약 2 16 2 5" xfId="37535"/>
    <cellStyle name="요약 2 16 2 5 2" xfId="43456"/>
    <cellStyle name="요약 2 16 2 5 3" xfId="50290"/>
    <cellStyle name="요약 2 16 2 6" xfId="29474"/>
    <cellStyle name="요약 2 16 2 7" xfId="16137"/>
    <cellStyle name="요약 2 16 2 8" xfId="29121"/>
    <cellStyle name="요약 2 16 3" xfId="5736"/>
    <cellStyle name="요약 2 16 3 2" xfId="10470"/>
    <cellStyle name="요약 2 16 3 2 2" xfId="23698"/>
    <cellStyle name="요약 2 16 3 2 3" xfId="33250"/>
    <cellStyle name="요약 2 16 3 2 4" xfId="40634"/>
    <cellStyle name="요약 2 16 3 3" xfId="7931"/>
    <cellStyle name="요약 2 16 3 3 2" xfId="21159"/>
    <cellStyle name="요약 2 16 3 3 3" xfId="35731"/>
    <cellStyle name="요약 2 16 3 3 4" xfId="41615"/>
    <cellStyle name="요약 2 16 3 3 5" xfId="48449"/>
    <cellStyle name="요약 2 16 3 4" xfId="18975"/>
    <cellStyle name="요약 2 16 3 4 2" xfId="30346"/>
    <cellStyle name="요약 2 16 3 4 3" xfId="16767"/>
    <cellStyle name="요약 2 16 3 4 4" xfId="34072"/>
    <cellStyle name="요약 2 16 3 5" xfId="35596"/>
    <cellStyle name="요약 2 16 3 5 2" xfId="41472"/>
    <cellStyle name="요약 2 16 3 5 3" xfId="48306"/>
    <cellStyle name="요약 2 16 3 6" xfId="28947"/>
    <cellStyle name="요약 2 16 3 7" xfId="15879"/>
    <cellStyle name="요약 2 16 3 8" xfId="45149"/>
    <cellStyle name="요약 2 16 4" xfId="9652"/>
    <cellStyle name="요약 2 16 4 10" xfId="38462"/>
    <cellStyle name="요약 2 16 4 2" xfId="13289"/>
    <cellStyle name="요약 2 16 4 2 2" xfId="26517"/>
    <cellStyle name="요약 2 16 4 2 3" xfId="32769"/>
    <cellStyle name="요약 2 16 4 2 4" xfId="38989"/>
    <cellStyle name="요약 2 16 4 2 5" xfId="47476"/>
    <cellStyle name="요약 2 16 4 3" xfId="7590"/>
    <cellStyle name="요약 2 16 4 3 2" xfId="20818"/>
    <cellStyle name="요약 2 16 4 3 3" xfId="35265"/>
    <cellStyle name="요약 2 16 4 3 4" xfId="47968"/>
    <cellStyle name="요약 2 16 4 4" xfId="13714"/>
    <cellStyle name="요약 2 16 4 4 2" xfId="26942"/>
    <cellStyle name="요약 2 16 4 4 3" xfId="31058"/>
    <cellStyle name="요약 2 16 4 4 4" xfId="18577"/>
    <cellStyle name="요약 2 16 4 4 5" xfId="40467"/>
    <cellStyle name="요약 2 16 4 5" xfId="8603"/>
    <cellStyle name="요약 2 16 4 5 2" xfId="21831"/>
    <cellStyle name="요약 2 16 4 5 3" xfId="16652"/>
    <cellStyle name="요약 2 16 4 5 4" xfId="44035"/>
    <cellStyle name="요약 2 16 4 6" xfId="22880"/>
    <cellStyle name="요약 2 16 4 6 2" xfId="31232"/>
    <cellStyle name="요약 2 16 4 6 3" xfId="17767"/>
    <cellStyle name="요약 2 16 4 6 4" xfId="15570"/>
    <cellStyle name="요약 2 16 4 7" xfId="31362"/>
    <cellStyle name="요약 2 16 4 7 2" xfId="18044"/>
    <cellStyle name="요약 2 16 4 7 3" xfId="45694"/>
    <cellStyle name="요약 2 16 4 8" xfId="28458"/>
    <cellStyle name="요약 2 16 4 9" xfId="34055"/>
    <cellStyle name="요약 2 16 5" xfId="8132"/>
    <cellStyle name="요약 2 16 5 2" xfId="21360"/>
    <cellStyle name="요약 2 16 6" xfId="46667"/>
    <cellStyle name="요약 2 17" xfId="3240"/>
    <cellStyle name="요약 2 17 2" xfId="6423"/>
    <cellStyle name="요약 2 17 2 2" xfId="11157"/>
    <cellStyle name="요약 2 17 2 2 2" xfId="24385"/>
    <cellStyle name="요약 2 17 2 2 3" xfId="33787"/>
    <cellStyle name="요약 2 17 2 2 4" xfId="27854"/>
    <cellStyle name="요약 2 17 2 3" xfId="8758"/>
    <cellStyle name="요약 2 17 2 3 2" xfId="21986"/>
    <cellStyle name="요약 2 17 2 3 3" xfId="36213"/>
    <cellStyle name="요약 2 17 2 3 4" xfId="42106"/>
    <cellStyle name="요약 2 17 2 3 5" xfId="48940"/>
    <cellStyle name="요약 2 17 2 4" xfId="19651"/>
    <cellStyle name="요약 2 17 2 4 2" xfId="32017"/>
    <cellStyle name="요약 2 17 2 4 3" xfId="38240"/>
    <cellStyle name="요약 2 17 2 4 4" xfId="31414"/>
    <cellStyle name="요약 2 17 2 5" xfId="36692"/>
    <cellStyle name="요약 2 17 2 5 2" xfId="42595"/>
    <cellStyle name="요약 2 17 2 5 3" xfId="49429"/>
    <cellStyle name="요약 2 17 2 6" xfId="29475"/>
    <cellStyle name="요약 2 17 2 7" xfId="16138"/>
    <cellStyle name="요약 2 17 2 8" xfId="39533"/>
    <cellStyle name="요약 2 17 3" xfId="5737"/>
    <cellStyle name="요약 2 17 3 2" xfId="10471"/>
    <cellStyle name="요약 2 17 3 2 2" xfId="23699"/>
    <cellStyle name="요약 2 17 3 2 3" xfId="33251"/>
    <cellStyle name="요약 2 17 3 2 4" xfId="15809"/>
    <cellStyle name="요약 2 17 3 3" xfId="7932"/>
    <cellStyle name="요약 2 17 3 3 2" xfId="21160"/>
    <cellStyle name="요약 2 17 3 3 3" xfId="35732"/>
    <cellStyle name="요약 2 17 3 3 4" xfId="41616"/>
    <cellStyle name="요약 2 17 3 3 5" xfId="48450"/>
    <cellStyle name="요약 2 17 3 4" xfId="18976"/>
    <cellStyle name="요약 2 17 3 4 2" xfId="34704"/>
    <cellStyle name="요약 2 17 3 4 3" xfId="40694"/>
    <cellStyle name="요약 2 17 3 4 4" xfId="17491"/>
    <cellStyle name="요약 2 17 3 5" xfId="30176"/>
    <cellStyle name="요약 2 17 3 5 2" xfId="16637"/>
    <cellStyle name="요약 2 17 3 5 3" xfId="39606"/>
    <cellStyle name="요약 2 17 3 6" xfId="28948"/>
    <cellStyle name="요약 2 17 3 7" xfId="15857"/>
    <cellStyle name="요약 2 17 3 8" xfId="44017"/>
    <cellStyle name="요약 2 17 4" xfId="9653"/>
    <cellStyle name="요약 2 17 4 10" xfId="44521"/>
    <cellStyle name="요약 2 17 4 2" xfId="13290"/>
    <cellStyle name="요약 2 17 4 2 2" xfId="26518"/>
    <cellStyle name="요약 2 17 4 2 3" xfId="32770"/>
    <cellStyle name="요약 2 17 4 2 4" xfId="38990"/>
    <cellStyle name="요약 2 17 4 2 5" xfId="47235"/>
    <cellStyle name="요약 2 17 4 3" xfId="7591"/>
    <cellStyle name="요약 2 17 4 3 2" xfId="20819"/>
    <cellStyle name="요약 2 17 4 3 3" xfId="35266"/>
    <cellStyle name="요약 2 17 4 3 4" xfId="47969"/>
    <cellStyle name="요약 2 17 4 4" xfId="14288"/>
    <cellStyle name="요약 2 17 4 4 2" xfId="27516"/>
    <cellStyle name="요약 2 17 4 4 3" xfId="31858"/>
    <cellStyle name="요약 2 17 4 4 4" xfId="38079"/>
    <cellStyle name="요약 2 17 4 4 5" xfId="47225"/>
    <cellStyle name="요약 2 17 4 5" xfId="14364"/>
    <cellStyle name="요약 2 17 4 5 2" xfId="27592"/>
    <cellStyle name="요약 2 17 4 5 3" xfId="37968"/>
    <cellStyle name="요약 2 17 4 5 4" xfId="46195"/>
    <cellStyle name="요약 2 17 4 6" xfId="22881"/>
    <cellStyle name="요약 2 17 4 6 2" xfId="37175"/>
    <cellStyle name="요약 2 17 4 6 3" xfId="43094"/>
    <cellStyle name="요약 2 17 4 6 4" xfId="49928"/>
    <cellStyle name="요약 2 17 4 7" xfId="34719"/>
    <cellStyle name="요약 2 17 4 7 2" xfId="40709"/>
    <cellStyle name="요약 2 17 4 7 3" xfId="34338"/>
    <cellStyle name="요약 2 17 4 8" xfId="28459"/>
    <cellStyle name="요약 2 17 4 9" xfId="39587"/>
    <cellStyle name="요약 2 17 5" xfId="8133"/>
    <cellStyle name="요약 2 17 5 2" xfId="21361"/>
    <cellStyle name="요약 2 17 6" xfId="41156"/>
    <cellStyle name="요약 2 18" xfId="3241"/>
    <cellStyle name="요약 2 18 2" xfId="6424"/>
    <cellStyle name="요약 2 18 2 2" xfId="11158"/>
    <cellStyle name="요약 2 18 2 2 2" xfId="24386"/>
    <cellStyle name="요약 2 18 2 2 3" xfId="33788"/>
    <cellStyle name="요약 2 18 2 2 4" xfId="34509"/>
    <cellStyle name="요약 2 18 2 3" xfId="6846"/>
    <cellStyle name="요약 2 18 2 3 2" xfId="20074"/>
    <cellStyle name="요약 2 18 2 3 3" xfId="36214"/>
    <cellStyle name="요약 2 18 2 3 4" xfId="42107"/>
    <cellStyle name="요약 2 18 2 3 5" xfId="48941"/>
    <cellStyle name="요약 2 18 2 4" xfId="19652"/>
    <cellStyle name="요약 2 18 2 4 2" xfId="30814"/>
    <cellStyle name="요약 2 18 2 4 3" xfId="16947"/>
    <cellStyle name="요약 2 18 2 4 4" xfId="16496"/>
    <cellStyle name="요약 2 18 2 5" xfId="37705"/>
    <cellStyle name="요약 2 18 2 5 2" xfId="43628"/>
    <cellStyle name="요약 2 18 2 5 3" xfId="50462"/>
    <cellStyle name="요약 2 18 2 6" xfId="29476"/>
    <cellStyle name="요약 2 18 2 7" xfId="16139"/>
    <cellStyle name="요약 2 18 2 8" xfId="14620"/>
    <cellStyle name="요약 2 18 3" xfId="5738"/>
    <cellStyle name="요약 2 18 3 2" xfId="10472"/>
    <cellStyle name="요약 2 18 3 2 2" xfId="23700"/>
    <cellStyle name="요약 2 18 3 2 3" xfId="33252"/>
    <cellStyle name="요약 2 18 3 2 4" xfId="45724"/>
    <cellStyle name="요약 2 18 3 3" xfId="7933"/>
    <cellStyle name="요약 2 18 3 3 2" xfId="21161"/>
    <cellStyle name="요약 2 18 3 3 3" xfId="35733"/>
    <cellStyle name="요약 2 18 3 3 4" xfId="41617"/>
    <cellStyle name="요약 2 18 3 3 5" xfId="48451"/>
    <cellStyle name="요약 2 18 3 4" xfId="18977"/>
    <cellStyle name="요약 2 18 3 4 2" xfId="30345"/>
    <cellStyle name="요약 2 18 3 4 3" xfId="16766"/>
    <cellStyle name="요약 2 18 3 4 4" xfId="38440"/>
    <cellStyle name="요약 2 18 3 5" xfId="35852"/>
    <cellStyle name="요약 2 18 3 5 2" xfId="41741"/>
    <cellStyle name="요약 2 18 3 5 3" xfId="48575"/>
    <cellStyle name="요약 2 18 3 6" xfId="28949"/>
    <cellStyle name="요약 2 18 3 7" xfId="14546"/>
    <cellStyle name="요약 2 18 3 8" xfId="40099"/>
    <cellStyle name="요약 2 18 4" xfId="9654"/>
    <cellStyle name="요약 2 18 4 10" xfId="45491"/>
    <cellStyle name="요약 2 18 4 2" xfId="13291"/>
    <cellStyle name="요약 2 18 4 2 2" xfId="26519"/>
    <cellStyle name="요약 2 18 4 2 3" xfId="32771"/>
    <cellStyle name="요약 2 18 4 2 4" xfId="38991"/>
    <cellStyle name="요약 2 18 4 2 5" xfId="47594"/>
    <cellStyle name="요약 2 18 4 3" xfId="7592"/>
    <cellStyle name="요약 2 18 4 3 2" xfId="20820"/>
    <cellStyle name="요약 2 18 4 3 3" xfId="35267"/>
    <cellStyle name="요약 2 18 4 3 4" xfId="47970"/>
    <cellStyle name="요약 2 18 4 4" xfId="13537"/>
    <cellStyle name="요약 2 18 4 4 2" xfId="26765"/>
    <cellStyle name="요약 2 18 4 4 3" xfId="31024"/>
    <cellStyle name="요약 2 18 4 4 4" xfId="18552"/>
    <cellStyle name="요약 2 18 4 4 5" xfId="39594"/>
    <cellStyle name="요약 2 18 4 5" xfId="8585"/>
    <cellStyle name="요약 2 18 4 5 2" xfId="21813"/>
    <cellStyle name="요약 2 18 4 5 3" xfId="17723"/>
    <cellStyle name="요약 2 18 4 5 4" xfId="45168"/>
    <cellStyle name="요약 2 18 4 6" xfId="22882"/>
    <cellStyle name="요약 2 18 4 6 2" xfId="30144"/>
    <cellStyle name="요약 2 18 4 6 3" xfId="16608"/>
    <cellStyle name="요약 2 18 4 6 4" xfId="32509"/>
    <cellStyle name="요약 2 18 4 7" xfId="34823"/>
    <cellStyle name="요약 2 18 4 7 2" xfId="40821"/>
    <cellStyle name="요약 2 18 4 7 3" xfId="34249"/>
    <cellStyle name="요약 2 18 4 8" xfId="28460"/>
    <cellStyle name="요약 2 18 4 9" xfId="40570"/>
    <cellStyle name="요약 2 18 5" xfId="8134"/>
    <cellStyle name="요약 2 18 5 2" xfId="21362"/>
    <cellStyle name="요약 2 18 6" xfId="16528"/>
    <cellStyle name="요약 2 19" xfId="3242"/>
    <cellStyle name="요약 2 19 2" xfId="6425"/>
    <cellStyle name="요약 2 19 2 2" xfId="11159"/>
    <cellStyle name="요약 2 19 2 2 2" xfId="24387"/>
    <cellStyle name="요약 2 19 2 2 3" xfId="33789"/>
    <cellStyle name="요약 2 19 2 2 4" xfId="39914"/>
    <cellStyle name="요약 2 19 2 3" xfId="8107"/>
    <cellStyle name="요약 2 19 2 3 2" xfId="21335"/>
    <cellStyle name="요약 2 19 2 3 3" xfId="36215"/>
    <cellStyle name="요약 2 19 2 3 4" xfId="42108"/>
    <cellStyle name="요약 2 19 2 3 5" xfId="48942"/>
    <cellStyle name="요약 2 19 2 4" xfId="19653"/>
    <cellStyle name="요약 2 19 2 4 2" xfId="32122"/>
    <cellStyle name="요약 2 19 2 4 3" xfId="38345"/>
    <cellStyle name="요약 2 19 2 4 4" xfId="36790"/>
    <cellStyle name="요약 2 19 2 5" xfId="37479"/>
    <cellStyle name="요약 2 19 2 5 2" xfId="43399"/>
    <cellStyle name="요약 2 19 2 5 3" xfId="50233"/>
    <cellStyle name="요약 2 19 2 6" xfId="29477"/>
    <cellStyle name="요약 2 19 2 7" xfId="14575"/>
    <cellStyle name="요약 2 19 2 8" xfId="34622"/>
    <cellStyle name="요약 2 19 3" xfId="5739"/>
    <cellStyle name="요약 2 19 3 2" xfId="10473"/>
    <cellStyle name="요약 2 19 3 2 2" xfId="23701"/>
    <cellStyle name="요약 2 19 3 2 3" xfId="33253"/>
    <cellStyle name="요약 2 19 3 2 4" xfId="32521"/>
    <cellStyle name="요약 2 19 3 3" xfId="7934"/>
    <cellStyle name="요약 2 19 3 3 2" xfId="21162"/>
    <cellStyle name="요약 2 19 3 3 3" xfId="35734"/>
    <cellStyle name="요약 2 19 3 3 4" xfId="41618"/>
    <cellStyle name="요약 2 19 3 3 5" xfId="48452"/>
    <cellStyle name="요약 2 19 3 4" xfId="18978"/>
    <cellStyle name="요약 2 19 3 4 2" xfId="37720"/>
    <cellStyle name="요약 2 19 3 4 3" xfId="43643"/>
    <cellStyle name="요약 2 19 3 4 4" xfId="50477"/>
    <cellStyle name="요약 2 19 3 5" xfId="31625"/>
    <cellStyle name="요약 2 19 3 5 2" xfId="17339"/>
    <cellStyle name="요약 2 19 3 5 3" xfId="28080"/>
    <cellStyle name="요약 2 19 3 6" xfId="28950"/>
    <cellStyle name="요약 2 19 3 7" xfId="15881"/>
    <cellStyle name="요약 2 19 3 8" xfId="44418"/>
    <cellStyle name="요약 2 19 4" xfId="9655"/>
    <cellStyle name="요약 2 19 4 10" xfId="34400"/>
    <cellStyle name="요약 2 19 4 2" xfId="13292"/>
    <cellStyle name="요약 2 19 4 2 2" xfId="26520"/>
    <cellStyle name="요약 2 19 4 2 3" xfId="32772"/>
    <cellStyle name="요약 2 19 4 2 4" xfId="38992"/>
    <cellStyle name="요약 2 19 4 2 5" xfId="47593"/>
    <cellStyle name="요약 2 19 4 3" xfId="7593"/>
    <cellStyle name="요약 2 19 4 3 2" xfId="20821"/>
    <cellStyle name="요약 2 19 4 3 3" xfId="35268"/>
    <cellStyle name="요약 2 19 4 3 4" xfId="47971"/>
    <cellStyle name="요약 2 19 4 4" xfId="14148"/>
    <cellStyle name="요약 2 19 4 4 2" xfId="27376"/>
    <cellStyle name="요약 2 19 4 4 3" xfId="32152"/>
    <cellStyle name="요약 2 19 4 4 4" xfId="38377"/>
    <cellStyle name="요약 2 19 4 4 5" xfId="40492"/>
    <cellStyle name="요약 2 19 4 5" xfId="12797"/>
    <cellStyle name="요약 2 19 4 5 2" xfId="26025"/>
    <cellStyle name="요약 2 19 4 5 3" xfId="41507"/>
    <cellStyle name="요약 2 19 4 5 4" xfId="48341"/>
    <cellStyle name="요약 2 19 4 6" xfId="22883"/>
    <cellStyle name="요약 2 19 4 6 2" xfId="37346"/>
    <cellStyle name="요약 2 19 4 6 3" xfId="43266"/>
    <cellStyle name="요약 2 19 4 6 4" xfId="50100"/>
    <cellStyle name="요약 2 19 4 7" xfId="37769"/>
    <cellStyle name="요약 2 19 4 7 2" xfId="43693"/>
    <cellStyle name="요약 2 19 4 7 3" xfId="50527"/>
    <cellStyle name="요약 2 19 4 8" xfId="28461"/>
    <cellStyle name="요약 2 19 4 9" xfId="15934"/>
    <cellStyle name="요약 2 19 5" xfId="8135"/>
    <cellStyle name="요약 2 19 5 2" xfId="21363"/>
    <cellStyle name="요약 2 19 6" xfId="47287"/>
    <cellStyle name="요약 2 2" xfId="3243"/>
    <cellStyle name="요약 2 2 2" xfId="3244"/>
    <cellStyle name="요약 2 2 2 2" xfId="6427"/>
    <cellStyle name="요약 2 2 2 2 2" xfId="11161"/>
    <cellStyle name="요약 2 2 2 2 2 2" xfId="24389"/>
    <cellStyle name="요약 2 2 2 2 2 3" xfId="33791"/>
    <cellStyle name="요약 2 2 2 2 2 4" xfId="34238"/>
    <cellStyle name="요약 2 2 2 2 3" xfId="6847"/>
    <cellStyle name="요약 2 2 2 2 3 2" xfId="20075"/>
    <cellStyle name="요약 2 2 2 2 3 3" xfId="36217"/>
    <cellStyle name="요약 2 2 2 2 3 4" xfId="42110"/>
    <cellStyle name="요약 2 2 2 2 3 5" xfId="48944"/>
    <cellStyle name="요약 2 2 2 2 4" xfId="19655"/>
    <cellStyle name="요약 2 2 2 2 4 2" xfId="32018"/>
    <cellStyle name="요약 2 2 2 2 4 3" xfId="38241"/>
    <cellStyle name="요약 2 2 2 2 4 4" xfId="44157"/>
    <cellStyle name="요약 2 2 2 2 5" xfId="30325"/>
    <cellStyle name="요약 2 2 2 2 5 2" xfId="18531"/>
    <cellStyle name="요약 2 2 2 2 5 3" xfId="34164"/>
    <cellStyle name="요약 2 2 2 2 6" xfId="29479"/>
    <cellStyle name="요약 2 2 2 2 7" xfId="16140"/>
    <cellStyle name="요약 2 2 2 2 8" xfId="45136"/>
    <cellStyle name="요약 2 2 2 3" xfId="5741"/>
    <cellStyle name="요약 2 2 2 3 2" xfId="10475"/>
    <cellStyle name="요약 2 2 2 3 2 2" xfId="23703"/>
    <cellStyle name="요약 2 2 2 3 2 3" xfId="33255"/>
    <cellStyle name="요약 2 2 2 3 2 4" xfId="32419"/>
    <cellStyle name="요약 2 2 2 3 3" xfId="7971"/>
    <cellStyle name="요약 2 2 2 3 3 2" xfId="21199"/>
    <cellStyle name="요약 2 2 2 3 3 3" xfId="35736"/>
    <cellStyle name="요약 2 2 2 3 3 4" xfId="41620"/>
    <cellStyle name="요약 2 2 2 3 3 5" xfId="48454"/>
    <cellStyle name="요약 2 2 2 3 4" xfId="18980"/>
    <cellStyle name="요약 2 2 2 3 4 2" xfId="37042"/>
    <cellStyle name="요약 2 2 2 3 4 3" xfId="42961"/>
    <cellStyle name="요약 2 2 2 3 4 4" xfId="49795"/>
    <cellStyle name="요약 2 2 2 3 5" xfId="37584"/>
    <cellStyle name="요약 2 2 2 3 5 2" xfId="43506"/>
    <cellStyle name="요약 2 2 2 3 5 3" xfId="50340"/>
    <cellStyle name="요약 2 2 2 3 6" xfId="28952"/>
    <cellStyle name="요약 2 2 2 3 7" xfId="15883"/>
    <cellStyle name="요약 2 2 2 3 8" xfId="28870"/>
    <cellStyle name="요약 2 2 2 4" xfId="9657"/>
    <cellStyle name="요약 2 2 2 4 10" xfId="34166"/>
    <cellStyle name="요약 2 2 2 4 2" xfId="13294"/>
    <cellStyle name="요약 2 2 2 4 2 2" xfId="26522"/>
    <cellStyle name="요약 2 2 2 4 2 3" xfId="32774"/>
    <cellStyle name="요약 2 2 2 4 2 4" xfId="38994"/>
    <cellStyle name="요약 2 2 2 4 2 5" xfId="34322"/>
    <cellStyle name="요약 2 2 2 4 3" xfId="7595"/>
    <cellStyle name="요약 2 2 2 4 3 2" xfId="20823"/>
    <cellStyle name="요약 2 2 2 4 3 3" xfId="35270"/>
    <cellStyle name="요약 2 2 2 4 3 4" xfId="47973"/>
    <cellStyle name="요약 2 2 2 4 4" xfId="14184"/>
    <cellStyle name="요약 2 2 2 4 4 2" xfId="27412"/>
    <cellStyle name="요약 2 2 2 4 4 3" xfId="31061"/>
    <cellStyle name="요약 2 2 2 4 4 4" xfId="18580"/>
    <cellStyle name="요약 2 2 2 4 4 5" xfId="28151"/>
    <cellStyle name="요약 2 2 2 4 5" xfId="14341"/>
    <cellStyle name="요약 2 2 2 4 5 2" xfId="27569"/>
    <cellStyle name="요약 2 2 2 4 5 3" xfId="40980"/>
    <cellStyle name="요약 2 2 2 4 5 4" xfId="47676"/>
    <cellStyle name="요약 2 2 2 4 6" xfId="22885"/>
    <cellStyle name="요약 2 2 2 4 6 2" xfId="37061"/>
    <cellStyle name="요약 2 2 2 4 6 3" xfId="42980"/>
    <cellStyle name="요약 2 2 2 4 6 4" xfId="49814"/>
    <cellStyle name="요약 2 2 2 4 7" xfId="30799"/>
    <cellStyle name="요약 2 2 2 4 7 2" xfId="18020"/>
    <cellStyle name="요약 2 2 2 4 7 3" xfId="29944"/>
    <cellStyle name="요약 2 2 2 4 8" xfId="28463"/>
    <cellStyle name="요약 2 2 2 4 9" xfId="16510"/>
    <cellStyle name="요약 2 2 2 5" xfId="8137"/>
    <cellStyle name="요약 2 2 2 5 2" xfId="21365"/>
    <cellStyle name="요약 2 2 2 6" xfId="15549"/>
    <cellStyle name="요약 2 2 3" xfId="6426"/>
    <cellStyle name="요약 2 2 3 2" xfId="11160"/>
    <cellStyle name="요약 2 2 3 2 2" xfId="24388"/>
    <cellStyle name="요약 2 2 3 2 3" xfId="33790"/>
    <cellStyle name="요약 2 2 3 2 4" xfId="39473"/>
    <cellStyle name="요약 2 2 3 3" xfId="8106"/>
    <cellStyle name="요약 2 2 3 3 2" xfId="21334"/>
    <cellStyle name="요약 2 2 3 3 3" xfId="36216"/>
    <cellStyle name="요약 2 2 3 3 4" xfId="42109"/>
    <cellStyle name="요약 2 2 3 3 5" xfId="48943"/>
    <cellStyle name="요약 2 2 3 4" xfId="19654"/>
    <cellStyle name="요약 2 2 3 4 2" xfId="37257"/>
    <cellStyle name="요약 2 2 3 4 3" xfId="43177"/>
    <cellStyle name="요약 2 2 3 4 4" xfId="50011"/>
    <cellStyle name="요약 2 2 3 5" xfId="37409"/>
    <cellStyle name="요약 2 2 3 5 2" xfId="43329"/>
    <cellStyle name="요약 2 2 3 5 3" xfId="50163"/>
    <cellStyle name="요약 2 2 3 6" xfId="29478"/>
    <cellStyle name="요약 2 2 3 7" xfId="16141"/>
    <cellStyle name="요약 2 2 3 8" xfId="34473"/>
    <cellStyle name="요약 2 2 4" xfId="5740"/>
    <cellStyle name="요약 2 2 4 2" xfId="10474"/>
    <cellStyle name="요약 2 2 4 2 2" xfId="23702"/>
    <cellStyle name="요약 2 2 4 2 3" xfId="33254"/>
    <cellStyle name="요약 2 2 4 2 4" xfId="46220"/>
    <cellStyle name="요약 2 2 4 3" xfId="7935"/>
    <cellStyle name="요약 2 2 4 3 2" xfId="21163"/>
    <cellStyle name="요약 2 2 4 3 3" xfId="35735"/>
    <cellStyle name="요약 2 2 4 3 4" xfId="41619"/>
    <cellStyle name="요약 2 2 4 3 5" xfId="48453"/>
    <cellStyle name="요약 2 2 4 4" xfId="18979"/>
    <cellStyle name="요약 2 2 4 4 2" xfId="35701"/>
    <cellStyle name="요약 2 2 4 4 3" xfId="41585"/>
    <cellStyle name="요약 2 2 4 4 4" xfId="48419"/>
    <cellStyle name="요약 2 2 4 5" xfId="37178"/>
    <cellStyle name="요약 2 2 4 5 2" xfId="43097"/>
    <cellStyle name="요약 2 2 4 5 3" xfId="49931"/>
    <cellStyle name="요약 2 2 4 6" xfId="28951"/>
    <cellStyle name="요약 2 2 4 7" xfId="15882"/>
    <cellStyle name="요약 2 2 4 8" xfId="45402"/>
    <cellStyle name="요약 2 2 5" xfId="9656"/>
    <cellStyle name="요약 2 2 5 10" xfId="34353"/>
    <cellStyle name="요약 2 2 5 2" xfId="13293"/>
    <cellStyle name="요약 2 2 5 2 2" xfId="26521"/>
    <cellStyle name="요약 2 2 5 2 3" xfId="32773"/>
    <cellStyle name="요약 2 2 5 2 4" xfId="38993"/>
    <cellStyle name="요약 2 2 5 2 5" xfId="32498"/>
    <cellStyle name="요약 2 2 5 3" xfId="7594"/>
    <cellStyle name="요약 2 2 5 3 2" xfId="20822"/>
    <cellStyle name="요약 2 2 5 3 3" xfId="35269"/>
    <cellStyle name="요약 2 2 5 3 4" xfId="47972"/>
    <cellStyle name="요약 2 2 5 4" xfId="13577"/>
    <cellStyle name="요약 2 2 5 4 2" xfId="26805"/>
    <cellStyle name="요약 2 2 5 4 3" xfId="29912"/>
    <cellStyle name="요약 2 2 5 4 4" xfId="17694"/>
    <cellStyle name="요약 2 2 5 4 5" xfId="43991"/>
    <cellStyle name="요약 2 2 5 5" xfId="12868"/>
    <cellStyle name="요약 2 2 5 5 2" xfId="26096"/>
    <cellStyle name="요약 2 2 5 5 3" xfId="42698"/>
    <cellStyle name="요약 2 2 5 5 4" xfId="49532"/>
    <cellStyle name="요약 2 2 5 6" xfId="22884"/>
    <cellStyle name="요약 2 2 5 6 2" xfId="34862"/>
    <cellStyle name="요약 2 2 5 6 3" xfId="40861"/>
    <cellStyle name="요약 2 2 5 6 4" xfId="38691"/>
    <cellStyle name="요약 2 2 5 7" xfId="34658"/>
    <cellStyle name="요약 2 2 5 7 2" xfId="40647"/>
    <cellStyle name="요약 2 2 5 7 3" xfId="15794"/>
    <cellStyle name="요약 2 2 5 8" xfId="28462"/>
    <cellStyle name="요약 2 2 5 9" xfId="32461"/>
    <cellStyle name="요약 2 2 6" xfId="8136"/>
    <cellStyle name="요약 2 2 6 2" xfId="21364"/>
    <cellStyle name="요약 2 2 7" xfId="47219"/>
    <cellStyle name="요약 2 2_CRM팀 1단계 정보확인 DB 검색코드_110425" xfId="3245"/>
    <cellStyle name="요약 2 20" xfId="3246"/>
    <cellStyle name="요약 2 20 2" xfId="6428"/>
    <cellStyle name="요약 2 20 2 2" xfId="11162"/>
    <cellStyle name="요약 2 20 2 2 2" xfId="24390"/>
    <cellStyle name="요약 2 20 2 2 3" xfId="33792"/>
    <cellStyle name="요약 2 20 2 2 4" xfId="41224"/>
    <cellStyle name="요약 2 20 2 3" xfId="8109"/>
    <cellStyle name="요약 2 20 2 3 2" xfId="21337"/>
    <cellStyle name="요약 2 20 2 3 3" xfId="36218"/>
    <cellStyle name="요약 2 20 2 3 4" xfId="42111"/>
    <cellStyle name="요약 2 20 2 3 5" xfId="48945"/>
    <cellStyle name="요약 2 20 2 4" xfId="19656"/>
    <cellStyle name="요약 2 20 2 4 2" xfId="29974"/>
    <cellStyle name="요약 2 20 2 4 3" xfId="14770"/>
    <cellStyle name="요약 2 20 2 4 4" xfId="35521"/>
    <cellStyle name="요약 2 20 2 5" xfId="35024"/>
    <cellStyle name="요약 2 20 2 5 2" xfId="41028"/>
    <cellStyle name="요약 2 20 2 5 3" xfId="47724"/>
    <cellStyle name="요약 2 20 2 6" xfId="29480"/>
    <cellStyle name="요약 2 20 2 7" xfId="14576"/>
    <cellStyle name="요약 2 20 2 8" xfId="44004"/>
    <cellStyle name="요약 2 20 3" xfId="5742"/>
    <cellStyle name="요약 2 20 3 2" xfId="10476"/>
    <cellStyle name="요약 2 20 3 2 2" xfId="23704"/>
    <cellStyle name="요약 2 20 3 2 3" xfId="33256"/>
    <cellStyle name="요약 2 20 3 2 4" xfId="44085"/>
    <cellStyle name="요약 2 20 3 3" xfId="12867"/>
    <cellStyle name="요약 2 20 3 3 2" xfId="26095"/>
    <cellStyle name="요약 2 20 3 3 3" xfId="35737"/>
    <cellStyle name="요약 2 20 3 3 4" xfId="41621"/>
    <cellStyle name="요약 2 20 3 3 5" xfId="48455"/>
    <cellStyle name="요약 2 20 3 4" xfId="18981"/>
    <cellStyle name="요약 2 20 3 4 2" xfId="29756"/>
    <cellStyle name="요약 2 20 3 4 3" xfId="35035"/>
    <cellStyle name="요약 2 20 3 4 4" xfId="44398"/>
    <cellStyle name="요약 2 20 3 5" xfId="31382"/>
    <cellStyle name="요약 2 20 3 5 2" xfId="15240"/>
    <cellStyle name="요약 2 20 3 5 3" xfId="47298"/>
    <cellStyle name="요약 2 20 3 6" xfId="28953"/>
    <cellStyle name="요약 2 20 3 7" xfId="15884"/>
    <cellStyle name="요약 2 20 3 8" xfId="15478"/>
    <cellStyle name="요약 2 20 4" xfId="9658"/>
    <cellStyle name="요약 2 20 4 10" xfId="45205"/>
    <cellStyle name="요약 2 20 4 2" xfId="13295"/>
    <cellStyle name="요약 2 20 4 2 2" xfId="26523"/>
    <cellStyle name="요약 2 20 4 2 3" xfId="32775"/>
    <cellStyle name="요약 2 20 4 2 4" xfId="38995"/>
    <cellStyle name="요약 2 20 4 2 5" xfId="47475"/>
    <cellStyle name="요약 2 20 4 3" xfId="8575"/>
    <cellStyle name="요약 2 20 4 3 2" xfId="21803"/>
    <cellStyle name="요약 2 20 4 3 3" xfId="35271"/>
    <cellStyle name="요약 2 20 4 3 4" xfId="47974"/>
    <cellStyle name="요약 2 20 4 4" xfId="13045"/>
    <cellStyle name="요약 2 20 4 4 2" xfId="26273"/>
    <cellStyle name="요약 2 20 4 4 3" xfId="31060"/>
    <cellStyle name="요약 2 20 4 4 4" xfId="18579"/>
    <cellStyle name="요약 2 20 4 4 5" xfId="15838"/>
    <cellStyle name="요약 2 20 4 5" xfId="7450"/>
    <cellStyle name="요약 2 20 4 5 2" xfId="20678"/>
    <cellStyle name="요약 2 20 4 5 3" xfId="42415"/>
    <cellStyle name="요약 2 20 4 5 4" xfId="49249"/>
    <cellStyle name="요약 2 20 4 6" xfId="22886"/>
    <cellStyle name="요약 2 20 4 6 2" xfId="30657"/>
    <cellStyle name="요약 2 20 4 6 3" xfId="16862"/>
    <cellStyle name="요약 2 20 4 6 4" xfId="47114"/>
    <cellStyle name="요약 2 20 4 7" xfId="34667"/>
    <cellStyle name="요약 2 20 4 7 2" xfId="40656"/>
    <cellStyle name="요약 2 20 4 7 3" xfId="17473"/>
    <cellStyle name="요약 2 20 4 8" xfId="28464"/>
    <cellStyle name="요약 2 20 4 9" xfId="40153"/>
    <cellStyle name="요약 2 20 5" xfId="8138"/>
    <cellStyle name="요약 2 20 5 2" xfId="21366"/>
    <cellStyle name="요약 2 20 6" xfId="44235"/>
    <cellStyle name="요약 2 21" xfId="3247"/>
    <cellStyle name="요약 2 21 2" xfId="6429"/>
    <cellStyle name="요약 2 21 2 2" xfId="11163"/>
    <cellStyle name="요약 2 21 2 2 2" xfId="24391"/>
    <cellStyle name="요약 2 21 2 2 3" xfId="33793"/>
    <cellStyle name="요약 2 21 2 2 4" xfId="29035"/>
    <cellStyle name="요약 2 21 2 3" xfId="8108"/>
    <cellStyle name="요약 2 21 2 3 2" xfId="21336"/>
    <cellStyle name="요약 2 21 2 3 3" xfId="36219"/>
    <cellStyle name="요약 2 21 2 3 4" xfId="42112"/>
    <cellStyle name="요약 2 21 2 3 5" xfId="48946"/>
    <cellStyle name="요약 2 21 2 4" xfId="19657"/>
    <cellStyle name="요약 2 21 2 4 2" xfId="30395"/>
    <cellStyle name="요약 2 21 2 4 3" xfId="14780"/>
    <cellStyle name="요약 2 21 2 4 4" xfId="15624"/>
    <cellStyle name="요약 2 21 2 5" xfId="31556"/>
    <cellStyle name="요약 2 21 2 5 2" xfId="15293"/>
    <cellStyle name="요약 2 21 2 5 3" xfId="47501"/>
    <cellStyle name="요약 2 21 2 6" xfId="29481"/>
    <cellStyle name="요약 2 21 2 7" xfId="16143"/>
    <cellStyle name="요약 2 21 2 8" xfId="39623"/>
    <cellStyle name="요약 2 21 3" xfId="5743"/>
    <cellStyle name="요약 2 21 3 2" xfId="10477"/>
    <cellStyle name="요약 2 21 3 2 2" xfId="23705"/>
    <cellStyle name="요약 2 21 3 2 3" xfId="33257"/>
    <cellStyle name="요약 2 21 3 2 4" xfId="47469"/>
    <cellStyle name="요약 2 21 3 3" xfId="7936"/>
    <cellStyle name="요약 2 21 3 3 2" xfId="21164"/>
    <cellStyle name="요약 2 21 3 3 3" xfId="35738"/>
    <cellStyle name="요약 2 21 3 3 4" xfId="41622"/>
    <cellStyle name="요약 2 21 3 3 5" xfId="48456"/>
    <cellStyle name="요약 2 21 3 4" xfId="18982"/>
    <cellStyle name="요약 2 21 3 4 2" xfId="37327"/>
    <cellStyle name="요약 2 21 3 4 3" xfId="43247"/>
    <cellStyle name="요약 2 21 3 4 4" xfId="50081"/>
    <cellStyle name="요약 2 21 3 5" xfId="37675"/>
    <cellStyle name="요약 2 21 3 5 2" xfId="43598"/>
    <cellStyle name="요약 2 21 3 5 3" xfId="50432"/>
    <cellStyle name="요약 2 21 3 6" xfId="28954"/>
    <cellStyle name="요약 2 21 3 7" xfId="15885"/>
    <cellStyle name="요약 2 21 3 8" xfId="45330"/>
    <cellStyle name="요약 2 21 4" xfId="9659"/>
    <cellStyle name="요약 2 21 4 10" xfId="44072"/>
    <cellStyle name="요약 2 21 4 2" xfId="13296"/>
    <cellStyle name="요약 2 21 4 2 2" xfId="26524"/>
    <cellStyle name="요약 2 21 4 2 3" xfId="32776"/>
    <cellStyle name="요약 2 21 4 2 4" xfId="38996"/>
    <cellStyle name="요약 2 21 4 2 5" xfId="28704"/>
    <cellStyle name="요약 2 21 4 3" xfId="6744"/>
    <cellStyle name="요약 2 21 4 3 2" xfId="19972"/>
    <cellStyle name="요약 2 21 4 3 3" xfId="35272"/>
    <cellStyle name="요약 2 21 4 3 4" xfId="47975"/>
    <cellStyle name="요약 2 21 4 4" xfId="14042"/>
    <cellStyle name="요약 2 21 4 4 2" xfId="27270"/>
    <cellStyle name="요약 2 21 4 4 3" xfId="31860"/>
    <cellStyle name="요약 2 21 4 4 4" xfId="38081"/>
    <cellStyle name="요약 2 21 4 4 5" xfId="32485"/>
    <cellStyle name="요약 2 21 4 5" xfId="12810"/>
    <cellStyle name="요약 2 21 4 5 2" xfId="26038"/>
    <cellStyle name="요약 2 21 4 5 3" xfId="17253"/>
    <cellStyle name="요약 2 21 4 5 4" xfId="43931"/>
    <cellStyle name="요약 2 21 4 6" xfId="22887"/>
    <cellStyle name="요약 2 21 4 6 2" xfId="31947"/>
    <cellStyle name="요약 2 21 4 6 3" xfId="38169"/>
    <cellStyle name="요약 2 21 4 6 4" xfId="33143"/>
    <cellStyle name="요약 2 21 4 7" xfId="34756"/>
    <cellStyle name="요약 2 21 4 7 2" xfId="40748"/>
    <cellStyle name="요약 2 21 4 7 3" xfId="33133"/>
    <cellStyle name="요약 2 21 4 8" xfId="28465"/>
    <cellStyle name="요약 2 21 4 9" xfId="38732"/>
    <cellStyle name="요약 2 21 5" xfId="8139"/>
    <cellStyle name="요약 2 21 5 2" xfId="21367"/>
    <cellStyle name="요약 2 21 6" xfId="47495"/>
    <cellStyle name="요약 2 22" xfId="3248"/>
    <cellStyle name="요약 2 22 2" xfId="6430"/>
    <cellStyle name="요약 2 22 2 2" xfId="11164"/>
    <cellStyle name="요약 2 22 2 2 2" xfId="24392"/>
    <cellStyle name="요약 2 22 2 2 3" xfId="33794"/>
    <cellStyle name="요약 2 22 2 2 4" xfId="39915"/>
    <cellStyle name="요약 2 22 2 3" xfId="8606"/>
    <cellStyle name="요약 2 22 2 3 2" xfId="21834"/>
    <cellStyle name="요약 2 22 2 3 3" xfId="36220"/>
    <cellStyle name="요약 2 22 2 3 4" xfId="42113"/>
    <cellStyle name="요약 2 22 2 3 5" xfId="48947"/>
    <cellStyle name="요약 2 22 2 4" xfId="19658"/>
    <cellStyle name="요약 2 22 2 4 2" xfId="37187"/>
    <cellStyle name="요약 2 22 2 4 3" xfId="43106"/>
    <cellStyle name="요약 2 22 2 4 4" xfId="49940"/>
    <cellStyle name="요약 2 22 2 5" xfId="31649"/>
    <cellStyle name="요약 2 22 2 5 2" xfId="17947"/>
    <cellStyle name="요약 2 22 2 5 3" xfId="46617"/>
    <cellStyle name="요약 2 22 2 6" xfId="29482"/>
    <cellStyle name="요약 2 22 2 7" xfId="16142"/>
    <cellStyle name="요약 2 22 2 8" xfId="44406"/>
    <cellStyle name="요약 2 22 3" xfId="5744"/>
    <cellStyle name="요약 2 22 3 2" xfId="10478"/>
    <cellStyle name="요약 2 22 3 2 2" xfId="23706"/>
    <cellStyle name="요약 2 22 3 2 3" xfId="33258"/>
    <cellStyle name="요약 2 22 3 2 4" xfId="27976"/>
    <cellStyle name="요약 2 22 3 3" xfId="7937"/>
    <cellStyle name="요약 2 22 3 3 2" xfId="21165"/>
    <cellStyle name="요약 2 22 3 3 3" xfId="35739"/>
    <cellStyle name="요약 2 22 3 3 4" xfId="41623"/>
    <cellStyle name="요약 2 22 3 3 5" xfId="48457"/>
    <cellStyle name="요약 2 22 3 4" xfId="18983"/>
    <cellStyle name="요약 2 22 3 4 2" xfId="30408"/>
    <cellStyle name="요약 2 22 3 4 3" xfId="14868"/>
    <cellStyle name="요약 2 22 3 4 4" xfId="29088"/>
    <cellStyle name="요약 2 22 3 5" xfId="30220"/>
    <cellStyle name="요약 2 22 3 5 2" xfId="16669"/>
    <cellStyle name="요약 2 22 3 5 3" xfId="39213"/>
    <cellStyle name="요약 2 22 3 6" xfId="28955"/>
    <cellStyle name="요약 2 22 3 7" xfId="15886"/>
    <cellStyle name="요약 2 22 3 8" xfId="44324"/>
    <cellStyle name="요약 2 22 4" xfId="9660"/>
    <cellStyle name="요약 2 22 4 10" xfId="40272"/>
    <cellStyle name="요약 2 22 4 2" xfId="13297"/>
    <cellStyle name="요약 2 22 4 2 2" xfId="26525"/>
    <cellStyle name="요약 2 22 4 2 3" xfId="32777"/>
    <cellStyle name="요약 2 22 4 2 4" xfId="38997"/>
    <cellStyle name="요약 2 22 4 2 5" xfId="45779"/>
    <cellStyle name="요약 2 22 4 3" xfId="7597"/>
    <cellStyle name="요약 2 22 4 3 2" xfId="20825"/>
    <cellStyle name="요약 2 22 4 3 3" xfId="35273"/>
    <cellStyle name="요약 2 22 4 3 4" xfId="47976"/>
    <cellStyle name="요약 2 22 4 4" xfId="8494"/>
    <cellStyle name="요약 2 22 4 4 2" xfId="21722"/>
    <cellStyle name="요약 2 22 4 4 3" xfId="31063"/>
    <cellStyle name="요약 2 22 4 4 4" xfId="18582"/>
    <cellStyle name="요약 2 22 4 4 5" xfId="40525"/>
    <cellStyle name="요약 2 22 4 5" xfId="13753"/>
    <cellStyle name="요약 2 22 4 5 2" xfId="26981"/>
    <cellStyle name="요약 2 22 4 5 3" xfId="14494"/>
    <cellStyle name="요약 2 22 4 5 4" xfId="39428"/>
    <cellStyle name="요약 2 22 4 6" xfId="22888"/>
    <cellStyle name="요약 2 22 4 6 2" xfId="37375"/>
    <cellStyle name="요약 2 22 4 6 3" xfId="43295"/>
    <cellStyle name="요약 2 22 4 6 4" xfId="50129"/>
    <cellStyle name="요약 2 22 4 7" xfId="37626"/>
    <cellStyle name="요약 2 22 4 7 2" xfId="43549"/>
    <cellStyle name="요약 2 22 4 7 3" xfId="50383"/>
    <cellStyle name="요약 2 22 4 8" xfId="28466"/>
    <cellStyle name="요약 2 22 4 9" xfId="34308"/>
    <cellStyle name="요약 2 22 5" xfId="8140"/>
    <cellStyle name="요약 2 22 5 2" xfId="21368"/>
    <cellStyle name="요약 2 22 6" xfId="40625"/>
    <cellStyle name="요약 2 23" xfId="3249"/>
    <cellStyle name="요약 2 23 2" xfId="6431"/>
    <cellStyle name="요약 2 23 2 2" xfId="11165"/>
    <cellStyle name="요약 2 23 2 2 2" xfId="24393"/>
    <cellStyle name="요약 2 23 2 2 3" xfId="33795"/>
    <cellStyle name="요약 2 23 2 2 4" xfId="39474"/>
    <cellStyle name="요약 2 23 2 3" xfId="8111"/>
    <cellStyle name="요약 2 23 2 3 2" xfId="21339"/>
    <cellStyle name="요약 2 23 2 3 3" xfId="36221"/>
    <cellStyle name="요약 2 23 2 3 4" xfId="42114"/>
    <cellStyle name="요약 2 23 2 3 5" xfId="48948"/>
    <cellStyle name="요약 2 23 2 4" xfId="19659"/>
    <cellStyle name="요약 2 23 2 4 2" xfId="30394"/>
    <cellStyle name="요약 2 23 2 4 3" xfId="14662"/>
    <cellStyle name="요약 2 23 2 4 4" xfId="46915"/>
    <cellStyle name="요약 2 23 2 5" xfId="35813"/>
    <cellStyle name="요약 2 23 2 5 2" xfId="41697"/>
    <cellStyle name="요약 2 23 2 5 3" xfId="48531"/>
    <cellStyle name="요약 2 23 2 6" xfId="29483"/>
    <cellStyle name="요약 2 23 2 7" xfId="14577"/>
    <cellStyle name="요약 2 23 2 8" xfId="45390"/>
    <cellStyle name="요약 2 23 3" xfId="5745"/>
    <cellStyle name="요약 2 23 3 2" xfId="10479"/>
    <cellStyle name="요약 2 23 3 2 2" xfId="23707"/>
    <cellStyle name="요약 2 23 3 2 3" xfId="33259"/>
    <cellStyle name="요약 2 23 3 2 4" xfId="46461"/>
    <cellStyle name="요약 2 23 3 3" xfId="7938"/>
    <cellStyle name="요약 2 23 3 3 2" xfId="21166"/>
    <cellStyle name="요약 2 23 3 3 3" xfId="35740"/>
    <cellStyle name="요약 2 23 3 3 4" xfId="41624"/>
    <cellStyle name="요약 2 23 3 3 5" xfId="48458"/>
    <cellStyle name="요약 2 23 3 4" xfId="18984"/>
    <cellStyle name="요약 2 23 3 4 2" xfId="31666"/>
    <cellStyle name="요약 2 23 3 4 3" xfId="17353"/>
    <cellStyle name="요약 2 23 3 4 4" xfId="33118"/>
    <cellStyle name="요약 2 23 3 5" xfId="37708"/>
    <cellStyle name="요약 2 23 3 5 2" xfId="43631"/>
    <cellStyle name="요약 2 23 3 5 3" xfId="50465"/>
    <cellStyle name="요약 2 23 3 6" xfId="28956"/>
    <cellStyle name="요약 2 23 3 7" xfId="15888"/>
    <cellStyle name="요약 2 23 3 8" xfId="34753"/>
    <cellStyle name="요약 2 23 4" xfId="9661"/>
    <cellStyle name="요약 2 23 4 10" xfId="44473"/>
    <cellStyle name="요약 2 23 4 2" xfId="13298"/>
    <cellStyle name="요약 2 23 4 2 2" xfId="26526"/>
    <cellStyle name="요약 2 23 4 2 3" xfId="32778"/>
    <cellStyle name="요약 2 23 4 2 4" xfId="38998"/>
    <cellStyle name="요약 2 23 4 2 5" xfId="47341"/>
    <cellStyle name="요약 2 23 4 3" xfId="12986"/>
    <cellStyle name="요약 2 23 4 3 2" xfId="26214"/>
    <cellStyle name="요약 2 23 4 3 3" xfId="35274"/>
    <cellStyle name="요약 2 23 4 3 4" xfId="47977"/>
    <cellStyle name="요약 2 23 4 4" xfId="8464"/>
    <cellStyle name="요약 2 23 4 4 2" xfId="21692"/>
    <cellStyle name="요약 2 23 4 4 3" xfId="31062"/>
    <cellStyle name="요약 2 23 4 4 4" xfId="18581"/>
    <cellStyle name="요약 2 23 4 4 5" xfId="28731"/>
    <cellStyle name="요약 2 23 4 5" xfId="12856"/>
    <cellStyle name="요약 2 23 4 5 2" xfId="26084"/>
    <cellStyle name="요약 2 23 4 5 3" xfId="17252"/>
    <cellStyle name="요약 2 23 4 5 4" xfId="41086"/>
    <cellStyle name="요약 2 23 4 6" xfId="22889"/>
    <cellStyle name="요약 2 23 4 6 2" xfId="31203"/>
    <cellStyle name="요약 2 23 4 6 3" xfId="17113"/>
    <cellStyle name="요약 2 23 4 6 4" xfId="39709"/>
    <cellStyle name="요약 2 23 4 7" xfId="37807"/>
    <cellStyle name="요약 2 23 4 7 2" xfId="43731"/>
    <cellStyle name="요약 2 23 4 7 3" xfId="50565"/>
    <cellStyle name="요약 2 23 4 8" xfId="28467"/>
    <cellStyle name="요약 2 23 4 9" xfId="39389"/>
    <cellStyle name="요약 2 23 5" xfId="8141"/>
    <cellStyle name="요약 2 23 5 2" xfId="21369"/>
    <cellStyle name="요약 2 23 6" xfId="46666"/>
    <cellStyle name="요약 2 24" xfId="3250"/>
    <cellStyle name="요약 2 24 2" xfId="6432"/>
    <cellStyle name="요약 2 24 2 2" xfId="11166"/>
    <cellStyle name="요약 2 24 2 2 2" xfId="24394"/>
    <cellStyle name="요약 2 24 2 2 3" xfId="33796"/>
    <cellStyle name="요약 2 24 2 2 4" xfId="39918"/>
    <cellStyle name="요약 2 24 2 3" xfId="8110"/>
    <cellStyle name="요약 2 24 2 3 2" xfId="21338"/>
    <cellStyle name="요약 2 24 2 3 3" xfId="36222"/>
    <cellStyle name="요약 2 24 2 3 4" xfId="42115"/>
    <cellStyle name="요약 2 24 2 3 5" xfId="48949"/>
    <cellStyle name="요약 2 24 2 4" xfId="19660"/>
    <cellStyle name="요약 2 24 2 4 2" xfId="31243"/>
    <cellStyle name="요약 2 24 2 4 3" xfId="17144"/>
    <cellStyle name="요약 2 24 2 4 4" xfId="44612"/>
    <cellStyle name="요약 2 24 2 5" xfId="31791"/>
    <cellStyle name="요약 2 24 2 5 2" xfId="38012"/>
    <cellStyle name="요약 2 24 2 5 3" xfId="34444"/>
    <cellStyle name="요약 2 24 2 6" xfId="29484"/>
    <cellStyle name="요약 2 24 2 7" xfId="16145"/>
    <cellStyle name="요약 2 24 2 8" xfId="40141"/>
    <cellStyle name="요약 2 24 3" xfId="5746"/>
    <cellStyle name="요약 2 24 3 2" xfId="10480"/>
    <cellStyle name="요약 2 24 3 2 2" xfId="23708"/>
    <cellStyle name="요약 2 24 3 2 3" xfId="33260"/>
    <cellStyle name="요약 2 24 3 2 4" xfId="39310"/>
    <cellStyle name="요약 2 24 3 3" xfId="7939"/>
    <cellStyle name="요약 2 24 3 3 2" xfId="21167"/>
    <cellStyle name="요약 2 24 3 3 3" xfId="35741"/>
    <cellStyle name="요약 2 24 3 3 4" xfId="41625"/>
    <cellStyle name="요약 2 24 3 3 5" xfId="48459"/>
    <cellStyle name="요약 2 24 3 4" xfId="18985"/>
    <cellStyle name="요약 2 24 3 4 2" xfId="34747"/>
    <cellStyle name="요약 2 24 3 4 3" xfId="40739"/>
    <cellStyle name="요약 2 24 3 4 4" xfId="38484"/>
    <cellStyle name="요약 2 24 3 5" xfId="37624"/>
    <cellStyle name="요약 2 24 3 5 2" xfId="43547"/>
    <cellStyle name="요약 2 24 3 5 3" xfId="50381"/>
    <cellStyle name="요약 2 24 3 6" xfId="28957"/>
    <cellStyle name="요약 2 24 3 7" xfId="15887"/>
    <cellStyle name="요약 2 24 3 8" xfId="44562"/>
    <cellStyle name="요약 2 24 4" xfId="9662"/>
    <cellStyle name="요약 2 24 4 10" xfId="45459"/>
    <cellStyle name="요약 2 24 4 2" xfId="13299"/>
    <cellStyle name="요약 2 24 4 2 2" xfId="26527"/>
    <cellStyle name="요약 2 24 4 2 3" xfId="32779"/>
    <cellStyle name="요약 2 24 4 2 4" xfId="38999"/>
    <cellStyle name="요약 2 24 4 2 5" xfId="46235"/>
    <cellStyle name="요약 2 24 4 3" xfId="8576"/>
    <cellStyle name="요약 2 24 4 3 2" xfId="21804"/>
    <cellStyle name="요약 2 24 4 3 3" xfId="35275"/>
    <cellStyle name="요약 2 24 4 3 4" xfId="47978"/>
    <cellStyle name="요약 2 24 4 4" xfId="12936"/>
    <cellStyle name="요약 2 24 4 4 2" xfId="26164"/>
    <cellStyle name="요약 2 24 4 4 3" xfId="31859"/>
    <cellStyle name="요약 2 24 4 4 4" xfId="38080"/>
    <cellStyle name="요약 2 24 4 4 5" xfId="46597"/>
    <cellStyle name="요약 2 24 4 5" xfId="14384"/>
    <cellStyle name="요약 2 24 4 5 2" xfId="27612"/>
    <cellStyle name="요약 2 24 4 5 3" xfId="40798"/>
    <cellStyle name="요약 2 24 4 5 4" xfId="38436"/>
    <cellStyle name="요약 2 24 4 6" xfId="22890"/>
    <cellStyle name="요약 2 24 4 6 2" xfId="37146"/>
    <cellStyle name="요약 2 24 4 6 3" xfId="43065"/>
    <cellStyle name="요약 2 24 4 6 4" xfId="49899"/>
    <cellStyle name="요약 2 24 4 7" xfId="34730"/>
    <cellStyle name="요약 2 24 4 7 2" xfId="40720"/>
    <cellStyle name="요약 2 24 4 7 3" xfId="40471"/>
    <cellStyle name="요약 2 24 4 8" xfId="28468"/>
    <cellStyle name="요약 2 24 4 9" xfId="40451"/>
    <cellStyle name="요약 2 24 5" xfId="8142"/>
    <cellStyle name="요약 2 24 5 2" xfId="21370"/>
    <cellStyle name="요약 2 24 6" xfId="28667"/>
    <cellStyle name="요약 2 25" xfId="3251"/>
    <cellStyle name="요약 2 25 2" xfId="6433"/>
    <cellStyle name="요약 2 25 2 2" xfId="11167"/>
    <cellStyle name="요약 2 25 2 2 2" xfId="24395"/>
    <cellStyle name="요약 2 25 2 2 3" xfId="33797"/>
    <cellStyle name="요약 2 25 2 2 4" xfId="15910"/>
    <cellStyle name="요약 2 25 2 3" xfId="8607"/>
    <cellStyle name="요약 2 25 2 3 2" xfId="21835"/>
    <cellStyle name="요약 2 25 2 3 3" xfId="36223"/>
    <cellStyle name="요약 2 25 2 3 4" xfId="42116"/>
    <cellStyle name="요약 2 25 2 3 5" xfId="48950"/>
    <cellStyle name="요약 2 25 2 4" xfId="19661"/>
    <cellStyle name="요약 2 25 2 4 2" xfId="29973"/>
    <cellStyle name="요약 2 25 2 4 3" xfId="16486"/>
    <cellStyle name="요약 2 25 2 4 4" xfId="43990"/>
    <cellStyle name="요약 2 25 2 5" xfId="30737"/>
    <cellStyle name="요약 2 25 2 5 2" xfId="16916"/>
    <cellStyle name="요약 2 25 2 5 3" xfId="40379"/>
    <cellStyle name="요약 2 25 2 6" xfId="29485"/>
    <cellStyle name="요약 2 25 2 7" xfId="16144"/>
    <cellStyle name="요약 2 25 2 8" xfId="33401"/>
    <cellStyle name="요약 2 25 3" xfId="5747"/>
    <cellStyle name="요약 2 25 3 2" xfId="10481"/>
    <cellStyle name="요약 2 25 3 2 2" xfId="23709"/>
    <cellStyle name="요약 2 25 3 2 3" xfId="33261"/>
    <cellStyle name="요약 2 25 3 2 4" xfId="40430"/>
    <cellStyle name="요약 2 25 3 3" xfId="7940"/>
    <cellStyle name="요약 2 25 3 3 2" xfId="21168"/>
    <cellStyle name="요약 2 25 3 3 3" xfId="35742"/>
    <cellStyle name="요약 2 25 3 3 4" xfId="41626"/>
    <cellStyle name="요약 2 25 3 3 5" xfId="48460"/>
    <cellStyle name="요약 2 25 3 4" xfId="18986"/>
    <cellStyle name="요약 2 25 3 4 2" xfId="35822"/>
    <cellStyle name="요약 2 25 3 4 3" xfId="41709"/>
    <cellStyle name="요약 2 25 3 4 4" xfId="48543"/>
    <cellStyle name="요약 2 25 3 5" xfId="37538"/>
    <cellStyle name="요약 2 25 3 5 2" xfId="43459"/>
    <cellStyle name="요약 2 25 3 5 3" xfId="50293"/>
    <cellStyle name="요약 2 25 3 6" xfId="28958"/>
    <cellStyle name="요약 2 25 3 7" xfId="17632"/>
    <cellStyle name="요약 2 25 3 8" xfId="45532"/>
    <cellStyle name="요약 2 25 4" xfId="9663"/>
    <cellStyle name="요약 2 25 4 10" xfId="40078"/>
    <cellStyle name="요약 2 25 4 2" xfId="13300"/>
    <cellStyle name="요약 2 25 4 2 2" xfId="26528"/>
    <cellStyle name="요약 2 25 4 2 3" xfId="32780"/>
    <cellStyle name="요약 2 25 4 2 4" xfId="39000"/>
    <cellStyle name="요약 2 25 4 2 5" xfId="47061"/>
    <cellStyle name="요약 2 25 4 3" xfId="7599"/>
    <cellStyle name="요약 2 25 4 3 2" xfId="20827"/>
    <cellStyle name="요약 2 25 4 3 3" xfId="35276"/>
    <cellStyle name="요약 2 25 4 3 4" xfId="47979"/>
    <cellStyle name="요약 2 25 4 4" xfId="13705"/>
    <cellStyle name="요약 2 25 4 4 2" xfId="26933"/>
    <cellStyle name="요약 2 25 4 4 3" xfId="31064"/>
    <cellStyle name="요약 2 25 4 4 4" xfId="17051"/>
    <cellStyle name="요약 2 25 4 4 5" xfId="39545"/>
    <cellStyle name="요약 2 25 4 5" xfId="9091"/>
    <cellStyle name="요약 2 25 4 5 2" xfId="22319"/>
    <cellStyle name="요약 2 25 4 5 3" xfId="15173"/>
    <cellStyle name="요약 2 25 4 5 4" xfId="34065"/>
    <cellStyle name="요약 2 25 4 6" xfId="22891"/>
    <cellStyle name="요약 2 25 4 6 2" xfId="29859"/>
    <cellStyle name="요약 2 25 4 6 3" xfId="28031"/>
    <cellStyle name="요약 2 25 4 6 4" xfId="45475"/>
    <cellStyle name="요약 2 25 4 7" xfId="36659"/>
    <cellStyle name="요약 2 25 4 7 2" xfId="42562"/>
    <cellStyle name="요약 2 25 4 7 3" xfId="49396"/>
    <cellStyle name="요약 2 25 4 8" xfId="28469"/>
    <cellStyle name="요약 2 25 4 9" xfId="15826"/>
    <cellStyle name="요약 2 25 5" xfId="8143"/>
    <cellStyle name="요약 2 25 5 2" xfId="21371"/>
    <cellStyle name="요약 2 25 6" xfId="27929"/>
    <cellStyle name="요약 2 26" xfId="3252"/>
    <cellStyle name="요약 2 27" xfId="4881"/>
    <cellStyle name="요약 2 28" xfId="3232"/>
    <cellStyle name="요약 2 28 2" xfId="6415"/>
    <cellStyle name="요약 2 28 2 2" xfId="11149"/>
    <cellStyle name="요약 2 28 2 2 2" xfId="24377"/>
    <cellStyle name="요약 2 28 2 2 3" xfId="33779"/>
    <cellStyle name="요약 2 28 2 2 4" xfId="33341"/>
    <cellStyle name="요약 2 28 2 3" xfId="12962"/>
    <cellStyle name="요약 2 28 2 3 2" xfId="26190"/>
    <cellStyle name="요약 2 28 2 3 3" xfId="36205"/>
    <cellStyle name="요약 2 28 2 3 4" xfId="42098"/>
    <cellStyle name="요약 2 28 2 3 5" xfId="48932"/>
    <cellStyle name="요약 2 28 2 4" xfId="19643"/>
    <cellStyle name="요약 2 28 2 4 2" xfId="30639"/>
    <cellStyle name="요약 2 28 2 4 3" xfId="16873"/>
    <cellStyle name="요약 2 28 2 4 4" xfId="46643"/>
    <cellStyle name="요약 2 28 2 5" xfId="31708"/>
    <cellStyle name="요약 2 28 2 5 2" xfId="27983"/>
    <cellStyle name="요약 2 28 2 5 3" xfId="46171"/>
    <cellStyle name="요약 2 28 2 6" xfId="29467"/>
    <cellStyle name="요약 2 28 2 7" xfId="16132"/>
    <cellStyle name="요약 2 28 2 8" xfId="32540"/>
    <cellStyle name="요약 2 28 3" xfId="5729"/>
    <cellStyle name="요약 2 28 3 2" xfId="10463"/>
    <cellStyle name="요약 2 28 3 2 2" xfId="23691"/>
    <cellStyle name="요약 2 28 3 2 3" xfId="33243"/>
    <cellStyle name="요약 2 28 3 2 4" xfId="47313"/>
    <cellStyle name="요약 2 28 3 3" xfId="7924"/>
    <cellStyle name="요약 2 28 3 3 2" xfId="21152"/>
    <cellStyle name="요약 2 28 3 3 3" xfId="35724"/>
    <cellStyle name="요약 2 28 3 3 4" xfId="41608"/>
    <cellStyle name="요약 2 28 3 3 5" xfId="48442"/>
    <cellStyle name="요약 2 28 3 4" xfId="18968"/>
    <cellStyle name="요약 2 28 3 4 2" xfId="31196"/>
    <cellStyle name="요약 2 28 3 4 3" xfId="17107"/>
    <cellStyle name="요약 2 28 3 4 4" xfId="46751"/>
    <cellStyle name="요약 2 28 3 5" xfId="37164"/>
    <cellStyle name="요약 2 28 3 5 2" xfId="43083"/>
    <cellStyle name="요약 2 28 3 5 3" xfId="49917"/>
    <cellStyle name="요약 2 28 3 6" xfId="28940"/>
    <cellStyle name="요약 2 28 3 7" xfId="14544"/>
    <cellStyle name="요약 2 28 3 8" xfId="44541"/>
    <cellStyle name="요약 2 28 4" xfId="9645"/>
    <cellStyle name="요약 2 28 4 10" xfId="28798"/>
    <cellStyle name="요약 2 28 4 2" xfId="13282"/>
    <cellStyle name="요약 2 28 4 2 2" xfId="26510"/>
    <cellStyle name="요약 2 28 4 2 3" xfId="32762"/>
    <cellStyle name="요약 2 28 4 2 4" xfId="38982"/>
    <cellStyle name="요약 2 28 4 2 5" xfId="46932"/>
    <cellStyle name="요약 2 28 4 3" xfId="7587"/>
    <cellStyle name="요약 2 28 4 3 2" xfId="20815"/>
    <cellStyle name="요약 2 28 4 3 3" xfId="35258"/>
    <cellStyle name="요약 2 28 4 3 4" xfId="47961"/>
    <cellStyle name="요약 2 28 4 4" xfId="13610"/>
    <cellStyle name="요약 2 28 4 4 2" xfId="26838"/>
    <cellStyle name="요약 2 28 4 4 3" xfId="31054"/>
    <cellStyle name="요약 2 28 4 4 4" xfId="17052"/>
    <cellStyle name="요약 2 28 4 4 5" xfId="16538"/>
    <cellStyle name="요약 2 28 4 5" xfId="7764"/>
    <cellStyle name="요약 2 28 4 5 2" xfId="20992"/>
    <cellStyle name="요약 2 28 4 5 3" xfId="17319"/>
    <cellStyle name="요약 2 28 4 5 4" xfId="46623"/>
    <cellStyle name="요약 2 28 4 6" xfId="22873"/>
    <cellStyle name="요약 2 28 4 6 2" xfId="37286"/>
    <cellStyle name="요약 2 28 4 6 3" xfId="43206"/>
    <cellStyle name="요약 2 28 4 6 4" xfId="50040"/>
    <cellStyle name="요약 2 28 4 7" xfId="30688"/>
    <cellStyle name="요약 2 28 4 7 2" xfId="16894"/>
    <cellStyle name="요약 2 28 4 7 3" xfId="34292"/>
    <cellStyle name="요약 2 28 4 8" xfId="28451"/>
    <cellStyle name="요약 2 28 4 9" xfId="34242"/>
    <cellStyle name="요약 2 28 5" xfId="8125"/>
    <cellStyle name="요약 2 28 5 2" xfId="21353"/>
    <cellStyle name="요약 2 28 6" xfId="47521"/>
    <cellStyle name="요약 2 29" xfId="51356"/>
    <cellStyle name="요약 2 3" xfId="3253"/>
    <cellStyle name="요약 2 3 2" xfId="6434"/>
    <cellStyle name="요약 2 3 2 2" xfId="11168"/>
    <cellStyle name="요약 2 3 2 2 2" xfId="24396"/>
    <cellStyle name="요약 2 3 2 2 3" xfId="33798"/>
    <cellStyle name="요약 2 3 2 2 4" xfId="32955"/>
    <cellStyle name="요약 2 3 2 3" xfId="8112"/>
    <cellStyle name="요약 2 3 2 3 2" xfId="21340"/>
    <cellStyle name="요약 2 3 2 3 3" xfId="36224"/>
    <cellStyle name="요약 2 3 2 3 4" xfId="42117"/>
    <cellStyle name="요약 2 3 2 3 5" xfId="48951"/>
    <cellStyle name="요약 2 3 2 4" xfId="19662"/>
    <cellStyle name="요약 2 3 2 4 2" xfId="34834"/>
    <cellStyle name="요약 2 3 2 4 3" xfId="40833"/>
    <cellStyle name="요약 2 3 2 4 4" xfId="30035"/>
    <cellStyle name="요약 2 3 2 5" xfId="37485"/>
    <cellStyle name="요약 2 3 2 5 2" xfId="43405"/>
    <cellStyle name="요약 2 3 2 5 3" xfId="50239"/>
    <cellStyle name="요약 2 3 2 6" xfId="29486"/>
    <cellStyle name="요약 2 3 2 7" xfId="14578"/>
    <cellStyle name="요약 2 3 2 8" xfId="45282"/>
    <cellStyle name="요약 2 3 3" xfId="5748"/>
    <cellStyle name="요약 2 3 3 2" xfId="10482"/>
    <cellStyle name="요약 2 3 3 2 2" xfId="23710"/>
    <cellStyle name="요약 2 3 3 2 3" xfId="33262"/>
    <cellStyle name="요약 2 3 3 2 4" xfId="47493"/>
    <cellStyle name="요약 2 3 3 3" xfId="7941"/>
    <cellStyle name="요약 2 3 3 3 2" xfId="21169"/>
    <cellStyle name="요약 2 3 3 3 3" xfId="35743"/>
    <cellStyle name="요약 2 3 3 3 4" xfId="41627"/>
    <cellStyle name="요약 2 3 3 3 5" xfId="48461"/>
    <cellStyle name="요약 2 3 3 4" xfId="18987"/>
    <cellStyle name="요약 2 3 3 4 2" xfId="37216"/>
    <cellStyle name="요약 2 3 3 4 3" xfId="43135"/>
    <cellStyle name="요약 2 3 3 4 4" xfId="49969"/>
    <cellStyle name="요약 2 3 3 5" xfId="37790"/>
    <cellStyle name="요약 2 3 3 5 2" xfId="43714"/>
    <cellStyle name="요약 2 3 3 5 3" xfId="50548"/>
    <cellStyle name="요약 2 3 3 6" xfId="28959"/>
    <cellStyle name="요약 2 3 3 7" xfId="15893"/>
    <cellStyle name="요약 2 3 3 8" xfId="33201"/>
    <cellStyle name="요약 2 3 4" xfId="9664"/>
    <cellStyle name="요약 2 3 4 10" xfId="15479"/>
    <cellStyle name="요약 2 3 4 2" xfId="13301"/>
    <cellStyle name="요약 2 3 4 2 2" xfId="26529"/>
    <cellStyle name="요약 2 3 4 2 3" xfId="32781"/>
    <cellStyle name="요약 2 3 4 2 4" xfId="39001"/>
    <cellStyle name="요약 2 3 4 2 5" xfId="41113"/>
    <cellStyle name="요약 2 3 4 3" xfId="7598"/>
    <cellStyle name="요약 2 3 4 3 2" xfId="20826"/>
    <cellStyle name="요약 2 3 4 3 3" xfId="35277"/>
    <cellStyle name="요약 2 3 4 3 4" xfId="47980"/>
    <cellStyle name="요약 2 3 4 4" xfId="14277"/>
    <cellStyle name="요약 2 3 4 4 2" xfId="27505"/>
    <cellStyle name="요약 2 3 4 4 3" xfId="31065"/>
    <cellStyle name="요약 2 3 4 4 4" xfId="18583"/>
    <cellStyle name="요약 2 3 4 4 5" xfId="33411"/>
    <cellStyle name="요약 2 3 4 5" xfId="14303"/>
    <cellStyle name="요약 2 3 4 5 2" xfId="27531"/>
    <cellStyle name="요약 2 3 4 5 3" xfId="41764"/>
    <cellStyle name="요약 2 3 4 5 4" xfId="48598"/>
    <cellStyle name="요약 2 3 4 6" xfId="22892"/>
    <cellStyle name="요약 2 3 4 6 2" xfId="37287"/>
    <cellStyle name="요약 2 3 4 6 3" xfId="43207"/>
    <cellStyle name="요약 2 3 4 6 4" xfId="50041"/>
    <cellStyle name="요약 2 3 4 7" xfId="37722"/>
    <cellStyle name="요약 2 3 4 7 2" xfId="43645"/>
    <cellStyle name="요약 2 3 4 7 3" xfId="50479"/>
    <cellStyle name="요약 2 3 4 8" xfId="28470"/>
    <cellStyle name="요약 2 3 4 9" xfId="38478"/>
    <cellStyle name="요약 2 3 5" xfId="8145"/>
    <cellStyle name="요약 2 3 5 2" xfId="21373"/>
    <cellStyle name="요약 2 3 6" xfId="47531"/>
    <cellStyle name="요약 2 4" xfId="3254"/>
    <cellStyle name="요약 2 4 2" xfId="6435"/>
    <cellStyle name="요약 2 4 2 2" xfId="11169"/>
    <cellStyle name="요약 2 4 2 2 2" xfId="24397"/>
    <cellStyle name="요약 2 4 2 2 3" xfId="33799"/>
    <cellStyle name="요약 2 4 2 2 4" xfId="41225"/>
    <cellStyle name="요약 2 4 2 3" xfId="8113"/>
    <cellStyle name="요약 2 4 2 3 2" xfId="21341"/>
    <cellStyle name="요약 2 4 2 3 3" xfId="36225"/>
    <cellStyle name="요약 2 4 2 3 4" xfId="42118"/>
    <cellStyle name="요약 2 4 2 3 5" xfId="48952"/>
    <cellStyle name="요약 2 4 2 4" xfId="19663"/>
    <cellStyle name="요약 2 4 2 4 2" xfId="32121"/>
    <cellStyle name="요약 2 4 2 4 3" xfId="38344"/>
    <cellStyle name="요약 2 4 2 4 4" xfId="16501"/>
    <cellStyle name="요약 2 4 2 5" xfId="35801"/>
    <cellStyle name="요약 2 4 2 5 2" xfId="41685"/>
    <cellStyle name="요약 2 4 2 5 3" xfId="48519"/>
    <cellStyle name="요약 2 4 2 6" xfId="29487"/>
    <cellStyle name="요약 2 4 2 7" xfId="16147"/>
    <cellStyle name="요약 2 4 2 8" xfId="44276"/>
    <cellStyle name="요약 2 4 3" xfId="5749"/>
    <cellStyle name="요약 2 4 3 2" xfId="10483"/>
    <cellStyle name="요약 2 4 3 2 2" xfId="23711"/>
    <cellStyle name="요약 2 4 3 2 3" xfId="33263"/>
    <cellStyle name="요약 2 4 3 2 4" xfId="47242"/>
    <cellStyle name="요약 2 4 3 3" xfId="7942"/>
    <cellStyle name="요약 2 4 3 3 2" xfId="21170"/>
    <cellStyle name="요약 2 4 3 3 3" xfId="35744"/>
    <cellStyle name="요약 2 4 3 3 4" xfId="41628"/>
    <cellStyle name="요약 2 4 3 3 5" xfId="48462"/>
    <cellStyle name="요약 2 4 3 4" xfId="18988"/>
    <cellStyle name="요약 2 4 3 4 2" xfId="31261"/>
    <cellStyle name="요약 2 4 3 4 3" xfId="14730"/>
    <cellStyle name="요약 2 4 3 4 4" xfId="47230"/>
    <cellStyle name="요약 2 4 3 5" xfId="30276"/>
    <cellStyle name="요약 2 4 3 5 2" xfId="16714"/>
    <cellStyle name="요약 2 4 3 5 3" xfId="33406"/>
    <cellStyle name="요약 2 4 3 6" xfId="28960"/>
    <cellStyle name="요약 2 4 3 7" xfId="27826"/>
    <cellStyle name="요약 2 4 3 8" xfId="39340"/>
    <cellStyle name="요약 2 4 4" xfId="9665"/>
    <cellStyle name="요약 2 4 4 10" xfId="45312"/>
    <cellStyle name="요약 2 4 4 2" xfId="13302"/>
    <cellStyle name="요약 2 4 4 2 2" xfId="26530"/>
    <cellStyle name="요약 2 4 4 2 3" xfId="32782"/>
    <cellStyle name="요약 2 4 4 2 4" xfId="39002"/>
    <cellStyle name="요약 2 4 4 2 5" xfId="47502"/>
    <cellStyle name="요약 2 4 4 3" xfId="8577"/>
    <cellStyle name="요약 2 4 4 3 2" xfId="21805"/>
    <cellStyle name="요약 2 4 4 3 3" xfId="35278"/>
    <cellStyle name="요약 2 4 4 3 4" xfId="47981"/>
    <cellStyle name="요약 2 4 4 4" xfId="13525"/>
    <cellStyle name="요약 2 4 4 4 2" xfId="26753"/>
    <cellStyle name="요약 2 4 4 4 3" xfId="31066"/>
    <cellStyle name="요약 2 4 4 4 4" xfId="18584"/>
    <cellStyle name="요약 2 4 4 4 5" xfId="34143"/>
    <cellStyle name="요약 2 4 4 5" xfId="7763"/>
    <cellStyle name="요약 2 4 4 5 2" xfId="20991"/>
    <cellStyle name="요약 2 4 4 5 3" xfId="17251"/>
    <cellStyle name="요약 2 4 4 5 4" xfId="47239"/>
    <cellStyle name="요약 2 4 4 6" xfId="22893"/>
    <cellStyle name="요약 2 4 4 6 2" xfId="30838"/>
    <cellStyle name="요약 2 4 4 6 3" xfId="14497"/>
    <cellStyle name="요약 2 4 4 6 4" xfId="17617"/>
    <cellStyle name="요약 2 4 4 7" xfId="29810"/>
    <cellStyle name="요약 2 4 4 7 2" xfId="28036"/>
    <cellStyle name="요약 2 4 4 7 3" xfId="44532"/>
    <cellStyle name="요약 2 4 4 8" xfId="28471"/>
    <cellStyle name="요약 2 4 4 9" xfId="40340"/>
    <cellStyle name="요약 2 4 5" xfId="8146"/>
    <cellStyle name="요약 2 4 5 2" xfId="21374"/>
    <cellStyle name="요약 2 4 6" xfId="28074"/>
    <cellStyle name="요약 2 5" xfId="3255"/>
    <cellStyle name="요약 2 5 2" xfId="6436"/>
    <cellStyle name="요약 2 5 2 2" xfId="11170"/>
    <cellStyle name="요약 2 5 2 2 2" xfId="24398"/>
    <cellStyle name="요약 2 5 2 2 3" xfId="33800"/>
    <cellStyle name="요약 2 5 2 2 4" xfId="27859"/>
    <cellStyle name="요약 2 5 2 3" xfId="6795"/>
    <cellStyle name="요약 2 5 2 3 2" xfId="20023"/>
    <cellStyle name="요약 2 5 2 3 3" xfId="36226"/>
    <cellStyle name="요약 2 5 2 3 4" xfId="42119"/>
    <cellStyle name="요약 2 5 2 3 5" xfId="48953"/>
    <cellStyle name="요약 2 5 2 4" xfId="19664"/>
    <cellStyle name="요약 2 5 2 4 2" xfId="37418"/>
    <cellStyle name="요약 2 5 2 4 3" xfId="43338"/>
    <cellStyle name="요약 2 5 2 4 4" xfId="50172"/>
    <cellStyle name="요약 2 5 2 5" xfId="29906"/>
    <cellStyle name="요약 2 5 2 5 2" xfId="17692"/>
    <cellStyle name="요약 2 5 2 5 3" xfId="34402"/>
    <cellStyle name="요약 2 5 2 6" xfId="29488"/>
    <cellStyle name="요약 2 5 2 7" xfId="16146"/>
    <cellStyle name="요약 2 5 2 8" xfId="38726"/>
    <cellStyle name="요약 2 5 3" xfId="5750"/>
    <cellStyle name="요약 2 5 3 2" xfId="10484"/>
    <cellStyle name="요약 2 5 3 2 2" xfId="23712"/>
    <cellStyle name="요약 2 5 3 2 3" xfId="33264"/>
    <cellStyle name="요약 2 5 3 2 4" xfId="47048"/>
    <cellStyle name="요약 2 5 3 3" xfId="7943"/>
    <cellStyle name="요약 2 5 3 3 2" xfId="21171"/>
    <cellStyle name="요약 2 5 3 3 3" xfId="35745"/>
    <cellStyle name="요약 2 5 3 3 4" xfId="41629"/>
    <cellStyle name="요약 2 5 3 3 5" xfId="48463"/>
    <cellStyle name="요약 2 5 3 4" xfId="18989"/>
    <cellStyle name="요약 2 5 3 4 2" xfId="37442"/>
    <cellStyle name="요약 2 5 3 4 3" xfId="43362"/>
    <cellStyle name="요약 2 5 3 4 4" xfId="50196"/>
    <cellStyle name="요약 2 5 3 5" xfId="37568"/>
    <cellStyle name="요약 2 5 3 5 2" xfId="43489"/>
    <cellStyle name="요약 2 5 3 5 3" xfId="50323"/>
    <cellStyle name="요약 2 5 3 6" xfId="28961"/>
    <cellStyle name="요약 2 5 3 7" xfId="15890"/>
    <cellStyle name="요약 2 5 3 8" xfId="28848"/>
    <cellStyle name="요약 2 5 4" xfId="9666"/>
    <cellStyle name="요약 2 5 4 10" xfId="44306"/>
    <cellStyle name="요약 2 5 4 2" xfId="13303"/>
    <cellStyle name="요약 2 5 4 2 2" xfId="26531"/>
    <cellStyle name="요약 2 5 4 2 3" xfId="32783"/>
    <cellStyle name="요약 2 5 4 2 4" xfId="39003"/>
    <cellStyle name="요약 2 5 4 2 5" xfId="47419"/>
    <cellStyle name="요약 2 5 4 3" xfId="7601"/>
    <cellStyle name="요약 2 5 4 3 2" xfId="20829"/>
    <cellStyle name="요약 2 5 4 3 3" xfId="35279"/>
    <cellStyle name="요약 2 5 4 3 4" xfId="47982"/>
    <cellStyle name="요약 2 5 4 4" xfId="14139"/>
    <cellStyle name="요약 2 5 4 4 2" xfId="27367"/>
    <cellStyle name="요약 2 5 4 4 3" xfId="31067"/>
    <cellStyle name="요약 2 5 4 4 4" xfId="18585"/>
    <cellStyle name="요약 2 5 4 4 5" xfId="29957"/>
    <cellStyle name="요약 2 5 4 5" xfId="14322"/>
    <cellStyle name="요약 2 5 4 5 2" xfId="27550"/>
    <cellStyle name="요약 2 5 4 5 3" xfId="42861"/>
    <cellStyle name="요약 2 5 4 5 4" xfId="49695"/>
    <cellStyle name="요약 2 5 4 6" xfId="22894"/>
    <cellStyle name="요약 2 5 4 6 2" xfId="37004"/>
    <cellStyle name="요약 2 5 4 6 3" xfId="42923"/>
    <cellStyle name="요약 2 5 4 6 4" xfId="49757"/>
    <cellStyle name="요약 2 5 4 7" xfId="30498"/>
    <cellStyle name="요약 2 5 4 7 2" xfId="14672"/>
    <cellStyle name="요약 2 5 4 7 3" xfId="28190"/>
    <cellStyle name="요약 2 5 4 8" xfId="28472"/>
    <cellStyle name="요약 2 5 4 9" xfId="39255"/>
    <cellStyle name="요약 2 5 5" xfId="8147"/>
    <cellStyle name="요약 2 5 5 2" xfId="21375"/>
    <cellStyle name="요약 2 5 6" xfId="18634"/>
    <cellStyle name="요약 2 6" xfId="3256"/>
    <cellStyle name="요약 2 6 2" xfId="6437"/>
    <cellStyle name="요약 2 6 2 2" xfId="11171"/>
    <cellStyle name="요약 2 6 2 2 2" xfId="24399"/>
    <cellStyle name="요약 2 6 2 2 3" xfId="33801"/>
    <cellStyle name="요약 2 6 2 2 4" xfId="39916"/>
    <cellStyle name="요약 2 6 2 3" xfId="8115"/>
    <cellStyle name="요약 2 6 2 3 2" xfId="21343"/>
    <cellStyle name="요약 2 6 2 3 3" xfId="36227"/>
    <cellStyle name="요약 2 6 2 3 4" xfId="42120"/>
    <cellStyle name="요약 2 6 2 3 5" xfId="48954"/>
    <cellStyle name="요약 2 6 2 4" xfId="19665"/>
    <cellStyle name="요약 2 6 2 4 2" xfId="31920"/>
    <cellStyle name="요약 2 6 2 4 3" xfId="38142"/>
    <cellStyle name="요약 2 6 2 4 4" xfId="17597"/>
    <cellStyle name="요약 2 6 2 5" xfId="37654"/>
    <cellStyle name="요약 2 6 2 5 2" xfId="43577"/>
    <cellStyle name="요약 2 6 2 5 3" xfId="50411"/>
    <cellStyle name="요약 2 6 2 6" xfId="29489"/>
    <cellStyle name="요약 2 6 2 7" xfId="14579"/>
    <cellStyle name="요약 2 6 2 8" xfId="44513"/>
    <cellStyle name="요약 2 6 3" xfId="5751"/>
    <cellStyle name="요약 2 6 3 2" xfId="10485"/>
    <cellStyle name="요약 2 6 3 2 2" xfId="23713"/>
    <cellStyle name="요약 2 6 3 2 3" xfId="33265"/>
    <cellStyle name="요약 2 6 3 2 4" xfId="15688"/>
    <cellStyle name="요약 2 6 3 3" xfId="7944"/>
    <cellStyle name="요약 2 6 3 3 2" xfId="21172"/>
    <cellStyle name="요약 2 6 3 3 3" xfId="35746"/>
    <cellStyle name="요약 2 6 3 3 4" xfId="41630"/>
    <cellStyle name="요약 2 6 3 3 5" xfId="48464"/>
    <cellStyle name="요약 2 6 3 4" xfId="18990"/>
    <cellStyle name="요약 2 6 3 4 2" xfId="31401"/>
    <cellStyle name="요약 2 6 3 4 3" xfId="17236"/>
    <cellStyle name="요약 2 6 3 4 4" xfId="44607"/>
    <cellStyle name="요약 2 6 3 5" xfId="30297"/>
    <cellStyle name="요약 2 6 3 5 2" xfId="16733"/>
    <cellStyle name="요약 2 6 3 5 3" xfId="45419"/>
    <cellStyle name="요약 2 6 3 6" xfId="28962"/>
    <cellStyle name="요약 2 6 3 7" xfId="27827"/>
    <cellStyle name="요약 2 6 3 8" xfId="45198"/>
    <cellStyle name="요약 2 6 4" xfId="9667"/>
    <cellStyle name="요약 2 6 4 10" xfId="34135"/>
    <cellStyle name="요약 2 6 4 2" xfId="13304"/>
    <cellStyle name="요약 2 6 4 2 2" xfId="26532"/>
    <cellStyle name="요약 2 6 4 2 3" xfId="32784"/>
    <cellStyle name="요약 2 6 4 2 4" xfId="39004"/>
    <cellStyle name="요약 2 6 4 2 5" xfId="46335"/>
    <cellStyle name="요약 2 6 4 3" xfId="7600"/>
    <cellStyle name="요약 2 6 4 3 2" xfId="20828"/>
    <cellStyle name="요약 2 6 4 3 3" xfId="35280"/>
    <cellStyle name="요약 2 6 4 3 4" xfId="47983"/>
    <cellStyle name="요약 2 6 4 4" xfId="13611"/>
    <cellStyle name="요약 2 6 4 4 2" xfId="26839"/>
    <cellStyle name="요약 2 6 4 4 3" xfId="31068"/>
    <cellStyle name="요약 2 6 4 4 4" xfId="18586"/>
    <cellStyle name="요약 2 6 4 4 5" xfId="47481"/>
    <cellStyle name="요약 2 6 4 5" xfId="13982"/>
    <cellStyle name="요약 2 6 4 5 2" xfId="27210"/>
    <cellStyle name="요약 2 6 4 5 3" xfId="17250"/>
    <cellStyle name="요약 2 6 4 5 4" xfId="32296"/>
    <cellStyle name="요약 2 6 4 6" xfId="22895"/>
    <cellStyle name="요약 2 6 4 6 2" xfId="30214"/>
    <cellStyle name="요약 2 6 4 6 3" xfId="16663"/>
    <cellStyle name="요약 2 6 4 6 4" xfId="45323"/>
    <cellStyle name="요약 2 6 4 7" xfId="37750"/>
    <cellStyle name="요약 2 6 4 7 2" xfId="43674"/>
    <cellStyle name="요약 2 6 4 7 3" xfId="50508"/>
    <cellStyle name="요약 2 6 4 8" xfId="28473"/>
    <cellStyle name="요약 2 6 4 9" xfId="32442"/>
    <cellStyle name="요약 2 6 5" xfId="8148"/>
    <cellStyle name="요약 2 6 5 2" xfId="21376"/>
    <cellStyle name="요약 2 6 6" xfId="15643"/>
    <cellStyle name="요약 2 7" xfId="3257"/>
    <cellStyle name="요약 2 7 2" xfId="6438"/>
    <cellStyle name="요약 2 7 2 2" xfId="11172"/>
    <cellStyle name="요약 2 7 2 2 2" xfId="24400"/>
    <cellStyle name="요약 2 7 2 2 3" xfId="33802"/>
    <cellStyle name="요약 2 7 2 2 4" xfId="39475"/>
    <cellStyle name="요약 2 7 2 3" xfId="8114"/>
    <cellStyle name="요약 2 7 2 3 2" xfId="21342"/>
    <cellStyle name="요약 2 7 2 3 3" xfId="36228"/>
    <cellStyle name="요약 2 7 2 3 4" xfId="42121"/>
    <cellStyle name="요약 2 7 2 3 5" xfId="48955"/>
    <cellStyle name="요약 2 7 2 4" xfId="19666"/>
    <cellStyle name="요약 2 7 2 4 2" xfId="32166"/>
    <cellStyle name="요약 2 7 2 4 3" xfId="38391"/>
    <cellStyle name="요약 2 7 2 4 4" xfId="45849"/>
    <cellStyle name="요약 2 7 2 5" xfId="31790"/>
    <cellStyle name="요약 2 7 2 5 2" xfId="38011"/>
    <cellStyle name="요약 2 7 2 5 3" xfId="44176"/>
    <cellStyle name="요약 2 7 2 6" xfId="29490"/>
    <cellStyle name="요약 2 7 2 7" xfId="18507"/>
    <cellStyle name="요약 2 7 2 8" xfId="45482"/>
    <cellStyle name="요약 2 7 3" xfId="5752"/>
    <cellStyle name="요약 2 7 3 2" xfId="10486"/>
    <cellStyle name="요약 2 7 3 2 2" xfId="23714"/>
    <cellStyle name="요약 2 7 3 2 3" xfId="33266"/>
    <cellStyle name="요약 2 7 3 2 4" xfId="44084"/>
    <cellStyle name="요약 2 7 3 3" xfId="7945"/>
    <cellStyle name="요약 2 7 3 3 2" xfId="21173"/>
    <cellStyle name="요약 2 7 3 3 3" xfId="35747"/>
    <cellStyle name="요약 2 7 3 3 4" xfId="41631"/>
    <cellStyle name="요약 2 7 3 3 5" xfId="48465"/>
    <cellStyle name="요약 2 7 3 4" xfId="18991"/>
    <cellStyle name="요약 2 7 3 4 2" xfId="30704"/>
    <cellStyle name="요약 2 7 3 4 3" xfId="15162"/>
    <cellStyle name="요약 2 7 3 4 4" xfId="44210"/>
    <cellStyle name="요약 2 7 3 5" xfId="29817"/>
    <cellStyle name="요약 2 7 3 5 2" xfId="16349"/>
    <cellStyle name="요약 2 7 3 5 3" xfId="45126"/>
    <cellStyle name="요약 2 7 3 6" xfId="28963"/>
    <cellStyle name="요약 2 7 3 7" xfId="15889"/>
    <cellStyle name="요약 2 7 3 8" xfId="44065"/>
    <cellStyle name="요약 2 7 4" xfId="9668"/>
    <cellStyle name="요약 2 7 4 10" xfId="44544"/>
    <cellStyle name="요약 2 7 4 2" xfId="13305"/>
    <cellStyle name="요약 2 7 4 2 2" xfId="26533"/>
    <cellStyle name="요약 2 7 4 2 3" xfId="32785"/>
    <cellStyle name="요약 2 7 4 2 4" xfId="39005"/>
    <cellStyle name="요약 2 7 4 2 5" xfId="47429"/>
    <cellStyle name="요약 2 7 4 3" xfId="8578"/>
    <cellStyle name="요약 2 7 4 3 2" xfId="21806"/>
    <cellStyle name="요약 2 7 4 3 3" xfId="35281"/>
    <cellStyle name="요약 2 7 4 3 4" xfId="47984"/>
    <cellStyle name="요약 2 7 4 4" xfId="8671"/>
    <cellStyle name="요약 2 7 4 4 2" xfId="21899"/>
    <cellStyle name="요약 2 7 4 4 3" xfId="31069"/>
    <cellStyle name="요약 2 7 4 4 4" xfId="18587"/>
    <cellStyle name="요약 2 7 4 4 5" xfId="46305"/>
    <cellStyle name="요약 2 7 4 5" xfId="8321"/>
    <cellStyle name="요약 2 7 4 5 2" xfId="21549"/>
    <cellStyle name="요약 2 7 4 5 3" xfId="41407"/>
    <cellStyle name="요약 2 7 4 5 4" xfId="48241"/>
    <cellStyle name="요약 2 7 4 6" xfId="22896"/>
    <cellStyle name="요약 2 7 4 6 2" xfId="35806"/>
    <cellStyle name="요약 2 7 4 6 3" xfId="41690"/>
    <cellStyle name="요약 2 7 4 6 4" xfId="48524"/>
    <cellStyle name="요약 2 7 4 7" xfId="37452"/>
    <cellStyle name="요약 2 7 4 7 2" xfId="43372"/>
    <cellStyle name="요약 2 7 4 7 3" xfId="50206"/>
    <cellStyle name="요약 2 7 4 8" xfId="28474"/>
    <cellStyle name="요약 2 7 4 9" xfId="39602"/>
    <cellStyle name="요약 2 7 5" xfId="8149"/>
    <cellStyle name="요약 2 7 5 2" xfId="21377"/>
    <cellStyle name="요약 2 7 6" xfId="46047"/>
    <cellStyle name="요약 2 8" xfId="3258"/>
    <cellStyle name="요약 2 8 2" xfId="6439"/>
    <cellStyle name="요약 2 8 2 2" xfId="11173"/>
    <cellStyle name="요약 2 8 2 2 2" xfId="24401"/>
    <cellStyle name="요약 2 8 2 2 3" xfId="33803"/>
    <cellStyle name="요약 2 8 2 2 4" xfId="28645"/>
    <cellStyle name="요약 2 8 2 3" xfId="6796"/>
    <cellStyle name="요약 2 8 2 3 2" xfId="20024"/>
    <cellStyle name="요약 2 8 2 3 3" xfId="36229"/>
    <cellStyle name="요약 2 8 2 3 4" xfId="42122"/>
    <cellStyle name="요약 2 8 2 3 5" xfId="48956"/>
    <cellStyle name="요약 2 8 2 4" xfId="19667"/>
    <cellStyle name="요약 2 8 2 4 2" xfId="30393"/>
    <cellStyle name="요약 2 8 2 4 3" xfId="14663"/>
    <cellStyle name="요약 2 8 2 4 4" xfId="28135"/>
    <cellStyle name="요약 2 8 2 5" xfId="35001"/>
    <cellStyle name="요약 2 8 2 5 2" xfId="41005"/>
    <cellStyle name="요약 2 8 2 5 3" xfId="47701"/>
    <cellStyle name="요약 2 8 2 6" xfId="29491"/>
    <cellStyle name="요약 2 8 2 7" xfId="17658"/>
    <cellStyle name="요약 2 8 2 8" xfId="34545"/>
    <cellStyle name="요약 2 8 3" xfId="5753"/>
    <cellStyle name="요약 2 8 3 2" xfId="10487"/>
    <cellStyle name="요약 2 8 3 2 2" xfId="23715"/>
    <cellStyle name="요약 2 8 3 2 3" xfId="33267"/>
    <cellStyle name="요약 2 8 3 2 4" xfId="47035"/>
    <cellStyle name="요약 2 8 3 3" xfId="7946"/>
    <cellStyle name="요약 2 8 3 3 2" xfId="21174"/>
    <cellStyle name="요약 2 8 3 3 3" xfId="35748"/>
    <cellStyle name="요약 2 8 3 3 4" xfId="41632"/>
    <cellStyle name="요약 2 8 3 3 5" xfId="48466"/>
    <cellStyle name="요약 2 8 3 4" xfId="18992"/>
    <cellStyle name="요약 2 8 3 4 2" xfId="31757"/>
    <cellStyle name="요약 2 8 3 4 3" xfId="37978"/>
    <cellStyle name="요약 2 8 3 4 4" xfId="45630"/>
    <cellStyle name="요약 2 8 3 5" xfId="37791"/>
    <cellStyle name="요약 2 8 3 5 2" xfId="43715"/>
    <cellStyle name="요약 2 8 3 5 3" xfId="50549"/>
    <cellStyle name="요약 2 8 3 6" xfId="28964"/>
    <cellStyle name="요약 2 8 3 7" xfId="17633"/>
    <cellStyle name="요약 2 8 3 8" xfId="40160"/>
    <cellStyle name="요약 2 8 4" xfId="9669"/>
    <cellStyle name="요약 2 8 4 10" xfId="45514"/>
    <cellStyle name="요약 2 8 4 2" xfId="13306"/>
    <cellStyle name="요약 2 8 4 2 2" xfId="26534"/>
    <cellStyle name="요약 2 8 4 2 3" xfId="32786"/>
    <cellStyle name="요약 2 8 4 2 4" xfId="39006"/>
    <cellStyle name="요약 2 8 4 2 5" xfId="17933"/>
    <cellStyle name="요약 2 8 4 3" xfId="7604"/>
    <cellStyle name="요약 2 8 4 3 2" xfId="20832"/>
    <cellStyle name="요약 2 8 4 3 3" xfId="35282"/>
    <cellStyle name="요약 2 8 4 3 4" xfId="47985"/>
    <cellStyle name="요약 2 8 4 4" xfId="14256"/>
    <cellStyle name="요약 2 8 4 4 2" xfId="27484"/>
    <cellStyle name="요약 2 8 4 4 3" xfId="31070"/>
    <cellStyle name="요약 2 8 4 4 4" xfId="18588"/>
    <cellStyle name="요약 2 8 4 4 5" xfId="46581"/>
    <cellStyle name="요약 2 8 4 5" xfId="7208"/>
    <cellStyle name="요약 2 8 4 5 2" xfId="20436"/>
    <cellStyle name="요약 2 8 4 5 3" xfId="42990"/>
    <cellStyle name="요약 2 8 4 5 4" xfId="49824"/>
    <cellStyle name="요약 2 8 4 6" xfId="22897"/>
    <cellStyle name="요약 2 8 4 6 2" xfId="30215"/>
    <cellStyle name="요약 2 8 4 6 3" xfId="16664"/>
    <cellStyle name="요약 2 8 4 6 4" xfId="44317"/>
    <cellStyle name="요약 2 8 4 7" xfId="35466"/>
    <cellStyle name="요약 2 8 4 7 2" xfId="41335"/>
    <cellStyle name="요약 2 8 4 7 3" xfId="48169"/>
    <cellStyle name="요약 2 8 4 8" xfId="28475"/>
    <cellStyle name="요약 2 8 4 9" xfId="40584"/>
    <cellStyle name="요약 2 8 5" xfId="8150"/>
    <cellStyle name="요약 2 8 5 2" xfId="21378"/>
    <cellStyle name="요약 2 8 6" xfId="44228"/>
    <cellStyle name="요약 2 9" xfId="3259"/>
    <cellStyle name="요약 2 9 2" xfId="6440"/>
    <cellStyle name="요약 2 9 2 2" xfId="11174"/>
    <cellStyle name="요약 2 9 2 2 2" xfId="24402"/>
    <cellStyle name="요약 2 9 2 2 3" xfId="33804"/>
    <cellStyle name="요약 2 9 2 2 4" xfId="41226"/>
    <cellStyle name="요약 2 9 2 3" xfId="8117"/>
    <cellStyle name="요약 2 9 2 3 2" xfId="21345"/>
    <cellStyle name="요약 2 9 2 3 3" xfId="36230"/>
    <cellStyle name="요약 2 9 2 3 4" xfId="42123"/>
    <cellStyle name="요약 2 9 2 3 5" xfId="48957"/>
    <cellStyle name="요약 2 9 2 4" xfId="19668"/>
    <cellStyle name="요약 2 9 2 4 2" xfId="29788"/>
    <cellStyle name="요약 2 9 2 4 3" xfId="34974"/>
    <cellStyle name="요약 2 9 2 4 4" xfId="44397"/>
    <cellStyle name="요약 2 9 2 5" xfId="31709"/>
    <cellStyle name="요약 2 9 2 5 2" xfId="27982"/>
    <cellStyle name="요약 2 9 2 5 3" xfId="46914"/>
    <cellStyle name="요약 2 9 2 6" xfId="29492"/>
    <cellStyle name="요약 2 9 2 7" xfId="16184"/>
    <cellStyle name="요약 2 9 2 8" xfId="32274"/>
    <cellStyle name="요약 2 9 3" xfId="5754"/>
    <cellStyle name="요약 2 9 3 2" xfId="10488"/>
    <cellStyle name="요약 2 9 3 2 2" xfId="23716"/>
    <cellStyle name="요약 2 9 3 2 3" xfId="33268"/>
    <cellStyle name="요약 2 9 3 2 4" xfId="15522"/>
    <cellStyle name="요약 2 9 3 3" xfId="7947"/>
    <cellStyle name="요약 2 9 3 3 2" xfId="21175"/>
    <cellStyle name="요약 2 9 3 3 3" xfId="35749"/>
    <cellStyle name="요약 2 9 3 3 4" xfId="41633"/>
    <cellStyle name="요약 2 9 3 3 5" xfId="48467"/>
    <cellStyle name="요약 2 9 3 4" xfId="18993"/>
    <cellStyle name="요약 2 9 3 4 2" xfId="36580"/>
    <cellStyle name="요약 2 9 3 4 3" xfId="42482"/>
    <cellStyle name="요약 2 9 3 4 4" xfId="49316"/>
    <cellStyle name="요약 2 9 3 5" xfId="35703"/>
    <cellStyle name="요약 2 9 3 5 2" xfId="41587"/>
    <cellStyle name="요약 2 9 3 5 3" xfId="48421"/>
    <cellStyle name="요약 2 9 3 6" xfId="28965"/>
    <cellStyle name="요약 2 9 3 7" xfId="15891"/>
    <cellStyle name="요약 2 9 3 8" xfId="44466"/>
    <cellStyle name="요약 2 9 4" xfId="9670"/>
    <cellStyle name="요약 2 9 4 10" xfId="34576"/>
    <cellStyle name="요약 2 9 4 2" xfId="13307"/>
    <cellStyle name="요약 2 9 4 2 2" xfId="26535"/>
    <cellStyle name="요약 2 9 4 2 3" xfId="32787"/>
    <cellStyle name="요약 2 9 4 2 4" xfId="39007"/>
    <cellStyle name="요약 2 9 4 2 5" xfId="34598"/>
    <cellStyle name="요약 2 9 4 3" xfId="6732"/>
    <cellStyle name="요약 2 9 4 3 2" xfId="19960"/>
    <cellStyle name="요약 2 9 4 3 3" xfId="35283"/>
    <cellStyle name="요약 2 9 4 3 4" xfId="47986"/>
    <cellStyle name="요약 2 9 4 4" xfId="14077"/>
    <cellStyle name="요약 2 9 4 4 2" xfId="27305"/>
    <cellStyle name="요약 2 9 4 4 3" xfId="31071"/>
    <cellStyle name="요약 2 9 4 4 4" xfId="14716"/>
    <cellStyle name="요약 2 9 4 4 5" xfId="28841"/>
    <cellStyle name="요약 2 9 4 5" xfId="6694"/>
    <cellStyle name="요약 2 9 4 5 2" xfId="19922"/>
    <cellStyle name="요약 2 9 4 5 3" xfId="38102"/>
    <cellStyle name="요약 2 9 4 5 4" xfId="46595"/>
    <cellStyle name="요약 2 9 4 6" xfId="22898"/>
    <cellStyle name="요약 2 9 4 6 2" xfId="36551"/>
    <cellStyle name="요약 2 9 4 6 3" xfId="42449"/>
    <cellStyle name="요약 2 9 4 6 4" xfId="49283"/>
    <cellStyle name="요약 2 9 4 7" xfId="37241"/>
    <cellStyle name="요약 2 9 4 7 2" xfId="43161"/>
    <cellStyle name="요약 2 9 4 7 3" xfId="49995"/>
    <cellStyle name="요약 2 9 4 8" xfId="28476"/>
    <cellStyle name="요약 2 9 4 9" xfId="15941"/>
    <cellStyle name="요약 2 9 5" xfId="8151"/>
    <cellStyle name="요약 2 9 5 2" xfId="21379"/>
    <cellStyle name="요약 2 9 6" xfId="46815"/>
    <cellStyle name="요약 2_CRM팀 1단계 정보확인 DB 검색코드_110425" xfId="3260"/>
    <cellStyle name="요약 20" xfId="54298"/>
    <cellStyle name="요약 21" xfId="54299"/>
    <cellStyle name="요약 22" xfId="54300"/>
    <cellStyle name="요약 23" xfId="54301"/>
    <cellStyle name="요약 24" xfId="54302"/>
    <cellStyle name="요약 25" xfId="54303"/>
    <cellStyle name="요약 26" xfId="54304"/>
    <cellStyle name="요약 3" xfId="260"/>
    <cellStyle name="요약 3 2" xfId="3262"/>
    <cellStyle name="요약 3 2 2" xfId="51078"/>
    <cellStyle name="요약 3 3" xfId="3261"/>
    <cellStyle name="요약 3 3 2" xfId="6441"/>
    <cellStyle name="요약 3 3 2 2" xfId="11175"/>
    <cellStyle name="요약 3 3 2 2 2" xfId="24403"/>
    <cellStyle name="요약 3 3 2 2 3" xfId="33805"/>
    <cellStyle name="요약 3 3 2 2 4" xfId="17468"/>
    <cellStyle name="요약 3 3 2 3" xfId="8116"/>
    <cellStyle name="요약 3 3 2 3 2" xfId="21344"/>
    <cellStyle name="요약 3 3 2 3 3" xfId="36231"/>
    <cellStyle name="요약 3 3 2 3 4" xfId="42124"/>
    <cellStyle name="요약 3 3 2 3 5" xfId="48958"/>
    <cellStyle name="요약 3 3 2 4" xfId="19669"/>
    <cellStyle name="요약 3 3 2 4 2" xfId="34710"/>
    <cellStyle name="요약 3 3 2 4 3" xfId="40700"/>
    <cellStyle name="요약 3 3 2 4 4" xfId="17464"/>
    <cellStyle name="요약 3 3 2 5" xfId="36909"/>
    <cellStyle name="요약 3 3 2 5 2" xfId="42824"/>
    <cellStyle name="요약 3 3 2 5 3" xfId="49658"/>
    <cellStyle name="요약 3 3 2 6" xfId="29493"/>
    <cellStyle name="요약 3 3 2 7" xfId="14580"/>
    <cellStyle name="요약 3 3 2 8" xfId="32239"/>
    <cellStyle name="요약 3 3 3" xfId="5755"/>
    <cellStyle name="요약 3 3 3 2" xfId="10489"/>
    <cellStyle name="요약 3 3 3 2 2" xfId="23717"/>
    <cellStyle name="요약 3 3 3 2 3" xfId="33269"/>
    <cellStyle name="요약 3 3 3 2 4" xfId="46460"/>
    <cellStyle name="요약 3 3 3 3" xfId="7948"/>
    <cellStyle name="요약 3 3 3 3 2" xfId="21176"/>
    <cellStyle name="요약 3 3 3 3 3" xfId="35750"/>
    <cellStyle name="요약 3 3 3 3 4" xfId="41634"/>
    <cellStyle name="요약 3 3 3 3 5" xfId="48468"/>
    <cellStyle name="요약 3 3 3 4" xfId="18994"/>
    <cellStyle name="요약 3 3 3 4 2" xfId="31610"/>
    <cellStyle name="요약 3 3 3 4 3" xfId="15268"/>
    <cellStyle name="요약 3 3 3 4 4" xfId="29109"/>
    <cellStyle name="요약 3 3 3 5" xfId="37504"/>
    <cellStyle name="요약 3 3 3 5 2" xfId="43424"/>
    <cellStyle name="요약 3 3 3 5 3" xfId="50258"/>
    <cellStyle name="요약 3 3 3 6" xfId="28966"/>
    <cellStyle name="요약 3 3 3 7" xfId="15892"/>
    <cellStyle name="요약 3 3 3 8" xfId="45452"/>
    <cellStyle name="요약 3 3 4" xfId="9671"/>
    <cellStyle name="요약 3 3 4 10" xfId="38686"/>
    <cellStyle name="요약 3 3 4 2" xfId="13308"/>
    <cellStyle name="요약 3 3 4 2 2" xfId="26536"/>
    <cellStyle name="요약 3 3 4 2 3" xfId="32788"/>
    <cellStyle name="요약 3 3 4 2 4" xfId="39008"/>
    <cellStyle name="요약 3 3 4 2 5" xfId="15710"/>
    <cellStyle name="요약 3 3 4 3" xfId="8579"/>
    <cellStyle name="요약 3 3 4 3 2" xfId="21807"/>
    <cellStyle name="요약 3 3 4 3 3" xfId="35284"/>
    <cellStyle name="요약 3 3 4 3 4" xfId="47987"/>
    <cellStyle name="요약 3 3 4 4" xfId="14010"/>
    <cellStyle name="요약 3 3 4 4 2" xfId="27238"/>
    <cellStyle name="요약 3 3 4 4 3" xfId="31079"/>
    <cellStyle name="요약 3 3 4 4 4" xfId="18595"/>
    <cellStyle name="요약 3 3 4 4 5" xfId="46226"/>
    <cellStyle name="요약 3 3 4 5" xfId="7346"/>
    <cellStyle name="요약 3 3 4 5 2" xfId="20574"/>
    <cellStyle name="요약 3 3 4 5 3" xfId="14735"/>
    <cellStyle name="요약 3 3 4 5 4" xfId="46249"/>
    <cellStyle name="요약 3 3 4 6" xfId="22899"/>
    <cellStyle name="요약 3 3 4 6 2" xfId="34727"/>
    <cellStyle name="요약 3 3 4 6 3" xfId="40717"/>
    <cellStyle name="요약 3 3 4 6 4" xfId="40318"/>
    <cellStyle name="요약 3 3 4 7" xfId="31373"/>
    <cellStyle name="요약 3 3 4 7 2" xfId="17223"/>
    <cellStyle name="요약 3 3 4 7 3" xfId="47615"/>
    <cellStyle name="요약 3 3 4 8" xfId="28477"/>
    <cellStyle name="요약 3 3 4 9" xfId="28148"/>
    <cellStyle name="요약 3 3 5" xfId="8152"/>
    <cellStyle name="요약 3 3 5 2" xfId="21380"/>
    <cellStyle name="요약 3 3 6" xfId="46348"/>
    <cellStyle name="요약 3 4" xfId="54305"/>
    <cellStyle name="요약 3 5" xfId="54306"/>
    <cellStyle name="요약 3_사업부문" xfId="54307"/>
    <cellStyle name="요약 4" xfId="261"/>
    <cellStyle name="요약 4 2" xfId="3264"/>
    <cellStyle name="요약 4 2 2" xfId="51079"/>
    <cellStyle name="요약 4 3" xfId="3263"/>
    <cellStyle name="요약 4 3 2" xfId="6442"/>
    <cellStyle name="요약 4 3 2 2" xfId="11176"/>
    <cellStyle name="요약 4 3 2 2 2" xfId="24404"/>
    <cellStyle name="요약 4 3 2 2 3" xfId="33806"/>
    <cellStyle name="요약 4 3 2 2 4" xfId="29054"/>
    <cellStyle name="요약 4 3 2 3" xfId="6797"/>
    <cellStyle name="요약 4 3 2 3 2" xfId="20025"/>
    <cellStyle name="요약 4 3 2 3 3" xfId="36232"/>
    <cellStyle name="요약 4 3 2 3 4" xfId="42125"/>
    <cellStyle name="요약 4 3 2 3 5" xfId="48959"/>
    <cellStyle name="요약 4 3 2 4" xfId="19670"/>
    <cellStyle name="요약 4 3 2 4 2" xfId="37034"/>
    <cellStyle name="요약 4 3 2 4 3" xfId="42953"/>
    <cellStyle name="요약 4 3 2 4 4" xfId="49787"/>
    <cellStyle name="요약 4 3 2 5" xfId="30680"/>
    <cellStyle name="요약 4 3 2 5 2" xfId="16889"/>
    <cellStyle name="요약 4 3 2 5 3" xfId="15336"/>
    <cellStyle name="요약 4 3 2 6" xfId="29494"/>
    <cellStyle name="요약 4 3 2 7" xfId="28045"/>
    <cellStyle name="요약 4 3 2 8" xfId="45186"/>
    <cellStyle name="요약 4 3 3" xfId="5756"/>
    <cellStyle name="요약 4 3 3 2" xfId="10490"/>
    <cellStyle name="요약 4 3 3 2 2" xfId="23718"/>
    <cellStyle name="요약 4 3 3 2 3" xfId="33270"/>
    <cellStyle name="요약 4 3 3 2 4" xfId="33362"/>
    <cellStyle name="요약 4 3 3 3" xfId="7949"/>
    <cellStyle name="요약 4 3 3 3 2" xfId="21177"/>
    <cellStyle name="요약 4 3 3 3 3" xfId="35751"/>
    <cellStyle name="요약 4 3 3 3 4" xfId="41635"/>
    <cellStyle name="요약 4 3 3 3 5" xfId="48469"/>
    <cellStyle name="요약 4 3 3 4" xfId="18995"/>
    <cellStyle name="요약 4 3 3 4 2" xfId="30819"/>
    <cellStyle name="요약 4 3 3 4 3" xfId="16951"/>
    <cellStyle name="요약 4 3 3 4 4" xfId="40380"/>
    <cellStyle name="요약 4 3 3 5" xfId="34661"/>
    <cellStyle name="요약 4 3 3 5 2" xfId="40650"/>
    <cellStyle name="요약 4 3 3 5 3" xfId="17611"/>
    <cellStyle name="요약 4 3 3 6" xfId="28967"/>
    <cellStyle name="요약 4 3 3 7" xfId="17634"/>
    <cellStyle name="요약 4 3 3 8" xfId="39173"/>
    <cellStyle name="요약 4 3 4" xfId="9672"/>
    <cellStyle name="요약 4 3 4 10" xfId="29104"/>
    <cellStyle name="요약 4 3 4 2" xfId="13309"/>
    <cellStyle name="요약 4 3 4 2 2" xfId="26537"/>
    <cellStyle name="요약 4 3 4 2 3" xfId="32789"/>
    <cellStyle name="요약 4 3 4 2 4" xfId="39009"/>
    <cellStyle name="요약 4 3 4 2 5" xfId="47592"/>
    <cellStyle name="요약 4 3 4 3" xfId="6733"/>
    <cellStyle name="요약 4 3 4 3 2" xfId="19961"/>
    <cellStyle name="요약 4 3 4 3 3" xfId="35285"/>
    <cellStyle name="요약 4 3 4 3 4" xfId="47988"/>
    <cellStyle name="요약 4 3 4 4" xfId="8527"/>
    <cellStyle name="요약 4 3 4 4 2" xfId="21755"/>
    <cellStyle name="요약 4 3 4 4 3" xfId="34686"/>
    <cellStyle name="요약 4 3 4 4 4" xfId="40676"/>
    <cellStyle name="요약 4 3 4 4 5" xfId="32242"/>
    <cellStyle name="요약 4 3 4 5" xfId="8000"/>
    <cellStyle name="요약 4 3 4 5 2" xfId="21228"/>
    <cellStyle name="요약 4 3 4 5 3" xfId="42624"/>
    <cellStyle name="요약 4 3 4 5 4" xfId="49458"/>
    <cellStyle name="요약 4 3 4 6" xfId="22900"/>
    <cellStyle name="요약 4 3 4 6 2" xfId="35527"/>
    <cellStyle name="요약 4 3 4 6 3" xfId="41400"/>
    <cellStyle name="요약 4 3 4 6 4" xfId="48234"/>
    <cellStyle name="요약 4 3 4 7" xfId="35454"/>
    <cellStyle name="요약 4 3 4 7 2" xfId="41323"/>
    <cellStyle name="요약 4 3 4 7 3" xfId="48157"/>
    <cellStyle name="요약 4 3 4 8" xfId="28478"/>
    <cellStyle name="요약 4 3 4 9" xfId="15448"/>
    <cellStyle name="요약 4 3 5" xfId="8154"/>
    <cellStyle name="요약 4 3 5 2" xfId="21382"/>
    <cellStyle name="요약 4 3 6" xfId="32205"/>
    <cellStyle name="요약 4 4" xfId="54308"/>
    <cellStyle name="요약 4 5" xfId="54309"/>
    <cellStyle name="요약 4_사업부문" xfId="54310"/>
    <cellStyle name="요약 5" xfId="262"/>
    <cellStyle name="요약 5 2" xfId="3266"/>
    <cellStyle name="요약 5 2 2" xfId="51080"/>
    <cellStyle name="요약 5 3" xfId="3265"/>
    <cellStyle name="요약 5 3 2" xfId="6443"/>
    <cellStyle name="요약 5 3 2 2" xfId="11177"/>
    <cellStyle name="요약 5 3 2 2 2" xfId="24405"/>
    <cellStyle name="요약 5 3 2 2 3" xfId="33807"/>
    <cellStyle name="요약 5 3 2 2 4" xfId="29063"/>
    <cellStyle name="요약 5 3 2 3" xfId="8119"/>
    <cellStyle name="요약 5 3 2 3 2" xfId="21347"/>
    <cellStyle name="요약 5 3 2 3 3" xfId="36233"/>
    <cellStyle name="요약 5 3 2 3 4" xfId="42126"/>
    <cellStyle name="요약 5 3 2 3 5" xfId="48960"/>
    <cellStyle name="요약 5 3 2 4" xfId="19671"/>
    <cellStyle name="요약 5 3 2 4 2" xfId="32021"/>
    <cellStyle name="요약 5 3 2 4 3" xfId="38244"/>
    <cellStyle name="요약 5 3 2 4 4" xfId="46584"/>
    <cellStyle name="요약 5 3 2 5" xfId="31987"/>
    <cellStyle name="요약 5 3 2 5 2" xfId="38210"/>
    <cellStyle name="요약 5 3 2 5 3" xfId="17922"/>
    <cellStyle name="요약 5 3 2 6" xfId="29495"/>
    <cellStyle name="요약 5 3 2 7" xfId="17659"/>
    <cellStyle name="요약 5 3 2 8" xfId="44053"/>
    <cellStyle name="요약 5 3 3" xfId="5757"/>
    <cellStyle name="요약 5 3 3 2" xfId="10491"/>
    <cellStyle name="요약 5 3 3 2 2" xfId="23719"/>
    <cellStyle name="요약 5 3 3 2 3" xfId="33271"/>
    <cellStyle name="요약 5 3 3 2 4" xfId="39370"/>
    <cellStyle name="요약 5 3 3 3" xfId="7950"/>
    <cellStyle name="요약 5 3 3 3 2" xfId="21178"/>
    <cellStyle name="요약 5 3 3 3 3" xfId="35752"/>
    <cellStyle name="요약 5 3 3 3 4" xfId="41636"/>
    <cellStyle name="요약 5 3 3 3 5" xfId="48470"/>
    <cellStyle name="요약 5 3 3 4" xfId="18996"/>
    <cellStyle name="요약 5 3 3 4 2" xfId="37265"/>
    <cellStyle name="요약 5 3 3 4 3" xfId="43185"/>
    <cellStyle name="요약 5 3 3 4 4" xfId="50019"/>
    <cellStyle name="요약 5 3 3 5" xfId="30322"/>
    <cellStyle name="요약 5 3 3 5 2" xfId="16748"/>
    <cellStyle name="요약 5 3 3 5 3" xfId="45553"/>
    <cellStyle name="요약 5 3 3 6" xfId="28968"/>
    <cellStyle name="요약 5 3 3 7" xfId="17635"/>
    <cellStyle name="요약 5 3 3 8" xfId="43893"/>
    <cellStyle name="요약 5 3 4" xfId="9673"/>
    <cellStyle name="요약 5 3 4 10" xfId="39297"/>
    <cellStyle name="요약 5 3 4 2" xfId="13310"/>
    <cellStyle name="요약 5 3 4 2 2" xfId="26538"/>
    <cellStyle name="요약 5 3 4 2 3" xfId="32790"/>
    <cellStyle name="요약 5 3 4 2 4" xfId="39010"/>
    <cellStyle name="요약 5 3 4 2 5" xfId="47591"/>
    <cellStyle name="요약 5 3 4 3" xfId="7605"/>
    <cellStyle name="요약 5 3 4 3 2" xfId="20833"/>
    <cellStyle name="요약 5 3 4 3 3" xfId="35286"/>
    <cellStyle name="요약 5 3 4 3 4" xfId="47989"/>
    <cellStyle name="요약 5 3 4 4" xfId="13670"/>
    <cellStyle name="요약 5 3 4 4 2" xfId="26898"/>
    <cellStyle name="요약 5 3 4 4 3" xfId="31072"/>
    <cellStyle name="요약 5 3 4 4 4" xfId="18589"/>
    <cellStyle name="요약 5 3 4 4 5" xfId="33407"/>
    <cellStyle name="요약 5 3 4 5" xfId="14365"/>
    <cellStyle name="요약 5 3 4 5 2" xfId="27593"/>
    <cellStyle name="요약 5 3 4 5 3" xfId="38611"/>
    <cellStyle name="요약 5 3 4 5 4" xfId="41111"/>
    <cellStyle name="요약 5 3 4 6" xfId="22901"/>
    <cellStyle name="요약 5 3 4 6 2" xfId="32035"/>
    <cellStyle name="요약 5 3 4 6 3" xfId="38258"/>
    <cellStyle name="요약 5 3 4 6 4" xfId="43953"/>
    <cellStyle name="요약 5 3 4 7" xfId="37384"/>
    <cellStyle name="요약 5 3 4 7 2" xfId="43304"/>
    <cellStyle name="요약 5 3 4 7 3" xfId="50138"/>
    <cellStyle name="요약 5 3 4 8" xfId="28479"/>
    <cellStyle name="요약 5 3 4 9" xfId="15418"/>
    <cellStyle name="요약 5 3 5" xfId="8156"/>
    <cellStyle name="요약 5 3 5 2" xfId="21384"/>
    <cellStyle name="요약 5 3 6" xfId="28851"/>
    <cellStyle name="요약 5_사업부문" xfId="54311"/>
    <cellStyle name="요약 6" xfId="263"/>
    <cellStyle name="요약 6 2" xfId="3268"/>
    <cellStyle name="요약 6 2 2" xfId="51081"/>
    <cellStyle name="요약 6 3" xfId="3267"/>
    <cellStyle name="요약 6 3 2" xfId="6444"/>
    <cellStyle name="요약 6 3 2 2" xfId="11178"/>
    <cellStyle name="요약 6 3 2 2 2" xfId="24406"/>
    <cellStyle name="요약 6 3 2 2 3" xfId="33808"/>
    <cellStyle name="요약 6 3 2 2 4" xfId="39898"/>
    <cellStyle name="요약 6 3 2 3" xfId="8118"/>
    <cellStyle name="요약 6 3 2 3 2" xfId="21346"/>
    <cellStyle name="요약 6 3 2 3 3" xfId="36234"/>
    <cellStyle name="요약 6 3 2 3 4" xfId="42127"/>
    <cellStyle name="요약 6 3 2 3 5" xfId="48961"/>
    <cellStyle name="요약 6 3 2 4" xfId="19672"/>
    <cellStyle name="요약 6 3 2 4 2" xfId="30857"/>
    <cellStyle name="요약 6 3 2 4 3" xfId="16967"/>
    <cellStyle name="요약 6 3 2 4 4" xfId="33386"/>
    <cellStyle name="요약 6 3 2 5" xfId="35496"/>
    <cellStyle name="요약 6 3 2 5 2" xfId="41367"/>
    <cellStyle name="요약 6 3 2 5 3" xfId="48201"/>
    <cellStyle name="요약 6 3 2 6" xfId="29496"/>
    <cellStyle name="요약 6 3 2 7" xfId="16152"/>
    <cellStyle name="요약 6 3 2 8" xfId="39618"/>
    <cellStyle name="요약 6 3 3" xfId="5758"/>
    <cellStyle name="요약 6 3 3 2" xfId="10492"/>
    <cellStyle name="요약 6 3 3 2 2" xfId="23720"/>
    <cellStyle name="요약 6 3 3 2 3" xfId="33272"/>
    <cellStyle name="요약 6 3 3 2 4" xfId="46931"/>
    <cellStyle name="요약 6 3 3 3" xfId="7951"/>
    <cellStyle name="요약 6 3 3 3 2" xfId="21179"/>
    <cellStyle name="요약 6 3 3 3 3" xfId="35753"/>
    <cellStyle name="요약 6 3 3 3 4" xfId="41637"/>
    <cellStyle name="요약 6 3 3 3 5" xfId="48471"/>
    <cellStyle name="요약 6 3 3 4" xfId="18997"/>
    <cellStyle name="요약 6 3 3 4 2" xfId="29856"/>
    <cellStyle name="요약 6 3 3 4 3" xfId="17992"/>
    <cellStyle name="요약 6 3 3 4 4" xfId="44269"/>
    <cellStyle name="요약 6 3 3 5" xfId="34720"/>
    <cellStyle name="요약 6 3 3 5 2" xfId="40710"/>
    <cellStyle name="요약 6 3 3 5 3" xfId="17497"/>
    <cellStyle name="요약 6 3 3 6" xfId="28969"/>
    <cellStyle name="요약 6 3 3 7" xfId="17546"/>
    <cellStyle name="요약 6 3 3 8" xfId="45364"/>
    <cellStyle name="요약 6 3 4" xfId="9674"/>
    <cellStyle name="요약 6 3 4 10" xfId="18482"/>
    <cellStyle name="요약 6 3 4 2" xfId="13311"/>
    <cellStyle name="요약 6 3 4 2 2" xfId="26539"/>
    <cellStyle name="요약 6 3 4 2 3" xfId="32791"/>
    <cellStyle name="요약 6 3 4 2 4" xfId="39011"/>
    <cellStyle name="요약 6 3 4 2 5" xfId="47480"/>
    <cellStyle name="요약 6 3 4 3" xfId="8580"/>
    <cellStyle name="요약 6 3 4 3 2" xfId="21808"/>
    <cellStyle name="요약 6 3 4 3 3" xfId="35287"/>
    <cellStyle name="요약 6 3 4 3 4" xfId="47990"/>
    <cellStyle name="요약 6 3 4 4" xfId="12899"/>
    <cellStyle name="요약 6 3 4 4 2" xfId="26127"/>
    <cellStyle name="요약 6 3 4 4 3" xfId="31073"/>
    <cellStyle name="요약 6 3 4 4 4" xfId="18590"/>
    <cellStyle name="요약 6 3 4 4 5" xfId="46407"/>
    <cellStyle name="요약 6 3 4 5" xfId="7726"/>
    <cellStyle name="요약 6 3 4 5 2" xfId="20954"/>
    <cellStyle name="요약 6 3 4 5 3" xfId="38637"/>
    <cellStyle name="요약 6 3 4 5 4" xfId="46705"/>
    <cellStyle name="요약 6 3 4 6" xfId="22902"/>
    <cellStyle name="요약 6 3 4 6 2" xfId="34698"/>
    <cellStyle name="요약 6 3 4 6 3" xfId="40688"/>
    <cellStyle name="요약 6 3 4 6 4" xfId="15464"/>
    <cellStyle name="요약 6 3 4 7" xfId="31241"/>
    <cellStyle name="요약 6 3 4 7 2" xfId="17142"/>
    <cellStyle name="요약 6 3 4 7 3" xfId="40206"/>
    <cellStyle name="요약 6 3 4 8" xfId="28480"/>
    <cellStyle name="요약 6 3 4 9" xfId="16464"/>
    <cellStyle name="요약 6 3 5" xfId="8158"/>
    <cellStyle name="요약 6 3 5 2" xfId="21386"/>
    <cellStyle name="요약 6 3 6" xfId="44912"/>
    <cellStyle name="요약 6_사업부문" xfId="54312"/>
    <cellStyle name="요약 7" xfId="264"/>
    <cellStyle name="요약 7 2" xfId="5290"/>
    <cellStyle name="요약 7 2 10" xfId="18533"/>
    <cellStyle name="요약 7 2 11" xfId="28069"/>
    <cellStyle name="요약 7 2 12" xfId="18481"/>
    <cellStyle name="요약 7 2 13" xfId="35039"/>
    <cellStyle name="요약 7 2 2" xfId="6659"/>
    <cellStyle name="요약 7 2 2 2" xfId="11393"/>
    <cellStyle name="요약 7 2 2 2 2" xfId="24621"/>
    <cellStyle name="요약 7 2 2 2 3" xfId="34023"/>
    <cellStyle name="요약 7 2 2 2 4" xfId="15382"/>
    <cellStyle name="요약 7 2 2 3" xfId="9118"/>
    <cellStyle name="요약 7 2 2 3 2" xfId="22346"/>
    <cellStyle name="요약 7 2 2 3 3" xfId="36448"/>
    <cellStyle name="요약 7 2 2 3 4" xfId="42341"/>
    <cellStyle name="요약 7 2 2 3 5" xfId="49175"/>
    <cellStyle name="요약 7 2 2 4" xfId="19887"/>
    <cellStyle name="요약 7 2 2 4 2" xfId="34877"/>
    <cellStyle name="요약 7 2 2 4 3" xfId="40875"/>
    <cellStyle name="요약 7 2 2 4 4" xfId="38756"/>
    <cellStyle name="요약 7 2 2 5" xfId="37481"/>
    <cellStyle name="요약 7 2 2 5 2" xfId="43401"/>
    <cellStyle name="요약 7 2 2 5 3" xfId="50235"/>
    <cellStyle name="요약 7 2 2 6" xfId="29711"/>
    <cellStyle name="요약 7 2 2 7" xfId="16307"/>
    <cellStyle name="요약 7 2 2 8" xfId="45337"/>
    <cellStyle name="요약 7 2 3" xfId="6685"/>
    <cellStyle name="요약 7 2 3 2" xfId="11419"/>
    <cellStyle name="요약 7 2 3 2 2" xfId="24647"/>
    <cellStyle name="요약 7 2 3 2 3" xfId="34049"/>
    <cellStyle name="요약 7 2 3 2 4" xfId="40057"/>
    <cellStyle name="요약 7 2 3 3" xfId="9141"/>
    <cellStyle name="요약 7 2 3 3 2" xfId="22369"/>
    <cellStyle name="요약 7 2 3 3 3" xfId="36474"/>
    <cellStyle name="요약 7 2 3 3 4" xfId="42367"/>
    <cellStyle name="요약 7 2 3 3 5" xfId="49201"/>
    <cellStyle name="요약 7 2 3 4" xfId="19913"/>
    <cellStyle name="요약 7 2 3 4 2" xfId="30668"/>
    <cellStyle name="요약 7 2 3 4 3" xfId="16886"/>
    <cellStyle name="요약 7 2 3 4 4" xfId="17533"/>
    <cellStyle name="요약 7 2 3 5" xfId="37627"/>
    <cellStyle name="요약 7 2 3 5 2" xfId="43550"/>
    <cellStyle name="요약 7 2 3 5 3" xfId="50384"/>
    <cellStyle name="요약 7 2 3 6" xfId="29737"/>
    <cellStyle name="요약 7 2 3 7" xfId="36735"/>
    <cellStyle name="요약 7 2 3 8" xfId="44046"/>
    <cellStyle name="요약 7 2 4" xfId="6665"/>
    <cellStyle name="요약 7 2 4 2" xfId="11399"/>
    <cellStyle name="요약 7 2 4 2 2" xfId="24627"/>
    <cellStyle name="요약 7 2 4 2 3" xfId="34029"/>
    <cellStyle name="요약 7 2 4 2 4" xfId="15347"/>
    <cellStyle name="요약 7 2 4 3" xfId="9124"/>
    <cellStyle name="요약 7 2 4 3 2" xfId="22352"/>
    <cellStyle name="요약 7 2 4 3 3" xfId="36454"/>
    <cellStyle name="요약 7 2 4 3 4" xfId="42347"/>
    <cellStyle name="요약 7 2 4 3 5" xfId="49181"/>
    <cellStyle name="요약 7 2 4 4" xfId="19893"/>
    <cellStyle name="요약 7 2 4 4 2" xfId="34945"/>
    <cellStyle name="요약 7 2 4 4 3" xfId="40943"/>
    <cellStyle name="요약 7 2 4 4 4" xfId="47639"/>
    <cellStyle name="요약 7 2 4 5" xfId="34715"/>
    <cellStyle name="요약 7 2 4 5 2" xfId="40705"/>
    <cellStyle name="요약 7 2 4 5 3" xfId="17496"/>
    <cellStyle name="요약 7 2 4 6" xfId="29717"/>
    <cellStyle name="요약 7 2 4 7" xfId="35823"/>
    <cellStyle name="요약 7 2 4 8" xfId="33057"/>
    <cellStyle name="요약 7 2 5" xfId="10149"/>
    <cellStyle name="요약 7 2 5 2" xfId="6756"/>
    <cellStyle name="요약 7 2 5 2 2" xfId="19984"/>
    <cellStyle name="요약 7 2 5 2 3" xfId="33095"/>
    <cellStyle name="요약 7 2 5 2 4" xfId="32470"/>
    <cellStyle name="요약 7 2 5 3" xfId="23377"/>
    <cellStyle name="요약 7 2 5 3 2" xfId="35581"/>
    <cellStyle name="요약 7 2 5 3 3" xfId="41457"/>
    <cellStyle name="요약 7 2 5 3 4" xfId="48291"/>
    <cellStyle name="요약 7 2 5 4" xfId="31387"/>
    <cellStyle name="요약 7 2 5 4 2" xfId="17229"/>
    <cellStyle name="요약 7 2 5 4 3" xfId="46726"/>
    <cellStyle name="요약 7 2 5 5" xfId="30323"/>
    <cellStyle name="요약 7 2 5 5 2" xfId="14778"/>
    <cellStyle name="요약 7 2 5 5 3" xfId="34348"/>
    <cellStyle name="요약 7 2 5 6" xfId="28792"/>
    <cellStyle name="요약 7 2 5 7" xfId="15767"/>
    <cellStyle name="요약 7 2 5 8" xfId="40202"/>
    <cellStyle name="요약 7 2 6" xfId="9109"/>
    <cellStyle name="요약 7 2 6 2" xfId="22337"/>
    <cellStyle name="요약 7 2 6 3" xfId="32145"/>
    <cellStyle name="요약 7 2 6 4" xfId="38370"/>
    <cellStyle name="요약 7 2 6 5" xfId="40567"/>
    <cellStyle name="요약 7 2 7" xfId="13007"/>
    <cellStyle name="요약 7 2 7 2" xfId="26235"/>
    <cellStyle name="요약 7 2 7 3" xfId="36949"/>
    <cellStyle name="요약 7 2 7 4" xfId="42867"/>
    <cellStyle name="요약 7 2 7 5" xfId="49701"/>
    <cellStyle name="요약 7 2 8" xfId="14287"/>
    <cellStyle name="요약 7 2 8 2" xfId="27515"/>
    <cellStyle name="요약 7 2 8 3" xfId="34915"/>
    <cellStyle name="요약 7 2 8 4" xfId="40913"/>
    <cellStyle name="요약 7 2 8 5" xfId="34375"/>
    <cellStyle name="요약 7 2 9" xfId="6763"/>
    <cellStyle name="요약 7 2 9 2" xfId="19991"/>
    <cellStyle name="요약 7 2 9 3" xfId="42615"/>
    <cellStyle name="요약 7 2 9 4" xfId="49449"/>
    <cellStyle name="요약 7 3" xfId="51082"/>
    <cellStyle name="요약 7_사업부문" xfId="54313"/>
    <cellStyle name="요약 8" xfId="3269"/>
    <cellStyle name="요약 8 2" xfId="6445"/>
    <cellStyle name="요약 8 2 2" xfId="11179"/>
    <cellStyle name="요약 8 2 2 2" xfId="24407"/>
    <cellStyle name="요약 8 2 2 3" xfId="33809"/>
    <cellStyle name="요약 8 2 2 4" xfId="39457"/>
    <cellStyle name="요약 8 2 3" xfId="6798"/>
    <cellStyle name="요약 8 2 3 2" xfId="20026"/>
    <cellStyle name="요약 8 2 3 3" xfId="36235"/>
    <cellStyle name="요약 8 2 3 4" xfId="42128"/>
    <cellStyle name="요약 8 2 3 5" xfId="48962"/>
    <cellStyle name="요약 8 2 4" xfId="19673"/>
    <cellStyle name="요약 8 2 4 2" xfId="30392"/>
    <cellStyle name="요약 8 2 4 3" xfId="14779"/>
    <cellStyle name="요약 8 2 4 4" xfId="15762"/>
    <cellStyle name="요약 8 2 5" xfId="37556"/>
    <cellStyle name="요약 8 2 5 2" xfId="43477"/>
    <cellStyle name="요약 8 2 5 3" xfId="50311"/>
    <cellStyle name="요약 8 2 6" xfId="29497"/>
    <cellStyle name="요약 8 2 7" xfId="16151"/>
    <cellStyle name="요약 8 2 8" xfId="44454"/>
    <cellStyle name="요약 8 3" xfId="5759"/>
    <cellStyle name="요약 8 3 2" xfId="10493"/>
    <cellStyle name="요약 8 3 2 2" xfId="23721"/>
    <cellStyle name="요약 8 3 2 3" xfId="33273"/>
    <cellStyle name="요약 8 3 2 4" xfId="46315"/>
    <cellStyle name="요약 8 3 3" xfId="7952"/>
    <cellStyle name="요약 8 3 3 2" xfId="21180"/>
    <cellStyle name="요약 8 3 3 3" xfId="35754"/>
    <cellStyle name="요약 8 3 3 4" xfId="41638"/>
    <cellStyle name="요약 8 3 3 5" xfId="48472"/>
    <cellStyle name="요약 8 3 4" xfId="18998"/>
    <cellStyle name="요약 8 3 4 2" xfId="37137"/>
    <cellStyle name="요약 8 3 4 3" xfId="43056"/>
    <cellStyle name="요약 8 3 4 4" xfId="49890"/>
    <cellStyle name="요약 8 3 5" xfId="30178"/>
    <cellStyle name="요약 8 3 5 2" xfId="16639"/>
    <cellStyle name="요약 8 3 5 3" xfId="32238"/>
    <cellStyle name="요약 8 3 6" xfId="28970"/>
    <cellStyle name="요약 8 3 7" xfId="31198"/>
    <cellStyle name="요약 8 3 8" xfId="44358"/>
    <cellStyle name="요약 8 4" xfId="9675"/>
    <cellStyle name="요약 8 4 10" xfId="40378"/>
    <cellStyle name="요약 8 4 2" xfId="13312"/>
    <cellStyle name="요약 8 4 2 2" xfId="26540"/>
    <cellStyle name="요약 8 4 2 3" xfId="32792"/>
    <cellStyle name="요약 8 4 2 4" xfId="39012"/>
    <cellStyle name="요약 8 4 2 5" xfId="46404"/>
    <cellStyle name="요약 8 4 3" xfId="6734"/>
    <cellStyle name="요약 8 4 3 2" xfId="19962"/>
    <cellStyle name="요약 8 4 3 3" xfId="35288"/>
    <cellStyle name="요약 8 4 3 4" xfId="47991"/>
    <cellStyle name="요약 8 4 4" xfId="8644"/>
    <cellStyle name="요약 8 4 4 2" xfId="21872"/>
    <cellStyle name="요약 8 4 4 3" xfId="29835"/>
    <cellStyle name="요약 8 4 4 4" xfId="17683"/>
    <cellStyle name="요약 8 4 4 5" xfId="44444"/>
    <cellStyle name="요약 8 4 5" xfId="12669"/>
    <cellStyle name="요약 8 4 5 2" xfId="25897"/>
    <cellStyle name="요약 8 4 5 3" xfId="16558"/>
    <cellStyle name="요약 8 4 5 4" xfId="44529"/>
    <cellStyle name="요약 8 4 6" xfId="22903"/>
    <cellStyle name="요약 8 4 6 2" xfId="29870"/>
    <cellStyle name="요약 8 4 6 3" xfId="17997"/>
    <cellStyle name="요약 8 4 6 4" xfId="43865"/>
    <cellStyle name="요약 8 4 7" xfId="32325"/>
    <cellStyle name="요약 8 4 7 2" xfId="38543"/>
    <cellStyle name="요약 8 4 7 3" xfId="15567"/>
    <cellStyle name="요약 8 4 8" xfId="28481"/>
    <cellStyle name="요약 8 4 9" xfId="40090"/>
    <cellStyle name="요약 8 5" xfId="8160"/>
    <cellStyle name="요약 8 5 2" xfId="21388"/>
    <cellStyle name="요약 8 6" xfId="40413"/>
    <cellStyle name="요약 9" xfId="3231"/>
    <cellStyle name="요약 9 2" xfId="6414"/>
    <cellStyle name="요약 9 2 2" xfId="11148"/>
    <cellStyle name="요약 9 2 2 2" xfId="24376"/>
    <cellStyle name="요약 9 2 2 3" xfId="33778"/>
    <cellStyle name="요약 9 2 2 4" xfId="15403"/>
    <cellStyle name="요약 9 2 3" xfId="12963"/>
    <cellStyle name="요약 9 2 3 2" xfId="26191"/>
    <cellStyle name="요약 9 2 3 3" xfId="36204"/>
    <cellStyle name="요약 9 2 3 4" xfId="42097"/>
    <cellStyle name="요약 9 2 3 5" xfId="48931"/>
    <cellStyle name="요약 9 2 4" xfId="19642"/>
    <cellStyle name="요약 9 2 4 2" xfId="30501"/>
    <cellStyle name="요약 9 2 4 3" xfId="16817"/>
    <cellStyle name="요약 9 2 4 4" xfId="46042"/>
    <cellStyle name="요약 9 2 5" xfId="30632"/>
    <cellStyle name="요약 9 2 5 2" xfId="16869"/>
    <cellStyle name="요약 9 2 5 3" xfId="29932"/>
    <cellStyle name="요약 9 2 6" xfId="29466"/>
    <cellStyle name="요약 9 2 7" xfId="16111"/>
    <cellStyle name="요약 9 2 8" xfId="45441"/>
    <cellStyle name="요약 9 3" xfId="5728"/>
    <cellStyle name="요약 9 3 2" xfId="10462"/>
    <cellStyle name="요약 9 3 2 2" xfId="23690"/>
    <cellStyle name="요약 9 3 2 3" xfId="33242"/>
    <cellStyle name="요약 9 3 2 4" xfId="29947"/>
    <cellStyle name="요약 9 3 3" xfId="7923"/>
    <cellStyle name="요약 9 3 3 2" xfId="21151"/>
    <cellStyle name="요약 9 3 3 3" xfId="35723"/>
    <cellStyle name="요약 9 3 3 4" xfId="41607"/>
    <cellStyle name="요약 9 3 3 5" xfId="48441"/>
    <cellStyle name="요약 9 3 4" xfId="18967"/>
    <cellStyle name="요약 9 3 4 2" xfId="37367"/>
    <cellStyle name="요약 9 3 4 3" xfId="43287"/>
    <cellStyle name="요약 9 3 4 4" xfId="50121"/>
    <cellStyle name="요약 9 3 5" xfId="36582"/>
    <cellStyle name="요약 9 3 5 2" xfId="42484"/>
    <cellStyle name="요약 9 3 5 3" xfId="49318"/>
    <cellStyle name="요약 9 3 6" xfId="28939"/>
    <cellStyle name="요약 9 3 7" xfId="15875"/>
    <cellStyle name="요약 9 3 8" xfId="17429"/>
    <cellStyle name="요약 9 4" xfId="9644"/>
    <cellStyle name="요약 9 4 10" xfId="44022"/>
    <cellStyle name="요약 9 4 2" xfId="13281"/>
    <cellStyle name="요약 9 4 2 2" xfId="26509"/>
    <cellStyle name="요약 9 4 2 3" xfId="32761"/>
    <cellStyle name="요약 9 4 2 4" xfId="38981"/>
    <cellStyle name="요약 9 4 2 5" xfId="32272"/>
    <cellStyle name="요약 9 4 3" xfId="6730"/>
    <cellStyle name="요약 9 4 3 2" xfId="19958"/>
    <cellStyle name="요약 9 4 3 3" xfId="35257"/>
    <cellStyle name="요약 9 4 3 4" xfId="47960"/>
    <cellStyle name="요약 9 4 4" xfId="14152"/>
    <cellStyle name="요약 9 4 4 2" xfId="27380"/>
    <cellStyle name="요약 9 4 4 3" xfId="31053"/>
    <cellStyle name="요약 9 4 4 4" xfId="18573"/>
    <cellStyle name="요약 9 4 4 5" xfId="38771"/>
    <cellStyle name="요약 9 4 5" xfId="8455"/>
    <cellStyle name="요약 9 4 5 2" xfId="21683"/>
    <cellStyle name="요약 9 4 5 3" xfId="38175"/>
    <cellStyle name="요약 9 4 5 4" xfId="44163"/>
    <cellStyle name="요약 9 4 6" xfId="22872"/>
    <cellStyle name="요약 9 4 6 2" xfId="31291"/>
    <cellStyle name="요약 9 4 6 3" xfId="14783"/>
    <cellStyle name="요약 9 4 6 4" xfId="46960"/>
    <cellStyle name="요약 9 4 7" xfId="37749"/>
    <cellStyle name="요약 9 4 7 2" xfId="43673"/>
    <cellStyle name="요약 9 4 7 3" xfId="50507"/>
    <cellStyle name="요약 9 4 8" xfId="28450"/>
    <cellStyle name="요약 9 4 9" xfId="38671"/>
    <cellStyle name="요약 9 5" xfId="8124"/>
    <cellStyle name="요약 9 5 2" xfId="21352"/>
    <cellStyle name="요약 9 6" xfId="40179"/>
    <cellStyle name="원" xfId="54314"/>
    <cellStyle name="一般_GARMENT STEP FORM HK" xfId="54315"/>
    <cellStyle name="입력 10" xfId="54316"/>
    <cellStyle name="입력 10 2" xfId="54317"/>
    <cellStyle name="입력 11" xfId="54318"/>
    <cellStyle name="입력 11 2" xfId="54319"/>
    <cellStyle name="입력 12" xfId="54320"/>
    <cellStyle name="입력 13" xfId="54321"/>
    <cellStyle name="입력 14" xfId="54322"/>
    <cellStyle name="입력 15" xfId="54323"/>
    <cellStyle name="입력 16" xfId="54324"/>
    <cellStyle name="입력 17" xfId="54325"/>
    <cellStyle name="입력 18" xfId="54326"/>
    <cellStyle name="입력 19" xfId="54327"/>
    <cellStyle name="입력 2" xfId="265"/>
    <cellStyle name="입력 2 10" xfId="3272"/>
    <cellStyle name="입력 2 10 2" xfId="6448"/>
    <cellStyle name="입력 2 10 2 2" xfId="11182"/>
    <cellStyle name="입력 2 10 2 2 2" xfId="24410"/>
    <cellStyle name="입력 2 10 2 2 3" xfId="33812"/>
    <cellStyle name="입력 2 10 2 2 4" xfId="44920"/>
    <cellStyle name="입력 2 10 2 2 5" xfId="15747"/>
    <cellStyle name="입력 2 10 2 3" xfId="6799"/>
    <cellStyle name="입력 2 10 2 3 2" xfId="20027"/>
    <cellStyle name="입력 2 10 2 3 3" xfId="36238"/>
    <cellStyle name="입력 2 10 2 3 4" xfId="42131"/>
    <cellStyle name="입력 2 10 2 3 5" xfId="48965"/>
    <cellStyle name="입력 2 10 2 4" xfId="19676"/>
    <cellStyle name="입력 2 10 2 4 2" xfId="30103"/>
    <cellStyle name="입력 2 10 2 4 3" xfId="16580"/>
    <cellStyle name="입력 2 10 2 4 4" xfId="45334"/>
    <cellStyle name="입력 2 10 2 5" xfId="37682"/>
    <cellStyle name="입력 2 10 2 5 2" xfId="43605"/>
    <cellStyle name="입력 2 10 2 5 3" xfId="50439"/>
    <cellStyle name="입력 2 10 2 6" xfId="29500"/>
    <cellStyle name="입력 2 10 2 7" xfId="16153"/>
    <cellStyle name="입력 2 10 2 8" xfId="15483"/>
    <cellStyle name="입력 2 10 3" xfId="9678"/>
    <cellStyle name="입력 2 10 3 10" xfId="15862"/>
    <cellStyle name="입력 2 10 3 2" xfId="13315"/>
    <cellStyle name="입력 2 10 3 2 2" xfId="26543"/>
    <cellStyle name="입력 2 10 3 2 3" xfId="32795"/>
    <cellStyle name="입력 2 10 3 2 4" xfId="39015"/>
    <cellStyle name="입력 2 10 3 2 5" xfId="45708"/>
    <cellStyle name="입력 2 10 3 3" xfId="6737"/>
    <cellStyle name="입력 2 10 3 3 2" xfId="19965"/>
    <cellStyle name="입력 2 10 3 3 3" xfId="35291"/>
    <cellStyle name="입력 2 10 3 3 4" xfId="46056"/>
    <cellStyle name="입력 2 10 3 3 5" xfId="47994"/>
    <cellStyle name="입력 2 10 3 4" xfId="7189"/>
    <cellStyle name="입력 2 10 3 4 2" xfId="20417"/>
    <cellStyle name="입력 2 10 3 4 3" xfId="32342"/>
    <cellStyle name="입력 2 10 3 4 4" xfId="38560"/>
    <cellStyle name="입력 2 10 3 4 5" xfId="15671"/>
    <cellStyle name="입력 2 10 3 5" xfId="6711"/>
    <cellStyle name="입력 2 10 3 5 2" xfId="19939"/>
    <cellStyle name="입력 2 10 3 5 3" xfId="38022"/>
    <cellStyle name="입력 2 10 3 5 4" xfId="46993"/>
    <cellStyle name="입력 2 10 3 6" xfId="22906"/>
    <cellStyle name="입력 2 10 3 6 2" xfId="37169"/>
    <cellStyle name="입력 2 10 3 6 3" xfId="43088"/>
    <cellStyle name="입력 2 10 3 6 4" xfId="49922"/>
    <cellStyle name="입력 2 10 3 7" xfId="37293"/>
    <cellStyle name="입력 2 10 3 7 2" xfId="43213"/>
    <cellStyle name="입력 2 10 3 7 3" xfId="50047"/>
    <cellStyle name="입력 2 10 3 8" xfId="28484"/>
    <cellStyle name="입력 2 10 3 9" xfId="39328"/>
    <cellStyle name="입력 2 10 4" xfId="8163"/>
    <cellStyle name="입력 2 10 4 2" xfId="21391"/>
    <cellStyle name="입력 2 10 5" xfId="39444"/>
    <cellStyle name="입력 2 11" xfId="3273"/>
    <cellStyle name="입력 2 11 2" xfId="6449"/>
    <cellStyle name="입력 2 11 2 2" xfId="11183"/>
    <cellStyle name="입력 2 11 2 2 2" xfId="24411"/>
    <cellStyle name="입력 2 11 2 2 3" xfId="33813"/>
    <cellStyle name="입력 2 11 2 2 4" xfId="44921"/>
    <cellStyle name="입력 2 11 2 2 5" xfId="39917"/>
    <cellStyle name="입력 2 11 2 3" xfId="8202"/>
    <cellStyle name="입력 2 11 2 3 2" xfId="21430"/>
    <cellStyle name="입력 2 11 2 3 3" xfId="36239"/>
    <cellStyle name="입력 2 11 2 3 4" xfId="42132"/>
    <cellStyle name="입력 2 11 2 3 5" xfId="48966"/>
    <cellStyle name="입력 2 11 2 4" xfId="19677"/>
    <cellStyle name="입력 2 11 2 4 2" xfId="32045"/>
    <cellStyle name="입력 2 11 2 4 3" xfId="38268"/>
    <cellStyle name="입력 2 11 2 4 4" xfId="17413"/>
    <cellStyle name="입력 2 11 2 5" xfId="30553"/>
    <cellStyle name="입력 2 11 2 5 2" xfId="15159"/>
    <cellStyle name="입력 2 11 2 5 3" xfId="14525"/>
    <cellStyle name="입력 2 11 2 6" xfId="29501"/>
    <cellStyle name="입력 2 11 2 7" xfId="14766"/>
    <cellStyle name="입력 2 11 2 8" xfId="45303"/>
    <cellStyle name="입력 2 11 3" xfId="9679"/>
    <cellStyle name="입력 2 11 3 10" xfId="40497"/>
    <cellStyle name="입력 2 11 3 2" xfId="13316"/>
    <cellStyle name="입력 2 11 3 2 2" xfId="26544"/>
    <cellStyle name="입력 2 11 3 2 3" xfId="32796"/>
    <cellStyle name="입력 2 11 3 2 4" xfId="39016"/>
    <cellStyle name="입력 2 11 3 2 5" xfId="46943"/>
    <cellStyle name="입력 2 11 3 3" xfId="6738"/>
    <cellStyle name="입력 2 11 3 3 2" xfId="19966"/>
    <cellStyle name="입력 2 11 3 3 3" xfId="35292"/>
    <cellStyle name="입력 2 11 3 3 4" xfId="46057"/>
    <cellStyle name="입력 2 11 3 3 5" xfId="47995"/>
    <cellStyle name="입력 2 11 3 4" xfId="13578"/>
    <cellStyle name="입력 2 11 3 4 2" xfId="26806"/>
    <cellStyle name="입력 2 11 3 4 3" xfId="32343"/>
    <cellStyle name="입력 2 11 3 4 4" xfId="38561"/>
    <cellStyle name="입력 2 11 3 4 5" xfId="44148"/>
    <cellStyle name="입력 2 11 3 5" xfId="12689"/>
    <cellStyle name="입력 2 11 3 5 2" xfId="25917"/>
    <cellStyle name="입력 2 11 3 5 3" xfId="38286"/>
    <cellStyle name="입력 2 11 3 5 4" xfId="45604"/>
    <cellStyle name="입력 2 11 3 6" xfId="22907"/>
    <cellStyle name="입력 2 11 3 6 2" xfId="31318"/>
    <cellStyle name="입력 2 11 3 6 3" xfId="18465"/>
    <cellStyle name="입력 2 11 3 6 4" xfId="45844"/>
    <cellStyle name="입력 2 11 3 7" xfId="37733"/>
    <cellStyle name="입력 2 11 3 7 2" xfId="43657"/>
    <cellStyle name="입력 2 11 3 7 3" xfId="50491"/>
    <cellStyle name="입력 2 11 3 8" xfId="28485"/>
    <cellStyle name="입력 2 11 3 9" xfId="40392"/>
    <cellStyle name="입력 2 11 4" xfId="8164"/>
    <cellStyle name="입력 2 11 4 2" xfId="21392"/>
    <cellStyle name="입력 2 11 5" xfId="28909"/>
    <cellStyle name="입력 2 12" xfId="3274"/>
    <cellStyle name="입력 2 12 2" xfId="6450"/>
    <cellStyle name="입력 2 12 2 2" xfId="11184"/>
    <cellStyle name="입력 2 12 2 2 2" xfId="24412"/>
    <cellStyle name="입력 2 12 2 2 3" xfId="33814"/>
    <cellStyle name="입력 2 12 2 2 4" xfId="44922"/>
    <cellStyle name="입력 2 12 2 2 5" xfId="39476"/>
    <cellStyle name="입력 2 12 2 3" xfId="12866"/>
    <cellStyle name="입력 2 12 2 3 2" xfId="26094"/>
    <cellStyle name="입력 2 12 2 3 3" xfId="36240"/>
    <cellStyle name="입력 2 12 2 3 4" xfId="42133"/>
    <cellStyle name="입력 2 12 2 3 5" xfId="48967"/>
    <cellStyle name="입력 2 12 2 4" xfId="19678"/>
    <cellStyle name="입력 2 12 2 4 2" xfId="37228"/>
    <cellStyle name="입력 2 12 2 4 3" xfId="43147"/>
    <cellStyle name="입력 2 12 2 4 4" xfId="49981"/>
    <cellStyle name="입력 2 12 2 5" xfId="29895"/>
    <cellStyle name="입력 2 12 2 5 2" xfId="16437"/>
    <cellStyle name="입력 2 12 2 5 3" xfId="45174"/>
    <cellStyle name="입력 2 12 2 6" xfId="29502"/>
    <cellStyle name="입력 2 12 2 7" xfId="16156"/>
    <cellStyle name="입력 2 12 2 8" xfId="44297"/>
    <cellStyle name="입력 2 12 3" xfId="9680"/>
    <cellStyle name="입력 2 12 3 10" xfId="39438"/>
    <cellStyle name="입력 2 12 3 2" xfId="13317"/>
    <cellStyle name="입력 2 12 3 2 2" xfId="26545"/>
    <cellStyle name="입력 2 12 3 2 3" xfId="32797"/>
    <cellStyle name="입력 2 12 3 2 4" xfId="39017"/>
    <cellStyle name="입력 2 12 3 2 5" xfId="46400"/>
    <cellStyle name="입력 2 12 3 3" xfId="7606"/>
    <cellStyle name="입력 2 12 3 3 2" xfId="20834"/>
    <cellStyle name="입력 2 12 3 3 3" xfId="35293"/>
    <cellStyle name="입력 2 12 3 3 4" xfId="46058"/>
    <cellStyle name="입력 2 12 3 3 5" xfId="47996"/>
    <cellStyle name="입력 2 12 3 4" xfId="14104"/>
    <cellStyle name="입력 2 12 3 4 2" xfId="27332"/>
    <cellStyle name="입력 2 12 3 4 3" xfId="32344"/>
    <cellStyle name="입력 2 12 3 4 4" xfId="38562"/>
    <cellStyle name="입력 2 12 3 4 5" xfId="41078"/>
    <cellStyle name="입력 2 12 3 5" xfId="7352"/>
    <cellStyle name="입력 2 12 3 5 2" xfId="20580"/>
    <cellStyle name="입력 2 12 3 5 3" xfId="15280"/>
    <cellStyle name="입력 2 12 3 5 4" xfId="46038"/>
    <cellStyle name="입력 2 12 3 6" xfId="22908"/>
    <cellStyle name="입력 2 12 3 6 2" xfId="37347"/>
    <cellStyle name="입력 2 12 3 6 3" xfId="43267"/>
    <cellStyle name="입력 2 12 3 6 4" xfId="50101"/>
    <cellStyle name="입력 2 12 3 7" xfId="35891"/>
    <cellStyle name="입력 2 12 3 7 2" xfId="41783"/>
    <cellStyle name="입력 2 12 3 7 3" xfId="48617"/>
    <cellStyle name="입력 2 12 3 8" xfId="28486"/>
    <cellStyle name="입력 2 12 3 9" xfId="15775"/>
    <cellStyle name="입력 2 12 4" xfId="8165"/>
    <cellStyle name="입력 2 12 4 2" xfId="21393"/>
    <cellStyle name="입력 2 12 5" xfId="46053"/>
    <cellStyle name="입력 2 13" xfId="3275"/>
    <cellStyle name="입력 2 13 2" xfId="6451"/>
    <cellStyle name="입력 2 13 2 2" xfId="11185"/>
    <cellStyle name="입력 2 13 2 2 2" xfId="24413"/>
    <cellStyle name="입력 2 13 2 2 3" xfId="33815"/>
    <cellStyle name="입력 2 13 2 2 4" xfId="44923"/>
    <cellStyle name="입력 2 13 2 2 5" xfId="33321"/>
    <cellStyle name="입력 2 13 2 3" xfId="9108"/>
    <cellStyle name="입력 2 13 2 3 2" xfId="22336"/>
    <cellStyle name="입력 2 13 2 3 3" xfId="36241"/>
    <cellStyle name="입력 2 13 2 3 4" xfId="42134"/>
    <cellStyle name="입력 2 13 2 3 5" xfId="48968"/>
    <cellStyle name="입력 2 13 2 4" xfId="19679"/>
    <cellStyle name="입력 2 13 2 4 2" xfId="30390"/>
    <cellStyle name="입력 2 13 2 4 3" xfId="16790"/>
    <cellStyle name="입력 2 13 2 4 4" xfId="40623"/>
    <cellStyle name="입력 2 13 2 5" xfId="30326"/>
    <cellStyle name="입력 2 13 2 5 2" xfId="17731"/>
    <cellStyle name="입력 2 13 2 5 3" xfId="45164"/>
    <cellStyle name="입력 2 13 2 6" xfId="29503"/>
    <cellStyle name="입력 2 13 2 7" xfId="16155"/>
    <cellStyle name="입력 2 13 2 8" xfId="38494"/>
    <cellStyle name="입력 2 13 3" xfId="9681"/>
    <cellStyle name="입력 2 13 3 10" xfId="27846"/>
    <cellStyle name="입력 2 13 3 2" xfId="13318"/>
    <cellStyle name="입력 2 13 3 2 2" xfId="26546"/>
    <cellStyle name="입력 2 13 3 2 3" xfId="32798"/>
    <cellStyle name="입력 2 13 3 2 4" xfId="39018"/>
    <cellStyle name="입력 2 13 3 2 5" xfId="45688"/>
    <cellStyle name="입력 2 13 3 3" xfId="7607"/>
    <cellStyle name="입력 2 13 3 3 2" xfId="20835"/>
    <cellStyle name="입력 2 13 3 3 3" xfId="35294"/>
    <cellStyle name="입력 2 13 3 3 4" xfId="46059"/>
    <cellStyle name="입력 2 13 3 3 5" xfId="47997"/>
    <cellStyle name="입력 2 13 3 4" xfId="8526"/>
    <cellStyle name="입력 2 13 3 4 2" xfId="21754"/>
    <cellStyle name="입력 2 13 3 4 3" xfId="32345"/>
    <cellStyle name="입력 2 13 3 4 4" xfId="38563"/>
    <cellStyle name="입력 2 13 3 4 5" xfId="47211"/>
    <cellStyle name="입력 2 13 3 5" xfId="12786"/>
    <cellStyle name="입력 2 13 3 5 2" xfId="26014"/>
    <cellStyle name="입력 2 13 3 5 3" xfId="38121"/>
    <cellStyle name="입력 2 13 3 5 4" xfId="44166"/>
    <cellStyle name="입력 2 13 3 6" xfId="22909"/>
    <cellStyle name="입력 2 13 3 6 2" xfId="34861"/>
    <cellStyle name="입력 2 13 3 6 3" xfId="40860"/>
    <cellStyle name="입력 2 13 3 6 4" xfId="29103"/>
    <cellStyle name="입력 2 13 3 7" xfId="37771"/>
    <cellStyle name="입력 2 13 3 7 2" xfId="43695"/>
    <cellStyle name="입력 2 13 3 7 3" xfId="50529"/>
    <cellStyle name="입력 2 13 3 8" xfId="28487"/>
    <cellStyle name="입력 2 13 3 9" xfId="38499"/>
    <cellStyle name="입력 2 13 4" xfId="8166"/>
    <cellStyle name="입력 2 13 4 2" xfId="21394"/>
    <cellStyle name="입력 2 13 5" xfId="44234"/>
    <cellStyle name="입력 2 14" xfId="3276"/>
    <cellStyle name="입력 2 14 2" xfId="6452"/>
    <cellStyle name="입력 2 14 2 2" xfId="11186"/>
    <cellStyle name="입력 2 14 2 2 2" xfId="24414"/>
    <cellStyle name="입력 2 14 2 2 3" xfId="33816"/>
    <cellStyle name="입력 2 14 2 2 4" xfId="44924"/>
    <cellStyle name="입력 2 14 2 2 5" xfId="41227"/>
    <cellStyle name="입력 2 14 2 3" xfId="8122"/>
    <cellStyle name="입력 2 14 2 3 2" xfId="21350"/>
    <cellStyle name="입력 2 14 2 3 3" xfId="36242"/>
    <cellStyle name="입력 2 14 2 3 4" xfId="42135"/>
    <cellStyle name="입력 2 14 2 3 5" xfId="48969"/>
    <cellStyle name="입력 2 14 2 4" xfId="19680"/>
    <cellStyle name="입력 2 14 2 4 2" xfId="31273"/>
    <cellStyle name="입력 2 14 2 4 3" xfId="14734"/>
    <cellStyle name="입력 2 14 2 4 4" xfId="47618"/>
    <cellStyle name="입력 2 14 2 5" xfId="34735"/>
    <cellStyle name="입력 2 14 2 5 2" xfId="40725"/>
    <cellStyle name="입력 2 14 2 5 3" xfId="39263"/>
    <cellStyle name="입력 2 14 2 6" xfId="29504"/>
    <cellStyle name="입력 2 14 2 7" xfId="17662"/>
    <cellStyle name="입력 2 14 2 8" xfId="44535"/>
    <cellStyle name="입력 2 14 3" xfId="9682"/>
    <cellStyle name="입력 2 14 3 10" xfId="38780"/>
    <cellStyle name="입력 2 14 3 2" xfId="13319"/>
    <cellStyle name="입력 2 14 3 2 2" xfId="26547"/>
    <cellStyle name="입력 2 14 3 2 3" xfId="32799"/>
    <cellStyle name="입력 2 14 3 2 4" xfId="39019"/>
    <cellStyle name="입력 2 14 3 2 5" xfId="46386"/>
    <cellStyle name="입력 2 14 3 3" xfId="7608"/>
    <cellStyle name="입력 2 14 3 3 2" xfId="20836"/>
    <cellStyle name="입력 2 14 3 3 3" xfId="35295"/>
    <cellStyle name="입력 2 14 3 3 4" xfId="46060"/>
    <cellStyle name="입력 2 14 3 3 5" xfId="47998"/>
    <cellStyle name="입력 2 14 3 4" xfId="13046"/>
    <cellStyle name="입력 2 14 3 4 2" xfId="26274"/>
    <cellStyle name="입력 2 14 3 4 3" xfId="31075"/>
    <cellStyle name="입력 2 14 3 4 4" xfId="18591"/>
    <cellStyle name="입력 2 14 3 4 5" xfId="34624"/>
    <cellStyle name="입력 2 14 3 5" xfId="14371"/>
    <cellStyle name="입력 2 14 3 5 2" xfId="27599"/>
    <cellStyle name="입력 2 14 3 5 3" xfId="15196"/>
    <cellStyle name="입력 2 14 3 5 4" xfId="47470"/>
    <cellStyle name="입력 2 14 3 6" xfId="22910"/>
    <cellStyle name="입력 2 14 3 6 2" xfId="37062"/>
    <cellStyle name="입력 2 14 3 6 3" xfId="42981"/>
    <cellStyle name="입력 2 14 3 6 4" xfId="49815"/>
    <cellStyle name="입력 2 14 3 7" xfId="30580"/>
    <cellStyle name="입력 2 14 3 7 2" xfId="16850"/>
    <cellStyle name="입력 2 14 3 7 3" xfId="45589"/>
    <cellStyle name="입력 2 14 3 8" xfId="28488"/>
    <cellStyle name="입력 2 14 3 9" xfId="40359"/>
    <cellStyle name="입력 2 14 4" xfId="8167"/>
    <cellStyle name="입력 2 14 4 2" xfId="21395"/>
    <cellStyle name="입력 2 14 5" xfId="39721"/>
    <cellStyle name="입력 2 15" xfId="3277"/>
    <cellStyle name="입력 2 15 2" xfId="6453"/>
    <cellStyle name="입력 2 15 2 2" xfId="11187"/>
    <cellStyle name="입력 2 15 2 2 2" xfId="24415"/>
    <cellStyle name="입력 2 15 2 2 3" xfId="33817"/>
    <cellStyle name="입력 2 15 2 2 4" xfId="44925"/>
    <cellStyle name="입력 2 15 2 2 5" xfId="29981"/>
    <cellStyle name="입력 2 15 2 3" xfId="8084"/>
    <cellStyle name="입력 2 15 2 3 2" xfId="21312"/>
    <cellStyle name="입력 2 15 2 3 3" xfId="36243"/>
    <cellStyle name="입력 2 15 2 3 4" xfId="42136"/>
    <cellStyle name="입력 2 15 2 3 5" xfId="48970"/>
    <cellStyle name="입력 2 15 2 4" xfId="19681"/>
    <cellStyle name="입력 2 15 2 4 2" xfId="30389"/>
    <cellStyle name="입력 2 15 2 4 3" xfId="17732"/>
    <cellStyle name="입력 2 15 2 4 4" xfId="40181"/>
    <cellStyle name="입력 2 15 2 5" xfId="37595"/>
    <cellStyle name="입력 2 15 2 5 2" xfId="43518"/>
    <cellStyle name="입력 2 15 2 5 3" xfId="50352"/>
    <cellStyle name="입력 2 15 2 6" xfId="29505"/>
    <cellStyle name="입력 2 15 2 7" xfId="16158"/>
    <cellStyle name="입력 2 15 2 8" xfId="45505"/>
    <cellStyle name="입력 2 15 3" xfId="9683"/>
    <cellStyle name="입력 2 15 3 10" xfId="40200"/>
    <cellStyle name="입력 2 15 3 2" xfId="13320"/>
    <cellStyle name="입력 2 15 3 2 2" xfId="26548"/>
    <cellStyle name="입력 2 15 3 2 3" xfId="32800"/>
    <cellStyle name="입력 2 15 3 2 4" xfId="39020"/>
    <cellStyle name="입력 2 15 3 2 5" xfId="46264"/>
    <cellStyle name="입력 2 15 3 3" xfId="6743"/>
    <cellStyle name="입력 2 15 3 3 2" xfId="19971"/>
    <cellStyle name="입력 2 15 3 3 3" xfId="35296"/>
    <cellStyle name="입력 2 15 3 3 4" xfId="46061"/>
    <cellStyle name="입력 2 15 3 3 5" xfId="47999"/>
    <cellStyle name="입력 2 15 3 4" xfId="14185"/>
    <cellStyle name="입력 2 15 3 4 2" xfId="27413"/>
    <cellStyle name="입력 2 15 3 4 3" xfId="31076"/>
    <cellStyle name="입력 2 15 3 4 4" xfId="18592"/>
    <cellStyle name="입력 2 15 3 4 5" xfId="15514"/>
    <cellStyle name="입력 2 15 3 5" xfId="7732"/>
    <cellStyle name="입력 2 15 3 5 2" xfId="20960"/>
    <cellStyle name="입력 2 15 3 5 3" xfId="17247"/>
    <cellStyle name="입력 2 15 3 5 4" xfId="15574"/>
    <cellStyle name="입력 2 15 3 6" xfId="22911"/>
    <cellStyle name="입력 2 15 3 6 2" xfId="34673"/>
    <cellStyle name="입력 2 15 3 6 3" xfId="40662"/>
    <cellStyle name="입력 2 15 3 6 4" xfId="15466"/>
    <cellStyle name="입력 2 15 3 7" xfId="37770"/>
    <cellStyle name="입력 2 15 3 7 2" xfId="43694"/>
    <cellStyle name="입력 2 15 3 7 3" xfId="50528"/>
    <cellStyle name="입력 2 15 3 8" xfId="28489"/>
    <cellStyle name="입력 2 15 3 9" xfId="39277"/>
    <cellStyle name="입력 2 15 4" xfId="8168"/>
    <cellStyle name="입력 2 15 4 2" xfId="21396"/>
    <cellStyle name="입력 2 15 5" xfId="47194"/>
    <cellStyle name="입력 2 16" xfId="3278"/>
    <cellStyle name="입력 2 16 2" xfId="6454"/>
    <cellStyle name="입력 2 16 2 2" xfId="11188"/>
    <cellStyle name="입력 2 16 2 2 2" xfId="24416"/>
    <cellStyle name="입력 2 16 2 2 3" xfId="33818"/>
    <cellStyle name="입력 2 16 2 2 4" xfId="44926"/>
    <cellStyle name="입력 2 16 2 2 5" xfId="30031"/>
    <cellStyle name="입력 2 16 2 3" xfId="8123"/>
    <cellStyle name="입력 2 16 2 3 2" xfId="21351"/>
    <cellStyle name="입력 2 16 2 3 3" xfId="36244"/>
    <cellStyle name="입력 2 16 2 3 4" xfId="42137"/>
    <cellStyle name="입력 2 16 2 3 5" xfId="48971"/>
    <cellStyle name="입력 2 16 2 4" xfId="19682"/>
    <cellStyle name="입력 2 16 2 4 2" xfId="37458"/>
    <cellStyle name="입력 2 16 2 4 3" xfId="43378"/>
    <cellStyle name="입력 2 16 2 4 4" xfId="50212"/>
    <cellStyle name="입력 2 16 2 5" xfId="36798"/>
    <cellStyle name="입력 2 16 2 5 2" xfId="42709"/>
    <cellStyle name="입력 2 16 2 5 3" xfId="49543"/>
    <cellStyle name="입력 2 16 2 6" xfId="29506"/>
    <cellStyle name="입력 2 16 2 7" xfId="16157"/>
    <cellStyle name="입력 2 16 2 8" xfId="27953"/>
    <cellStyle name="입력 2 16 3" xfId="9684"/>
    <cellStyle name="입력 2 16 3 10" xfId="17714"/>
    <cellStyle name="입력 2 16 3 2" xfId="13321"/>
    <cellStyle name="입력 2 16 3 2 2" xfId="26549"/>
    <cellStyle name="입력 2 16 3 2 3" xfId="32801"/>
    <cellStyle name="입력 2 16 3 2 4" xfId="39021"/>
    <cellStyle name="입력 2 16 3 2 5" xfId="47507"/>
    <cellStyle name="입력 2 16 3 3" xfId="12871"/>
    <cellStyle name="입력 2 16 3 3 2" xfId="26099"/>
    <cellStyle name="입력 2 16 3 3 3" xfId="35297"/>
    <cellStyle name="입력 2 16 3 3 4" xfId="46062"/>
    <cellStyle name="입력 2 16 3 3 5" xfId="48000"/>
    <cellStyle name="입력 2 16 3 4" xfId="8645"/>
    <cellStyle name="입력 2 16 3 4 2" xfId="21873"/>
    <cellStyle name="입력 2 16 3 4 3" xfId="32153"/>
    <cellStyle name="입력 2 16 3 4 4" xfId="38378"/>
    <cellStyle name="입력 2 16 3 4 5" xfId="17412"/>
    <cellStyle name="입력 2 16 3 5" xfId="8454"/>
    <cellStyle name="입력 2 16 3 5 2" xfId="21682"/>
    <cellStyle name="입력 2 16 3 5 3" xfId="41576"/>
    <cellStyle name="입력 2 16 3 5 4" xfId="48410"/>
    <cellStyle name="입력 2 16 3 6" xfId="22912"/>
    <cellStyle name="입력 2 16 3 6 2" xfId="31385"/>
    <cellStyle name="입력 2 16 3 6 3" xfId="15123"/>
    <cellStyle name="입력 2 16 3 6 4" xfId="28914"/>
    <cellStyle name="입력 2 16 3 7" xfId="31962"/>
    <cellStyle name="입력 2 16 3 7 2" xfId="38185"/>
    <cellStyle name="입력 2 16 3 7 3" xfId="46394"/>
    <cellStyle name="입력 2 16 3 8" xfId="28490"/>
    <cellStyle name="입력 2 16 3 9" xfId="33389"/>
    <cellStyle name="입력 2 16 4" xfId="8169"/>
    <cellStyle name="입력 2 16 4 2" xfId="21397"/>
    <cellStyle name="입력 2 16 5" xfId="46353"/>
    <cellStyle name="입력 2 17" xfId="3279"/>
    <cellStyle name="입력 2 17 2" xfId="6455"/>
    <cellStyle name="입력 2 17 2 2" xfId="11189"/>
    <cellStyle name="입력 2 17 2 2 2" xfId="24417"/>
    <cellStyle name="입력 2 17 2 2 3" xfId="33819"/>
    <cellStyle name="입력 2 17 2 2 4" xfId="44927"/>
    <cellStyle name="입력 2 17 2 2 5" xfId="34490"/>
    <cellStyle name="입력 2 17 2 3" xfId="6800"/>
    <cellStyle name="입력 2 17 2 3 2" xfId="20028"/>
    <cellStyle name="입력 2 17 2 3 3" xfId="36245"/>
    <cellStyle name="입력 2 17 2 3 4" xfId="42138"/>
    <cellStyle name="입력 2 17 2 3 5" xfId="48972"/>
    <cellStyle name="입력 2 17 2 4" xfId="19683"/>
    <cellStyle name="입력 2 17 2 4 2" xfId="32015"/>
    <cellStyle name="입력 2 17 2 4 3" xfId="38238"/>
    <cellStyle name="입력 2 17 2 4 4" xfId="47312"/>
    <cellStyle name="입력 2 17 2 5" xfId="31741"/>
    <cellStyle name="입력 2 17 2 5 2" xfId="37962"/>
    <cellStyle name="입력 2 17 2 5 3" xfId="15572"/>
    <cellStyle name="입력 2 17 2 6" xfId="29507"/>
    <cellStyle name="입력 2 17 2 7" xfId="17661"/>
    <cellStyle name="입력 2 17 2 8" xfId="17614"/>
    <cellStyle name="입력 2 17 3" xfId="9685"/>
    <cellStyle name="입력 2 17 3 10" xfId="15477"/>
    <cellStyle name="입력 2 17 3 2" xfId="13322"/>
    <cellStyle name="입력 2 17 3 2 2" xfId="26550"/>
    <cellStyle name="입력 2 17 3 2 3" xfId="32802"/>
    <cellStyle name="입력 2 17 3 2 4" xfId="39022"/>
    <cellStyle name="입력 2 17 3 2 5" xfId="34554"/>
    <cellStyle name="입력 2 17 3 3" xfId="7609"/>
    <cellStyle name="입력 2 17 3 3 2" xfId="20837"/>
    <cellStyle name="입력 2 17 3 3 3" xfId="35298"/>
    <cellStyle name="입력 2 17 3 3 4" xfId="46063"/>
    <cellStyle name="입력 2 17 3 3 5" xfId="48001"/>
    <cellStyle name="입력 2 17 3 4" xfId="14043"/>
    <cellStyle name="입력 2 17 3 4 2" xfId="27271"/>
    <cellStyle name="입력 2 17 3 4 3" xfId="31074"/>
    <cellStyle name="입력 2 17 3 4 4" xfId="17054"/>
    <cellStyle name="입력 2 17 3 4 5" xfId="30006"/>
    <cellStyle name="입력 2 17 3 5" xfId="6761"/>
    <cellStyle name="입력 2 17 3 5 2" xfId="19989"/>
    <cellStyle name="입력 2 17 3 5 3" xfId="17246"/>
    <cellStyle name="입력 2 17 3 5 4" xfId="17516"/>
    <cellStyle name="입력 2 17 3 6" xfId="22913"/>
    <cellStyle name="입력 2 17 3 6 2" xfId="37424"/>
    <cellStyle name="입력 2 17 3 6 3" xfId="43344"/>
    <cellStyle name="입력 2 17 3 6 4" xfId="50178"/>
    <cellStyle name="입력 2 17 3 7" xfId="35829"/>
    <cellStyle name="입력 2 17 3 7 2" xfId="41716"/>
    <cellStyle name="입력 2 17 3 7 3" xfId="48550"/>
    <cellStyle name="입력 2 17 3 8" xfId="28491"/>
    <cellStyle name="입력 2 17 3 9" xfId="39622"/>
    <cellStyle name="입력 2 17 4" xfId="8170"/>
    <cellStyle name="입력 2 17 4 2" xfId="21398"/>
    <cellStyle name="입력 2 17 5" xfId="44500"/>
    <cellStyle name="입력 2 18" xfId="3280"/>
    <cellStyle name="입력 2 18 2" xfId="6456"/>
    <cellStyle name="입력 2 18 2 2" xfId="11190"/>
    <cellStyle name="입력 2 18 2 2 2" xfId="24418"/>
    <cellStyle name="입력 2 18 2 2 3" xfId="33820"/>
    <cellStyle name="입력 2 18 2 2 4" xfId="44928"/>
    <cellStyle name="입력 2 18 2 2 5" xfId="41228"/>
    <cellStyle name="입력 2 18 2 3" xfId="6801"/>
    <cellStyle name="입력 2 18 2 3 2" xfId="20029"/>
    <cellStyle name="입력 2 18 2 3 3" xfId="36246"/>
    <cellStyle name="입력 2 18 2 3 4" xfId="42139"/>
    <cellStyle name="입력 2 18 2 3 5" xfId="48973"/>
    <cellStyle name="입력 2 18 2 4" xfId="19684"/>
    <cellStyle name="입력 2 18 2 4 2" xfId="31879"/>
    <cellStyle name="입력 2 18 2 4 3" xfId="38100"/>
    <cellStyle name="입력 2 18 2 4 4" xfId="46779"/>
    <cellStyle name="입력 2 18 2 5" xfId="34986"/>
    <cellStyle name="입력 2 18 2 5 2" xfId="40990"/>
    <cellStyle name="입력 2 18 2 5 3" xfId="47686"/>
    <cellStyle name="입력 2 18 2 6" xfId="29508"/>
    <cellStyle name="입력 2 18 2 7" xfId="16159"/>
    <cellStyle name="입력 2 18 2 8" xfId="29742"/>
    <cellStyle name="입력 2 18 3" xfId="9686"/>
    <cellStyle name="입력 2 18 3 10" xfId="16546"/>
    <cellStyle name="입력 2 18 3 2" xfId="13323"/>
    <cellStyle name="입력 2 18 3 2 2" xfId="26551"/>
    <cellStyle name="입력 2 18 3 2 3" xfId="32803"/>
    <cellStyle name="입력 2 18 3 2 4" xfId="39023"/>
    <cellStyle name="입력 2 18 3 2 5" xfId="14751"/>
    <cellStyle name="입력 2 18 3 3" xfId="6739"/>
    <cellStyle name="입력 2 18 3 3 2" xfId="19967"/>
    <cellStyle name="입력 2 18 3 3 3" xfId="35299"/>
    <cellStyle name="입력 2 18 3 3 4" xfId="46064"/>
    <cellStyle name="입력 2 18 3 3 5" xfId="48002"/>
    <cellStyle name="입력 2 18 3 4" xfId="8493"/>
    <cellStyle name="입력 2 18 3 4 2" xfId="21721"/>
    <cellStyle name="입력 2 18 3 4 3" xfId="32346"/>
    <cellStyle name="입력 2 18 3 4 4" xfId="38564"/>
    <cellStyle name="입력 2 18 3 4 5" xfId="46574"/>
    <cellStyle name="입력 2 18 3 5" xfId="14323"/>
    <cellStyle name="입력 2 18 3 5 2" xfId="27551"/>
    <cellStyle name="입력 2 18 3 5 3" xfId="42760"/>
    <cellStyle name="입력 2 18 3 5 4" xfId="49594"/>
    <cellStyle name="입력 2 18 3 6" xfId="22914"/>
    <cellStyle name="입력 2 18 3 6 2" xfId="29848"/>
    <cellStyle name="입력 2 18 3 6 3" xfId="16358"/>
    <cellStyle name="입력 2 18 3 6 4" xfId="15351"/>
    <cellStyle name="입력 2 18 3 7" xfId="34833"/>
    <cellStyle name="입력 2 18 3 7 2" xfId="40832"/>
    <cellStyle name="입력 2 18 3 7 3" xfId="27857"/>
    <cellStyle name="입력 2 18 3 8" xfId="28492"/>
    <cellStyle name="입력 2 18 3 9" xfId="40605"/>
    <cellStyle name="입력 2 18 4" xfId="8171"/>
    <cellStyle name="입력 2 18 4 2" xfId="21399"/>
    <cellStyle name="입력 2 18 5" xfId="32266"/>
    <cellStyle name="입력 2 19" xfId="3281"/>
    <cellStyle name="입력 2 19 2" xfId="6457"/>
    <cellStyle name="입력 2 19 2 2" xfId="11191"/>
    <cellStyle name="입력 2 19 2 2 2" xfId="24419"/>
    <cellStyle name="입력 2 19 2 2 3" xfId="33821"/>
    <cellStyle name="입력 2 19 2 2 4" xfId="44929"/>
    <cellStyle name="입력 2 19 2 2 5" xfId="34095"/>
    <cellStyle name="입력 2 19 2 3" xfId="6802"/>
    <cellStyle name="입력 2 19 2 3 2" xfId="20030"/>
    <cellStyle name="입력 2 19 2 3 3" xfId="36247"/>
    <cellStyle name="입력 2 19 2 3 4" xfId="42140"/>
    <cellStyle name="입력 2 19 2 3 5" xfId="48974"/>
    <cellStyle name="입력 2 19 2 4" xfId="19685"/>
    <cellStyle name="입력 2 19 2 4 2" xfId="32120"/>
    <cellStyle name="입력 2 19 2 4 3" xfId="38343"/>
    <cellStyle name="입력 2 19 2 4 4" xfId="40491"/>
    <cellStyle name="입력 2 19 2 5" xfId="35655"/>
    <cellStyle name="입력 2 19 2 5 2" xfId="41535"/>
    <cellStyle name="입력 2 19 2 5 3" xfId="48369"/>
    <cellStyle name="입력 2 19 2 6" xfId="29509"/>
    <cellStyle name="입력 2 19 2 7" xfId="16160"/>
    <cellStyle name="입력 2 19 2 8" xfId="29141"/>
    <cellStyle name="입력 2 19 3" xfId="9687"/>
    <cellStyle name="입력 2 19 3 10" xfId="28689"/>
    <cellStyle name="입력 2 19 3 2" xfId="13324"/>
    <cellStyle name="입력 2 19 3 2 2" xfId="26552"/>
    <cellStyle name="입력 2 19 3 2 3" xfId="32804"/>
    <cellStyle name="입력 2 19 3 2 4" xfId="39024"/>
    <cellStyle name="입력 2 19 3 2 5" xfId="28247"/>
    <cellStyle name="입력 2 19 3 3" xfId="6740"/>
    <cellStyle name="입력 2 19 3 3 2" xfId="19968"/>
    <cellStyle name="입력 2 19 3 3 3" xfId="35300"/>
    <cellStyle name="입력 2 19 3 3 4" xfId="46065"/>
    <cellStyle name="입력 2 19 3 3 5" xfId="48003"/>
    <cellStyle name="입력 2 19 3 4" xfId="8463"/>
    <cellStyle name="입력 2 19 3 4 2" xfId="21691"/>
    <cellStyle name="입력 2 19 3 4 3" xfId="32347"/>
    <cellStyle name="입력 2 19 3 4 4" xfId="38565"/>
    <cellStyle name="입력 2 19 3 4 5" xfId="41181"/>
    <cellStyle name="입력 2 19 3 5" xfId="12792"/>
    <cellStyle name="입력 2 19 3 5 2" xfId="26020"/>
    <cellStyle name="입력 2 19 3 5 3" xfId="15288"/>
    <cellStyle name="입력 2 19 3 5 4" xfId="34422"/>
    <cellStyle name="입력 2 19 3 6" xfId="22915"/>
    <cellStyle name="입력 2 19 3 6 2" xfId="37195"/>
    <cellStyle name="입력 2 19 3 6 3" xfId="43114"/>
    <cellStyle name="입력 2 19 3 6 4" xfId="49948"/>
    <cellStyle name="입력 2 19 3 7" xfId="30093"/>
    <cellStyle name="입력 2 19 3 7 2" xfId="16573"/>
    <cellStyle name="입력 2 19 3 7 3" xfId="45473"/>
    <cellStyle name="입력 2 19 3 8" xfId="28493"/>
    <cellStyle name="입력 2 19 3 9" xfId="34978"/>
    <cellStyle name="입력 2 19 4" xfId="8172"/>
    <cellStyle name="입력 2 19 4 2" xfId="21400"/>
    <cellStyle name="입력 2 19 5" xfId="47426"/>
    <cellStyle name="입력 2 2" xfId="3282"/>
    <cellStyle name="입력 2 2 2" xfId="3283"/>
    <cellStyle name="입력 2 2 2 2" xfId="6459"/>
    <cellStyle name="입력 2 2 2 2 2" xfId="11193"/>
    <cellStyle name="입력 2 2 2 2 2 2" xfId="24421"/>
    <cellStyle name="입력 2 2 2 2 2 3" xfId="33823"/>
    <cellStyle name="입력 2 2 2 2 2 4" xfId="44931"/>
    <cellStyle name="입력 2 2 2 2 2 5" xfId="39478"/>
    <cellStyle name="입력 2 2 2 2 3" xfId="8759"/>
    <cellStyle name="입력 2 2 2 2 3 2" xfId="21987"/>
    <cellStyle name="입력 2 2 2 2 3 3" xfId="36249"/>
    <cellStyle name="입력 2 2 2 2 3 4" xfId="42142"/>
    <cellStyle name="입력 2 2 2 2 3 5" xfId="48976"/>
    <cellStyle name="입력 2 2 2 2 4" xfId="19687"/>
    <cellStyle name="입력 2 2 2 2 4 2" xfId="32016"/>
    <cellStyle name="입력 2 2 2 2 4 3" xfId="38239"/>
    <cellStyle name="입력 2 2 2 2 4 4" xfId="15352"/>
    <cellStyle name="입력 2 2 2 2 5" xfId="37540"/>
    <cellStyle name="입력 2 2 2 2 5 2" xfId="43461"/>
    <cellStyle name="입력 2 2 2 2 5 3" xfId="50295"/>
    <cellStyle name="입력 2 2 2 2 6" xfId="29511"/>
    <cellStyle name="입력 2 2 2 2 7" xfId="16162"/>
    <cellStyle name="입력 2 2 2 2 8" xfId="45135"/>
    <cellStyle name="입력 2 2 2 3" xfId="9689"/>
    <cellStyle name="입력 2 2 2 3 10" xfId="34539"/>
    <cellStyle name="입력 2 2 2 3 2" xfId="13326"/>
    <cellStyle name="입력 2 2 2 3 2 2" xfId="26554"/>
    <cellStyle name="입력 2 2 2 3 2 3" xfId="32806"/>
    <cellStyle name="입력 2 2 2 3 2 4" xfId="39026"/>
    <cellStyle name="입력 2 2 2 3 2 5" xfId="47458"/>
    <cellStyle name="입력 2 2 2 3 3" xfId="7610"/>
    <cellStyle name="입력 2 2 2 3 3 2" xfId="20838"/>
    <cellStyle name="입력 2 2 2 3 3 3" xfId="35302"/>
    <cellStyle name="입력 2 2 2 3 3 4" xfId="46067"/>
    <cellStyle name="입력 2 2 2 3 3 5" xfId="48005"/>
    <cellStyle name="입력 2 2 2 3 4" xfId="13684"/>
    <cellStyle name="입력 2 2 2 3 4 2" xfId="26912"/>
    <cellStyle name="입력 2 2 2 3 4 3" xfId="32349"/>
    <cellStyle name="입력 2 2 2 3 4 4" xfId="38567"/>
    <cellStyle name="입력 2 2 2 3 4 5" xfId="15758"/>
    <cellStyle name="입력 2 2 2 3 5" xfId="7209"/>
    <cellStyle name="입력 2 2 2 3 5 2" xfId="20437"/>
    <cellStyle name="입력 2 2 2 3 5 3" xfId="18478"/>
    <cellStyle name="입력 2 2 2 3 5 4" xfId="46959"/>
    <cellStyle name="입력 2 2 2 3 6" xfId="22917"/>
    <cellStyle name="입력 2 2 2 3 6 2" xfId="30101"/>
    <cellStyle name="입력 2 2 2 3 6 3" xfId="16577"/>
    <cellStyle name="입력 2 2 2 3 6 4" xfId="45425"/>
    <cellStyle name="입력 2 2 2 3 7" xfId="31267"/>
    <cellStyle name="입력 2 2 2 3 7 2" xfId="14732"/>
    <cellStyle name="입력 2 2 2 3 7 3" xfId="38661"/>
    <cellStyle name="입력 2 2 2 3 8" xfId="28495"/>
    <cellStyle name="입력 2 2 2 3 9" xfId="14622"/>
    <cellStyle name="입력 2 2 2 4" xfId="8174"/>
    <cellStyle name="입력 2 2 2 4 2" xfId="21402"/>
    <cellStyle name="입력 2 2 2 5" xfId="46665"/>
    <cellStyle name="입력 2 2 3" xfId="6458"/>
    <cellStyle name="입력 2 2 3 2" xfId="11192"/>
    <cellStyle name="입력 2 2 3 2 2" xfId="24420"/>
    <cellStyle name="입력 2 2 3 2 3" xfId="33822"/>
    <cellStyle name="입력 2 2 3 2 4" xfId="44930"/>
    <cellStyle name="입력 2 2 3 2 5" xfId="39919"/>
    <cellStyle name="입력 2 2 3 3" xfId="8144"/>
    <cellStyle name="입력 2 2 3 3 2" xfId="21372"/>
    <cellStyle name="입력 2 2 3 3 3" xfId="36248"/>
    <cellStyle name="입력 2 2 3 3 4" xfId="42141"/>
    <cellStyle name="입력 2 2 3 3 5" xfId="48975"/>
    <cellStyle name="입력 2 2 3 4" xfId="19686"/>
    <cellStyle name="입력 2 2 3 4 2" xfId="32435"/>
    <cellStyle name="입력 2 2 3 4 3" xfId="38653"/>
    <cellStyle name="입력 2 2 3 4 4" xfId="15629"/>
    <cellStyle name="입력 2 2 3 5" xfId="34757"/>
    <cellStyle name="입력 2 2 3 5 2" xfId="40749"/>
    <cellStyle name="입력 2 2 3 5 3" xfId="34393"/>
    <cellStyle name="입력 2 2 3 6" xfId="29510"/>
    <cellStyle name="입력 2 2 3 7" xfId="16161"/>
    <cellStyle name="입력 2 2 3 8" xfId="28910"/>
    <cellStyle name="입력 2 2 4" xfId="9688"/>
    <cellStyle name="입력 2 2 4 10" xfId="33370"/>
    <cellStyle name="입력 2 2 4 2" xfId="13325"/>
    <cellStyle name="입력 2 2 4 2 2" xfId="26553"/>
    <cellStyle name="입력 2 2 4 2 3" xfId="32805"/>
    <cellStyle name="입력 2 2 4 2 4" xfId="39025"/>
    <cellStyle name="입력 2 2 4 2 5" xfId="47562"/>
    <cellStyle name="입력 2 2 4 3" xfId="6742"/>
    <cellStyle name="입력 2 2 4 3 2" xfId="19970"/>
    <cellStyle name="입력 2 2 4 3 3" xfId="35301"/>
    <cellStyle name="입력 2 2 4 3 4" xfId="46066"/>
    <cellStyle name="입력 2 2 4 3 5" xfId="48004"/>
    <cellStyle name="입력 2 2 4 4" xfId="12914"/>
    <cellStyle name="입력 2 2 4 4 2" xfId="26142"/>
    <cellStyle name="입력 2 2 4 4 3" xfId="32348"/>
    <cellStyle name="입력 2 2 4 4 4" xfId="38566"/>
    <cellStyle name="입력 2 2 4 4 5" xfId="39639"/>
    <cellStyle name="입력 2 2 4 5" xfId="8322"/>
    <cellStyle name="입력 2 2 4 5 2" xfId="21550"/>
    <cellStyle name="입력 2 2 4 5 3" xfId="41047"/>
    <cellStyle name="입력 2 2 4 5 4" xfId="47743"/>
    <cellStyle name="입력 2 2 4 6" xfId="22916"/>
    <cellStyle name="입력 2 2 4 6 2" xfId="35016"/>
    <cellStyle name="입력 2 2 4 6 3" xfId="41020"/>
    <cellStyle name="입력 2 2 4 6 4" xfId="47716"/>
    <cellStyle name="입력 2 2 4 7" xfId="37784"/>
    <cellStyle name="입력 2 2 4 7 2" xfId="43708"/>
    <cellStyle name="입력 2 2 4 7 3" xfId="50542"/>
    <cellStyle name="입력 2 2 4 8" xfId="28494"/>
    <cellStyle name="입력 2 2 4 9" xfId="28878"/>
    <cellStyle name="입력 2 2 5" xfId="8173"/>
    <cellStyle name="입력 2 2 5 2" xfId="21401"/>
    <cellStyle name="입력 2 2 6" xfId="33049"/>
    <cellStyle name="입력 2 2_CRM팀 1단계 정보확인 DB 검색코드_110425" xfId="3284"/>
    <cellStyle name="입력 2 20" xfId="3285"/>
    <cellStyle name="입력 2 20 2" xfId="6460"/>
    <cellStyle name="입력 2 20 2 2" xfId="11194"/>
    <cellStyle name="입력 2 20 2 2 2" xfId="24422"/>
    <cellStyle name="입력 2 20 2 2 3" xfId="33824"/>
    <cellStyle name="입력 2 20 2 2 4" xfId="44932"/>
    <cellStyle name="입력 2 20 2 2 5" xfId="29018"/>
    <cellStyle name="입력 2 20 2 3" xfId="6803"/>
    <cellStyle name="입력 2 20 2 3 2" xfId="20031"/>
    <cellStyle name="입력 2 20 2 3 3" xfId="36250"/>
    <cellStyle name="입력 2 20 2 3 4" xfId="42143"/>
    <cellStyle name="입력 2 20 2 3 5" xfId="48977"/>
    <cellStyle name="입력 2 20 2 4" xfId="19688"/>
    <cellStyle name="입력 2 20 2 4 2" xfId="30280"/>
    <cellStyle name="입력 2 20 2 4 3" xfId="27805"/>
    <cellStyle name="입력 2 20 2 4 4" xfId="44385"/>
    <cellStyle name="입력 2 20 2 5" xfId="35048"/>
    <cellStyle name="입력 2 20 2 5 2" xfId="41055"/>
    <cellStyle name="입력 2 20 2 5 3" xfId="47751"/>
    <cellStyle name="입력 2 20 2 6" xfId="29512"/>
    <cellStyle name="입력 2 20 2 7" xfId="16163"/>
    <cellStyle name="입력 2 20 2 8" xfId="44003"/>
    <cellStyle name="입력 2 20 3" xfId="9690"/>
    <cellStyle name="입력 2 20 3 10" xfId="29059"/>
    <cellStyle name="입력 2 20 3 2" xfId="13327"/>
    <cellStyle name="입력 2 20 3 2 2" xfId="26555"/>
    <cellStyle name="입력 2 20 3 2 3" xfId="32807"/>
    <cellStyle name="입력 2 20 3 2 4" xfId="39027"/>
    <cellStyle name="입력 2 20 3 2 5" xfId="47590"/>
    <cellStyle name="입력 2 20 3 3" xfId="7611"/>
    <cellStyle name="입력 2 20 3 3 2" xfId="20839"/>
    <cellStyle name="입력 2 20 3 3 3" xfId="35303"/>
    <cellStyle name="입력 2 20 3 3 4" xfId="46068"/>
    <cellStyle name="입력 2 20 3 3 5" xfId="48006"/>
    <cellStyle name="입력 2 20 3 4" xfId="14255"/>
    <cellStyle name="입력 2 20 3 4 2" xfId="27483"/>
    <cellStyle name="입력 2 20 3 4 3" xfId="32350"/>
    <cellStyle name="입력 2 20 3 4 4" xfId="38568"/>
    <cellStyle name="입력 2 20 3 4 5" xfId="39295"/>
    <cellStyle name="입력 2 20 3 5" xfId="7217"/>
    <cellStyle name="입력 2 20 3 5 2" xfId="20445"/>
    <cellStyle name="입력 2 20 3 5 3" xfId="42471"/>
    <cellStyle name="입력 2 20 3 5 4" xfId="49305"/>
    <cellStyle name="입력 2 20 3 6" xfId="22918"/>
    <cellStyle name="입력 2 20 3 6 2" xfId="37288"/>
    <cellStyle name="입력 2 20 3 6 3" xfId="43208"/>
    <cellStyle name="입력 2 20 3 6 4" xfId="50042"/>
    <cellStyle name="입력 2 20 3 7" xfId="35600"/>
    <cellStyle name="입력 2 20 3 7 2" xfId="41476"/>
    <cellStyle name="입력 2 20 3 7 3" xfId="48310"/>
    <cellStyle name="입력 2 20 3 8" xfId="28496"/>
    <cellStyle name="입력 2 20 3 9" xfId="40152"/>
    <cellStyle name="입력 2 20 4" xfId="8175"/>
    <cellStyle name="입력 2 20 4 2" xfId="21403"/>
    <cellStyle name="입력 2 20 5" xfId="33167"/>
    <cellStyle name="입력 2 21" xfId="3286"/>
    <cellStyle name="입력 2 21 2" xfId="6461"/>
    <cellStyle name="입력 2 21 2 2" xfId="11195"/>
    <cellStyle name="입력 2 21 2 2 2" xfId="24423"/>
    <cellStyle name="입력 2 21 2 2 3" xfId="33825"/>
    <cellStyle name="입력 2 21 2 2 4" xfId="44933"/>
    <cellStyle name="입력 2 21 2 2 5" xfId="41229"/>
    <cellStyle name="입력 2 21 2 3" xfId="8153"/>
    <cellStyle name="입력 2 21 2 3 2" xfId="21381"/>
    <cellStyle name="입력 2 21 2 3 3" xfId="36251"/>
    <cellStyle name="입력 2 21 2 3 4" xfId="42144"/>
    <cellStyle name="입력 2 21 2 3 5" xfId="48978"/>
    <cellStyle name="입력 2 21 2 4" xfId="19689"/>
    <cellStyle name="입력 2 21 2 4 2" xfId="31767"/>
    <cellStyle name="입력 2 21 2 4 3" xfId="37988"/>
    <cellStyle name="입력 2 21 2 4 4" xfId="15665"/>
    <cellStyle name="입력 2 21 2 5" xfId="37709"/>
    <cellStyle name="입력 2 21 2 5 2" xfId="43632"/>
    <cellStyle name="입력 2 21 2 5 3" xfId="50466"/>
    <cellStyle name="입력 2 21 2 6" xfId="29513"/>
    <cellStyle name="입력 2 21 2 7" xfId="16164"/>
    <cellStyle name="입력 2 21 2 8" xfId="29076"/>
    <cellStyle name="입력 2 21 3" xfId="9691"/>
    <cellStyle name="입력 2 21 3 10" xfId="27888"/>
    <cellStyle name="입력 2 21 3 2" xfId="13328"/>
    <cellStyle name="입력 2 21 3 2 2" xfId="26556"/>
    <cellStyle name="입력 2 21 3 2 3" xfId="32808"/>
    <cellStyle name="입력 2 21 3 2 4" xfId="39028"/>
    <cellStyle name="입력 2 21 3 2 5" xfId="47589"/>
    <cellStyle name="입력 2 21 3 3" xfId="7612"/>
    <cellStyle name="입력 2 21 3 3 2" xfId="20840"/>
    <cellStyle name="입력 2 21 3 3 3" xfId="35304"/>
    <cellStyle name="입력 2 21 3 3 4" xfId="46069"/>
    <cellStyle name="입력 2 21 3 3 5" xfId="48007"/>
    <cellStyle name="입력 2 21 3 4" xfId="13502"/>
    <cellStyle name="입력 2 21 3 4 2" xfId="26730"/>
    <cellStyle name="입력 2 21 3 4 3" xfId="29836"/>
    <cellStyle name="입력 2 21 3 4 4" xfId="17684"/>
    <cellStyle name="입력 2 21 3 4 5" xfId="45430"/>
    <cellStyle name="입력 2 21 3 5" xfId="7359"/>
    <cellStyle name="입력 2 21 3 5 2" xfId="20587"/>
    <cellStyle name="입력 2 21 3 5 3" xfId="17245"/>
    <cellStyle name="입력 2 21 3 5 4" xfId="45761"/>
    <cellStyle name="입력 2 21 3 6" xfId="22919"/>
    <cellStyle name="입력 2 21 3 6 2" xfId="30837"/>
    <cellStyle name="입력 2 21 3 6 3" xfId="15228"/>
    <cellStyle name="입력 2 21 3 6 4" xfId="15770"/>
    <cellStyle name="입력 2 21 3 7" xfId="31271"/>
    <cellStyle name="입력 2 21 3 7 2" xfId="17165"/>
    <cellStyle name="입력 2 21 3 7 3" xfId="43936"/>
    <cellStyle name="입력 2 21 3 8" xfId="28497"/>
    <cellStyle name="입력 2 21 3 9" xfId="38731"/>
    <cellStyle name="입력 2 21 4" xfId="8176"/>
    <cellStyle name="입력 2 21 4 2" xfId="21404"/>
    <cellStyle name="입력 2 21 5" xfId="39540"/>
    <cellStyle name="입력 2 22" xfId="3287"/>
    <cellStyle name="입력 2 22 2" xfId="6462"/>
    <cellStyle name="입력 2 22 2 2" xfId="11196"/>
    <cellStyle name="입력 2 22 2 2 2" xfId="24424"/>
    <cellStyle name="입력 2 22 2 2 3" xfId="33826"/>
    <cellStyle name="입력 2 22 2 2 4" xfId="44934"/>
    <cellStyle name="입력 2 22 2 2 5" xfId="32477"/>
    <cellStyle name="입력 2 22 2 3" xfId="6804"/>
    <cellStyle name="입력 2 22 2 3 2" xfId="20032"/>
    <cellStyle name="입력 2 22 2 3 3" xfId="36252"/>
    <cellStyle name="입력 2 22 2 3 4" xfId="42145"/>
    <cellStyle name="입력 2 22 2 3 5" xfId="48979"/>
    <cellStyle name="입력 2 22 2 4" xfId="19690"/>
    <cellStyle name="입력 2 22 2 4 2" xfId="36581"/>
    <cellStyle name="입력 2 22 2 4 3" xfId="42483"/>
    <cellStyle name="입력 2 22 2 4 4" xfId="49317"/>
    <cellStyle name="입력 2 22 2 5" xfId="32066"/>
    <cellStyle name="입력 2 22 2 5 2" xfId="38289"/>
    <cellStyle name="입력 2 22 2 5 3" xfId="47569"/>
    <cellStyle name="입력 2 22 2 6" xfId="29514"/>
    <cellStyle name="입력 2 22 2 7" xfId="16165"/>
    <cellStyle name="입력 2 22 2 8" xfId="44405"/>
    <cellStyle name="입력 2 22 3" xfId="9692"/>
    <cellStyle name="입력 2 22 3 10" xfId="17405"/>
    <cellStyle name="입력 2 22 3 2" xfId="13329"/>
    <cellStyle name="입력 2 22 3 2 2" xfId="26557"/>
    <cellStyle name="입력 2 22 3 2 3" xfId="32809"/>
    <cellStyle name="입력 2 22 3 2 4" xfId="39029"/>
    <cellStyle name="입력 2 22 3 2 5" xfId="45658"/>
    <cellStyle name="입력 2 22 3 3" xfId="7613"/>
    <cellStyle name="입력 2 22 3 3 2" xfId="20841"/>
    <cellStyle name="입력 2 22 3 3 3" xfId="35305"/>
    <cellStyle name="입력 2 22 3 3 4" xfId="46070"/>
    <cellStyle name="입력 2 22 3 3 5" xfId="48008"/>
    <cellStyle name="입력 2 22 3 4" xfId="14122"/>
    <cellStyle name="입력 2 22 3 4 2" xfId="27350"/>
    <cellStyle name="입력 2 22 3 4 3" xfId="31078"/>
    <cellStyle name="입력 2 22 3 4 4" xfId="18594"/>
    <cellStyle name="입력 2 22 3 4 5" xfId="38397"/>
    <cellStyle name="입력 2 22 3 5" xfId="8002"/>
    <cellStyle name="입력 2 22 3 5 2" xfId="21230"/>
    <cellStyle name="입력 2 22 3 5 3" xfId="40729"/>
    <cellStyle name="입력 2 22 3 5 4" xfId="17504"/>
    <cellStyle name="입력 2 22 3 6" xfId="22920"/>
    <cellStyle name="입력 2 22 3 6 2" xfId="37005"/>
    <cellStyle name="입력 2 22 3 6 3" xfId="42924"/>
    <cellStyle name="입력 2 22 3 6 4" xfId="49758"/>
    <cellStyle name="입력 2 22 3 7" xfId="37751"/>
    <cellStyle name="입력 2 22 3 7 2" xfId="43675"/>
    <cellStyle name="입력 2 22 3 7 3" xfId="50509"/>
    <cellStyle name="입력 2 22 3 8" xfId="28498"/>
    <cellStyle name="입력 2 22 3 9" xfId="32256"/>
    <cellStyle name="입력 2 22 4" xfId="8177"/>
    <cellStyle name="입력 2 22 4 2" xfId="21405"/>
    <cellStyle name="입력 2 22 5" xfId="46916"/>
    <cellStyle name="입력 2 23" xfId="3288"/>
    <cellStyle name="입력 2 23 2" xfId="6463"/>
    <cellStyle name="입력 2 23 2 2" xfId="11197"/>
    <cellStyle name="입력 2 23 2 2 2" xfId="24425"/>
    <cellStyle name="입력 2 23 2 2 3" xfId="33827"/>
    <cellStyle name="입력 2 23 2 2 4" xfId="44935"/>
    <cellStyle name="입력 2 23 2 2 5" xfId="39920"/>
    <cellStyle name="입력 2 23 2 3" xfId="8155"/>
    <cellStyle name="입력 2 23 2 3 2" xfId="21383"/>
    <cellStyle name="입력 2 23 2 3 3" xfId="36253"/>
    <cellStyle name="입력 2 23 2 3 4" xfId="42146"/>
    <cellStyle name="입력 2 23 2 3 5" xfId="48980"/>
    <cellStyle name="입력 2 23 2 4" xfId="19691"/>
    <cellStyle name="입력 2 23 2 4 2" xfId="30387"/>
    <cellStyle name="입력 2 23 2 4 3" xfId="16788"/>
    <cellStyle name="입력 2 23 2 4 4" xfId="16529"/>
    <cellStyle name="입력 2 23 2 5" xfId="31525"/>
    <cellStyle name="입력 2 23 2 5 2" xfId="17778"/>
    <cellStyle name="입력 2 23 2 5 3" xfId="33422"/>
    <cellStyle name="입력 2 23 2 6" xfId="29515"/>
    <cellStyle name="입력 2 23 2 7" xfId="16166"/>
    <cellStyle name="입력 2 23 2 8" xfId="45389"/>
    <cellStyle name="입력 2 23 3" xfId="9693"/>
    <cellStyle name="입력 2 23 3 10" xfId="17423"/>
    <cellStyle name="입력 2 23 3 2" xfId="13330"/>
    <cellStyle name="입력 2 23 3 2 2" xfId="26558"/>
    <cellStyle name="입력 2 23 3 2 3" xfId="32810"/>
    <cellStyle name="입력 2 23 3 2 4" xfId="39030"/>
    <cellStyle name="입력 2 23 3 2 5" xfId="47323"/>
    <cellStyle name="입력 2 23 3 3" xfId="7614"/>
    <cellStyle name="입력 2 23 3 3 2" xfId="20842"/>
    <cellStyle name="입력 2 23 3 3 3" xfId="35306"/>
    <cellStyle name="입력 2 23 3 3 4" xfId="46071"/>
    <cellStyle name="입력 2 23 3 3 5" xfId="48009"/>
    <cellStyle name="입력 2 23 3 4" xfId="13685"/>
    <cellStyle name="입력 2 23 3 4 2" xfId="26913"/>
    <cellStyle name="입력 2 23 3 4 3" xfId="31861"/>
    <cellStyle name="입력 2 23 3 4 4" xfId="38082"/>
    <cellStyle name="입력 2 23 3 4 5" xfId="46271"/>
    <cellStyle name="입력 2 23 3 5" xfId="14378"/>
    <cellStyle name="입력 2 23 3 5 2" xfId="27606"/>
    <cellStyle name="입력 2 23 3 5 3" xfId="17244"/>
    <cellStyle name="입력 2 23 3 5 4" xfId="45720"/>
    <cellStyle name="입력 2 23 3 6" xfId="22921"/>
    <cellStyle name="입력 2 23 3 6 2" xfId="36935"/>
    <cellStyle name="입력 2 23 3 6 3" xfId="42851"/>
    <cellStyle name="입력 2 23 3 6 4" xfId="49685"/>
    <cellStyle name="입력 2 23 3 7" xfId="35590"/>
    <cellStyle name="입력 2 23 3 7 2" xfId="41466"/>
    <cellStyle name="입력 2 23 3 7 3" xfId="48300"/>
    <cellStyle name="입력 2 23 3 8" xfId="28499"/>
    <cellStyle name="입력 2 23 3 9" xfId="39388"/>
    <cellStyle name="입력 2 23 4" xfId="8178"/>
    <cellStyle name="입력 2 23 4 2" xfId="21406"/>
    <cellStyle name="입력 2 23 5" xfId="45758"/>
    <cellStyle name="입력 2 24" xfId="3289"/>
    <cellStyle name="입력 2 24 2" xfId="6464"/>
    <cellStyle name="입력 2 24 2 2" xfId="11198"/>
    <cellStyle name="입력 2 24 2 2 2" xfId="24426"/>
    <cellStyle name="입력 2 24 2 2 3" xfId="33828"/>
    <cellStyle name="입력 2 24 2 2 4" xfId="44936"/>
    <cellStyle name="입력 2 24 2 2 5" xfId="39479"/>
    <cellStyle name="입력 2 24 2 3" xfId="6805"/>
    <cellStyle name="입력 2 24 2 3 2" xfId="20033"/>
    <cellStyle name="입력 2 24 2 3 3" xfId="36254"/>
    <cellStyle name="입력 2 24 2 3 4" xfId="42147"/>
    <cellStyle name="입력 2 24 2 3 5" xfId="48981"/>
    <cellStyle name="입력 2 24 2 4" xfId="19692"/>
    <cellStyle name="입력 2 24 2 4 2" xfId="32083"/>
    <cellStyle name="입력 2 24 2 4 3" xfId="38306"/>
    <cellStyle name="입력 2 24 2 4 4" xfId="45763"/>
    <cellStyle name="입력 2 24 2 5" xfId="36815"/>
    <cellStyle name="입력 2 24 2 5 2" xfId="42726"/>
    <cellStyle name="입력 2 24 2 5 3" xfId="49560"/>
    <cellStyle name="입력 2 24 2 6" xfId="29516"/>
    <cellStyle name="입력 2 24 2 7" xfId="14583"/>
    <cellStyle name="입력 2 24 2 8" xfId="18130"/>
    <cellStyle name="입력 2 24 3" xfId="9694"/>
    <cellStyle name="입력 2 24 3 10" xfId="36966"/>
    <cellStyle name="입력 2 24 3 2" xfId="13331"/>
    <cellStyle name="입력 2 24 3 2 2" xfId="26559"/>
    <cellStyle name="입력 2 24 3 2 3" xfId="32811"/>
    <cellStyle name="입력 2 24 3 2 4" xfId="39031"/>
    <cellStyle name="입력 2 24 3 2 5" xfId="32201"/>
    <cellStyle name="입력 2 24 3 3" xfId="9079"/>
    <cellStyle name="입력 2 24 3 3 2" xfId="22307"/>
    <cellStyle name="입력 2 24 3 3 3" xfId="35307"/>
    <cellStyle name="입력 2 24 3 3 4" xfId="46072"/>
    <cellStyle name="입력 2 24 3 3 5" xfId="48010"/>
    <cellStyle name="입력 2 24 3 4" xfId="7325"/>
    <cellStyle name="입력 2 24 3 4 2" xfId="20553"/>
    <cellStyle name="입력 2 24 3 4 3" xfId="31101"/>
    <cellStyle name="입력 2 24 3 4 4" xfId="18609"/>
    <cellStyle name="입력 2 24 3 4 5" xfId="40579"/>
    <cellStyle name="입력 2 24 3 5" xfId="7737"/>
    <cellStyle name="입력 2 24 3 5 2" xfId="20965"/>
    <cellStyle name="입력 2 24 3 5 3" xfId="41701"/>
    <cellStyle name="입력 2 24 3 5 4" xfId="48535"/>
    <cellStyle name="입력 2 24 3 6" xfId="22922"/>
    <cellStyle name="입력 2 24 3 6 2" xfId="30295"/>
    <cellStyle name="입력 2 24 3 6 3" xfId="16731"/>
    <cellStyle name="입력 2 24 3 6 4" xfId="15922"/>
    <cellStyle name="입력 2 24 3 7" xfId="36817"/>
    <cellStyle name="입력 2 24 3 7 2" xfId="42728"/>
    <cellStyle name="입력 2 24 3 7 3" xfId="49562"/>
    <cellStyle name="입력 2 24 3 8" xfId="28500"/>
    <cellStyle name="입력 2 24 3 9" xfId="40450"/>
    <cellStyle name="입력 2 24 4" xfId="8179"/>
    <cellStyle name="입력 2 24 4 2" xfId="21407"/>
    <cellStyle name="입력 2 24 5" xfId="47056"/>
    <cellStyle name="입력 2 25" xfId="3290"/>
    <cellStyle name="입력 2 25 2" xfId="6465"/>
    <cellStyle name="입력 2 25 2 2" xfId="11199"/>
    <cellStyle name="입력 2 25 2 2 2" xfId="24427"/>
    <cellStyle name="입력 2 25 2 2 3" xfId="33829"/>
    <cellStyle name="입력 2 25 2 2 4" xfId="44937"/>
    <cellStyle name="입력 2 25 2 2 5" xfId="27844"/>
    <cellStyle name="입력 2 25 2 3" xfId="8157"/>
    <cellStyle name="입력 2 25 2 3 2" xfId="21385"/>
    <cellStyle name="입력 2 25 2 3 3" xfId="36255"/>
    <cellStyle name="입력 2 25 2 3 4" xfId="42148"/>
    <cellStyle name="입력 2 25 2 3 5" xfId="48982"/>
    <cellStyle name="입력 2 25 2 4" xfId="19693"/>
    <cellStyle name="입력 2 25 2 4 2" xfId="30388"/>
    <cellStyle name="입력 2 25 2 4 3" xfId="28023"/>
    <cellStyle name="입력 2 25 2 4 4" xfId="33438"/>
    <cellStyle name="입력 2 25 2 5" xfId="31876"/>
    <cellStyle name="입력 2 25 2 5 2" xfId="38097"/>
    <cellStyle name="입력 2 25 2 5 3" xfId="45672"/>
    <cellStyle name="입력 2 25 2 6" xfId="29517"/>
    <cellStyle name="입력 2 25 2 7" xfId="27814"/>
    <cellStyle name="입력 2 25 2 8" xfId="15487"/>
    <cellStyle name="입력 2 25 3" xfId="9695"/>
    <cellStyle name="입력 2 25 3 10" xfId="40595"/>
    <cellStyle name="입력 2 25 3 2" xfId="13332"/>
    <cellStyle name="입력 2 25 3 2 2" xfId="26560"/>
    <cellStyle name="입력 2 25 3 2 3" xfId="32812"/>
    <cellStyle name="입력 2 25 3 2 4" xfId="39032"/>
    <cellStyle name="입력 2 25 3 2 5" xfId="46957"/>
    <cellStyle name="입력 2 25 3 3" xfId="7615"/>
    <cellStyle name="입력 2 25 3 3 2" xfId="20843"/>
    <cellStyle name="입력 2 25 3 3 3" xfId="35308"/>
    <cellStyle name="입력 2 25 3 3 4" xfId="46073"/>
    <cellStyle name="입력 2 25 3 3 5" xfId="48011"/>
    <cellStyle name="입력 2 25 3 4" xfId="13612"/>
    <cellStyle name="입력 2 25 3 4 2" xfId="26840"/>
    <cellStyle name="입력 2 25 3 4 3" xfId="31077"/>
    <cellStyle name="입력 2 25 3 4 4" xfId="18593"/>
    <cellStyle name="입력 2 25 3 4 5" xfId="46259"/>
    <cellStyle name="입력 2 25 3 5" xfId="12953"/>
    <cellStyle name="입력 2 25 3 5 2" xfId="26181"/>
    <cellStyle name="입력 2 25 3 5 3" xfId="18046"/>
    <cellStyle name="입력 2 25 3 5 4" xfId="34265"/>
    <cellStyle name="입력 2 25 3 6" xfId="22923"/>
    <cellStyle name="입력 2 25 3 6 2" xfId="30703"/>
    <cellStyle name="입력 2 25 3 6 3" xfId="16861"/>
    <cellStyle name="입력 2 25 3 6 4" xfId="17592"/>
    <cellStyle name="입력 2 25 3 7" xfId="31210"/>
    <cellStyle name="입력 2 25 3 7 2" xfId="14725"/>
    <cellStyle name="입력 2 25 3 7 3" xfId="46873"/>
    <cellStyle name="입력 2 25 3 8" xfId="28501"/>
    <cellStyle name="입력 2 25 3 9" xfId="15825"/>
    <cellStyle name="입력 2 25 4" xfId="8180"/>
    <cellStyle name="입력 2 25 4 2" xfId="21408"/>
    <cellStyle name="입력 2 25 5" xfId="30027"/>
    <cellStyle name="입력 2 26" xfId="3291"/>
    <cellStyle name="입력 2 27" xfId="4882"/>
    <cellStyle name="입력 2 28" xfId="3271"/>
    <cellStyle name="입력 2 28 2" xfId="6447"/>
    <cellStyle name="입력 2 28 2 2" xfId="11181"/>
    <cellStyle name="입력 2 28 2 2 2" xfId="24409"/>
    <cellStyle name="입력 2 28 2 2 3" xfId="33811"/>
    <cellStyle name="입력 2 28 2 2 4" xfId="44919"/>
    <cellStyle name="입력 2 28 2 2 5" xfId="41208"/>
    <cellStyle name="입력 2 28 2 3" xfId="8120"/>
    <cellStyle name="입력 2 28 2 3 2" xfId="21348"/>
    <cellStyle name="입력 2 28 2 3 3" xfId="36237"/>
    <cellStyle name="입력 2 28 2 3 4" xfId="42130"/>
    <cellStyle name="입력 2 28 2 3 5" xfId="48964"/>
    <cellStyle name="입력 2 28 2 4" xfId="19675"/>
    <cellStyle name="입력 2 28 2 4 2" xfId="30391"/>
    <cellStyle name="입력 2 28 2 4 3" xfId="16789"/>
    <cellStyle name="입력 2 28 2 4 4" xfId="39642"/>
    <cellStyle name="입력 2 28 2 5" xfId="37513"/>
    <cellStyle name="입력 2 28 2 5 2" xfId="43433"/>
    <cellStyle name="입력 2 28 2 5 3" xfId="50267"/>
    <cellStyle name="입력 2 28 2 6" xfId="29499"/>
    <cellStyle name="입력 2 28 2 7" xfId="16154"/>
    <cellStyle name="입력 2 28 2 8" xfId="17624"/>
    <cellStyle name="입력 2 28 3" xfId="9677"/>
    <cellStyle name="입력 2 28 3 10" xfId="28893"/>
    <cellStyle name="입력 2 28 3 2" xfId="13314"/>
    <cellStyle name="입력 2 28 3 2 2" xfId="26542"/>
    <cellStyle name="입력 2 28 3 2 3" xfId="32794"/>
    <cellStyle name="입력 2 28 3 2 4" xfId="39014"/>
    <cellStyle name="입력 2 28 3 2 5" xfId="28073"/>
    <cellStyle name="입력 2 28 3 3" xfId="6736"/>
    <cellStyle name="입력 2 28 3 3 2" xfId="19964"/>
    <cellStyle name="입력 2 28 3 3 3" xfId="35290"/>
    <cellStyle name="입력 2 28 3 3 4" xfId="46055"/>
    <cellStyle name="입력 2 28 3 3 5" xfId="47993"/>
    <cellStyle name="입력 2 28 3 4" xfId="14239"/>
    <cellStyle name="입력 2 28 3 4 2" xfId="27467"/>
    <cellStyle name="입력 2 28 3 4 3" xfId="32341"/>
    <cellStyle name="입력 2 28 3 4 4" xfId="38559"/>
    <cellStyle name="입력 2 28 3 4 5" xfId="46186"/>
    <cellStyle name="입력 2 28 3 5" xfId="14342"/>
    <cellStyle name="입력 2 28 3 5 2" xfId="27570"/>
    <cellStyle name="입력 2 28 3 5 3" xfId="16600"/>
    <cellStyle name="입력 2 28 3 5 4" xfId="45358"/>
    <cellStyle name="입력 2 28 3 6" xfId="22905"/>
    <cellStyle name="입력 2 28 3 6 2" xfId="31228"/>
    <cellStyle name="입력 2 28 3 6 3" xfId="17132"/>
    <cellStyle name="입력 2 28 3 6 4" xfId="34113"/>
    <cellStyle name="입력 2 28 3 7" xfId="37820"/>
    <cellStyle name="입력 2 28 3 7 2" xfId="43744"/>
    <cellStyle name="입력 2 28 3 7 3" xfId="50578"/>
    <cellStyle name="입력 2 28 3 8" xfId="28483"/>
    <cellStyle name="입력 2 28 3 9" xfId="32178"/>
    <cellStyle name="입력 2 28 4" xfId="8162"/>
    <cellStyle name="입력 2 28 4 2" xfId="21390"/>
    <cellStyle name="입력 2 28 5" xfId="33051"/>
    <cellStyle name="입력 2 29" xfId="51357"/>
    <cellStyle name="입력 2 3" xfId="3292"/>
    <cellStyle name="입력 2 3 2" xfId="6466"/>
    <cellStyle name="입력 2 3 2 2" xfId="11200"/>
    <cellStyle name="입력 2 3 2 2 2" xfId="24428"/>
    <cellStyle name="입력 2 3 2 2 3" xfId="33830"/>
    <cellStyle name="입력 2 3 2 2 4" xfId="44938"/>
    <cellStyle name="입력 2 3 2 2 5" xfId="41230"/>
    <cellStyle name="입력 2 3 2 3" xfId="6806"/>
    <cellStyle name="입력 2 3 2 3 2" xfId="20034"/>
    <cellStyle name="입력 2 3 2 3 3" xfId="36256"/>
    <cellStyle name="입력 2 3 2 3 4" xfId="42149"/>
    <cellStyle name="입력 2 3 2 3 5" xfId="48983"/>
    <cellStyle name="입력 2 3 2 4" xfId="19694"/>
    <cellStyle name="입력 2 3 2 4 2" xfId="34691"/>
    <cellStyle name="입력 2 3 2 4 3" xfId="40681"/>
    <cellStyle name="입력 2 3 2 4 4" xfId="17486"/>
    <cellStyle name="입력 2 3 2 5" xfId="30712"/>
    <cellStyle name="입력 2 3 2 5 2" xfId="27742"/>
    <cellStyle name="입력 2 3 2 5 3" xfId="15642"/>
    <cellStyle name="입력 2 3 2 6" xfId="29518"/>
    <cellStyle name="입력 2 3 2 7" xfId="16167"/>
    <cellStyle name="입력 2 3 2 8" xfId="45281"/>
    <cellStyle name="입력 2 3 3" xfId="9696"/>
    <cellStyle name="입력 2 3 3 10" xfId="39612"/>
    <cellStyle name="입력 2 3 3 2" xfId="13333"/>
    <cellStyle name="입력 2 3 3 2 2" xfId="26561"/>
    <cellStyle name="입력 2 3 3 2 3" xfId="32813"/>
    <cellStyle name="입력 2 3 3 2 4" xfId="39033"/>
    <cellStyle name="입력 2 3 3 2 5" xfId="17583"/>
    <cellStyle name="입력 2 3 3 3" xfId="9080"/>
    <cellStyle name="입력 2 3 3 3 2" xfId="22308"/>
    <cellStyle name="입력 2 3 3 3 3" xfId="35309"/>
    <cellStyle name="입력 2 3 3 3 4" xfId="46074"/>
    <cellStyle name="입력 2 3 3 3 5" xfId="48012"/>
    <cellStyle name="입력 2 3 3 4" xfId="14218"/>
    <cellStyle name="입력 2 3 3 4 2" xfId="27446"/>
    <cellStyle name="입력 2 3 3 4 3" xfId="34852"/>
    <cellStyle name="입력 2 3 3 4 4" xfId="40851"/>
    <cellStyle name="입력 2 3 3 4 5" xfId="38517"/>
    <cellStyle name="입력 2 3 3 5" xfId="7910"/>
    <cellStyle name="입력 2 3 3 5 2" xfId="21138"/>
    <cellStyle name="입력 2 3 3 5 3" xfId="42792"/>
    <cellStyle name="입력 2 3 3 5 4" xfId="49626"/>
    <cellStyle name="입력 2 3 3 6" xfId="22924"/>
    <cellStyle name="입력 2 3 3 6 2" xfId="31389"/>
    <cellStyle name="입력 2 3 3 6 3" xfId="17231"/>
    <cellStyle name="입력 2 3 3 6 4" xfId="39300"/>
    <cellStyle name="입력 2 3 3 7" xfId="37185"/>
    <cellStyle name="입력 2 3 3 7 2" xfId="43104"/>
    <cellStyle name="입력 2 3 3 7 3" xfId="49938"/>
    <cellStyle name="입력 2 3 3 8" xfId="28502"/>
    <cellStyle name="입력 2 3 3 9" xfId="38428"/>
    <cellStyle name="입력 2 3 4" xfId="8182"/>
    <cellStyle name="입력 2 3 4 2" xfId="21410"/>
    <cellStyle name="입력 2 3 5" xfId="34381"/>
    <cellStyle name="입력 2 4" xfId="3293"/>
    <cellStyle name="입력 2 4 2" xfId="6467"/>
    <cellStyle name="입력 2 4 2 2" xfId="11201"/>
    <cellStyle name="입력 2 4 2 2 2" xfId="24429"/>
    <cellStyle name="입력 2 4 2 2 3" xfId="33831"/>
    <cellStyle name="입력 2 4 2 2 4" xfId="44939"/>
    <cellStyle name="입력 2 4 2 2 5" xfId="28168"/>
    <cellStyle name="입력 2 4 2 3" xfId="8159"/>
    <cellStyle name="입력 2 4 2 3 2" xfId="21387"/>
    <cellStyle name="입력 2 4 2 3 3" xfId="36257"/>
    <cellStyle name="입력 2 4 2 3 4" xfId="42150"/>
    <cellStyle name="입력 2 4 2 3 5" xfId="48984"/>
    <cellStyle name="입력 2 4 2 4" xfId="19695"/>
    <cellStyle name="입력 2 4 2 4 2" xfId="31766"/>
    <cellStyle name="입력 2 4 2 4 3" xfId="37987"/>
    <cellStyle name="입력 2 4 2 4 4" xfId="17978"/>
    <cellStyle name="입력 2 4 2 5" xfId="37555"/>
    <cellStyle name="입력 2 4 2 5 2" xfId="43476"/>
    <cellStyle name="입력 2 4 2 5 3" xfId="50310"/>
    <cellStyle name="입력 2 4 2 6" xfId="29519"/>
    <cellStyle name="입력 2 4 2 7" xfId="16168"/>
    <cellStyle name="입력 2 4 2 8" xfId="44275"/>
    <cellStyle name="입력 2 4 3" xfId="9697"/>
    <cellStyle name="입력 2 4 3 10" xfId="34523"/>
    <cellStyle name="입력 2 4 3 2" xfId="13334"/>
    <cellStyle name="입력 2 4 3 2 2" xfId="26562"/>
    <cellStyle name="입력 2 4 3 2 3" xfId="32814"/>
    <cellStyle name="입력 2 4 3 2 4" xfId="39034"/>
    <cellStyle name="입력 2 4 3 2 5" xfId="46266"/>
    <cellStyle name="입력 2 4 3 3" xfId="9081"/>
    <cellStyle name="입력 2 4 3 3 2" xfId="22309"/>
    <cellStyle name="입력 2 4 3 3 3" xfId="35310"/>
    <cellStyle name="입력 2 4 3 3 4" xfId="46075"/>
    <cellStyle name="입력 2 4 3 3 5" xfId="48013"/>
    <cellStyle name="입력 2 4 3 4" xfId="13075"/>
    <cellStyle name="입력 2 4 3 4 2" xfId="26303"/>
    <cellStyle name="입력 2 4 3 4 3" xfId="31862"/>
    <cellStyle name="입력 2 4 3 4 4" xfId="38083"/>
    <cellStyle name="입력 2 4 3 4 5" xfId="47441"/>
    <cellStyle name="입력 2 4 3 5" xfId="14343"/>
    <cellStyle name="입력 2 4 3 5 2" xfId="27571"/>
    <cellStyle name="입력 2 4 3 5 3" xfId="18477"/>
    <cellStyle name="입력 2 4 3 5 4" xfId="46725"/>
    <cellStyle name="입력 2 4 3 6" xfId="22925"/>
    <cellStyle name="입력 2 4 3 6 2" xfId="37441"/>
    <cellStyle name="입력 2 4 3 6 3" xfId="43361"/>
    <cellStyle name="입력 2 4 3 6 4" xfId="50195"/>
    <cellStyle name="입력 2 4 3 7" xfId="31612"/>
    <cellStyle name="입력 2 4 3 7 2" xfId="18053"/>
    <cellStyle name="입력 2 4 3 7 3" xfId="40489"/>
    <cellStyle name="입력 2 4 3 8" xfId="28503"/>
    <cellStyle name="입력 2 4 3 9" xfId="40294"/>
    <cellStyle name="입력 2 4 4" xfId="8183"/>
    <cellStyle name="입력 2 4 4 2" xfId="21411"/>
    <cellStyle name="입력 2 4 5" xfId="46260"/>
    <cellStyle name="입력 2 5" xfId="3294"/>
    <cellStyle name="입력 2 5 2" xfId="6468"/>
    <cellStyle name="입력 2 5 2 2" xfId="11202"/>
    <cellStyle name="입력 2 5 2 2 2" xfId="24430"/>
    <cellStyle name="입력 2 5 2 2 3" xfId="33832"/>
    <cellStyle name="입력 2 5 2 2 4" xfId="44940"/>
    <cellStyle name="입력 2 5 2 2 5" xfId="39921"/>
    <cellStyle name="입력 2 5 2 3" xfId="6807"/>
    <cellStyle name="입력 2 5 2 3 2" xfId="20035"/>
    <cellStyle name="입력 2 5 2 3 3" xfId="36258"/>
    <cellStyle name="입력 2 5 2 3 4" xfId="42151"/>
    <cellStyle name="입력 2 5 2 3 5" xfId="48985"/>
    <cellStyle name="입력 2 5 2 4" xfId="19696"/>
    <cellStyle name="입력 2 5 2 4 2" xfId="37256"/>
    <cellStyle name="입력 2 5 2 4 3" xfId="43176"/>
    <cellStyle name="입력 2 5 2 4 4" xfId="50010"/>
    <cellStyle name="입력 2 5 2 5" xfId="36900"/>
    <cellStyle name="입력 2 5 2 5 2" xfId="42815"/>
    <cellStyle name="입력 2 5 2 5 3" xfId="49649"/>
    <cellStyle name="입력 2 5 2 6" xfId="29520"/>
    <cellStyle name="입력 2 5 2 7" xfId="16169"/>
    <cellStyle name="입력 2 5 2 8" xfId="40147"/>
    <cellStyle name="입력 2 5 3" xfId="9698"/>
    <cellStyle name="입력 2 5 3 10" xfId="39267"/>
    <cellStyle name="입력 2 5 3 2" xfId="13335"/>
    <cellStyle name="입력 2 5 3 2 2" xfId="26563"/>
    <cellStyle name="입력 2 5 3 2 3" xfId="32815"/>
    <cellStyle name="입력 2 5 3 2 4" xfId="39035"/>
    <cellStyle name="입력 2 5 3 2 5" xfId="15564"/>
    <cellStyle name="입력 2 5 3 3" xfId="9082"/>
    <cellStyle name="입력 2 5 3 3 2" xfId="22310"/>
    <cellStyle name="입력 2 5 3 3 3" xfId="35311"/>
    <cellStyle name="입력 2 5 3 3 4" xfId="46076"/>
    <cellStyle name="입력 2 5 3 3 5" xfId="48014"/>
    <cellStyle name="입력 2 5 3 4" xfId="14078"/>
    <cellStyle name="입력 2 5 3 4 2" xfId="27306"/>
    <cellStyle name="입력 2 5 3 4 3" xfId="31081"/>
    <cellStyle name="입력 2 5 3 4 4" xfId="18597"/>
    <cellStyle name="입력 2 5 3 4 5" xfId="34296"/>
    <cellStyle name="입력 2 5 3 5" xfId="7452"/>
    <cellStyle name="입력 2 5 3 5 2" xfId="20680"/>
    <cellStyle name="입력 2 5 3 5 3" xfId="41344"/>
    <cellStyle name="입력 2 5 3 5 4" xfId="48178"/>
    <cellStyle name="입력 2 5 3 6" xfId="22926"/>
    <cellStyle name="입력 2 5 3 6 2" xfId="31260"/>
    <cellStyle name="입력 2 5 3 6 3" xfId="17157"/>
    <cellStyle name="입력 2 5 3 6 4" xfId="45616"/>
    <cellStyle name="입력 2 5 3 7" xfId="35489"/>
    <cellStyle name="입력 2 5 3 7 2" xfId="41360"/>
    <cellStyle name="입력 2 5 3 7 3" xfId="48194"/>
    <cellStyle name="입력 2 5 3 8" xfId="28504"/>
    <cellStyle name="입력 2 5 3 9" xfId="39208"/>
    <cellStyle name="입력 2 5 4" xfId="8184"/>
    <cellStyle name="입력 2 5 4 2" xfId="21412"/>
    <cellStyle name="입력 2 5 5" xfId="44380"/>
    <cellStyle name="입력 2 6" xfId="3295"/>
    <cellStyle name="입력 2 6 2" xfId="6469"/>
    <cellStyle name="입력 2 6 2 2" xfId="11203"/>
    <cellStyle name="입력 2 6 2 2 2" xfId="24431"/>
    <cellStyle name="입력 2 6 2 2 3" xfId="33833"/>
    <cellStyle name="입력 2 6 2 2 4" xfId="44941"/>
    <cellStyle name="입력 2 6 2 2 5" xfId="39480"/>
    <cellStyle name="입력 2 6 2 3" xfId="6808"/>
    <cellStyle name="입력 2 6 2 3 2" xfId="20036"/>
    <cellStyle name="입력 2 6 2 3 3" xfId="36259"/>
    <cellStyle name="입력 2 6 2 3 4" xfId="42152"/>
    <cellStyle name="입력 2 6 2 3 5" xfId="48986"/>
    <cellStyle name="입력 2 6 2 4" xfId="19697"/>
    <cellStyle name="입력 2 6 2 4 2" xfId="32119"/>
    <cellStyle name="입력 2 6 2 4 3" xfId="38342"/>
    <cellStyle name="입력 2 6 2 4 4" xfId="18492"/>
    <cellStyle name="입력 2 6 2 5" xfId="32364"/>
    <cellStyle name="입력 2 6 2 5 2" xfId="38582"/>
    <cellStyle name="입력 2 6 2 5 3" xfId="44146"/>
    <cellStyle name="입력 2 6 2 6" xfId="29521"/>
    <cellStyle name="입력 2 6 2 7" xfId="16170"/>
    <cellStyle name="입력 2 6 2 8" xfId="44512"/>
    <cellStyle name="입력 2 6 3" xfId="9699"/>
    <cellStyle name="입력 2 6 3 10" xfId="40350"/>
    <cellStyle name="입력 2 6 3 2" xfId="13336"/>
    <cellStyle name="입력 2 6 3 2 2" xfId="26564"/>
    <cellStyle name="입력 2 6 3 2 3" xfId="32816"/>
    <cellStyle name="입력 2 6 3 2 4" xfId="39036"/>
    <cellStyle name="입력 2 6 3 2 5" xfId="46801"/>
    <cellStyle name="입력 2 6 3 3" xfId="9083"/>
    <cellStyle name="입력 2 6 3 3 2" xfId="22311"/>
    <cellStyle name="입력 2 6 3 3 3" xfId="35312"/>
    <cellStyle name="입력 2 6 3 3 4" xfId="46077"/>
    <cellStyle name="입력 2 6 3 3 5" xfId="48015"/>
    <cellStyle name="입력 2 6 3 4" xfId="12900"/>
    <cellStyle name="입력 2 6 3 4 2" xfId="26128"/>
    <cellStyle name="입력 2 6 3 4 3" xfId="29837"/>
    <cellStyle name="입력 2 6 3 4 4" xfId="17685"/>
    <cellStyle name="입력 2 6 3 4 5" xfId="39520"/>
    <cellStyle name="입력 2 6 3 5" xfId="8326"/>
    <cellStyle name="입력 2 6 3 5 2" xfId="21554"/>
    <cellStyle name="입력 2 6 3 5 3" xfId="17853"/>
    <cellStyle name="입력 2 6 3 5 4" xfId="15582"/>
    <cellStyle name="입력 2 6 3 6" xfId="22927"/>
    <cellStyle name="입력 2 6 3 6 2" xfId="37215"/>
    <cellStyle name="입력 2 6 3 6 3" xfId="43134"/>
    <cellStyle name="입력 2 6 3 6 4" xfId="49968"/>
    <cellStyle name="입력 2 6 3 7" xfId="37798"/>
    <cellStyle name="입력 2 6 3 7 2" xfId="43722"/>
    <cellStyle name="입력 2 6 3 7 3" xfId="50556"/>
    <cellStyle name="입력 2 6 3 8" xfId="28505"/>
    <cellStyle name="입력 2 6 3 9" xfId="28860"/>
    <cellStyle name="입력 2 6 4" xfId="8185"/>
    <cellStyle name="입력 2 6 4 2" xfId="21413"/>
    <cellStyle name="입력 2 6 5" xfId="40263"/>
    <cellStyle name="입력 2 7" xfId="3296"/>
    <cellStyle name="입력 2 7 2" xfId="6470"/>
    <cellStyle name="입력 2 7 2 2" xfId="11204"/>
    <cellStyle name="입력 2 7 2 2 2" xfId="24432"/>
    <cellStyle name="입력 2 7 2 2 3" xfId="33834"/>
    <cellStyle name="입력 2 7 2 2 4" xfId="44942"/>
    <cellStyle name="입력 2 7 2 2 5" xfId="17535"/>
    <cellStyle name="입력 2 7 2 3" xfId="8181"/>
    <cellStyle name="입력 2 7 2 3 2" xfId="21409"/>
    <cellStyle name="입력 2 7 2 3 3" xfId="36260"/>
    <cellStyle name="입력 2 7 2 3 4" xfId="42153"/>
    <cellStyle name="입력 2 7 2 3 5" xfId="48987"/>
    <cellStyle name="입력 2 7 2 4" xfId="19698"/>
    <cellStyle name="입력 2 7 2 4 2" xfId="32112"/>
    <cellStyle name="입력 2 7 2 4 3" xfId="38335"/>
    <cellStyle name="입력 2 7 2 4 4" xfId="29139"/>
    <cellStyle name="입력 2 7 2 5" xfId="30561"/>
    <cellStyle name="입력 2 7 2 5 2" xfId="17832"/>
    <cellStyle name="입력 2 7 2 5 3" xfId="47387"/>
    <cellStyle name="입력 2 7 2 6" xfId="29522"/>
    <cellStyle name="입력 2 7 2 7" xfId="18121"/>
    <cellStyle name="입력 2 7 2 8" xfId="45481"/>
    <cellStyle name="입력 2 7 3" xfId="9700"/>
    <cellStyle name="입력 2 7 3 10" xfId="38488"/>
    <cellStyle name="입력 2 7 3 2" xfId="13337"/>
    <cellStyle name="입력 2 7 3 2 2" xfId="26565"/>
    <cellStyle name="입력 2 7 3 2 3" xfId="32817"/>
    <cellStyle name="입력 2 7 3 2 4" xfId="39037"/>
    <cellStyle name="입력 2 7 3 2 5" xfId="36657"/>
    <cellStyle name="입력 2 7 3 3" xfId="9084"/>
    <cellStyle name="입력 2 7 3 3 2" xfId="22312"/>
    <cellStyle name="입력 2 7 3 3 3" xfId="35313"/>
    <cellStyle name="입력 2 7 3 3 4" xfId="46078"/>
    <cellStyle name="입력 2 7 3 3 5" xfId="48016"/>
    <cellStyle name="입력 2 7 3 4" xfId="13671"/>
    <cellStyle name="입력 2 7 3 4 2" xfId="26899"/>
    <cellStyle name="입력 2 7 3 4 3" xfId="31863"/>
    <cellStyle name="입력 2 7 3 4 4" xfId="38084"/>
    <cellStyle name="입력 2 7 3 4 5" xfId="15708"/>
    <cellStyle name="입력 2 7 3 5" xfId="6707"/>
    <cellStyle name="입력 2 7 3 5 2" xfId="19935"/>
    <cellStyle name="입력 2 7 3 5 3" xfId="42559"/>
    <cellStyle name="입력 2 7 3 5 4" xfId="49393"/>
    <cellStyle name="입력 2 7 3 6" xfId="22928"/>
    <cellStyle name="입력 2 7 3 6 2" xfId="31319"/>
    <cellStyle name="입력 2 7 3 6 3" xfId="15286"/>
    <cellStyle name="입력 2 7 3 6 4" xfId="46922"/>
    <cellStyle name="입력 2 7 3 7" xfId="30871"/>
    <cellStyle name="입력 2 7 3 7 2" xfId="28009"/>
    <cellStyle name="입력 2 7 3 7 3" xfId="40185"/>
    <cellStyle name="입력 2 7 3 8" xfId="28506"/>
    <cellStyle name="입력 2 7 3 9" xfId="39555"/>
    <cellStyle name="입력 2 7 4" xfId="8186"/>
    <cellStyle name="입력 2 7 4 2" xfId="21414"/>
    <cellStyle name="입력 2 7 5" xfId="45627"/>
    <cellStyle name="입력 2 8" xfId="3297"/>
    <cellStyle name="입력 2 8 2" xfId="6471"/>
    <cellStyle name="입력 2 8 2 2" xfId="11205"/>
    <cellStyle name="입력 2 8 2 2 2" xfId="24433"/>
    <cellStyle name="입력 2 8 2 2 3" xfId="33835"/>
    <cellStyle name="입력 2 8 2 2 4" xfId="44943"/>
    <cellStyle name="입력 2 8 2 2 5" xfId="41231"/>
    <cellStyle name="입력 2 8 2 3" xfId="8760"/>
    <cellStyle name="입력 2 8 2 3 2" xfId="21988"/>
    <cellStyle name="입력 2 8 2 3 3" xfId="36261"/>
    <cellStyle name="입력 2 8 2 3 4" xfId="42154"/>
    <cellStyle name="입력 2 8 2 3 5" xfId="48988"/>
    <cellStyle name="입력 2 8 2 4" xfId="19699"/>
    <cellStyle name="입력 2 8 2 4 2" xfId="32011"/>
    <cellStyle name="입력 2 8 2 4 3" xfId="38234"/>
    <cellStyle name="입력 2 8 2 4 4" xfId="46583"/>
    <cellStyle name="입력 2 8 2 5" xfId="36663"/>
    <cellStyle name="입력 2 8 2 5 2" xfId="42566"/>
    <cellStyle name="입력 2 8 2 5 3" xfId="49400"/>
    <cellStyle name="입력 2 8 2 6" xfId="29523"/>
    <cellStyle name="입력 2 8 2 7" xfId="16150"/>
    <cellStyle name="입력 2 8 2 8" xfId="28210"/>
    <cellStyle name="입력 2 8 3" xfId="9701"/>
    <cellStyle name="입력 2 8 3 10" xfId="32993"/>
    <cellStyle name="입력 2 8 3 2" xfId="13338"/>
    <cellStyle name="입력 2 8 3 2 2" xfId="26566"/>
    <cellStyle name="입력 2 8 3 2 3" xfId="32818"/>
    <cellStyle name="입력 2 8 3 2 4" xfId="39038"/>
    <cellStyle name="입력 2 8 3 2 5" xfId="47415"/>
    <cellStyle name="입력 2 8 3 3" xfId="9085"/>
    <cellStyle name="입력 2 8 3 3 2" xfId="22313"/>
    <cellStyle name="입력 2 8 3 3 3" xfId="35314"/>
    <cellStyle name="입력 2 8 3 3 4" xfId="46079"/>
    <cellStyle name="입력 2 8 3 3 5" xfId="48017"/>
    <cellStyle name="입력 2 8 3 4" xfId="14240"/>
    <cellStyle name="입력 2 8 3 4 2" xfId="27468"/>
    <cellStyle name="입력 2 8 3 4 3" xfId="32155"/>
    <cellStyle name="입력 2 8 3 4 4" xfId="38380"/>
    <cellStyle name="입력 2 8 3 4 5" xfId="29956"/>
    <cellStyle name="입력 2 8 3 5" xfId="7992"/>
    <cellStyle name="입력 2 8 3 5 2" xfId="21220"/>
    <cellStyle name="입력 2 8 3 5 3" xfId="17243"/>
    <cellStyle name="입력 2 8 3 5 4" xfId="43911"/>
    <cellStyle name="입력 2 8 3 6" xfId="22929"/>
    <cellStyle name="입력 2 8 3 6 2" xfId="37348"/>
    <cellStyle name="입력 2 8 3 6 3" xfId="43268"/>
    <cellStyle name="입력 2 8 3 6 4" xfId="50102"/>
    <cellStyle name="입력 2 8 3 7" xfId="31662"/>
    <cellStyle name="입력 2 8 3 7 2" xfId="15275"/>
    <cellStyle name="입력 2 8 3 7 3" xfId="41177"/>
    <cellStyle name="입력 2 8 3 8" xfId="28507"/>
    <cellStyle name="입력 2 8 3 9" xfId="40537"/>
    <cellStyle name="입력 2 8 4" xfId="8187"/>
    <cellStyle name="입력 2 8 4 2" xfId="21415"/>
    <cellStyle name="입력 2 8 5" xfId="45778"/>
    <cellStyle name="입력 2 9" xfId="3298"/>
    <cellStyle name="입력 2 9 2" xfId="6472"/>
    <cellStyle name="입력 2 9 2 2" xfId="11206"/>
    <cellStyle name="입력 2 9 2 2 2" xfId="24434"/>
    <cellStyle name="입력 2 9 2 2 3" xfId="33836"/>
    <cellStyle name="입력 2 9 2 2 4" xfId="44944"/>
    <cellStyle name="입력 2 9 2 2 5" xfId="33135"/>
    <cellStyle name="입력 2 9 2 3" xfId="6809"/>
    <cellStyle name="입력 2 9 2 3 2" xfId="20037"/>
    <cellStyle name="입력 2 9 2 3 3" xfId="36262"/>
    <cellStyle name="입력 2 9 2 3 4" xfId="42155"/>
    <cellStyle name="입력 2 9 2 3 5" xfId="48989"/>
    <cellStyle name="입력 2 9 2 4" xfId="19700"/>
    <cellStyle name="입력 2 9 2 4 2" xfId="31191"/>
    <cellStyle name="입력 2 9 2 4 3" xfId="17102"/>
    <cellStyle name="입력 2 9 2 4 4" xfId="34163"/>
    <cellStyle name="입력 2 9 2 5" xfId="37457"/>
    <cellStyle name="입력 2 9 2 5 2" xfId="43377"/>
    <cellStyle name="입력 2 9 2 5 3" xfId="50211"/>
    <cellStyle name="입력 2 9 2 6" xfId="29524"/>
    <cellStyle name="입력 2 9 2 7" xfId="16171"/>
    <cellStyle name="입력 2 9 2 8" xfId="38687"/>
    <cellStyle name="입력 2 9 3" xfId="9702"/>
    <cellStyle name="입력 2 9 3 10" xfId="18117"/>
    <cellStyle name="입력 2 9 3 2" xfId="13339"/>
    <cellStyle name="입력 2 9 3 2 2" xfId="26567"/>
    <cellStyle name="입력 2 9 3 2 3" xfId="32819"/>
    <cellStyle name="입력 2 9 3 2 4" xfId="39039"/>
    <cellStyle name="입력 2 9 3 2 5" xfId="46244"/>
    <cellStyle name="입력 2 9 3 3" xfId="9086"/>
    <cellStyle name="입력 2 9 3 3 2" xfId="22314"/>
    <cellStyle name="입력 2 9 3 3 3" xfId="35315"/>
    <cellStyle name="입력 2 9 3 3 4" xfId="46080"/>
    <cellStyle name="입력 2 9 3 3 5" xfId="48018"/>
    <cellStyle name="입력 2 9 3 4" xfId="13488"/>
    <cellStyle name="입력 2 9 3 4 2" xfId="26716"/>
    <cellStyle name="입력 2 9 3 4 3" xfId="31082"/>
    <cellStyle name="입력 2 9 3 4 4" xfId="18598"/>
    <cellStyle name="입력 2 9 3 4 5" xfId="43940"/>
    <cellStyle name="입력 2 9 3 5" xfId="14353"/>
    <cellStyle name="입력 2 9 3 5 2" xfId="27581"/>
    <cellStyle name="입력 2 9 3 5 3" xfId="41508"/>
    <cellStyle name="입력 2 9 3 5 4" xfId="48342"/>
    <cellStyle name="입력 2 9 3 6" xfId="22930"/>
    <cellStyle name="입력 2 9 3 6 2" xfId="34860"/>
    <cellStyle name="입력 2 9 3 6 3" xfId="40859"/>
    <cellStyle name="입력 2 9 3 6 4" xfId="34589"/>
    <cellStyle name="입력 2 9 3 7" xfId="30217"/>
    <cellStyle name="입력 2 9 3 7 2" xfId="16666"/>
    <cellStyle name="입력 2 9 3 7 3" xfId="44556"/>
    <cellStyle name="입력 2 9 3 8" xfId="28508"/>
    <cellStyle name="입력 2 9 3 9" xfId="35863"/>
    <cellStyle name="입력 2 9 4" xfId="8188"/>
    <cellStyle name="입력 2 9 4 2" xfId="21416"/>
    <cellStyle name="입력 2 9 5" xfId="46738"/>
    <cellStyle name="입력 2_CRM팀 1단계 정보확인 DB 검색코드_110425" xfId="3299"/>
    <cellStyle name="입력 20" xfId="54328"/>
    <cellStyle name="입력 21" xfId="54329"/>
    <cellStyle name="입력 22" xfId="54330"/>
    <cellStyle name="입력 23" xfId="54331"/>
    <cellStyle name="입력 24" xfId="54332"/>
    <cellStyle name="입력 25" xfId="54333"/>
    <cellStyle name="입력 26" xfId="54334"/>
    <cellStyle name="입력 3" xfId="266"/>
    <cellStyle name="입력 3 2" xfId="3301"/>
    <cellStyle name="입력 3 2 2" xfId="51083"/>
    <cellStyle name="입력 3 3" xfId="3300"/>
    <cellStyle name="입력 3 3 2" xfId="6473"/>
    <cellStyle name="입력 3 3 2 2" xfId="11207"/>
    <cellStyle name="입력 3 3 2 2 2" xfId="24435"/>
    <cellStyle name="입력 3 3 2 2 3" xfId="33837"/>
    <cellStyle name="입력 3 3 2 2 4" xfId="44945"/>
    <cellStyle name="입력 3 3 2 2 5" xfId="39922"/>
    <cellStyle name="입력 3 3 2 3" xfId="8190"/>
    <cellStyle name="입력 3 3 2 3 2" xfId="21418"/>
    <cellStyle name="입력 3 3 2 3 3" xfId="36263"/>
    <cellStyle name="입력 3 3 2 3 4" xfId="42156"/>
    <cellStyle name="입력 3 3 2 3 5" xfId="48990"/>
    <cellStyle name="입력 3 3 2 4" xfId="19701"/>
    <cellStyle name="입력 3 3 2 4 2" xfId="34754"/>
    <cellStyle name="입력 3 3 2 4 3" xfId="40746"/>
    <cellStyle name="입력 3 3 2 4 4" xfId="28166"/>
    <cellStyle name="입력 3 3 2 5" xfId="37630"/>
    <cellStyle name="입력 3 3 2 5 2" xfId="43553"/>
    <cellStyle name="입력 3 3 2 5 3" xfId="50387"/>
    <cellStyle name="입력 3 3 2 6" xfId="29525"/>
    <cellStyle name="입력 3 3 2 7" xfId="16172"/>
    <cellStyle name="입력 3 3 2 8" xfId="34299"/>
    <cellStyle name="입력 3 3 3" xfId="9703"/>
    <cellStyle name="입력 3 3 3 10" xfId="34268"/>
    <cellStyle name="입력 3 3 3 2" xfId="13340"/>
    <cellStyle name="입력 3 3 3 2 2" xfId="26568"/>
    <cellStyle name="입력 3 3 3 2 3" xfId="32820"/>
    <cellStyle name="입력 3 3 3 2 4" xfId="39040"/>
    <cellStyle name="입력 3 3 3 2 5" xfId="34447"/>
    <cellStyle name="입력 3 3 3 3" xfId="7616"/>
    <cellStyle name="입력 3 3 3 3 2" xfId="20844"/>
    <cellStyle name="입력 3 3 3 3 3" xfId="35316"/>
    <cellStyle name="입력 3 3 3 3 4" xfId="46081"/>
    <cellStyle name="입력 3 3 3 3 5" xfId="48019"/>
    <cellStyle name="입력 3 3 3 4" xfId="14105"/>
    <cellStyle name="입력 3 3 3 4 2" xfId="27333"/>
    <cellStyle name="입력 3 3 3 4 3" xfId="31864"/>
    <cellStyle name="입력 3 3 3 4 4" xfId="38085"/>
    <cellStyle name="입력 3 3 3 4 5" xfId="46222"/>
    <cellStyle name="입력 3 3 3 5" xfId="13781"/>
    <cellStyle name="입력 3 3 3 5 2" xfId="27009"/>
    <cellStyle name="입력 3 3 3 5 3" xfId="17242"/>
    <cellStyle name="입력 3 3 3 5 4" xfId="34057"/>
    <cellStyle name="입력 3 3 3 6" xfId="22931"/>
    <cellStyle name="입력 3 3 3 6 2" xfId="37063"/>
    <cellStyle name="입력 3 3 3 6 3" xfId="42982"/>
    <cellStyle name="입력 3 3 3 6 4" xfId="49816"/>
    <cellStyle name="입력 3 3 3 7" xfId="30329"/>
    <cellStyle name="입력 3 3 3 7 2" xfId="17730"/>
    <cellStyle name="입력 3 3 3 7 3" xfId="44432"/>
    <cellStyle name="입력 3 3 3 8" xfId="28509"/>
    <cellStyle name="입력 3 3 3 9" xfId="17419"/>
    <cellStyle name="입력 3 3 4" xfId="8189"/>
    <cellStyle name="입력 3 3 4 2" xfId="21417"/>
    <cellStyle name="입력 3 3 5" xfId="15356"/>
    <cellStyle name="입력 3 4" xfId="54335"/>
    <cellStyle name="입력 3 5" xfId="54336"/>
    <cellStyle name="입력 3_사업부문" xfId="54337"/>
    <cellStyle name="입력 4" xfId="267"/>
    <cellStyle name="입력 4 2" xfId="3303"/>
    <cellStyle name="입력 4 2 2" xfId="51084"/>
    <cellStyle name="입력 4 3" xfId="3302"/>
    <cellStyle name="입력 4 3 2" xfId="6474"/>
    <cellStyle name="입력 4 3 2 2" xfId="11208"/>
    <cellStyle name="입력 4 3 2 2 2" xfId="24436"/>
    <cellStyle name="입력 4 3 2 2 3" xfId="33838"/>
    <cellStyle name="입력 4 3 2 2 4" xfId="44946"/>
    <cellStyle name="입력 4 3 2 2 5" xfId="39481"/>
    <cellStyle name="입력 4 3 2 3" xfId="6810"/>
    <cellStyle name="입력 4 3 2 3 2" xfId="20038"/>
    <cellStyle name="입력 4 3 2 3 3" xfId="36264"/>
    <cellStyle name="입력 4 3 2 3 4" xfId="42157"/>
    <cellStyle name="입력 4 3 2 3 5" xfId="48991"/>
    <cellStyle name="입력 4 3 2 4" xfId="19702"/>
    <cellStyle name="입력 4 3 2 4 2" xfId="30502"/>
    <cellStyle name="입력 4 3 2 4 3" xfId="16816"/>
    <cellStyle name="입력 4 3 2 4 4" xfId="44223"/>
    <cellStyle name="입력 4 3 2 5" xfId="34809"/>
    <cellStyle name="입력 4 3 2 5 2" xfId="40805"/>
    <cellStyle name="입력 4 3 2 5 3" xfId="34092"/>
    <cellStyle name="입력 4 3 2 6" xfId="29526"/>
    <cellStyle name="입력 4 3 2 7" xfId="16173"/>
    <cellStyle name="입력 4 3 2 8" xfId="45185"/>
    <cellStyle name="입력 4 3 3" xfId="9704"/>
    <cellStyle name="입력 4 3 3 10" xfId="40498"/>
    <cellStyle name="입력 4 3 3 2" xfId="13341"/>
    <cellStyle name="입력 4 3 3 2 2" xfId="26569"/>
    <cellStyle name="입력 4 3 3 2 3" xfId="32821"/>
    <cellStyle name="입력 4 3 3 2 4" xfId="39041"/>
    <cellStyle name="입력 4 3 3 2 5" xfId="46998"/>
    <cellStyle name="입력 4 3 3 3" xfId="7617"/>
    <cellStyle name="입력 4 3 3 3 2" xfId="20845"/>
    <cellStyle name="입력 4 3 3 3 3" xfId="35317"/>
    <cellStyle name="입력 4 3 3 3 4" xfId="46082"/>
    <cellStyle name="입력 4 3 3 3 5" xfId="48020"/>
    <cellStyle name="입력 4 3 3 4" xfId="13579"/>
    <cellStyle name="입력 4 3 3 4 2" xfId="26807"/>
    <cellStyle name="입력 4 3 3 4 3" xfId="29838"/>
    <cellStyle name="입력 4 3 3 4 4" xfId="14609"/>
    <cellStyle name="입력 4 3 3 4 5" xfId="17889"/>
    <cellStyle name="입력 4 3 3 5" xfId="8447"/>
    <cellStyle name="입력 4 3 3 5 2" xfId="21675"/>
    <cellStyle name="입력 4 3 3 5 3" xfId="42699"/>
    <cellStyle name="입력 4 3 3 5 4" xfId="49533"/>
    <cellStyle name="입력 4 3 3 6" xfId="22932"/>
    <cellStyle name="입력 4 3 3 6 2" xfId="32332"/>
    <cellStyle name="입력 4 3 3 6 3" xfId="38550"/>
    <cellStyle name="입력 4 3 3 6 4" xfId="47019"/>
    <cellStyle name="입력 4 3 3 7" xfId="37773"/>
    <cellStyle name="입력 4 3 3 7 2" xfId="43697"/>
    <cellStyle name="입력 4 3 3 7 3" xfId="50531"/>
    <cellStyle name="입력 4 3 3 8" xfId="28510"/>
    <cellStyle name="입력 4 3 3 9" xfId="15447"/>
    <cellStyle name="입력 4 3 4" xfId="8191"/>
    <cellStyle name="입력 4 3 4 2" xfId="21419"/>
    <cellStyle name="입력 4 3 5" xfId="32558"/>
    <cellStyle name="입력 4 4" xfId="54338"/>
    <cellStyle name="입력 4 5" xfId="54339"/>
    <cellStyle name="입력 4_사업부문" xfId="54340"/>
    <cellStyle name="입력 5" xfId="268"/>
    <cellStyle name="입력 5 2" xfId="3305"/>
    <cellStyle name="입력 5 2 2" xfId="51085"/>
    <cellStyle name="입력 5 3" xfId="3304"/>
    <cellStyle name="입력 5 3 2" xfId="6475"/>
    <cellStyle name="입력 5 3 2 2" xfId="11209"/>
    <cellStyle name="입력 5 3 2 2 2" xfId="24437"/>
    <cellStyle name="입력 5 3 2 2 3" xfId="33839"/>
    <cellStyle name="입력 5 3 2 2 4" xfId="44947"/>
    <cellStyle name="입력 5 3 2 2 5" xfId="15751"/>
    <cellStyle name="입력 5 3 2 3" xfId="8192"/>
    <cellStyle name="입력 5 3 2 3 2" xfId="21420"/>
    <cellStyle name="입력 5 3 2 3 3" xfId="36265"/>
    <cellStyle name="입력 5 3 2 3 4" xfId="42158"/>
    <cellStyle name="입력 5 3 2 3 5" xfId="48992"/>
    <cellStyle name="입력 5 3 2 4" xfId="19703"/>
    <cellStyle name="입력 5 3 2 4 2" xfId="31765"/>
    <cellStyle name="입력 5 3 2 4 3" xfId="37986"/>
    <cellStyle name="입력 5 3 2 4 4" xfId="46181"/>
    <cellStyle name="입력 5 3 2 5" xfId="31272"/>
    <cellStyle name="입력 5 3 2 5 2" xfId="17164"/>
    <cellStyle name="입력 5 3 2 5 3" xfId="44611"/>
    <cellStyle name="입력 5 3 2 6" xfId="29527"/>
    <cellStyle name="입력 5 3 2 7" xfId="16174"/>
    <cellStyle name="입력 5 3 2 8" xfId="44052"/>
    <cellStyle name="입력 5 3 3" xfId="9705"/>
    <cellStyle name="입력 5 3 3 10" xfId="39439"/>
    <cellStyle name="입력 5 3 3 2" xfId="13342"/>
    <cellStyle name="입력 5 3 3 2 2" xfId="26570"/>
    <cellStyle name="입력 5 3 3 2 3" xfId="32822"/>
    <cellStyle name="입력 5 3 3 2 4" xfId="39042"/>
    <cellStyle name="입력 5 3 3 2 5" xfId="47262"/>
    <cellStyle name="입력 5 3 3 3" xfId="8561"/>
    <cellStyle name="입력 5 3 3 3 2" xfId="21789"/>
    <cellStyle name="입력 5 3 3 3 3" xfId="35318"/>
    <cellStyle name="입력 5 3 3 3 4" xfId="46083"/>
    <cellStyle name="입력 5 3 3 3 5" xfId="48021"/>
    <cellStyle name="입력 5 3 3 4" xfId="14186"/>
    <cellStyle name="입력 5 3 3 4 2" xfId="27414"/>
    <cellStyle name="입력 5 3 3 4 3" xfId="31080"/>
    <cellStyle name="입력 5 3 3 4 4" xfId="18596"/>
    <cellStyle name="입력 5 3 3 4 5" xfId="17410"/>
    <cellStyle name="입력 5 3 3 5" xfId="7766"/>
    <cellStyle name="입력 5 3 3 5 2" xfId="20994"/>
    <cellStyle name="입력 5 3 3 5 3" xfId="15244"/>
    <cellStyle name="입력 5 3 3 5 4" xfId="46744"/>
    <cellStyle name="입력 5 3 3 6" xfId="22933"/>
    <cellStyle name="입력 5 3 3 6 2" xfId="32362"/>
    <cellStyle name="입력 5 3 3 6 3" xfId="38580"/>
    <cellStyle name="입력 5 3 3 6 4" xfId="46366"/>
    <cellStyle name="입력 5 3 3 7" xfId="32334"/>
    <cellStyle name="입력 5 3 3 7 2" xfId="38552"/>
    <cellStyle name="입력 5 3 3 7 3" xfId="44147"/>
    <cellStyle name="입력 5 3 3 8" xfId="28511"/>
    <cellStyle name="입력 5 3 3 9" xfId="15417"/>
    <cellStyle name="입력 5 3 4" xfId="8193"/>
    <cellStyle name="입력 5 3 4 2" xfId="21421"/>
    <cellStyle name="입력 5 3 5" xfId="45111"/>
    <cellStyle name="입력 5_사업부문" xfId="54341"/>
    <cellStyle name="입력 6" xfId="269"/>
    <cellStyle name="입력 6 2" xfId="3307"/>
    <cellStyle name="입력 6 2 2" xfId="51086"/>
    <cellStyle name="입력 6 3" xfId="3306"/>
    <cellStyle name="입력 6 3 2" xfId="6476"/>
    <cellStyle name="입력 6 3 2 2" xfId="11210"/>
    <cellStyle name="입력 6 3 2 2 2" xfId="24438"/>
    <cellStyle name="입력 6 3 2 2 3" xfId="33840"/>
    <cellStyle name="입력 6 3 2 2 4" xfId="44948"/>
    <cellStyle name="입력 6 3 2 2 5" xfId="41232"/>
    <cellStyle name="입력 6 3 2 3" xfId="6811"/>
    <cellStyle name="입력 6 3 2 3 2" xfId="20039"/>
    <cellStyle name="입력 6 3 2 3 3" xfId="36266"/>
    <cellStyle name="입력 6 3 2 3 4" xfId="42159"/>
    <cellStyle name="입력 6 3 2 3 5" xfId="48993"/>
    <cellStyle name="입력 6 3 2 4" xfId="19704"/>
    <cellStyle name="입력 6 3 2 4 2" xfId="30386"/>
    <cellStyle name="입력 6 3 2 4 3" xfId="16800"/>
    <cellStyle name="입력 6 3 2 4 4" xfId="38762"/>
    <cellStyle name="입력 6 3 2 5" xfId="36713"/>
    <cellStyle name="입력 6 3 2 5 2" xfId="42618"/>
    <cellStyle name="입력 6 3 2 5 3" xfId="49452"/>
    <cellStyle name="입력 6 3 2 6" xfId="29528"/>
    <cellStyle name="입력 6 3 2 7" xfId="16175"/>
    <cellStyle name="입력 6 3 2 8" xfId="32441"/>
    <cellStyle name="입력 6 3 3" xfId="9706"/>
    <cellStyle name="입력 6 3 3 10" xfId="30016"/>
    <cellStyle name="입력 6 3 3 2" xfId="13343"/>
    <cellStyle name="입력 6 3 3 2 2" xfId="26571"/>
    <cellStyle name="입력 6 3 3 2 3" xfId="32823"/>
    <cellStyle name="입력 6 3 3 2 4" xfId="39043"/>
    <cellStyle name="입력 6 3 3 2 5" xfId="46321"/>
    <cellStyle name="입력 6 3 3 3" xfId="6745"/>
    <cellStyle name="입력 6 3 3 3 2" xfId="19973"/>
    <cellStyle name="입력 6 3 3 3 3" xfId="35319"/>
    <cellStyle name="입력 6 3 3 3 4" xfId="46084"/>
    <cellStyle name="입력 6 3 3 3 5" xfId="48022"/>
    <cellStyle name="입력 6 3 3 4" xfId="13047"/>
    <cellStyle name="입력 6 3 3 4 2" xfId="26275"/>
    <cellStyle name="입력 6 3 3 4 3" xfId="31865"/>
    <cellStyle name="입력 6 3 3 4 4" xfId="38086"/>
    <cellStyle name="입력 6 3 3 4 5" xfId="31413"/>
    <cellStyle name="입력 6 3 3 5" xfId="14324"/>
    <cellStyle name="입력 6 3 3 5 2" xfId="27552"/>
    <cellStyle name="입력 6 3 3 5 3" xfId="40981"/>
    <cellStyle name="입력 6 3 3 5 4" xfId="47677"/>
    <cellStyle name="입력 6 3 3 6" xfId="22934"/>
    <cellStyle name="입력 6 3 3 6 2" xfId="37451"/>
    <cellStyle name="입력 6 3 3 6 3" xfId="43371"/>
    <cellStyle name="입력 6 3 3 6 4" xfId="50205"/>
    <cellStyle name="입력 6 3 3 7" xfId="35468"/>
    <cellStyle name="입력 6 3 3 7 2" xfId="41337"/>
    <cellStyle name="입력 6 3 3 7 3" xfId="48171"/>
    <cellStyle name="입력 6 3 3 8" xfId="28512"/>
    <cellStyle name="입력 6 3 3 9" xfId="16463"/>
    <cellStyle name="입력 6 3 4" xfId="8195"/>
    <cellStyle name="입력 6 3 4 2" xfId="21423"/>
    <cellStyle name="입력 6 3 5" xfId="47391"/>
    <cellStyle name="입력 6_사업부문" xfId="54342"/>
    <cellStyle name="입력 7" xfId="270"/>
    <cellStyle name="입력 7 2" xfId="5291"/>
    <cellStyle name="입력 7 2 10" xfId="14328"/>
    <cellStyle name="입력 7 2 10 2" xfId="27556"/>
    <cellStyle name="입력 7 2 10 3" xfId="30198"/>
    <cellStyle name="입력 7 2 10 4" xfId="43996"/>
    <cellStyle name="입력 7 2 11" xfId="18534"/>
    <cellStyle name="입력 7 2 12" xfId="28070"/>
    <cellStyle name="입력 7 2 13" xfId="28707"/>
    <cellStyle name="입력 7 2 14" xfId="44480"/>
    <cellStyle name="입력 7 2 2" xfId="6660"/>
    <cellStyle name="입력 7 2 2 2" xfId="11394"/>
    <cellStyle name="입력 7 2 2 2 2" xfId="24622"/>
    <cellStyle name="입력 7 2 2 2 3" xfId="34024"/>
    <cellStyle name="입력 7 2 2 2 4" xfId="45088"/>
    <cellStyle name="입력 7 2 2 2 5" xfId="32537"/>
    <cellStyle name="입력 7 2 2 3" xfId="9119"/>
    <cellStyle name="입력 7 2 2 3 2" xfId="22347"/>
    <cellStyle name="입력 7 2 2 3 3" xfId="36449"/>
    <cellStyle name="입력 7 2 2 3 4" xfId="42342"/>
    <cellStyle name="입력 7 2 2 3 5" xfId="49176"/>
    <cellStyle name="입력 7 2 2 4" xfId="19888"/>
    <cellStyle name="입력 7 2 2 4 2" xfId="37220"/>
    <cellStyle name="입력 7 2 2 4 3" xfId="43139"/>
    <cellStyle name="입력 7 2 2 4 4" xfId="49973"/>
    <cellStyle name="입력 7 2 2 5" xfId="34981"/>
    <cellStyle name="입력 7 2 2 5 2" xfId="40985"/>
    <cellStyle name="입력 7 2 2 5 3" xfId="47681"/>
    <cellStyle name="입력 7 2 2 6" xfId="29712"/>
    <cellStyle name="입력 7 2 2 7" xfId="32139"/>
    <cellStyle name="입력 7 2 2 8" xfId="44331"/>
    <cellStyle name="입력 7 2 3" xfId="6686"/>
    <cellStyle name="입력 7 2 3 2" xfId="11420"/>
    <cellStyle name="입력 7 2 3 2 2" xfId="24648"/>
    <cellStyle name="입력 7 2 3 2 3" xfId="34050"/>
    <cellStyle name="입력 7 2 3 2 4" xfId="45112"/>
    <cellStyle name="입력 7 2 3 2 5" xfId="29954"/>
    <cellStyle name="입력 7 2 3 3" xfId="8309"/>
    <cellStyle name="입력 7 2 3 3 2" xfId="21537"/>
    <cellStyle name="입력 7 2 3 3 3" xfId="36475"/>
    <cellStyle name="입력 7 2 3 3 4" xfId="42368"/>
    <cellStyle name="입력 7 2 3 3 5" xfId="49202"/>
    <cellStyle name="입력 7 2 3 4" xfId="19914"/>
    <cellStyle name="입력 7 2 3 4 2" xfId="36738"/>
    <cellStyle name="입력 7 2 3 4 3" xfId="42643"/>
    <cellStyle name="입력 7 2 3 4 4" xfId="49477"/>
    <cellStyle name="입력 7 2 3 5" xfId="30497"/>
    <cellStyle name="입력 7 2 3 5 2" xfId="18147"/>
    <cellStyle name="입력 7 2 3 5 3" xfId="47558"/>
    <cellStyle name="입력 7 2 3 6" xfId="29738"/>
    <cellStyle name="입력 7 2 3 7" xfId="30691"/>
    <cellStyle name="입력 7 2 3 8" xfId="39396"/>
    <cellStyle name="입력 7 2 4" xfId="6664"/>
    <cellStyle name="입력 7 2 4 2" xfId="11398"/>
    <cellStyle name="입력 7 2 4 2 2" xfId="24626"/>
    <cellStyle name="입력 7 2 4 2 3" xfId="34028"/>
    <cellStyle name="입력 7 2 4 2 4" xfId="45091"/>
    <cellStyle name="입력 7 2 4 2 5" xfId="41266"/>
    <cellStyle name="입력 7 2 4 3" xfId="9123"/>
    <cellStyle name="입력 7 2 4 3 2" xfId="22351"/>
    <cellStyle name="입력 7 2 4 3 3" xfId="36453"/>
    <cellStyle name="입력 7 2 4 3 4" xfId="42346"/>
    <cellStyle name="입력 7 2 4 3 5" xfId="49180"/>
    <cellStyle name="입력 7 2 4 4" xfId="19892"/>
    <cellStyle name="입력 7 2 4 4 2" xfId="36755"/>
    <cellStyle name="입력 7 2 4 4 3" xfId="42662"/>
    <cellStyle name="입력 7 2 4 4 4" xfId="49496"/>
    <cellStyle name="입력 7 2 4 5" xfId="31713"/>
    <cellStyle name="입력 7 2 4 5 2" xfId="17770"/>
    <cellStyle name="입력 7 2 4 5 3" xfId="46185"/>
    <cellStyle name="입력 7 2 4 6" xfId="29716"/>
    <cellStyle name="입력 7 2 4 7" xfId="36894"/>
    <cellStyle name="입력 7 2 4 8" xfId="28251"/>
    <cellStyle name="입력 7 2 5" xfId="6114"/>
    <cellStyle name="입력 7 2 5 10" xfId="45567"/>
    <cellStyle name="입력 7 2 5 2" xfId="12667"/>
    <cellStyle name="입력 7 2 5 2 2" xfId="14406"/>
    <cellStyle name="입력 7 2 5 2 2 2" xfId="27634"/>
    <cellStyle name="입력 7 2 5 2 2 3" xfId="36988"/>
    <cellStyle name="입력 7 2 5 2 2 4" xfId="42907"/>
    <cellStyle name="입력 7 2 5 2 2 5" xfId="49741"/>
    <cellStyle name="입력 7 2 5 2 3" xfId="25895"/>
    <cellStyle name="입력 7 2 5 2 3 2" xfId="37856"/>
    <cellStyle name="입력 7 2 5 2 3 3" xfId="43781"/>
    <cellStyle name="입력 7 2 5 2 3 4" xfId="50615"/>
    <cellStyle name="입력 7 2 5 2 4" xfId="37934"/>
    <cellStyle name="입력 7 2 5 2 4 2" xfId="43859"/>
    <cellStyle name="입력 7 2 5 2 4 3" xfId="50693"/>
    <cellStyle name="입력 7 2 5 2 5" xfId="34647"/>
    <cellStyle name="입력 7 2 5 2 6" xfId="39624"/>
    <cellStyle name="입력 7 2 5 3" xfId="10848"/>
    <cellStyle name="입력 7 2 5 3 2" xfId="24076"/>
    <cellStyle name="입력 7 2 5 3 3" xfId="33478"/>
    <cellStyle name="입력 7 2 5 3 4" xfId="39663"/>
    <cellStyle name="입력 7 2 5 3 5" xfId="30032"/>
    <cellStyle name="입력 7 2 5 4" xfId="13740"/>
    <cellStyle name="입력 7 2 5 4 2" xfId="26968"/>
    <cellStyle name="입력 7 2 5 4 3" xfId="32384"/>
    <cellStyle name="입력 7 2 5 4 4" xfId="38602"/>
    <cellStyle name="입력 7 2 5 4 5" xfId="47038"/>
    <cellStyle name="입력 7 2 5 5" xfId="13545"/>
    <cellStyle name="입력 7 2 5 5 2" xfId="26773"/>
    <cellStyle name="입력 7 2 5 5 3" xfId="30460"/>
    <cellStyle name="입력 7 2 5 5 4" xfId="15181"/>
    <cellStyle name="입력 7 2 5 5 5" xfId="46041"/>
    <cellStyle name="입력 7 2 5 6" xfId="13508"/>
    <cellStyle name="입력 7 2 5 6 2" xfId="26736"/>
    <cellStyle name="입력 7 2 5 6 3" xfId="40953"/>
    <cellStyle name="입력 7 2 5 6 4" xfId="47649"/>
    <cellStyle name="입력 7 2 5 7" xfId="30863"/>
    <cellStyle name="입력 7 2 5 7 2" xfId="28015"/>
    <cellStyle name="입력 7 2 5 7 3" xfId="39219"/>
    <cellStyle name="입력 7 2 5 8" xfId="29166"/>
    <cellStyle name="입력 7 2 5 9" xfId="34466"/>
    <cellStyle name="입력 7 2 6" xfId="10150"/>
    <cellStyle name="입력 7 2 6 2" xfId="8591"/>
    <cellStyle name="입력 7 2 6 2 2" xfId="21819"/>
    <cellStyle name="입력 7 2 6 2 3" xfId="33096"/>
    <cellStyle name="입력 7 2 6 2 4" xfId="44381"/>
    <cellStyle name="입력 7 2 6 2 5" xfId="40349"/>
    <cellStyle name="입력 7 2 6 3" xfId="23378"/>
    <cellStyle name="입력 7 2 6 3 2" xfId="35582"/>
    <cellStyle name="입력 7 2 6 3 3" xfId="41458"/>
    <cellStyle name="입력 7 2 6 3 4" xfId="48292"/>
    <cellStyle name="입력 7 2 6 4" xfId="34949"/>
    <cellStyle name="입력 7 2 6 4 2" xfId="40947"/>
    <cellStyle name="입력 7 2 6 4 3" xfId="47643"/>
    <cellStyle name="입력 7 2 6 5" xfId="35022"/>
    <cellStyle name="입력 7 2 6 5 2" xfId="41026"/>
    <cellStyle name="입력 7 2 6 5 3" xfId="47722"/>
    <cellStyle name="입력 7 2 6 6" xfId="28793"/>
    <cellStyle name="입력 7 2 6 7" xfId="15768"/>
    <cellStyle name="입력 7 2 6 8" xfId="33383"/>
    <cellStyle name="입력 7 2 7" xfId="9110"/>
    <cellStyle name="입력 7 2 7 2" xfId="22338"/>
    <cellStyle name="입력 7 2 7 3" xfId="30744"/>
    <cellStyle name="입력 7 2 7 4" xfId="27736"/>
    <cellStyle name="입력 7 2 7 5" xfId="39541"/>
    <cellStyle name="입력 7 2 8" xfId="13008"/>
    <cellStyle name="입력 7 2 8 2" xfId="26236"/>
    <cellStyle name="입력 7 2 8 3" xfId="35561"/>
    <cellStyle name="입력 7 2 8 4" xfId="41437"/>
    <cellStyle name="입력 7 2 8 5" xfId="48271"/>
    <cellStyle name="입력 7 2 9" xfId="7201"/>
    <cellStyle name="입력 7 2 9 2" xfId="20429"/>
    <cellStyle name="입력 7 2 9 3" xfId="34916"/>
    <cellStyle name="입력 7 2 9 4" xfId="40914"/>
    <cellStyle name="입력 7 2 9 5" xfId="39186"/>
    <cellStyle name="입력 7 3" xfId="51087"/>
    <cellStyle name="입력 7_사업부문" xfId="54343"/>
    <cellStyle name="입력 8" xfId="3308"/>
    <cellStyle name="입력 8 2" xfId="6477"/>
    <cellStyle name="입력 8 2 2" xfId="11211"/>
    <cellStyle name="입력 8 2 2 2" xfId="24439"/>
    <cellStyle name="입력 8 2 2 3" xfId="33841"/>
    <cellStyle name="입력 8 2 2 4" xfId="44949"/>
    <cellStyle name="입력 8 2 2 5" xfId="34395"/>
    <cellStyle name="입력 8 2 3" xfId="8194"/>
    <cellStyle name="입력 8 2 3 2" xfId="21422"/>
    <cellStyle name="입력 8 2 3 3" xfId="36267"/>
    <cellStyle name="입력 8 2 3 4" xfId="42160"/>
    <cellStyle name="입력 8 2 3 5" xfId="48994"/>
    <cellStyle name="입력 8 2 4" xfId="19705"/>
    <cellStyle name="입력 8 2 4 2" xfId="30367"/>
    <cellStyle name="입력 8 2 4 3" xfId="16779"/>
    <cellStyle name="입력 8 2 4 4" xfId="44431"/>
    <cellStyle name="입력 8 2 5" xfId="30166"/>
    <cellStyle name="입력 8 2 5 2" xfId="16627"/>
    <cellStyle name="입력 8 2 5 3" xfId="44437"/>
    <cellStyle name="입력 8 2 6" xfId="29529"/>
    <cellStyle name="입력 8 2 7" xfId="16176"/>
    <cellStyle name="입력 8 2 8" xfId="44453"/>
    <cellStyle name="입력 8 3" xfId="9707"/>
    <cellStyle name="입력 8 3 10" xfId="38781"/>
    <cellStyle name="입력 8 3 2" xfId="13344"/>
    <cellStyle name="입력 8 3 2 2" xfId="26572"/>
    <cellStyle name="입력 8 3 2 3" xfId="32824"/>
    <cellStyle name="입력 8 3 2 4" xfId="39044"/>
    <cellStyle name="입력 8 3 2 5" xfId="45815"/>
    <cellStyle name="입력 8 3 3" xfId="7651"/>
    <cellStyle name="입력 8 3 3 2" xfId="20879"/>
    <cellStyle name="입력 8 3 3 3" xfId="35320"/>
    <cellStyle name="입력 8 3 3 4" xfId="46085"/>
    <cellStyle name="입력 8 3 3 5" xfId="48023"/>
    <cellStyle name="입력 8 3 4" xfId="14044"/>
    <cellStyle name="입력 8 3 4 2" xfId="27272"/>
    <cellStyle name="입력 8 3 4 3" xfId="32156"/>
    <cellStyle name="입력 8 3 4 4" xfId="38381"/>
    <cellStyle name="입력 8 3 4 5" xfId="47584"/>
    <cellStyle name="입력 8 3 5" xfId="13010"/>
    <cellStyle name="입력 8 3 5 2" xfId="26238"/>
    <cellStyle name="입력 8 3 5 3" xfId="15124"/>
    <cellStyle name="입력 8 3 5 4" xfId="15711"/>
    <cellStyle name="입력 8 3 6" xfId="22935"/>
    <cellStyle name="입력 8 3 6 2" xfId="31269"/>
    <cellStyle name="입력 8 3 6 3" xfId="17162"/>
    <cellStyle name="입력 8 3 6 4" xfId="43973"/>
    <cellStyle name="입력 8 3 7" xfId="34972"/>
    <cellStyle name="입력 8 3 7 2" xfId="40970"/>
    <cellStyle name="입력 8 3 7 3" xfId="47666"/>
    <cellStyle name="입력 8 3 8" xfId="28513"/>
    <cellStyle name="입력 8 3 9" xfId="40089"/>
    <cellStyle name="입력 8 4" xfId="8197"/>
    <cellStyle name="입력 8 4 2" xfId="21425"/>
    <cellStyle name="입력 8 5" xfId="46735"/>
    <cellStyle name="입력 9" xfId="3270"/>
    <cellStyle name="입력 9 2" xfId="6446"/>
    <cellStyle name="입력 9 2 2" xfId="11180"/>
    <cellStyle name="입력 9 2 2 2" xfId="24408"/>
    <cellStyle name="입력 9 2 2 3" xfId="33810"/>
    <cellStyle name="입력 9 2 2 4" xfId="44918"/>
    <cellStyle name="입력 9 2 2 5" xfId="28677"/>
    <cellStyle name="입력 9 2 3" xfId="8121"/>
    <cellStyle name="입력 9 2 3 2" xfId="21349"/>
    <cellStyle name="입력 9 2 3 3" xfId="36236"/>
    <cellStyle name="입력 9 2 3 4" xfId="42129"/>
    <cellStyle name="입력 9 2 3 5" xfId="48963"/>
    <cellStyle name="입력 9 2 4" xfId="19674"/>
    <cellStyle name="입력 9 2 4 2" xfId="37318"/>
    <cellStyle name="입력 9 2 4 3" xfId="43238"/>
    <cellStyle name="입력 9 2 4 4" xfId="50072"/>
    <cellStyle name="입력 9 2 5" xfId="35636"/>
    <cellStyle name="입력 9 2 5 2" xfId="41516"/>
    <cellStyle name="입력 9 2 5 3" xfId="48350"/>
    <cellStyle name="입력 9 2 6" xfId="29498"/>
    <cellStyle name="입력 9 2 7" xfId="17660"/>
    <cellStyle name="입력 9 2 8" xfId="45440"/>
    <cellStyle name="입력 9 3" xfId="9676"/>
    <cellStyle name="입력 9 3 10" xfId="38522"/>
    <cellStyle name="입력 9 3 2" xfId="13313"/>
    <cellStyle name="입력 9 3 2 2" xfId="26541"/>
    <cellStyle name="입력 9 3 2 3" xfId="32793"/>
    <cellStyle name="입력 9 3 2 4" xfId="39013"/>
    <cellStyle name="입력 9 3 2 5" xfId="47464"/>
    <cellStyle name="입력 9 3 3" xfId="6735"/>
    <cellStyle name="입력 9 3 3 2" xfId="19963"/>
    <cellStyle name="입력 9 3 3 3" xfId="35289"/>
    <cellStyle name="입력 9 3 3 4" xfId="46054"/>
    <cellStyle name="입력 9 3 3 5" xfId="47992"/>
    <cellStyle name="입력 9 3 4" xfId="13487"/>
    <cellStyle name="입력 9 3 4 2" xfId="26715"/>
    <cellStyle name="입력 9 3 4 3" xfId="32340"/>
    <cellStyle name="입력 9 3 4 4" xfId="38558"/>
    <cellStyle name="입력 9 3 4 5" xfId="47316"/>
    <cellStyle name="입력 9 3 5" xfId="6767"/>
    <cellStyle name="입력 9 3 5 2" xfId="19995"/>
    <cellStyle name="입력 9 3 5 3" xfId="42870"/>
    <cellStyle name="입력 9 3 5 4" xfId="49704"/>
    <cellStyle name="입력 9 3 6" xfId="22904"/>
    <cellStyle name="입력 9 3 6 2" xfId="37405"/>
    <cellStyle name="입력 9 3 6 3" xfId="43325"/>
    <cellStyle name="입력 9 3 6 4" xfId="50159"/>
    <cellStyle name="입력 9 3 7" xfId="31238"/>
    <cellStyle name="입력 9 3 7 2" xfId="14782"/>
    <cellStyle name="입력 9 3 7 3" xfId="34340"/>
    <cellStyle name="입력 9 3 8" xfId="28482"/>
    <cellStyle name="입력 9 3 9" xfId="38670"/>
    <cellStyle name="입력 9 4" xfId="8161"/>
    <cellStyle name="입력 9 4 2" xfId="21389"/>
    <cellStyle name="입력 9 5" xfId="43905"/>
    <cellStyle name="자리수" xfId="271"/>
    <cellStyle name="자리수 2" xfId="54344"/>
    <cellStyle name="자리수 2 2" xfId="54345"/>
    <cellStyle name="자리수0" xfId="272"/>
    <cellStyle name="자리수0 2" xfId="54346"/>
    <cellStyle name="자리수0 2 2" xfId="54347"/>
    <cellStyle name="장-품경" xfId="54348"/>
    <cellStyle name="제목 1 10" xfId="54349"/>
    <cellStyle name="제목 1 10 2" xfId="54350"/>
    <cellStyle name="제목 1 11" xfId="54351"/>
    <cellStyle name="제목 1 11 2" xfId="54352"/>
    <cellStyle name="제목 1 12" xfId="54353"/>
    <cellStyle name="제목 1 13" xfId="54354"/>
    <cellStyle name="제목 1 14" xfId="54355"/>
    <cellStyle name="제목 1 15" xfId="54356"/>
    <cellStyle name="제목 1 16" xfId="54357"/>
    <cellStyle name="제목 1 17" xfId="54358"/>
    <cellStyle name="제목 1 18" xfId="54359"/>
    <cellStyle name="제목 1 19" xfId="54360"/>
    <cellStyle name="제목 1 2" xfId="273"/>
    <cellStyle name="제목 1 2 10" xfId="3312"/>
    <cellStyle name="제목 1 2 11" xfId="3313"/>
    <cellStyle name="제목 1 2 12" xfId="3314"/>
    <cellStyle name="제목 1 2 13" xfId="3315"/>
    <cellStyle name="제목 1 2 14" xfId="3316"/>
    <cellStyle name="제목 1 2 15" xfId="3317"/>
    <cellStyle name="제목 1 2 16" xfId="3318"/>
    <cellStyle name="제목 1 2 17" xfId="3319"/>
    <cellStyle name="제목 1 2 18" xfId="3320"/>
    <cellStyle name="제목 1 2 19" xfId="3321"/>
    <cellStyle name="제목 1 2 2" xfId="3322"/>
    <cellStyle name="제목 1 2 2 2" xfId="3323"/>
    <cellStyle name="제목 1 2 2_CRM팀 1단계 정보확인 DB 검색코드_110425" xfId="3324"/>
    <cellStyle name="제목 1 2 20" xfId="3325"/>
    <cellStyle name="제목 1 2 21" xfId="3326"/>
    <cellStyle name="제목 1 2 22" xfId="3327"/>
    <cellStyle name="제목 1 2 23" xfId="3328"/>
    <cellStyle name="제목 1 2 24" xfId="3329"/>
    <cellStyle name="제목 1 2 25" xfId="3330"/>
    <cellStyle name="제목 1 2 26" xfId="3331"/>
    <cellStyle name="제목 1 2 27" xfId="4883"/>
    <cellStyle name="제목 1 2 28" xfId="3311"/>
    <cellStyle name="제목 1 2 29" xfId="51358"/>
    <cellStyle name="제목 1 2 3" xfId="3332"/>
    <cellStyle name="제목 1 2 4" xfId="3333"/>
    <cellStyle name="제목 1 2 5" xfId="3334"/>
    <cellStyle name="제목 1 2 6" xfId="3335"/>
    <cellStyle name="제목 1 2 7" xfId="3336"/>
    <cellStyle name="제목 1 2 8" xfId="3337"/>
    <cellStyle name="제목 1 2 9" xfId="3338"/>
    <cellStyle name="제목 1 2_CRM팀 1단계 정보확인 DB 검색코드_110425" xfId="3339"/>
    <cellStyle name="제목 1 20" xfId="54361"/>
    <cellStyle name="제목 1 21" xfId="54362"/>
    <cellStyle name="제목 1 22" xfId="54363"/>
    <cellStyle name="제목 1 23" xfId="54364"/>
    <cellStyle name="제목 1 24" xfId="54365"/>
    <cellStyle name="제목 1 25" xfId="54366"/>
    <cellStyle name="제목 1 26" xfId="54367"/>
    <cellStyle name="제목 1 3" xfId="274"/>
    <cellStyle name="제목 1 3 2" xfId="3341"/>
    <cellStyle name="제목 1 3 2 2" xfId="51088"/>
    <cellStyle name="제목 1 3 3" xfId="3340"/>
    <cellStyle name="제목 1 3 4" xfId="54368"/>
    <cellStyle name="제목 1 3 5" xfId="54369"/>
    <cellStyle name="제목 1 3_사업부문" xfId="54370"/>
    <cellStyle name="제목 1 4" xfId="275"/>
    <cellStyle name="제목 1 4 2" xfId="3343"/>
    <cellStyle name="제목 1 4 2 2" xfId="51089"/>
    <cellStyle name="제목 1 4 3" xfId="3342"/>
    <cellStyle name="제목 1 4 4" xfId="54371"/>
    <cellStyle name="제목 1 4 5" xfId="54372"/>
    <cellStyle name="제목 1 4_사업부문" xfId="54373"/>
    <cellStyle name="제목 1 5" xfId="276"/>
    <cellStyle name="제목 1 5 2" xfId="3345"/>
    <cellStyle name="제목 1 5 2 2" xfId="51090"/>
    <cellStyle name="제목 1 5 3" xfId="3344"/>
    <cellStyle name="제목 1 5_사업부문" xfId="54374"/>
    <cellStyle name="제목 1 6" xfId="277"/>
    <cellStyle name="제목 1 6 2" xfId="3347"/>
    <cellStyle name="제목 1 6 2 2" xfId="51091"/>
    <cellStyle name="제목 1 6 3" xfId="3346"/>
    <cellStyle name="제목 1 6_사업부문" xfId="54375"/>
    <cellStyle name="제목 1 7" xfId="278"/>
    <cellStyle name="제목 1 7 2" xfId="5292"/>
    <cellStyle name="제목 1 7 3" xfId="51092"/>
    <cellStyle name="제목 1 7_사업부문" xfId="54376"/>
    <cellStyle name="제목 1 8" xfId="3348"/>
    <cellStyle name="제목 1 8 2" xfId="54377"/>
    <cellStyle name="제목 1 8 3" xfId="54378"/>
    <cellStyle name="제목 1 9" xfId="3310"/>
    <cellStyle name="제목 1 9 2" xfId="54379"/>
    <cellStyle name="제목 10" xfId="279"/>
    <cellStyle name="제목 10 2" xfId="5293"/>
    <cellStyle name="제목 10 3" xfId="51093"/>
    <cellStyle name="제목 11" xfId="3349"/>
    <cellStyle name="제목 11 2" xfId="54380"/>
    <cellStyle name="제목 11 3" xfId="54381"/>
    <cellStyle name="제목 12" xfId="3350"/>
    <cellStyle name="제목 12 2" xfId="54382"/>
    <cellStyle name="제목 13" xfId="3351"/>
    <cellStyle name="제목 13 2" xfId="54383"/>
    <cellStyle name="제목 14" xfId="4603"/>
    <cellStyle name="제목 14 2" xfId="54384"/>
    <cellStyle name="제목 15" xfId="4600"/>
    <cellStyle name="제목 16" xfId="4659"/>
    <cellStyle name="제목 17" xfId="4672"/>
    <cellStyle name="제목 18" xfId="4662"/>
    <cellStyle name="제목 19" xfId="4670"/>
    <cellStyle name="제목 2 10" xfId="54385"/>
    <cellStyle name="제목 2 10 2" xfId="54386"/>
    <cellStyle name="제목 2 11" xfId="54387"/>
    <cellStyle name="제목 2 11 2" xfId="54388"/>
    <cellStyle name="제목 2 12" xfId="54389"/>
    <cellStyle name="제목 2 13" xfId="54390"/>
    <cellStyle name="제목 2 14" xfId="54391"/>
    <cellStyle name="제목 2 15" xfId="54392"/>
    <cellStyle name="제목 2 16" xfId="54393"/>
    <cellStyle name="제목 2 17" xfId="54394"/>
    <cellStyle name="제목 2 18" xfId="54395"/>
    <cellStyle name="제목 2 19" xfId="54396"/>
    <cellStyle name="제목 2 2" xfId="280"/>
    <cellStyle name="제목 2 2 10" xfId="3354"/>
    <cellStyle name="제목 2 2 11" xfId="3355"/>
    <cellStyle name="제목 2 2 12" xfId="3356"/>
    <cellStyle name="제목 2 2 13" xfId="3357"/>
    <cellStyle name="제목 2 2 14" xfId="3358"/>
    <cellStyle name="제목 2 2 15" xfId="3359"/>
    <cellStyle name="제목 2 2 16" xfId="3360"/>
    <cellStyle name="제목 2 2 17" xfId="3361"/>
    <cellStyle name="제목 2 2 18" xfId="3362"/>
    <cellStyle name="제목 2 2 19" xfId="3363"/>
    <cellStyle name="제목 2 2 2" xfId="3364"/>
    <cellStyle name="제목 2 2 2 2" xfId="3365"/>
    <cellStyle name="제목 2 2 2_CRM팀 1단계 정보확인 DB 검색코드_110425" xfId="3366"/>
    <cellStyle name="제목 2 2 20" xfId="3367"/>
    <cellStyle name="제목 2 2 21" xfId="3368"/>
    <cellStyle name="제목 2 2 22" xfId="3369"/>
    <cellStyle name="제목 2 2 23" xfId="3370"/>
    <cellStyle name="제목 2 2 24" xfId="3371"/>
    <cellStyle name="제목 2 2 25" xfId="3372"/>
    <cellStyle name="제목 2 2 26" xfId="3373"/>
    <cellStyle name="제목 2 2 27" xfId="4884"/>
    <cellStyle name="제목 2 2 28" xfId="3353"/>
    <cellStyle name="제목 2 2 29" xfId="51359"/>
    <cellStyle name="제목 2 2 3" xfId="3374"/>
    <cellStyle name="제목 2 2 4" xfId="3375"/>
    <cellStyle name="제목 2 2 5" xfId="3376"/>
    <cellStyle name="제목 2 2 6" xfId="3377"/>
    <cellStyle name="제목 2 2 7" xfId="3378"/>
    <cellStyle name="제목 2 2 8" xfId="3379"/>
    <cellStyle name="제목 2 2 9" xfId="3380"/>
    <cellStyle name="제목 2 2_CRM팀 1단계 정보확인 DB 검색코드_110425" xfId="3381"/>
    <cellStyle name="제목 2 20" xfId="54397"/>
    <cellStyle name="제목 2 21" xfId="54398"/>
    <cellStyle name="제목 2 22" xfId="54399"/>
    <cellStyle name="제목 2 23" xfId="54400"/>
    <cellStyle name="제목 2 24" xfId="54401"/>
    <cellStyle name="제목 2 25" xfId="54402"/>
    <cellStyle name="제목 2 26" xfId="54403"/>
    <cellStyle name="제목 2 3" xfId="281"/>
    <cellStyle name="제목 2 3 2" xfId="3383"/>
    <cellStyle name="제목 2 3 2 2" xfId="51094"/>
    <cellStyle name="제목 2 3 3" xfId="3382"/>
    <cellStyle name="제목 2 3 4" xfId="54404"/>
    <cellStyle name="제목 2 3 5" xfId="54405"/>
    <cellStyle name="제목 2 3_사업부문" xfId="54406"/>
    <cellStyle name="제목 2 4" xfId="282"/>
    <cellStyle name="제목 2 4 2" xfId="3385"/>
    <cellStyle name="제목 2 4 2 2" xfId="51095"/>
    <cellStyle name="제목 2 4 3" xfId="3384"/>
    <cellStyle name="제목 2 4 4" xfId="54407"/>
    <cellStyle name="제목 2 4 5" xfId="54408"/>
    <cellStyle name="제목 2 4_사업부문" xfId="54409"/>
    <cellStyle name="제목 2 5" xfId="283"/>
    <cellStyle name="제목 2 5 2" xfId="3387"/>
    <cellStyle name="제목 2 5 2 2" xfId="51096"/>
    <cellStyle name="제목 2 5 3" xfId="3386"/>
    <cellStyle name="제목 2 5_사업부문" xfId="54410"/>
    <cellStyle name="제목 2 6" xfId="284"/>
    <cellStyle name="제목 2 6 2" xfId="3389"/>
    <cellStyle name="제목 2 6 2 2" xfId="51097"/>
    <cellStyle name="제목 2 6 3" xfId="3388"/>
    <cellStyle name="제목 2 6_사업부문" xfId="54411"/>
    <cellStyle name="제목 2 7" xfId="285"/>
    <cellStyle name="제목 2 7 2" xfId="5294"/>
    <cellStyle name="제목 2 7 3" xfId="51098"/>
    <cellStyle name="제목 2 7_사업부문" xfId="54412"/>
    <cellStyle name="제목 2 8" xfId="3390"/>
    <cellStyle name="제목 2 8 2" xfId="54413"/>
    <cellStyle name="제목 2 8 3" xfId="54414"/>
    <cellStyle name="제목 2 9" xfId="3352"/>
    <cellStyle name="제목 2 9 2" xfId="54415"/>
    <cellStyle name="제목 20" xfId="4661"/>
    <cellStyle name="제목 21" xfId="4671"/>
    <cellStyle name="제목 22" xfId="4660"/>
    <cellStyle name="제목 23" xfId="4673"/>
    <cellStyle name="제목 24" xfId="4679"/>
    <cellStyle name="제목 25" xfId="4674"/>
    <cellStyle name="제목 26" xfId="4678"/>
    <cellStyle name="제목 27" xfId="4814"/>
    <cellStyle name="제목 28" xfId="4815"/>
    <cellStyle name="제목 29" xfId="4821"/>
    <cellStyle name="제목 3 10" xfId="54416"/>
    <cellStyle name="제목 3 10 2" xfId="54417"/>
    <cellStyle name="제목 3 11" xfId="54418"/>
    <cellStyle name="제목 3 11 2" xfId="54419"/>
    <cellStyle name="제목 3 12" xfId="54420"/>
    <cellStyle name="제목 3 13" xfId="54421"/>
    <cellStyle name="제목 3 14" xfId="54422"/>
    <cellStyle name="제목 3 15" xfId="54423"/>
    <cellStyle name="제목 3 16" xfId="54424"/>
    <cellStyle name="제목 3 17" xfId="54425"/>
    <cellStyle name="제목 3 18" xfId="54426"/>
    <cellStyle name="제목 3 19" xfId="54427"/>
    <cellStyle name="제목 3 2" xfId="286"/>
    <cellStyle name="제목 3 2 10" xfId="3393"/>
    <cellStyle name="제목 3 2 11" xfId="3394"/>
    <cellStyle name="제목 3 2 12" xfId="3395"/>
    <cellStyle name="제목 3 2 13" xfId="3396"/>
    <cellStyle name="제목 3 2 14" xfId="3397"/>
    <cellStyle name="제목 3 2 15" xfId="3398"/>
    <cellStyle name="제목 3 2 16" xfId="3399"/>
    <cellStyle name="제목 3 2 17" xfId="3400"/>
    <cellStyle name="제목 3 2 18" xfId="3401"/>
    <cellStyle name="제목 3 2 19" xfId="3402"/>
    <cellStyle name="제목 3 2 2" xfId="3403"/>
    <cellStyle name="제목 3 2 2 2" xfId="3404"/>
    <cellStyle name="제목 3 2 2 3" xfId="51099"/>
    <cellStyle name="제목 3 2 2_CRM팀 1단계 정보확인 DB 검색코드_110425" xfId="3405"/>
    <cellStyle name="제목 3 2 20" xfId="3406"/>
    <cellStyle name="제목 3 2 21" xfId="3407"/>
    <cellStyle name="제목 3 2 22" xfId="3408"/>
    <cellStyle name="제목 3 2 23" xfId="3409"/>
    <cellStyle name="제목 3 2 24" xfId="3410"/>
    <cellStyle name="제목 3 2 25" xfId="3411"/>
    <cellStyle name="제목 3 2 26" xfId="3412"/>
    <cellStyle name="제목 3 2 27" xfId="4885"/>
    <cellStyle name="제목 3 2 28" xfId="3392"/>
    <cellStyle name="제목 3 2 29" xfId="51360"/>
    <cellStyle name="제목 3 2 3" xfId="3413"/>
    <cellStyle name="제목 3 2 4" xfId="3414"/>
    <cellStyle name="제목 3 2 5" xfId="3415"/>
    <cellStyle name="제목 3 2 6" xfId="3416"/>
    <cellStyle name="제목 3 2 7" xfId="3417"/>
    <cellStyle name="제목 3 2 8" xfId="3418"/>
    <cellStyle name="제목 3 2 9" xfId="3419"/>
    <cellStyle name="제목 3 2_CRM팀 1단계 정보확인 DB 검색코드_110425" xfId="3420"/>
    <cellStyle name="제목 3 20" xfId="54428"/>
    <cellStyle name="제목 3 21" xfId="54429"/>
    <cellStyle name="제목 3 22" xfId="54430"/>
    <cellStyle name="제목 3 23" xfId="54431"/>
    <cellStyle name="제목 3 24" xfId="54432"/>
    <cellStyle name="제목 3 25" xfId="54433"/>
    <cellStyle name="제목 3 26" xfId="54434"/>
    <cellStyle name="제목 3 3" xfId="287"/>
    <cellStyle name="제목 3 3 10" xfId="5295"/>
    <cellStyle name="제목 3 3 11" xfId="5296"/>
    <cellStyle name="제목 3 3 2" xfId="3422"/>
    <cellStyle name="제목 3 3 2 10" xfId="5297"/>
    <cellStyle name="제목 3 3 2 11" xfId="51100"/>
    <cellStyle name="제목 3 3 2 2" xfId="5298"/>
    <cellStyle name="제목 3 3 2 3" xfId="5299"/>
    <cellStyle name="제목 3 3 2 4" xfId="5300"/>
    <cellStyle name="제목 3 3 2 5" xfId="5301"/>
    <cellStyle name="제목 3 3 2 6" xfId="5302"/>
    <cellStyle name="제목 3 3 2 7" xfId="5303"/>
    <cellStyle name="제목 3 3 2 8" xfId="5304"/>
    <cellStyle name="제목 3 3 2 9" xfId="5305"/>
    <cellStyle name="제목 3 3 3" xfId="3421"/>
    <cellStyle name="제목 3 3 4" xfId="5306"/>
    <cellStyle name="제목 3 3 5" xfId="5307"/>
    <cellStyle name="제목 3 3 6" xfId="5308"/>
    <cellStyle name="제목 3 3 7" xfId="5309"/>
    <cellStyle name="제목 3 3 8" xfId="5310"/>
    <cellStyle name="제목 3 3 9" xfId="5311"/>
    <cellStyle name="제목 3 3_사업부문" xfId="54435"/>
    <cellStyle name="제목 3 4" xfId="288"/>
    <cellStyle name="제목 3 4 10" xfId="5312"/>
    <cellStyle name="제목 3 4 11" xfId="5313"/>
    <cellStyle name="제목 3 4 2" xfId="3424"/>
    <cellStyle name="제목 3 4 2 10" xfId="5314"/>
    <cellStyle name="제목 3 4 2 11" xfId="51101"/>
    <cellStyle name="제목 3 4 2 2" xfId="5315"/>
    <cellStyle name="제목 3 4 2 3" xfId="5316"/>
    <cellStyle name="제목 3 4 2 4" xfId="5317"/>
    <cellStyle name="제목 3 4 2 5" xfId="5318"/>
    <cellStyle name="제목 3 4 2 6" xfId="5319"/>
    <cellStyle name="제목 3 4 2 7" xfId="5320"/>
    <cellStyle name="제목 3 4 2 8" xfId="5321"/>
    <cellStyle name="제목 3 4 2 9" xfId="5322"/>
    <cellStyle name="제목 3 4 3" xfId="3423"/>
    <cellStyle name="제목 3 4 4" xfId="5323"/>
    <cellStyle name="제목 3 4 5" xfId="5324"/>
    <cellStyle name="제목 3 4 6" xfId="5325"/>
    <cellStyle name="제목 3 4 7" xfId="5326"/>
    <cellStyle name="제목 3 4 8" xfId="5327"/>
    <cellStyle name="제목 3 4 9" xfId="5328"/>
    <cellStyle name="제목 3 4_사업부문" xfId="54436"/>
    <cellStyle name="제목 3 5" xfId="289"/>
    <cellStyle name="제목 3 5 10" xfId="5329"/>
    <cellStyle name="제목 3 5 11" xfId="5330"/>
    <cellStyle name="제목 3 5 2" xfId="3426"/>
    <cellStyle name="제목 3 5 2 10" xfId="5331"/>
    <cellStyle name="제목 3 5 2 11" xfId="51102"/>
    <cellStyle name="제목 3 5 2 2" xfId="5332"/>
    <cellStyle name="제목 3 5 2 3" xfId="5333"/>
    <cellStyle name="제목 3 5 2 4" xfId="5334"/>
    <cellStyle name="제목 3 5 2 5" xfId="5335"/>
    <cellStyle name="제목 3 5 2 6" xfId="5336"/>
    <cellStyle name="제목 3 5 2 7" xfId="5337"/>
    <cellStyle name="제목 3 5 2 8" xfId="5338"/>
    <cellStyle name="제목 3 5 2 9" xfId="5339"/>
    <cellStyle name="제목 3 5 3" xfId="3425"/>
    <cellStyle name="제목 3 5 4" xfId="5340"/>
    <cellStyle name="제목 3 5 5" xfId="5341"/>
    <cellStyle name="제목 3 5 6" xfId="5342"/>
    <cellStyle name="제목 3 5 7" xfId="5343"/>
    <cellStyle name="제목 3 5 8" xfId="5344"/>
    <cellStyle name="제목 3 5 9" xfId="5345"/>
    <cellStyle name="제목 3 5_사업부문" xfId="54437"/>
    <cellStyle name="제목 3 6" xfId="290"/>
    <cellStyle name="제목 3 6 10" xfId="5346"/>
    <cellStyle name="제목 3 6 11" xfId="5347"/>
    <cellStyle name="제목 3 6 2" xfId="3428"/>
    <cellStyle name="제목 3 6 2 10" xfId="5348"/>
    <cellStyle name="제목 3 6 2 11" xfId="51103"/>
    <cellStyle name="제목 3 6 2 2" xfId="5349"/>
    <cellStyle name="제목 3 6 2 3" xfId="5350"/>
    <cellStyle name="제목 3 6 2 4" xfId="5351"/>
    <cellStyle name="제목 3 6 2 5" xfId="5352"/>
    <cellStyle name="제목 3 6 2 6" xfId="5353"/>
    <cellStyle name="제목 3 6 2 7" xfId="5354"/>
    <cellStyle name="제목 3 6 2 8" xfId="5355"/>
    <cellStyle name="제목 3 6 2 9" xfId="5356"/>
    <cellStyle name="제목 3 6 3" xfId="3427"/>
    <cellStyle name="제목 3 6 4" xfId="5357"/>
    <cellStyle name="제목 3 6 5" xfId="5358"/>
    <cellStyle name="제목 3 6 6" xfId="5359"/>
    <cellStyle name="제목 3 6 7" xfId="5360"/>
    <cellStyle name="제목 3 6 8" xfId="5361"/>
    <cellStyle name="제목 3 6 9" xfId="5362"/>
    <cellStyle name="제목 3 6_사업부문" xfId="54438"/>
    <cellStyle name="제목 3 7" xfId="291"/>
    <cellStyle name="제목 3 7 10" xfId="5363"/>
    <cellStyle name="제목 3 7 11" xfId="5364"/>
    <cellStyle name="제목 3 7 12" xfId="51104"/>
    <cellStyle name="제목 3 7 2" xfId="5365"/>
    <cellStyle name="제목 3 7 2 10" xfId="5366"/>
    <cellStyle name="제목 3 7 2 2" xfId="5367"/>
    <cellStyle name="제목 3 7 2 3" xfId="5368"/>
    <cellStyle name="제목 3 7 2 4" xfId="5369"/>
    <cellStyle name="제목 3 7 2 5" xfId="5370"/>
    <cellStyle name="제목 3 7 2 6" xfId="5371"/>
    <cellStyle name="제목 3 7 2 7" xfId="5372"/>
    <cellStyle name="제목 3 7 2 8" xfId="5373"/>
    <cellStyle name="제목 3 7 2 9" xfId="5374"/>
    <cellStyle name="제목 3 7 3" xfId="5375"/>
    <cellStyle name="제목 3 7 4" xfId="5376"/>
    <cellStyle name="제목 3 7 5" xfId="5377"/>
    <cellStyle name="제목 3 7 6" xfId="5378"/>
    <cellStyle name="제목 3 7 7" xfId="5379"/>
    <cellStyle name="제목 3 7 8" xfId="5380"/>
    <cellStyle name="제목 3 7 9" xfId="5381"/>
    <cellStyle name="제목 3 7_사업부문" xfId="54439"/>
    <cellStyle name="제목 3 8" xfId="3429"/>
    <cellStyle name="제목 3 8 2" xfId="54440"/>
    <cellStyle name="제목 3 8 3" xfId="54441"/>
    <cellStyle name="제목 3 9" xfId="3391"/>
    <cellStyle name="제목 3 9 2" xfId="54442"/>
    <cellStyle name="제목 30" xfId="4822"/>
    <cellStyle name="제목 31" xfId="4823"/>
    <cellStyle name="제목 32" xfId="4824"/>
    <cellStyle name="제목 33" xfId="4825"/>
    <cellStyle name="제목 34" xfId="4827"/>
    <cellStyle name="제목 35" xfId="3309"/>
    <cellStyle name="제목 36" xfId="5043"/>
    <cellStyle name="제목 37" xfId="5040"/>
    <cellStyle name="제목 38" xfId="51105"/>
    <cellStyle name="제목 39" xfId="51106"/>
    <cellStyle name="제목 4 10" xfId="54443"/>
    <cellStyle name="제목 4 10 2" xfId="54444"/>
    <cellStyle name="제목 4 11" xfId="54445"/>
    <cellStyle name="제목 4 11 2" xfId="54446"/>
    <cellStyle name="제목 4 12" xfId="54447"/>
    <cellStyle name="제목 4 13" xfId="54448"/>
    <cellStyle name="제목 4 14" xfId="54449"/>
    <cellStyle name="제목 4 15" xfId="54450"/>
    <cellStyle name="제목 4 16" xfId="54451"/>
    <cellStyle name="제목 4 17" xfId="54452"/>
    <cellStyle name="제목 4 18" xfId="54453"/>
    <cellStyle name="제목 4 19" xfId="54454"/>
    <cellStyle name="제목 4 2" xfId="292"/>
    <cellStyle name="제목 4 2 10" xfId="3432"/>
    <cellStyle name="제목 4 2 11" xfId="3433"/>
    <cellStyle name="제목 4 2 12" xfId="3434"/>
    <cellStyle name="제목 4 2 13" xfId="3435"/>
    <cellStyle name="제목 4 2 14" xfId="3436"/>
    <cellStyle name="제목 4 2 15" xfId="3437"/>
    <cellStyle name="제목 4 2 16" xfId="3438"/>
    <cellStyle name="제목 4 2 17" xfId="3439"/>
    <cellStyle name="제목 4 2 18" xfId="3440"/>
    <cellStyle name="제목 4 2 19" xfId="3441"/>
    <cellStyle name="제목 4 2 2" xfId="3442"/>
    <cellStyle name="제목 4 2 2 2" xfId="3443"/>
    <cellStyle name="제목 4 2 2_CRM팀 1단계 정보확인 DB 검색코드_110425" xfId="3444"/>
    <cellStyle name="제목 4 2 20" xfId="3445"/>
    <cellStyle name="제목 4 2 21" xfId="3446"/>
    <cellStyle name="제목 4 2 22" xfId="3447"/>
    <cellStyle name="제목 4 2 23" xfId="3448"/>
    <cellStyle name="제목 4 2 24" xfId="3449"/>
    <cellStyle name="제목 4 2 25" xfId="3450"/>
    <cellStyle name="제목 4 2 26" xfId="3451"/>
    <cellStyle name="제목 4 2 27" xfId="4886"/>
    <cellStyle name="제목 4 2 28" xfId="3431"/>
    <cellStyle name="제목 4 2 29" xfId="51361"/>
    <cellStyle name="제목 4 2 3" xfId="3452"/>
    <cellStyle name="제목 4 2 4" xfId="3453"/>
    <cellStyle name="제목 4 2 5" xfId="3454"/>
    <cellStyle name="제목 4 2 6" xfId="3455"/>
    <cellStyle name="제목 4 2 7" xfId="3456"/>
    <cellStyle name="제목 4 2 8" xfId="3457"/>
    <cellStyle name="제목 4 2 9" xfId="3458"/>
    <cellStyle name="제목 4 2_CRM팀 1단계 정보확인 DB 검색코드_110425" xfId="3459"/>
    <cellStyle name="제목 4 20" xfId="54455"/>
    <cellStyle name="제목 4 21" xfId="54456"/>
    <cellStyle name="제목 4 22" xfId="54457"/>
    <cellStyle name="제목 4 23" xfId="54458"/>
    <cellStyle name="제목 4 24" xfId="54459"/>
    <cellStyle name="제목 4 25" xfId="54460"/>
    <cellStyle name="제목 4 26" xfId="54461"/>
    <cellStyle name="제목 4 3" xfId="293"/>
    <cellStyle name="제목 4 3 2" xfId="3461"/>
    <cellStyle name="제목 4 3 2 2" xfId="51107"/>
    <cellStyle name="제목 4 3 3" xfId="3460"/>
    <cellStyle name="제목 4 3 4" xfId="54462"/>
    <cellStyle name="제목 4 3 5" xfId="54463"/>
    <cellStyle name="제목 4 3_사업부문" xfId="54464"/>
    <cellStyle name="제목 4 4" xfId="294"/>
    <cellStyle name="제목 4 4 2" xfId="3463"/>
    <cellStyle name="제목 4 4 2 2" xfId="51108"/>
    <cellStyle name="제목 4 4 3" xfId="3462"/>
    <cellStyle name="제목 4 4 4" xfId="54465"/>
    <cellStyle name="제목 4 4 5" xfId="54466"/>
    <cellStyle name="제목 4 4_사업부문" xfId="54467"/>
    <cellStyle name="제목 4 5" xfId="295"/>
    <cellStyle name="제목 4 5 2" xfId="3465"/>
    <cellStyle name="제목 4 5 2 2" xfId="51109"/>
    <cellStyle name="제목 4 5 3" xfId="3464"/>
    <cellStyle name="제목 4 5_사업부문" xfId="54468"/>
    <cellStyle name="제목 4 6" xfId="296"/>
    <cellStyle name="제목 4 6 2" xfId="3467"/>
    <cellStyle name="제목 4 6 2 2" xfId="51110"/>
    <cellStyle name="제목 4 6 3" xfId="3466"/>
    <cellStyle name="제목 4 6_사업부문" xfId="54469"/>
    <cellStyle name="제목 4 7" xfId="297"/>
    <cellStyle name="제목 4 7 2" xfId="5382"/>
    <cellStyle name="제목 4 7 3" xfId="51111"/>
    <cellStyle name="제목 4 7_사업부문" xfId="54470"/>
    <cellStyle name="제목 4 8" xfId="3468"/>
    <cellStyle name="제목 4 8 2" xfId="54471"/>
    <cellStyle name="제목 4 8 3" xfId="54472"/>
    <cellStyle name="제목 4 9" xfId="3430"/>
    <cellStyle name="제목 4 9 2" xfId="54473"/>
    <cellStyle name="제목 5" xfId="298"/>
    <cellStyle name="제목 5 10" xfId="3470"/>
    <cellStyle name="제목 5 11" xfId="3471"/>
    <cellStyle name="제목 5 12" xfId="3472"/>
    <cellStyle name="제목 5 13" xfId="3473"/>
    <cellStyle name="제목 5 14" xfId="3474"/>
    <cellStyle name="제목 5 15" xfId="3475"/>
    <cellStyle name="제목 5 16" xfId="3476"/>
    <cellStyle name="제목 5 17" xfId="3477"/>
    <cellStyle name="제목 5 18" xfId="3478"/>
    <cellStyle name="제목 5 19" xfId="3479"/>
    <cellStyle name="제목 5 2" xfId="3480"/>
    <cellStyle name="제목 5 20" xfId="3481"/>
    <cellStyle name="제목 5 21" xfId="3482"/>
    <cellStyle name="제목 5 22" xfId="3483"/>
    <cellStyle name="제목 5 23" xfId="3484"/>
    <cellStyle name="제목 5 24" xfId="3485"/>
    <cellStyle name="제목 5 25" xfId="3486"/>
    <cellStyle name="제목 5 26" xfId="3469"/>
    <cellStyle name="제목 5 3" xfId="3487"/>
    <cellStyle name="제목 5 4" xfId="3488"/>
    <cellStyle name="제목 5 5" xfId="3489"/>
    <cellStyle name="제목 5 6" xfId="3490"/>
    <cellStyle name="제목 5 7" xfId="3491"/>
    <cellStyle name="제목 5 8" xfId="3492"/>
    <cellStyle name="제목 5 9" xfId="3493"/>
    <cellStyle name="제목 5_사업부문" xfId="54474"/>
    <cellStyle name="제목 6" xfId="299"/>
    <cellStyle name="제목 6 2" xfId="3495"/>
    <cellStyle name="제목 6 2 2" xfId="51112"/>
    <cellStyle name="제목 6 3" xfId="3494"/>
    <cellStyle name="제목 6 4" xfId="54475"/>
    <cellStyle name="제목 6 5" xfId="54476"/>
    <cellStyle name="제목 6_사업부문" xfId="54477"/>
    <cellStyle name="제목 7" xfId="300"/>
    <cellStyle name="제목 7 2" xfId="3497"/>
    <cellStyle name="제목 7 2 2" xfId="51113"/>
    <cellStyle name="제목 7 3" xfId="3496"/>
    <cellStyle name="제목 7 4" xfId="54478"/>
    <cellStyle name="제목 7 5" xfId="54479"/>
    <cellStyle name="제목 7_사업부문" xfId="54480"/>
    <cellStyle name="제목 8" xfId="301"/>
    <cellStyle name="제목 8 2" xfId="3499"/>
    <cellStyle name="제목 8 2 2" xfId="51114"/>
    <cellStyle name="제목 8 3" xfId="3498"/>
    <cellStyle name="제목 8_사업부문" xfId="54481"/>
    <cellStyle name="제목 9" xfId="302"/>
    <cellStyle name="제목 9 2" xfId="3501"/>
    <cellStyle name="제목 9 2 2" xfId="51115"/>
    <cellStyle name="제목 9 3" xfId="3500"/>
    <cellStyle name="좋음 10" xfId="54482"/>
    <cellStyle name="좋음 10 2" xfId="54483"/>
    <cellStyle name="좋음 11" xfId="54484"/>
    <cellStyle name="좋음 11 2" xfId="54485"/>
    <cellStyle name="좋음 12" xfId="54486"/>
    <cellStyle name="좋음 13" xfId="54487"/>
    <cellStyle name="좋음 14" xfId="54488"/>
    <cellStyle name="좋음 15" xfId="54489"/>
    <cellStyle name="좋음 16" xfId="54490"/>
    <cellStyle name="좋음 17" xfId="54491"/>
    <cellStyle name="좋음 18" xfId="54492"/>
    <cellStyle name="좋음 19" xfId="54493"/>
    <cellStyle name="좋음 2" xfId="303"/>
    <cellStyle name="좋음 2 10" xfId="3504"/>
    <cellStyle name="좋음 2 11" xfId="3505"/>
    <cellStyle name="좋음 2 12" xfId="3506"/>
    <cellStyle name="좋음 2 13" xfId="3507"/>
    <cellStyle name="좋음 2 14" xfId="3508"/>
    <cellStyle name="좋음 2 15" xfId="3509"/>
    <cellStyle name="좋음 2 16" xfId="3510"/>
    <cellStyle name="좋음 2 17" xfId="3511"/>
    <cellStyle name="좋음 2 18" xfId="3512"/>
    <cellStyle name="좋음 2 19" xfId="3513"/>
    <cellStyle name="좋음 2 2" xfId="3514"/>
    <cellStyle name="좋음 2 2 2" xfId="3515"/>
    <cellStyle name="좋음 2 2_CRM팀 1단계 정보확인 DB 검색코드_110425" xfId="3516"/>
    <cellStyle name="좋음 2 20" xfId="3517"/>
    <cellStyle name="좋음 2 21" xfId="3518"/>
    <cellStyle name="좋음 2 22" xfId="3519"/>
    <cellStyle name="좋음 2 23" xfId="3520"/>
    <cellStyle name="좋음 2 24" xfId="3521"/>
    <cellStyle name="좋음 2 25" xfId="3522"/>
    <cellStyle name="좋음 2 26" xfId="3523"/>
    <cellStyle name="좋음 2 27" xfId="4887"/>
    <cellStyle name="좋음 2 28" xfId="3503"/>
    <cellStyle name="좋음 2 29" xfId="51362"/>
    <cellStyle name="좋음 2 3" xfId="3524"/>
    <cellStyle name="좋음 2 4" xfId="3525"/>
    <cellStyle name="좋음 2 5" xfId="3526"/>
    <cellStyle name="좋음 2 6" xfId="3527"/>
    <cellStyle name="좋음 2 7" xfId="3528"/>
    <cellStyle name="좋음 2 8" xfId="3529"/>
    <cellStyle name="좋음 2 9" xfId="3530"/>
    <cellStyle name="좋음 2_CRM팀 1단계 정보확인 DB 검색코드_110425" xfId="3531"/>
    <cellStyle name="좋음 20" xfId="54494"/>
    <cellStyle name="좋음 21" xfId="54495"/>
    <cellStyle name="좋음 22" xfId="54496"/>
    <cellStyle name="좋음 23" xfId="54497"/>
    <cellStyle name="좋음 24" xfId="54498"/>
    <cellStyle name="좋음 25" xfId="54499"/>
    <cellStyle name="좋음 26" xfId="54500"/>
    <cellStyle name="좋음 3" xfId="304"/>
    <cellStyle name="좋음 3 2" xfId="3533"/>
    <cellStyle name="좋음 3 2 2" xfId="51116"/>
    <cellStyle name="좋음 3 3" xfId="3532"/>
    <cellStyle name="좋음 3 4" xfId="54501"/>
    <cellStyle name="좋음 3 5" xfId="54502"/>
    <cellStyle name="좋음 3_사업부문" xfId="54503"/>
    <cellStyle name="좋음 4" xfId="305"/>
    <cellStyle name="좋음 4 2" xfId="3535"/>
    <cellStyle name="좋음 4 2 2" xfId="51117"/>
    <cellStyle name="좋음 4 3" xfId="3534"/>
    <cellStyle name="좋음 4 4" xfId="54504"/>
    <cellStyle name="좋음 4 5" xfId="54505"/>
    <cellStyle name="좋음 4_사업부문" xfId="54506"/>
    <cellStyle name="좋음 5" xfId="306"/>
    <cellStyle name="좋음 5 2" xfId="3537"/>
    <cellStyle name="좋음 5 2 2" xfId="51118"/>
    <cellStyle name="좋음 5 3" xfId="3536"/>
    <cellStyle name="좋음 5_사업부문" xfId="54507"/>
    <cellStyle name="좋음 6" xfId="307"/>
    <cellStyle name="좋음 6 2" xfId="3539"/>
    <cellStyle name="좋음 6 2 2" xfId="51119"/>
    <cellStyle name="좋음 6 3" xfId="3538"/>
    <cellStyle name="좋음 6_사업부문" xfId="54508"/>
    <cellStyle name="좋음 7" xfId="308"/>
    <cellStyle name="좋음 7 2" xfId="5383"/>
    <cellStyle name="좋음 7 3" xfId="51120"/>
    <cellStyle name="좋음 7_사업부문" xfId="54509"/>
    <cellStyle name="좋음 8" xfId="3540"/>
    <cellStyle name="좋음 8 2" xfId="54510"/>
    <cellStyle name="좋음 8 3" xfId="54511"/>
    <cellStyle name="좋음 9" xfId="3502"/>
    <cellStyle name="좋음 9 2" xfId="54512"/>
    <cellStyle name="注释" xfId="3541"/>
    <cellStyle name="注释 10" xfId="3542"/>
    <cellStyle name="注释 10 2" xfId="6487"/>
    <cellStyle name="注释 10 2 2" xfId="11221"/>
    <cellStyle name="注释 10 2 2 2" xfId="24449"/>
    <cellStyle name="注释 10 2 2 3" xfId="33851"/>
    <cellStyle name="注释 10 2 2 4" xfId="44959"/>
    <cellStyle name="注释 10 2 2 5" xfId="39483"/>
    <cellStyle name="注释 10 2 3" xfId="8248"/>
    <cellStyle name="注释 10 2 3 2" xfId="21476"/>
    <cellStyle name="注释 10 2 3 3" xfId="36277"/>
    <cellStyle name="注释 10 2 3 4" xfId="42170"/>
    <cellStyle name="注释 10 2 3 5" xfId="49004"/>
    <cellStyle name="注释 10 2 4" xfId="19715"/>
    <cellStyle name="注释 10 2 4 2" xfId="30385"/>
    <cellStyle name="注释 10 2 4 3" xfId="18655"/>
    <cellStyle name="注释 10 2 4 4" xfId="33324"/>
    <cellStyle name="注释 10 2 5" xfId="37021"/>
    <cellStyle name="注释 10 2 5 2" xfId="42940"/>
    <cellStyle name="注释 10 2 5 3" xfId="49774"/>
    <cellStyle name="注释 10 2 6" xfId="29539"/>
    <cellStyle name="注释 10 2 7" xfId="16217"/>
    <cellStyle name="注释 10 2 8" xfId="16474"/>
    <cellStyle name="注释 10 3" xfId="9709"/>
    <cellStyle name="注释 10 3 10" xfId="28811"/>
    <cellStyle name="注释 10 3 11" xfId="15476"/>
    <cellStyle name="注释 10 3 2" xfId="13346"/>
    <cellStyle name="注释 10 3 2 2" xfId="26574"/>
    <cellStyle name="注释 10 3 2 3" xfId="32826"/>
    <cellStyle name="注释 10 3 2 4" xfId="39046"/>
    <cellStyle name="注释 10 3 2 5" xfId="47587"/>
    <cellStyle name="注释 10 3 3" xfId="7653"/>
    <cellStyle name="注释 10 3 3 2" xfId="20881"/>
    <cellStyle name="注释 10 3 3 3" xfId="35322"/>
    <cellStyle name="注释 10 3 3 4" xfId="46087"/>
    <cellStyle name="注释 10 3 3 5" xfId="48025"/>
    <cellStyle name="注释 10 3 4" xfId="8549"/>
    <cellStyle name="注释 10 3 4 2" xfId="21777"/>
    <cellStyle name="注释 10 3 4 3" xfId="31866"/>
    <cellStyle name="注释 10 3 4 4" xfId="38087"/>
    <cellStyle name="注释 10 3 4 5" xfId="44171"/>
    <cellStyle name="注释 10 3 5" xfId="12903"/>
    <cellStyle name="注释 10 3 5 2" xfId="26131"/>
    <cellStyle name="注释 10 3 5 3" xfId="18004"/>
    <cellStyle name="注释 10 3 5 4" xfId="45538"/>
    <cellStyle name="注释 10 3 6" xfId="22937"/>
    <cellStyle name="注释 10 3 6 2" xfId="36827"/>
    <cellStyle name="注释 10 3 6 3" xfId="42738"/>
    <cellStyle name="注释 10 3 6 4" xfId="49572"/>
    <cellStyle name="注释 10 3 7" xfId="34954"/>
    <cellStyle name="注释 10 3 7 2" xfId="40952"/>
    <cellStyle name="注释 10 3 7 3" xfId="47648"/>
    <cellStyle name="注释 10 3 8" xfId="30254"/>
    <cellStyle name="注释 10 3 8 2" xfId="14776"/>
    <cellStyle name="注释 10 3 8 3" xfId="44502"/>
    <cellStyle name="注释 10 3 9" xfId="28515"/>
    <cellStyle name="注释 10 4" xfId="8334"/>
    <cellStyle name="注释 10 4 2" xfId="21562"/>
    <cellStyle name="注释 10 5" xfId="41157"/>
    <cellStyle name="注释 11" xfId="3543"/>
    <cellStyle name="注释 11 2" xfId="6488"/>
    <cellStyle name="注释 11 2 2" xfId="11222"/>
    <cellStyle name="注释 11 2 2 2" xfId="24450"/>
    <cellStyle name="注释 11 2 2 3" xfId="33852"/>
    <cellStyle name="注释 11 2 2 4" xfId="44960"/>
    <cellStyle name="注释 11 2 2 5" xfId="34059"/>
    <cellStyle name="注释 11 2 3" xfId="8204"/>
    <cellStyle name="注释 11 2 3 2" xfId="21432"/>
    <cellStyle name="注释 11 2 3 3" xfId="36278"/>
    <cellStyle name="注释 11 2 3 4" xfId="42171"/>
    <cellStyle name="注释 11 2 3 5" xfId="49005"/>
    <cellStyle name="注释 11 2 4" xfId="19716"/>
    <cellStyle name="注释 11 2 4 2" xfId="32118"/>
    <cellStyle name="注释 11 2 4 3" xfId="38341"/>
    <cellStyle name="注释 11 2 4 4" xfId="29037"/>
    <cellStyle name="注释 11 2 5" xfId="35640"/>
    <cellStyle name="注释 11 2 5 2" xfId="41520"/>
    <cellStyle name="注释 11 2 5 3" xfId="48354"/>
    <cellStyle name="注释 11 2 6" xfId="29540"/>
    <cellStyle name="注释 11 2 7" xfId="16183"/>
    <cellStyle name="注释 11 2 8" xfId="34335"/>
    <cellStyle name="注释 11 3" xfId="9710"/>
    <cellStyle name="注释 11 3 10" xfId="39327"/>
    <cellStyle name="注释 11 3 11" xfId="29959"/>
    <cellStyle name="注释 11 3 2" xfId="13347"/>
    <cellStyle name="注释 11 3 2 2" xfId="26575"/>
    <cellStyle name="注释 11 3 2 3" xfId="32827"/>
    <cellStyle name="注释 11 3 2 4" xfId="39047"/>
    <cellStyle name="注释 11 3 2 5" xfId="14756"/>
    <cellStyle name="注释 11 3 3" xfId="7654"/>
    <cellStyle name="注释 11 3 3 2" xfId="20882"/>
    <cellStyle name="注释 11 3 3 3" xfId="35323"/>
    <cellStyle name="注释 11 3 3 4" xfId="46088"/>
    <cellStyle name="注释 11 3 3 5" xfId="48026"/>
    <cellStyle name="注释 11 3 4" xfId="7317"/>
    <cellStyle name="注释 11 3 4 2" xfId="20545"/>
    <cellStyle name="注释 11 3 4 3" xfId="31083"/>
    <cellStyle name="注释 11 3 4 4" xfId="18599"/>
    <cellStyle name="注释 11 3 4 5" xfId="44616"/>
    <cellStyle name="注释 11 3 5" xfId="13935"/>
    <cellStyle name="注释 11 3 5 2" xfId="27163"/>
    <cellStyle name="注释 11 3 5 3" xfId="14746"/>
    <cellStyle name="注释 11 3 5 4" xfId="46401"/>
    <cellStyle name="注释 11 3 6" xfId="22938"/>
    <cellStyle name="注释 11 3 6 2" xfId="34664"/>
    <cellStyle name="注释 11 3 6 3" xfId="40653"/>
    <cellStyle name="注释 11 3 6 4" xfId="39345"/>
    <cellStyle name="注释 11 3 7" xfId="36739"/>
    <cellStyle name="注释 11 3 7 2" xfId="42644"/>
    <cellStyle name="注释 11 3 7 3" xfId="49478"/>
    <cellStyle name="注释 11 3 8" xfId="37586"/>
    <cellStyle name="注释 11 3 8 2" xfId="43508"/>
    <cellStyle name="注释 11 3 8 3" xfId="50342"/>
    <cellStyle name="注释 11 3 9" xfId="28516"/>
    <cellStyle name="注释 11 4" xfId="8335"/>
    <cellStyle name="注释 11 4 2" xfId="21563"/>
    <cellStyle name="注释 11 5" xfId="14527"/>
    <cellStyle name="注释 12" xfId="3544"/>
    <cellStyle name="注释 12 2" xfId="6489"/>
    <cellStyle name="注释 12 2 2" xfId="11223"/>
    <cellStyle name="注释 12 2 2 2" xfId="24451"/>
    <cellStyle name="注释 12 2 2 3" xfId="33853"/>
    <cellStyle name="注释 12 2 2 4" xfId="44961"/>
    <cellStyle name="注释 12 2 2 5" xfId="41234"/>
    <cellStyle name="注释 12 2 3" xfId="12959"/>
    <cellStyle name="注释 12 2 3 2" xfId="26187"/>
    <cellStyle name="注释 12 2 3 3" xfId="36279"/>
    <cellStyle name="注释 12 2 3 4" xfId="42172"/>
    <cellStyle name="注释 12 2 3 5" xfId="49006"/>
    <cellStyle name="注释 12 2 4" xfId="19717"/>
    <cellStyle name="注释 12 2 4 2" xfId="32439"/>
    <cellStyle name="注释 12 2 4 3" xfId="38657"/>
    <cellStyle name="注释 12 2 4 4" xfId="46701"/>
    <cellStyle name="注释 12 2 5" xfId="37507"/>
    <cellStyle name="注释 12 2 5 2" xfId="43427"/>
    <cellStyle name="注释 12 2 5 3" xfId="50261"/>
    <cellStyle name="注释 12 2 6" xfId="29541"/>
    <cellStyle name="注释 12 2 7" xfId="28044"/>
    <cellStyle name="注释 12 2 8" xfId="27974"/>
    <cellStyle name="注释 12 3" xfId="9711"/>
    <cellStyle name="注释 12 3 10" xfId="40391"/>
    <cellStyle name="注释 12 3 11" xfId="38698"/>
    <cellStyle name="注释 12 3 2" xfId="13348"/>
    <cellStyle name="注释 12 3 2 2" xfId="26576"/>
    <cellStyle name="注释 12 3 2 3" xfId="32828"/>
    <cellStyle name="注释 12 3 2 4" xfId="39048"/>
    <cellStyle name="注释 12 3 2 5" xfId="30190"/>
    <cellStyle name="注释 12 3 3" xfId="6746"/>
    <cellStyle name="注释 12 3 3 2" xfId="19974"/>
    <cellStyle name="注释 12 3 3 3" xfId="35324"/>
    <cellStyle name="注释 12 3 3 4" xfId="46089"/>
    <cellStyle name="注释 12 3 3 5" xfId="48027"/>
    <cellStyle name="注释 12 3 4" xfId="8548"/>
    <cellStyle name="注释 12 3 4 2" xfId="21776"/>
    <cellStyle name="注释 12 3 4 3" xfId="29839"/>
    <cellStyle name="注释 12 3 4 4" xfId="18512"/>
    <cellStyle name="注释 12 3 4 5" xfId="45299"/>
    <cellStyle name="注释 12 3 5" xfId="14088"/>
    <cellStyle name="注释 12 3 5 2" xfId="27316"/>
    <cellStyle name="注释 12 3 5 3" xfId="38450"/>
    <cellStyle name="注释 12 3 5 4" xfId="17414"/>
    <cellStyle name="注释 12 3 6" xfId="22939"/>
    <cellStyle name="注释 12 3 6 2" xfId="37289"/>
    <cellStyle name="注释 12 3 6 3" xfId="43209"/>
    <cellStyle name="注释 12 3 6 4" xfId="50043"/>
    <cellStyle name="注释 12 3 7" xfId="36496"/>
    <cellStyle name="注释 12 3 7 2" xfId="42389"/>
    <cellStyle name="注释 12 3 7 3" xfId="49223"/>
    <cellStyle name="注释 12 3 8" xfId="36884"/>
    <cellStyle name="注释 12 3 8 2" xfId="42799"/>
    <cellStyle name="注释 12 3 8 3" xfId="49633"/>
    <cellStyle name="注释 12 3 9" xfId="28517"/>
    <cellStyle name="注释 12 4" xfId="8336"/>
    <cellStyle name="注释 12 4 2" xfId="21564"/>
    <cellStyle name="注释 12 5" xfId="45635"/>
    <cellStyle name="注释 13" xfId="3545"/>
    <cellStyle name="注释 13 2" xfId="6490"/>
    <cellStyle name="注释 13 2 2" xfId="11224"/>
    <cellStyle name="注释 13 2 2 2" xfId="24452"/>
    <cellStyle name="注释 13 2 2 3" xfId="33854"/>
    <cellStyle name="注释 13 2 2 4" xfId="44962"/>
    <cellStyle name="注释 13 2 2 5" xfId="15378"/>
    <cellStyle name="注释 13 2 3" xfId="8609"/>
    <cellStyle name="注释 13 2 3 2" xfId="21837"/>
    <cellStyle name="注释 13 2 3 3" xfId="36280"/>
    <cellStyle name="注释 13 2 3 4" xfId="42173"/>
    <cellStyle name="注释 13 2 3 5" xfId="49007"/>
    <cellStyle name="注释 13 2 4" xfId="19718"/>
    <cellStyle name="注释 13 2 4 2" xfId="31763"/>
    <cellStyle name="注释 13 2 4 3" xfId="37984"/>
    <cellStyle name="注释 13 2 4 4" xfId="34579"/>
    <cellStyle name="注释 13 2 5" xfId="32138"/>
    <cellStyle name="注释 13 2 5 2" xfId="38363"/>
    <cellStyle name="注释 13 2 5 3" xfId="32958"/>
    <cellStyle name="注释 13 2 6" xfId="29542"/>
    <cellStyle name="注释 13 2 7" xfId="17664"/>
    <cellStyle name="注释 13 2 8" xfId="32224"/>
    <cellStyle name="注释 13 3" xfId="9712"/>
    <cellStyle name="注释 13 3 10" xfId="15774"/>
    <cellStyle name="注释 13 3 11" xfId="27912"/>
    <cellStyle name="注释 13 3 2" xfId="13349"/>
    <cellStyle name="注释 13 3 2 2" xfId="26577"/>
    <cellStyle name="注释 13 3 2 3" xfId="32829"/>
    <cellStyle name="注释 13 3 2 4" xfId="39049"/>
    <cellStyle name="注释 13 3 2 5" xfId="17605"/>
    <cellStyle name="注释 13 3 3" xfId="6747"/>
    <cellStyle name="注释 13 3 3 2" xfId="19975"/>
    <cellStyle name="注释 13 3 3 3" xfId="35325"/>
    <cellStyle name="注释 13 3 3 4" xfId="46090"/>
    <cellStyle name="注释 13 3 3 5" xfId="48028"/>
    <cellStyle name="注释 13 3 4" xfId="8492"/>
    <cellStyle name="注释 13 3 4 2" xfId="21720"/>
    <cellStyle name="注释 13 3 4 3" xfId="31086"/>
    <cellStyle name="注释 13 3 4 4" xfId="18601"/>
    <cellStyle name="注释 13 3 4 5" xfId="47084"/>
    <cellStyle name="注释 13 3 5" xfId="8323"/>
    <cellStyle name="注释 13 3 5 2" xfId="21551"/>
    <cellStyle name="注释 13 3 5 3" xfId="40756"/>
    <cellStyle name="注释 13 3 5 4" xfId="39407"/>
    <cellStyle name="注释 13 3 6" xfId="22940"/>
    <cellStyle name="注释 13 3 6 2" xfId="29809"/>
    <cellStyle name="注释 13 3 6 3" xfId="28037"/>
    <cellStyle name="注释 13 3 6 4" xfId="39382"/>
    <cellStyle name="注释 13 3 7" xfId="37579"/>
    <cellStyle name="注释 13 3 7 2" xfId="43501"/>
    <cellStyle name="注释 13 3 7 3" xfId="50335"/>
    <cellStyle name="注释 13 3 8" xfId="37785"/>
    <cellStyle name="注释 13 3 8 2" xfId="43709"/>
    <cellStyle name="注释 13 3 8 3" xfId="50543"/>
    <cellStyle name="注释 13 3 9" xfId="28518"/>
    <cellStyle name="注释 13 4" xfId="8337"/>
    <cellStyle name="注释 13 4 2" xfId="21565"/>
    <cellStyle name="注释 13 5" xfId="47201"/>
    <cellStyle name="注释 14" xfId="3546"/>
    <cellStyle name="注释 14 2" xfId="6491"/>
    <cellStyle name="注释 14 2 2" xfId="11225"/>
    <cellStyle name="注释 14 2 2 2" xfId="24453"/>
    <cellStyle name="注释 14 2 2 3" xfId="33855"/>
    <cellStyle name="注释 14 2 2 4" xfId="44963"/>
    <cellStyle name="注释 14 2 2 5" xfId="28747"/>
    <cellStyle name="注释 14 2 3" xfId="8206"/>
    <cellStyle name="注释 14 2 3 2" xfId="21434"/>
    <cellStyle name="注释 14 2 3 3" xfId="36281"/>
    <cellStyle name="注释 14 2 3 4" xfId="42174"/>
    <cellStyle name="注释 14 2 3 5" xfId="49008"/>
    <cellStyle name="注释 14 2 4" xfId="19719"/>
    <cellStyle name="注释 14 2 4 2" xfId="31764"/>
    <cellStyle name="注释 14 2 4 3" xfId="37985"/>
    <cellStyle name="注释 14 2 4 4" xfId="47488"/>
    <cellStyle name="注释 14 2 5" xfId="37677"/>
    <cellStyle name="注释 14 2 5 2" xfId="43600"/>
    <cellStyle name="注释 14 2 5 3" xfId="50434"/>
    <cellStyle name="注释 14 2 6" xfId="29543"/>
    <cellStyle name="注释 14 2 7" xfId="16186"/>
    <cellStyle name="注释 14 2 8" xfId="45134"/>
    <cellStyle name="注释 14 3" xfId="9713"/>
    <cellStyle name="注释 14 3 10" xfId="38464"/>
    <cellStyle name="注释 14 3 11" xfId="40117"/>
    <cellStyle name="注释 14 3 2" xfId="13350"/>
    <cellStyle name="注释 14 3 2 2" xfId="26578"/>
    <cellStyle name="注释 14 3 2 3" xfId="32830"/>
    <cellStyle name="注释 14 3 2 4" xfId="39050"/>
    <cellStyle name="注释 14 3 2 5" xfId="47105"/>
    <cellStyle name="注释 14 3 3" xfId="6748"/>
    <cellStyle name="注释 14 3 3 2" xfId="19976"/>
    <cellStyle name="注释 14 3 3 3" xfId="35326"/>
    <cellStyle name="注释 14 3 3 4" xfId="46091"/>
    <cellStyle name="注释 14 3 3 5" xfId="48029"/>
    <cellStyle name="注释 14 3 4" xfId="8462"/>
    <cellStyle name="注释 14 3 4 2" xfId="21690"/>
    <cellStyle name="注释 14 3 4 3" xfId="32157"/>
    <cellStyle name="注释 14 3 4 4" xfId="38382"/>
    <cellStyle name="注释 14 3 4 5" xfId="36717"/>
    <cellStyle name="注释 14 3 5" xfId="7215"/>
    <cellStyle name="注释 14 3 5 2" xfId="20443"/>
    <cellStyle name="注释 14 3 5 3" xfId="38453"/>
    <cellStyle name="注释 14 3 5 4" xfId="28085"/>
    <cellStyle name="注释 14 3 6" xfId="22941"/>
    <cellStyle name="注释 14 3 6 2" xfId="37006"/>
    <cellStyle name="注释 14 3 6 3" xfId="42925"/>
    <cellStyle name="注释 14 3 6 4" xfId="49759"/>
    <cellStyle name="注释 14 3 7" xfId="31263"/>
    <cellStyle name="注释 14 3 7 2" xfId="17158"/>
    <cellStyle name="注释 14 3 7 3" xfId="15315"/>
    <cellStyle name="注释 14 3 8" xfId="36912"/>
    <cellStyle name="注释 14 3 8 2" xfId="42827"/>
    <cellStyle name="注释 14 3 8 3" xfId="49661"/>
    <cellStyle name="注释 14 3 9" xfId="28519"/>
    <cellStyle name="注释 14 4" xfId="8338"/>
    <cellStyle name="注释 14 4 2" xfId="21566"/>
    <cellStyle name="注释 14 5" xfId="45678"/>
    <cellStyle name="注释 15" xfId="3547"/>
    <cellStyle name="注释 15 2" xfId="6492"/>
    <cellStyle name="注释 15 2 2" xfId="11226"/>
    <cellStyle name="注释 15 2 2 2" xfId="24454"/>
    <cellStyle name="注释 15 2 2 3" xfId="33856"/>
    <cellStyle name="注释 15 2 2 4" xfId="44964"/>
    <cellStyle name="注释 15 2 2 5" xfId="33048"/>
    <cellStyle name="注释 15 2 3" xfId="8205"/>
    <cellStyle name="注释 15 2 3 2" xfId="21433"/>
    <cellStyle name="注释 15 2 3 3" xfId="36282"/>
    <cellStyle name="注释 15 2 3 4" xfId="42175"/>
    <cellStyle name="注释 15 2 3 5" xfId="49009"/>
    <cellStyle name="注释 15 2 4" xfId="19720"/>
    <cellStyle name="注释 15 2 4 2" xfId="37317"/>
    <cellStyle name="注释 15 2 4 3" xfId="43237"/>
    <cellStyle name="注释 15 2 4 4" xfId="50071"/>
    <cellStyle name="注释 15 2 5" xfId="29771"/>
    <cellStyle name="注释 15 2 5 2" xfId="16331"/>
    <cellStyle name="注释 15 2 5 3" xfId="44446"/>
    <cellStyle name="注释 15 2 6" xfId="29544"/>
    <cellStyle name="注释 15 2 7" xfId="14584"/>
    <cellStyle name="注释 15 2 8" xfId="44002"/>
    <cellStyle name="注释 15 3" xfId="9714"/>
    <cellStyle name="注释 15 3 10" xfId="40325"/>
    <cellStyle name="注释 15 3 11" xfId="34089"/>
    <cellStyle name="注释 15 3 2" xfId="13351"/>
    <cellStyle name="注释 15 3 2 2" xfId="26579"/>
    <cellStyle name="注释 15 3 2 3" xfId="32831"/>
    <cellStyle name="注释 15 3 2 4" xfId="39051"/>
    <cellStyle name="注释 15 3 2 5" xfId="28159"/>
    <cellStyle name="注释 15 3 3" xfId="6749"/>
    <cellStyle name="注释 15 3 3 2" xfId="19977"/>
    <cellStyle name="注释 15 3 3 3" xfId="35327"/>
    <cellStyle name="注释 15 3 3 4" xfId="46092"/>
    <cellStyle name="注释 15 3 3 5" xfId="48030"/>
    <cellStyle name="注释 15 3 4" xfId="12915"/>
    <cellStyle name="注释 15 3 4 2" xfId="26143"/>
    <cellStyle name="注释 15 3 4 3" xfId="31085"/>
    <cellStyle name="注释 15 3 4 4" xfId="17080"/>
    <cellStyle name="注释 15 3 4 5" xfId="47582"/>
    <cellStyle name="注释 15 3 5" xfId="8552"/>
    <cellStyle name="注释 15 3 5 2" xfId="21780"/>
    <cellStyle name="注释 15 3 5 3" xfId="41723"/>
    <cellStyle name="注释 15 3 5 4" xfId="48557"/>
    <cellStyle name="注释 15 3 6" xfId="22942"/>
    <cellStyle name="注释 15 3 6 2" xfId="35865"/>
    <cellStyle name="注释 15 3 6 3" xfId="41755"/>
    <cellStyle name="注释 15 3 6 4" xfId="48589"/>
    <cellStyle name="注释 15 3 7" xfId="34798"/>
    <cellStyle name="注释 15 3 7 2" xfId="40794"/>
    <cellStyle name="注释 15 3 7 3" xfId="15939"/>
    <cellStyle name="注释 15 3 8" xfId="37069"/>
    <cellStyle name="注释 15 3 8 2" xfId="42988"/>
    <cellStyle name="注释 15 3 8 3" xfId="49822"/>
    <cellStyle name="注释 15 3 9" xfId="28520"/>
    <cellStyle name="注释 15 4" xfId="8339"/>
    <cellStyle name="注释 15 4 2" xfId="21567"/>
    <cellStyle name="注释 15 5" xfId="17789"/>
    <cellStyle name="注释 16" xfId="3548"/>
    <cellStyle name="注释 16 2" xfId="6493"/>
    <cellStyle name="注释 16 2 2" xfId="11227"/>
    <cellStyle name="注释 16 2 2 2" xfId="24455"/>
    <cellStyle name="注释 16 2 2 3" xfId="33857"/>
    <cellStyle name="注释 16 2 2 4" xfId="44965"/>
    <cellStyle name="注释 16 2 2 5" xfId="39925"/>
    <cellStyle name="注释 16 2 3" xfId="8610"/>
    <cellStyle name="注释 16 2 3 2" xfId="21838"/>
    <cellStyle name="注释 16 2 3 3" xfId="36283"/>
    <cellStyle name="注释 16 2 3 4" xfId="42176"/>
    <cellStyle name="注释 16 2 3 5" xfId="49010"/>
    <cellStyle name="注释 16 2 4" xfId="19721"/>
    <cellStyle name="注释 16 2 4 2" xfId="34656"/>
    <cellStyle name="注释 16 2 4 3" xfId="40645"/>
    <cellStyle name="注释 16 2 4 4" xfId="15386"/>
    <cellStyle name="注释 16 2 5" xfId="34824"/>
    <cellStyle name="注释 16 2 5 2" xfId="40822"/>
    <cellStyle name="注释 16 2 5 3" xfId="32970"/>
    <cellStyle name="注释 16 2 6" xfId="29545"/>
    <cellStyle name="注释 16 2 7" xfId="17665"/>
    <cellStyle name="注释 16 2 8" xfId="39278"/>
    <cellStyle name="注释 16 3" xfId="9715"/>
    <cellStyle name="注释 16 3 10" xfId="39240"/>
    <cellStyle name="注释 16 3 11" xfId="34245"/>
    <cellStyle name="注释 16 3 2" xfId="13352"/>
    <cellStyle name="注释 16 3 2 2" xfId="26580"/>
    <cellStyle name="注释 16 3 2 3" xfId="32832"/>
    <cellStyle name="注释 16 3 2 4" xfId="39052"/>
    <cellStyle name="注释 16 3 2 5" xfId="46965"/>
    <cellStyle name="注释 16 3 3" xfId="6750"/>
    <cellStyle name="注释 16 3 3 2" xfId="19978"/>
    <cellStyle name="注释 16 3 3 3" xfId="35328"/>
    <cellStyle name="注释 16 3 3 4" xfId="46093"/>
    <cellStyle name="注释 16 3 3 5" xfId="48031"/>
    <cellStyle name="注释 16 3 4" xfId="8705"/>
    <cellStyle name="注释 16 3 4 2" xfId="21933"/>
    <cellStyle name="注释 16 3 4 3" xfId="31087"/>
    <cellStyle name="注释 16 3 4 4" xfId="28001"/>
    <cellStyle name="注释 16 3 4 5" xfId="45586"/>
    <cellStyle name="注释 16 3 5" xfId="7373"/>
    <cellStyle name="注释 16 3 5 2" xfId="20601"/>
    <cellStyle name="注释 16 3 5 3" xfId="17212"/>
    <cellStyle name="注释 16 3 5 4" xfId="46746"/>
    <cellStyle name="注释 16 3 6" xfId="22943"/>
    <cellStyle name="注释 16 3 6 2" xfId="30296"/>
    <cellStyle name="注释 16 3 6 3" xfId="16732"/>
    <cellStyle name="注释 16 3 6 4" xfId="44433"/>
    <cellStyle name="注释 16 3 7" xfId="29746"/>
    <cellStyle name="注释 16 3 7 2" xfId="30643"/>
    <cellStyle name="注释 16 3 7 3" xfId="44594"/>
    <cellStyle name="注释 16 3 8" xfId="37198"/>
    <cellStyle name="注释 16 3 8 2" xfId="43117"/>
    <cellStyle name="注释 16 3 8 3" xfId="49951"/>
    <cellStyle name="注释 16 3 9" xfId="28521"/>
    <cellStyle name="注释 16 4" xfId="8340"/>
    <cellStyle name="注释 16 4 2" xfId="21568"/>
    <cellStyle name="注释 16 5" xfId="46052"/>
    <cellStyle name="注释 17" xfId="3549"/>
    <cellStyle name="注释 17 2" xfId="6494"/>
    <cellStyle name="注释 17 2 2" xfId="11228"/>
    <cellStyle name="注释 17 2 2 2" xfId="24456"/>
    <cellStyle name="注释 17 2 2 3" xfId="33858"/>
    <cellStyle name="注释 17 2 2 4" xfId="44966"/>
    <cellStyle name="注释 17 2 2 5" xfId="39484"/>
    <cellStyle name="注释 17 2 3" xfId="8208"/>
    <cellStyle name="注释 17 2 3 2" xfId="21436"/>
    <cellStyle name="注释 17 2 3 3" xfId="36284"/>
    <cellStyle name="注释 17 2 3 4" xfId="42177"/>
    <cellStyle name="注释 17 2 3 5" xfId="49011"/>
    <cellStyle name="注释 17 2 4" xfId="19722"/>
    <cellStyle name="注释 17 2 4 2" xfId="31919"/>
    <cellStyle name="注释 17 2 4 3" xfId="38141"/>
    <cellStyle name="注释 17 2 4 4" xfId="46331"/>
    <cellStyle name="注释 17 2 5" xfId="37648"/>
    <cellStyle name="注释 17 2 5 2" xfId="43571"/>
    <cellStyle name="注释 17 2 5 3" xfId="50405"/>
    <cellStyle name="注释 17 2 6" xfId="29546"/>
    <cellStyle name="注释 17 2 7" xfId="14585"/>
    <cellStyle name="注释 17 2 8" xfId="44404"/>
    <cellStyle name="注释 17 3" xfId="9716"/>
    <cellStyle name="注释 17 3 10" xfId="32443"/>
    <cellStyle name="注释 17 3 11" xfId="18642"/>
    <cellStyle name="注释 17 3 2" xfId="13353"/>
    <cellStyle name="注释 17 3 2 2" xfId="26581"/>
    <cellStyle name="注释 17 3 2 3" xfId="32833"/>
    <cellStyle name="注释 17 3 2 4" xfId="39053"/>
    <cellStyle name="注释 17 3 2 5" xfId="45835"/>
    <cellStyle name="注释 17 3 3" xfId="6751"/>
    <cellStyle name="注释 17 3 3 2" xfId="19979"/>
    <cellStyle name="注释 17 3 3 3" xfId="35329"/>
    <cellStyle name="注释 17 3 3 4" xfId="46094"/>
    <cellStyle name="注释 17 3 3 5" xfId="48032"/>
    <cellStyle name="注释 17 3 4" xfId="13503"/>
    <cellStyle name="注释 17 3 4 2" xfId="26731"/>
    <cellStyle name="注释 17 3 4 3" xfId="32351"/>
    <cellStyle name="注释 17 3 4 4" xfId="38569"/>
    <cellStyle name="注释 17 3 4 5" xfId="47459"/>
    <cellStyle name="注释 17 3 5" xfId="12942"/>
    <cellStyle name="注释 17 3 5 2" xfId="26170"/>
    <cellStyle name="注释 17 3 5 3" xfId="42818"/>
    <cellStyle name="注释 17 3 5 4" xfId="49652"/>
    <cellStyle name="注释 17 3 6" xfId="22944"/>
    <cellStyle name="注释 17 3 6 2" xfId="36526"/>
    <cellStyle name="注释 17 3 6 3" xfId="42424"/>
    <cellStyle name="注释 17 3 6 4" xfId="49258"/>
    <cellStyle name="注释 17 3 7" xfId="31983"/>
    <cellStyle name="注释 17 3 7 2" xfId="38206"/>
    <cellStyle name="注释 17 3 7 3" xfId="36706"/>
    <cellStyle name="注释 17 3 8" xfId="37649"/>
    <cellStyle name="注释 17 3 8 2" xfId="43572"/>
    <cellStyle name="注释 17 3 8 3" xfId="50406"/>
    <cellStyle name="注释 17 3 9" xfId="28522"/>
    <cellStyle name="注释 17 4" xfId="8341"/>
    <cellStyle name="注释 17 4 2" xfId="21569"/>
    <cellStyle name="注释 17 5" xfId="44233"/>
    <cellStyle name="注释 18" xfId="3550"/>
    <cellStyle name="注释 18 2" xfId="6495"/>
    <cellStyle name="注释 18 2 2" xfId="11229"/>
    <cellStyle name="注释 18 2 2 2" xfId="24457"/>
    <cellStyle name="注释 18 2 2 3" xfId="33859"/>
    <cellStyle name="注释 18 2 2 4" xfId="44967"/>
    <cellStyle name="注释 18 2 2 5" xfId="32447"/>
    <cellStyle name="注释 18 2 3" xfId="8207"/>
    <cellStyle name="注释 18 2 3 2" xfId="21435"/>
    <cellStyle name="注释 18 2 3 3" xfId="36285"/>
    <cellStyle name="注释 18 2 3 4" xfId="42178"/>
    <cellStyle name="注释 18 2 3 5" xfId="49012"/>
    <cellStyle name="注释 18 2 4" xfId="19723"/>
    <cellStyle name="注释 18 2 4 2" xfId="34925"/>
    <cellStyle name="注释 18 2 4 3" xfId="40923"/>
    <cellStyle name="注释 18 2 4 4" xfId="38683"/>
    <cellStyle name="注释 18 2 5" xfId="37802"/>
    <cellStyle name="注释 18 2 5 2" xfId="43726"/>
    <cellStyle name="注释 18 2 5 3" xfId="50560"/>
    <cellStyle name="注释 18 2 6" xfId="29547"/>
    <cellStyle name="注释 18 2 7" xfId="16185"/>
    <cellStyle name="注释 18 2 8" xfId="45388"/>
    <cellStyle name="注释 18 3" xfId="9717"/>
    <cellStyle name="注释 18 3 10" xfId="39588"/>
    <cellStyle name="注释 18 3 11" xfId="14514"/>
    <cellStyle name="注释 18 3 2" xfId="13354"/>
    <cellStyle name="注释 18 3 2 2" xfId="26582"/>
    <cellStyle name="注释 18 3 2 3" xfId="32834"/>
    <cellStyle name="注释 18 3 2 4" xfId="39054"/>
    <cellStyle name="注释 18 3 2 5" xfId="46999"/>
    <cellStyle name="注释 18 3 3" xfId="7658"/>
    <cellStyle name="注释 18 3 3 2" xfId="20886"/>
    <cellStyle name="注释 18 3 3 3" xfId="35330"/>
    <cellStyle name="注释 18 3 3 4" xfId="46095"/>
    <cellStyle name="注释 18 3 3 5" xfId="48033"/>
    <cellStyle name="注释 18 3 4" xfId="14123"/>
    <cellStyle name="注释 18 3 4 2" xfId="27351"/>
    <cellStyle name="注释 18 3 4 3" xfId="31023"/>
    <cellStyle name="注释 18 3 4 4" xfId="18553"/>
    <cellStyle name="注释 18 3 4 5" xfId="40577"/>
    <cellStyle name="注释 18 3 5" xfId="7374"/>
    <cellStyle name="注释 18 3 5 2" xfId="20602"/>
    <cellStyle name="注释 18 3 5 3" xfId="38361"/>
    <cellStyle name="注释 18 3 5 4" xfId="40427"/>
    <cellStyle name="注释 18 3 6" xfId="22945"/>
    <cellStyle name="注释 18 3 6 2" xfId="30443"/>
    <cellStyle name="注释 18 3 6 3" xfId="14900"/>
    <cellStyle name="注释 18 3 6 4" xfId="32246"/>
    <cellStyle name="注释 18 3 7" xfId="37218"/>
    <cellStyle name="注释 18 3 7 2" xfId="43137"/>
    <cellStyle name="注释 18 3 7 3" xfId="49971"/>
    <cellStyle name="注释 18 3 8" xfId="31760"/>
    <cellStyle name="注释 18 3 8 2" xfId="37981"/>
    <cellStyle name="注释 18 3 8 3" xfId="39858"/>
    <cellStyle name="注释 18 3 9" xfId="28523"/>
    <cellStyle name="注释 18 4" xfId="8342"/>
    <cellStyle name="注释 18 4 2" xfId="21570"/>
    <cellStyle name="注释 18 5" xfId="47466"/>
    <cellStyle name="注释 19" xfId="3551"/>
    <cellStyle name="注释 19 2" xfId="6496"/>
    <cellStyle name="注释 19 2 2" xfId="11230"/>
    <cellStyle name="注释 19 2 2 2" xfId="24458"/>
    <cellStyle name="注释 19 2 2 3" xfId="33860"/>
    <cellStyle name="注释 19 2 2 4" xfId="44968"/>
    <cellStyle name="注释 19 2 2 5" xfId="41235"/>
    <cellStyle name="注释 19 2 3" xfId="8611"/>
    <cellStyle name="注释 19 2 3 2" xfId="21839"/>
    <cellStyle name="注释 19 2 3 3" xfId="36286"/>
    <cellStyle name="注释 19 2 3 4" xfId="42179"/>
    <cellStyle name="注释 19 2 3 5" xfId="49013"/>
    <cellStyle name="注释 19 2 4" xfId="19724"/>
    <cellStyle name="注释 19 2 4 2" xfId="37180"/>
    <cellStyle name="注释 19 2 4 3" xfId="43099"/>
    <cellStyle name="注释 19 2 4 4" xfId="49933"/>
    <cellStyle name="注释 19 2 5" xfId="31986"/>
    <cellStyle name="注释 19 2 5 2" xfId="38209"/>
    <cellStyle name="注释 19 2 5 3" xfId="44158"/>
    <cellStyle name="注释 19 2 6" xfId="29548"/>
    <cellStyle name="注释 19 2 7" xfId="17666"/>
    <cellStyle name="注释 19 2 8" xfId="34498"/>
    <cellStyle name="注释 19 3" xfId="9718"/>
    <cellStyle name="注释 19 3 10" xfId="40571"/>
    <cellStyle name="注释 19 3 11" xfId="32551"/>
    <cellStyle name="注释 19 3 2" xfId="13355"/>
    <cellStyle name="注释 19 3 2 2" xfId="26583"/>
    <cellStyle name="注释 19 3 2 3" xfId="32835"/>
    <cellStyle name="注释 19 3 2 4" xfId="39055"/>
    <cellStyle name="注释 19 3 2 5" xfId="28825"/>
    <cellStyle name="注释 19 3 3" xfId="7659"/>
    <cellStyle name="注释 19 3 3 2" xfId="20887"/>
    <cellStyle name="注释 19 3 3 3" xfId="35331"/>
    <cellStyle name="注释 19 3 3 4" xfId="46096"/>
    <cellStyle name="注释 19 3 3 5" xfId="48034"/>
    <cellStyle name="注释 19 3 4" xfId="8664"/>
    <cellStyle name="注释 19 3 4 2" xfId="21892"/>
    <cellStyle name="注释 19 3 4 3" xfId="31100"/>
    <cellStyle name="注释 19 3 4 4" xfId="17757"/>
    <cellStyle name="注释 19 3 4 5" xfId="30028"/>
    <cellStyle name="注释 19 3 5" xfId="14016"/>
    <cellStyle name="注释 19 3 5 2" xfId="27244"/>
    <cellStyle name="注释 19 3 5 3" xfId="41370"/>
    <cellStyle name="注释 19 3 5 4" xfId="48204"/>
    <cellStyle name="注释 19 3 6" xfId="22946"/>
    <cellStyle name="注释 19 3 6 2" xfId="31674"/>
    <cellStyle name="注释 19 3 6 3" xfId="17787"/>
    <cellStyle name="注释 19 3 6 4" xfId="47339"/>
    <cellStyle name="注释 19 3 7" xfId="35867"/>
    <cellStyle name="注释 19 3 7 2" xfId="41757"/>
    <cellStyle name="注释 19 3 7 3" xfId="48591"/>
    <cellStyle name="注释 19 3 8" xfId="37752"/>
    <cellStyle name="注释 19 3 8 2" xfId="43676"/>
    <cellStyle name="注释 19 3 8 3" xfId="50510"/>
    <cellStyle name="注释 19 3 9" xfId="28524"/>
    <cellStyle name="注释 19 4" xfId="8343"/>
    <cellStyle name="注释 19 4 2" xfId="21571"/>
    <cellStyle name="注释 19 5" xfId="45645"/>
    <cellStyle name="注释 2" xfId="3552"/>
    <cellStyle name="注释 2 2" xfId="6497"/>
    <cellStyle name="注释 2 2 2" xfId="11231"/>
    <cellStyle name="注释 2 2 2 2" xfId="24459"/>
    <cellStyle name="注释 2 2 2 3" xfId="33861"/>
    <cellStyle name="注释 2 2 2 4" xfId="44969"/>
    <cellStyle name="注释 2 2 2 5" xfId="14504"/>
    <cellStyle name="注释 2 2 3" xfId="8210"/>
    <cellStyle name="注释 2 2 3 2" xfId="21438"/>
    <cellStyle name="注释 2 2 3 3" xfId="36287"/>
    <cellStyle name="注释 2 2 3 4" xfId="42180"/>
    <cellStyle name="注释 2 2 3 5" xfId="49014"/>
    <cellStyle name="注释 2 2 4" xfId="19725"/>
    <cellStyle name="注释 2 2 4 2" xfId="32089"/>
    <cellStyle name="注释 2 2 4 3" xfId="38312"/>
    <cellStyle name="注释 2 2 4 4" xfId="15804"/>
    <cellStyle name="注释 2 2 5" xfId="35833"/>
    <cellStyle name="注释 2 2 5 2" xfId="41720"/>
    <cellStyle name="注释 2 2 5 3" xfId="48554"/>
    <cellStyle name="注释 2 2 6" xfId="29549"/>
    <cellStyle name="注释 2 2 7" xfId="16187"/>
    <cellStyle name="注释 2 2 8" xfId="15488"/>
    <cellStyle name="注释 2 3" xfId="9719"/>
    <cellStyle name="注释 2 3 10" xfId="15935"/>
    <cellStyle name="注释 2 3 11" xfId="45154"/>
    <cellStyle name="注释 2 3 2" xfId="13356"/>
    <cellStyle name="注释 2 3 2 2" xfId="26584"/>
    <cellStyle name="注释 2 3 2 3" xfId="32836"/>
    <cellStyle name="注释 2 3 2 4" xfId="39056"/>
    <cellStyle name="注释 2 3 2 5" xfId="15353"/>
    <cellStyle name="注释 2 3 3" xfId="7662"/>
    <cellStyle name="注释 2 3 3 2" xfId="20890"/>
    <cellStyle name="注释 2 3 3 3" xfId="35332"/>
    <cellStyle name="注释 2 3 3 4" xfId="46097"/>
    <cellStyle name="注释 2 3 3 5" xfId="48035"/>
    <cellStyle name="注释 2 3 4" xfId="13613"/>
    <cellStyle name="注释 2 3 4 2" xfId="26841"/>
    <cellStyle name="注释 2 3 4 3" xfId="34685"/>
    <cellStyle name="注释 2 3 4 4" xfId="40675"/>
    <cellStyle name="注释 2 3 4 5" xfId="16479"/>
    <cellStyle name="注释 2 3 5" xfId="8641"/>
    <cellStyle name="注释 2 3 5 2" xfId="21869"/>
    <cellStyle name="注释 2 3 5 3" xfId="38359"/>
    <cellStyle name="注释 2 3 5 4" xfId="34511"/>
    <cellStyle name="注释 2 3 6" xfId="22947"/>
    <cellStyle name="注释 2 3 6 2" xfId="30442"/>
    <cellStyle name="注释 2 3 6 3" xfId="14899"/>
    <cellStyle name="注释 2 3 6 4" xfId="46918"/>
    <cellStyle name="注释 2 3 7" xfId="31725"/>
    <cellStyle name="注释 2 3 7 2" xfId="37946"/>
    <cellStyle name="注释 2 3 7 3" xfId="28919"/>
    <cellStyle name="注释 2 3 8" xfId="37304"/>
    <cellStyle name="注释 2 3 8 2" xfId="43224"/>
    <cellStyle name="注释 2 3 8 3" xfId="50058"/>
    <cellStyle name="注释 2 3 9" xfId="28525"/>
    <cellStyle name="注释 2 4" xfId="8344"/>
    <cellStyle name="注释 2 4 2" xfId="21572"/>
    <cellStyle name="注释 2 5" xfId="46352"/>
    <cellStyle name="注释 20" xfId="3553"/>
    <cellStyle name="注释 20 2" xfId="6498"/>
    <cellStyle name="注释 20 2 2" xfId="11232"/>
    <cellStyle name="注释 20 2 2 2" xfId="24460"/>
    <cellStyle name="注释 20 2 2 3" xfId="33862"/>
    <cellStyle name="注释 20 2 2 4" xfId="44970"/>
    <cellStyle name="注释 20 2 2 5" xfId="34600"/>
    <cellStyle name="注释 20 2 3" xfId="8209"/>
    <cellStyle name="注释 20 2 3 2" xfId="21437"/>
    <cellStyle name="注释 20 2 3 3" xfId="36288"/>
    <cellStyle name="注释 20 2 3 4" xfId="42181"/>
    <cellStyle name="注释 20 2 3 5" xfId="49015"/>
    <cellStyle name="注释 20 2 4" xfId="19726"/>
    <cellStyle name="注释 20 2 4 2" xfId="31769"/>
    <cellStyle name="注释 20 2 4 3" xfId="37990"/>
    <cellStyle name="注释 20 2 4 4" xfId="45848"/>
    <cellStyle name="注释 20 2 5" xfId="37172"/>
    <cellStyle name="注释 20 2 5 2" xfId="43091"/>
    <cellStyle name="注释 20 2 5 3" xfId="49925"/>
    <cellStyle name="注释 20 2 6" xfId="29550"/>
    <cellStyle name="注释 20 2 7" xfId="18508"/>
    <cellStyle name="注释 20 2 8" xfId="45280"/>
    <cellStyle name="注释 20 3" xfId="9720"/>
    <cellStyle name="注释 20 3 10" xfId="28149"/>
    <cellStyle name="注释 20 3 11" xfId="44021"/>
    <cellStyle name="注释 20 3 2" xfId="13357"/>
    <cellStyle name="注释 20 3 2 2" xfId="26585"/>
    <cellStyle name="注释 20 3 2 3" xfId="32837"/>
    <cellStyle name="注释 20 3 2 4" xfId="39057"/>
    <cellStyle name="注释 20 3 2 5" xfId="17896"/>
    <cellStyle name="注释 20 3 3" xfId="7663"/>
    <cellStyle name="注释 20 3 3 2" xfId="20891"/>
    <cellStyle name="注释 20 3 3 3" xfId="35333"/>
    <cellStyle name="注释 20 3 3 4" xfId="46098"/>
    <cellStyle name="注释 20 3 3 5" xfId="48036"/>
    <cellStyle name="注释 20 3 4" xfId="14219"/>
    <cellStyle name="注释 20 3 4 2" xfId="27447"/>
    <cellStyle name="注释 20 3 4 3" xfId="32352"/>
    <cellStyle name="注释 20 3 4 4" xfId="38570"/>
    <cellStyle name="注释 20 3 4 5" xfId="45606"/>
    <cellStyle name="注释 20 3 5" xfId="13009"/>
    <cellStyle name="注释 20 3 5 2" xfId="26237"/>
    <cellStyle name="注释 20 3 5 3" xfId="42588"/>
    <cellStyle name="注释 20 3 5 4" xfId="49422"/>
    <cellStyle name="注释 20 3 6" xfId="22948"/>
    <cellStyle name="注释 20 3 6 2" xfId="30678"/>
    <cellStyle name="注释 20 3 6 3" xfId="27748"/>
    <cellStyle name="注释 20 3 6 4" xfId="39850"/>
    <cellStyle name="注释 20 3 7" xfId="31663"/>
    <cellStyle name="注释 20 3 7 2" xfId="15145"/>
    <cellStyle name="注释 20 3 7 3" xfId="36788"/>
    <cellStyle name="注释 20 3 8" xfId="35661"/>
    <cellStyle name="注释 20 3 8 2" xfId="41541"/>
    <cellStyle name="注释 20 3 8 3" xfId="48375"/>
    <cellStyle name="注释 20 3 9" xfId="28526"/>
    <cellStyle name="注释 20 4" xfId="8345"/>
    <cellStyle name="注释 20 4 2" xfId="21573"/>
    <cellStyle name="注释 20 5" xfId="44499"/>
    <cellStyle name="注释 21" xfId="3554"/>
    <cellStyle name="注释 21 2" xfId="6499"/>
    <cellStyle name="注释 21 2 2" xfId="11233"/>
    <cellStyle name="注释 21 2 2 2" xfId="24461"/>
    <cellStyle name="注释 21 2 2 3" xfId="33863"/>
    <cellStyle name="注释 21 2 2 4" xfId="44971"/>
    <cellStyle name="注释 21 2 2 5" xfId="33428"/>
    <cellStyle name="注释 21 2 3" xfId="8612"/>
    <cellStyle name="注释 21 2 3 2" xfId="21840"/>
    <cellStyle name="注释 21 2 3 3" xfId="36289"/>
    <cellStyle name="注释 21 2 3 4" xfId="42182"/>
    <cellStyle name="注释 21 2 3 5" xfId="49016"/>
    <cellStyle name="注释 21 2 4" xfId="19727"/>
    <cellStyle name="注释 21 2 4 2" xfId="31236"/>
    <cellStyle name="注释 21 2 4 3" xfId="17139"/>
    <cellStyle name="注释 21 2 4 4" xfId="32980"/>
    <cellStyle name="注释 21 2 5" xfId="30491"/>
    <cellStyle name="注释 21 2 5 2" xfId="18027"/>
    <cellStyle name="注释 21 2 5 3" xfId="46180"/>
    <cellStyle name="注释 21 2 6" xfId="29551"/>
    <cellStyle name="注释 21 2 7" xfId="17667"/>
    <cellStyle name="注释 21 2 8" xfId="44274"/>
    <cellStyle name="注释 21 3" xfId="9721"/>
    <cellStyle name="注释 21 3 10" xfId="17712"/>
    <cellStyle name="注释 21 3 11" xfId="39258"/>
    <cellStyle name="注释 21 3 2" xfId="13358"/>
    <cellStyle name="注释 21 3 2 2" xfId="26586"/>
    <cellStyle name="注释 21 3 2 3" xfId="32838"/>
    <cellStyle name="注释 21 3 2 4" xfId="39058"/>
    <cellStyle name="注释 21 3 2 5" xfId="46966"/>
    <cellStyle name="注释 21 3 3" xfId="7664"/>
    <cellStyle name="注释 21 3 3 2" xfId="20892"/>
    <cellStyle name="注释 21 3 3 3" xfId="35334"/>
    <cellStyle name="注释 21 3 3 4" xfId="46099"/>
    <cellStyle name="注释 21 3 3 5" xfId="48037"/>
    <cellStyle name="注释 21 3 4" xfId="13076"/>
    <cellStyle name="注释 21 3 4 2" xfId="26304"/>
    <cellStyle name="注释 21 3 4 3" xfId="29920"/>
    <cellStyle name="注释 21 3 4 4" xfId="16452"/>
    <cellStyle name="注释 21 3 4 5" xfId="40386"/>
    <cellStyle name="注释 21 3 5" xfId="13934"/>
    <cellStyle name="注释 21 3 5 2" xfId="27162"/>
    <cellStyle name="注释 21 3 5 3" xfId="40671"/>
    <cellStyle name="注释 21 3 5 4" xfId="40110"/>
    <cellStyle name="注释 21 3 6" xfId="22949"/>
    <cellStyle name="注释 21 3 6 2" xfId="31372"/>
    <cellStyle name="注释 21 3 6 3" xfId="17821"/>
    <cellStyle name="注释 21 3 6 4" xfId="44608"/>
    <cellStyle name="注释 21 3 7" xfId="31657"/>
    <cellStyle name="注释 21 3 7 2" xfId="17962"/>
    <cellStyle name="注释 21 3 7 3" xfId="36656"/>
    <cellStyle name="注释 21 3 8" xfId="37154"/>
    <cellStyle name="注释 21 3 8 2" xfId="43073"/>
    <cellStyle name="注释 21 3 8 3" xfId="49907"/>
    <cellStyle name="注释 21 3 9" xfId="28527"/>
    <cellStyle name="注释 21 4" xfId="8346"/>
    <cellStyle name="注释 21 4 2" xfId="21574"/>
    <cellStyle name="注释 21 5" xfId="33419"/>
    <cellStyle name="注释 22" xfId="3555"/>
    <cellStyle name="注释 22 2" xfId="6500"/>
    <cellStyle name="注释 22 2 2" xfId="11234"/>
    <cellStyle name="注释 22 2 2 2" xfId="24462"/>
    <cellStyle name="注释 22 2 2 3" xfId="33864"/>
    <cellStyle name="注释 22 2 2 4" xfId="44972"/>
    <cellStyle name="注释 22 2 2 5" xfId="39926"/>
    <cellStyle name="注释 22 2 3" xfId="8212"/>
    <cellStyle name="注释 22 2 3 2" xfId="21440"/>
    <cellStyle name="注释 22 2 3 3" xfId="36290"/>
    <cellStyle name="注释 22 2 3 4" xfId="42183"/>
    <cellStyle name="注释 22 2 3 5" xfId="49017"/>
    <cellStyle name="注释 22 2 4" xfId="19728"/>
    <cellStyle name="注释 22 2 4 2" xfId="31998"/>
    <cellStyle name="注释 22 2 4 3" xfId="38221"/>
    <cellStyle name="注释 22 2 4 4" xfId="47363"/>
    <cellStyle name="注释 22 2 5" xfId="37777"/>
    <cellStyle name="注释 22 2 5 2" xfId="43701"/>
    <cellStyle name="注释 22 2 5 3" xfId="50535"/>
    <cellStyle name="注释 22 2 6" xfId="29552"/>
    <cellStyle name="注释 22 2 7" xfId="14586"/>
    <cellStyle name="注释 22 2 8" xfId="14621"/>
    <cellStyle name="注释 22 3" xfId="9722"/>
    <cellStyle name="注释 22 3 10" xfId="40151"/>
    <cellStyle name="注释 22 3 11" xfId="44422"/>
    <cellStyle name="注释 22 3 2" xfId="13359"/>
    <cellStyle name="注释 22 3 2 2" xfId="26587"/>
    <cellStyle name="注释 22 3 2 3" xfId="32839"/>
    <cellStyle name="注释 22 3 2 4" xfId="39059"/>
    <cellStyle name="注释 22 3 2 5" xfId="33182"/>
    <cellStyle name="注释 22 3 3" xfId="7665"/>
    <cellStyle name="注释 22 3 3 2" xfId="20893"/>
    <cellStyle name="注释 22 3 3 3" xfId="35335"/>
    <cellStyle name="注释 22 3 3 4" xfId="46100"/>
    <cellStyle name="注释 22 3 3 5" xfId="48038"/>
    <cellStyle name="注释 22 3 4" xfId="14079"/>
    <cellStyle name="注释 22 3 4 2" xfId="27307"/>
    <cellStyle name="注释 22 3 4 3" xfId="29840"/>
    <cellStyle name="注释 22 3 4 4" xfId="35034"/>
    <cellStyle name="注释 22 3 4 5" xfId="44293"/>
    <cellStyle name="注释 22 3 5" xfId="7999"/>
    <cellStyle name="注释 22 3 5 2" xfId="21227"/>
    <cellStyle name="注释 22 3 5 3" xfId="41569"/>
    <cellStyle name="注释 22 3 5 4" xfId="48403"/>
    <cellStyle name="注释 22 3 6" xfId="22950"/>
    <cellStyle name="注释 22 3 6 2" xfId="37406"/>
    <cellStyle name="注释 22 3 6 3" xfId="43326"/>
    <cellStyle name="注释 22 3 6 4" xfId="50160"/>
    <cellStyle name="注释 22 3 7" xfId="35555"/>
    <cellStyle name="注释 22 3 7 2" xfId="41430"/>
    <cellStyle name="注释 22 3 7 3" xfId="48264"/>
    <cellStyle name="注释 22 3 8" xfId="29966"/>
    <cellStyle name="注释 22 3 8 2" xfId="16483"/>
    <cellStyle name="注释 22 3 8 3" xfId="45500"/>
    <cellStyle name="注释 22 3 9" xfId="28528"/>
    <cellStyle name="注释 22 4" xfId="8347"/>
    <cellStyle name="注释 22 4 2" xfId="21575"/>
    <cellStyle name="注释 22 5" xfId="15553"/>
    <cellStyle name="注释 23" xfId="3556"/>
    <cellStyle name="注释 23 2" xfId="6501"/>
    <cellStyle name="注释 23 2 2" xfId="11235"/>
    <cellStyle name="注释 23 2 2 2" xfId="24463"/>
    <cellStyle name="注释 23 2 2 3" xfId="33865"/>
    <cellStyle name="注释 23 2 2 4" xfId="44973"/>
    <cellStyle name="注释 23 2 2 5" xfId="39485"/>
    <cellStyle name="注释 23 2 3" xfId="8211"/>
    <cellStyle name="注释 23 2 3 2" xfId="21439"/>
    <cellStyle name="注释 23 2 3 3" xfId="36291"/>
    <cellStyle name="注释 23 2 3 4" xfId="42184"/>
    <cellStyle name="注释 23 2 3 5" xfId="49018"/>
    <cellStyle name="注释 23 2 4" xfId="19729"/>
    <cellStyle name="注释 23 2 4 2" xfId="37413"/>
    <cellStyle name="注释 23 2 4 3" xfId="43333"/>
    <cellStyle name="注释 23 2 4 4" xfId="50167"/>
    <cellStyle name="注释 23 2 5" xfId="37554"/>
    <cellStyle name="注释 23 2 5 2" xfId="43475"/>
    <cellStyle name="注释 23 2 5 3" xfId="50309"/>
    <cellStyle name="注释 23 2 6" xfId="29553"/>
    <cellStyle name="注释 23 2 7" xfId="16149"/>
    <cellStyle name="注释 23 2 8" xfId="44511"/>
    <cellStyle name="注释 23 3" xfId="9723"/>
    <cellStyle name="注释 23 3 10" xfId="38730"/>
    <cellStyle name="注释 23 3 11" xfId="45407"/>
    <cellStyle name="注释 23 3 2" xfId="13360"/>
    <cellStyle name="注释 23 3 2 2" xfId="26588"/>
    <cellStyle name="注释 23 3 2 3" xfId="32840"/>
    <cellStyle name="注释 23 3 2 4" xfId="39060"/>
    <cellStyle name="注释 23 3 2 5" xfId="46227"/>
    <cellStyle name="注释 23 3 3" xfId="7666"/>
    <cellStyle name="注释 23 3 3 2" xfId="20894"/>
    <cellStyle name="注释 23 3 3 3" xfId="35336"/>
    <cellStyle name="注释 23 3 3 4" xfId="46101"/>
    <cellStyle name="注释 23 3 3 5" xfId="48039"/>
    <cellStyle name="注释 23 3 4" xfId="12927"/>
    <cellStyle name="注释 23 3 4 2" xfId="26155"/>
    <cellStyle name="注释 23 3 4 3" xfId="29841"/>
    <cellStyle name="注释 23 3 4 4" xfId="36564"/>
    <cellStyle name="注释 23 3 4 5" xfId="30018"/>
    <cellStyle name="注释 23 3 5" xfId="14362"/>
    <cellStyle name="注释 23 3 5 2" xfId="27590"/>
    <cellStyle name="注释 23 3 5 3" xfId="17256"/>
    <cellStyle name="注释 23 3 5 4" xfId="33062"/>
    <cellStyle name="注释 23 3 6" xfId="22951"/>
    <cellStyle name="注释 23 3 6 2" xfId="29915"/>
    <cellStyle name="注释 23 3 6 3" xfId="17695"/>
    <cellStyle name="注释 23 3 6 4" xfId="45377"/>
    <cellStyle name="注释 23 3 7" xfId="31403"/>
    <cellStyle name="注释 23 3 7 2" xfId="18476"/>
    <cellStyle name="注释 23 3 7 3" xfId="47573"/>
    <cellStyle name="注释 23 3 8" xfId="34926"/>
    <cellStyle name="注释 23 3 8 2" xfId="40924"/>
    <cellStyle name="注释 23 3 8 3" xfId="40104"/>
    <cellStyle name="注释 23 3 9" xfId="28529"/>
    <cellStyle name="注释 23 4" xfId="8348"/>
    <cellStyle name="注释 23 4 2" xfId="21576"/>
    <cellStyle name="注释 23 5" xfId="27885"/>
    <cellStyle name="注释 24" xfId="3557"/>
    <cellStyle name="注释 24 2" xfId="6502"/>
    <cellStyle name="注释 24 2 2" xfId="11236"/>
    <cellStyle name="注释 24 2 2 2" xfId="24464"/>
    <cellStyle name="注释 24 2 2 3" xfId="33866"/>
    <cellStyle name="注释 24 2 2 4" xfId="44974"/>
    <cellStyle name="注释 24 2 2 5" xfId="28137"/>
    <cellStyle name="注释 24 2 3" xfId="8613"/>
    <cellStyle name="注释 24 2 3 2" xfId="21841"/>
    <cellStyle name="注释 24 2 3 3" xfId="36292"/>
    <cellStyle name="注释 24 2 3 4" xfId="42185"/>
    <cellStyle name="注释 24 2 3 5" xfId="49019"/>
    <cellStyle name="注释 24 2 4" xfId="19730"/>
    <cellStyle name="注释 24 2 4 2" xfId="32357"/>
    <cellStyle name="注释 24 2 4 3" xfId="38575"/>
    <cellStyle name="注释 24 2 4 4" xfId="32162"/>
    <cellStyle name="注释 24 2 5" xfId="35476"/>
    <cellStyle name="注释 24 2 5 2" xfId="41347"/>
    <cellStyle name="注释 24 2 5 3" xfId="48181"/>
    <cellStyle name="注释 24 2 6" xfId="29554"/>
    <cellStyle name="注释 24 2 7" xfId="17668"/>
    <cellStyle name="注释 24 2 8" xfId="45480"/>
    <cellStyle name="注释 24 3" xfId="9724"/>
    <cellStyle name="注释 24 3 10" xfId="28871"/>
    <cellStyle name="注释 24 3 11" xfId="39598"/>
    <cellStyle name="注释 24 3 2" xfId="13361"/>
    <cellStyle name="注释 24 3 2 2" xfId="26589"/>
    <cellStyle name="注释 24 3 2 3" xfId="32841"/>
    <cellStyle name="注释 24 3 2 4" xfId="39061"/>
    <cellStyle name="注释 24 3 2 5" xfId="46176"/>
    <cellStyle name="注释 24 3 3" xfId="7667"/>
    <cellStyle name="注释 24 3 3 2" xfId="20895"/>
    <cellStyle name="注释 24 3 3 3" xfId="35337"/>
    <cellStyle name="注释 24 3 3 4" xfId="46102"/>
    <cellStyle name="注释 24 3 3 5" xfId="48040"/>
    <cellStyle name="注释 24 3 4" xfId="13695"/>
    <cellStyle name="注释 24 3 4 2" xfId="26923"/>
    <cellStyle name="注释 24 3 4 3" xfId="31089"/>
    <cellStyle name="注释 24 3 4 4" xfId="18603"/>
    <cellStyle name="注释 24 3 4 5" xfId="45722"/>
    <cellStyle name="注释 24 3 5" xfId="13627"/>
    <cellStyle name="注释 24 3 5 2" xfId="26855"/>
    <cellStyle name="注释 24 3 5 3" xfId="42753"/>
    <cellStyle name="注释 24 3 5 4" xfId="49587"/>
    <cellStyle name="注释 24 3 6" xfId="22952"/>
    <cellStyle name="注释 24 3 6 2" xfId="35821"/>
    <cellStyle name="注释 24 3 6 3" xfId="41708"/>
    <cellStyle name="注释 24 3 6 4" xfId="48542"/>
    <cellStyle name="注释 24 3 7" xfId="30626"/>
    <cellStyle name="注释 24 3 7 2" xfId="16866"/>
    <cellStyle name="注释 24 3 7 3" xfId="15686"/>
    <cellStyle name="注释 24 3 8" xfId="36893"/>
    <cellStyle name="注释 24 3 8 2" xfId="42808"/>
    <cellStyle name="注释 24 3 8 3" xfId="49642"/>
    <cellStyle name="注释 24 3 9" xfId="28530"/>
    <cellStyle name="注释 24 4" xfId="8349"/>
    <cellStyle name="注释 24 4 2" xfId="21577"/>
    <cellStyle name="注释 24 5" xfId="46664"/>
    <cellStyle name="注释 25" xfId="3558"/>
    <cellStyle name="注释 25 2" xfId="6503"/>
    <cellStyle name="注释 25 2 2" xfId="11237"/>
    <cellStyle name="注释 25 2 2 2" xfId="24465"/>
    <cellStyle name="注释 25 2 2 3" xfId="33867"/>
    <cellStyle name="注释 25 2 2 4" xfId="44975"/>
    <cellStyle name="注释 25 2 2 5" xfId="41236"/>
    <cellStyle name="注释 25 2 3" xfId="8213"/>
    <cellStyle name="注释 25 2 3 2" xfId="21441"/>
    <cellStyle name="注释 25 2 3 3" xfId="36293"/>
    <cellStyle name="注释 25 2 3 4" xfId="42186"/>
    <cellStyle name="注释 25 2 3 5" xfId="49020"/>
    <cellStyle name="注释 25 2 4" xfId="19731"/>
    <cellStyle name="注释 25 2 4 2" xfId="30824"/>
    <cellStyle name="注释 25 2 4 3" xfId="16953"/>
    <cellStyle name="注释 25 2 4 4" xfId="15851"/>
    <cellStyle name="注释 25 2 5" xfId="37067"/>
    <cellStyle name="注释 25 2 5 2" xfId="42986"/>
    <cellStyle name="注释 25 2 5 3" xfId="49820"/>
    <cellStyle name="注释 25 2 6" xfId="29555"/>
    <cellStyle name="注释 25 2 7" xfId="16190"/>
    <cellStyle name="注释 25 2 8" xfId="32193"/>
    <cellStyle name="注释 25 3" xfId="9725"/>
    <cellStyle name="注释 25 3 10" xfId="39387"/>
    <cellStyle name="注释 25 3 11" xfId="43861"/>
    <cellStyle name="注释 25 3 2" xfId="13362"/>
    <cellStyle name="注释 25 3 2 2" xfId="26590"/>
    <cellStyle name="注释 25 3 2 3" xfId="32842"/>
    <cellStyle name="注释 25 3 2 4" xfId="39062"/>
    <cellStyle name="注释 25 3 2 5" xfId="47483"/>
    <cellStyle name="注释 25 3 3" xfId="7668"/>
    <cellStyle name="注释 25 3 3 2" xfId="20896"/>
    <cellStyle name="注释 25 3 3 3" xfId="35338"/>
    <cellStyle name="注释 25 3 3 4" xfId="46103"/>
    <cellStyle name="注释 25 3 3 5" xfId="48041"/>
    <cellStyle name="注释 25 3 4" xfId="14269"/>
    <cellStyle name="注释 25 3 4 2" xfId="27497"/>
    <cellStyle name="注释 25 3 4 3" xfId="31090"/>
    <cellStyle name="注释 25 3 4 4" xfId="18602"/>
    <cellStyle name="注释 25 3 4 5" xfId="46675"/>
    <cellStyle name="注释 25 3 5" xfId="7311"/>
    <cellStyle name="注释 25 3 5 2" xfId="20539"/>
    <cellStyle name="注释 25 3 5 3" xfId="38358"/>
    <cellStyle name="注释 25 3 5 4" xfId="38506"/>
    <cellStyle name="注释 25 3 6" xfId="22953"/>
    <cellStyle name="注释 25 3 6 2" xfId="34746"/>
    <cellStyle name="注释 25 3 6 3" xfId="40738"/>
    <cellStyle name="注释 25 3 6 4" xfId="40173"/>
    <cellStyle name="注释 25 3 7" xfId="35018"/>
    <cellStyle name="注释 25 3 7 2" xfId="41022"/>
    <cellStyle name="注释 25 3 7 3" xfId="47718"/>
    <cellStyle name="注释 25 3 8" xfId="37799"/>
    <cellStyle name="注释 25 3 8 2" xfId="43723"/>
    <cellStyle name="注释 25 3 8 3" xfId="50557"/>
    <cellStyle name="注释 25 3 9" xfId="28531"/>
    <cellStyle name="注释 25 4" xfId="8350"/>
    <cellStyle name="注释 25 4 2" xfId="21578"/>
    <cellStyle name="注释 25 5" xfId="44916"/>
    <cellStyle name="注释 26" xfId="3559"/>
    <cellStyle name="注释 26 2" xfId="6504"/>
    <cellStyle name="注释 26 2 2" xfId="11238"/>
    <cellStyle name="注释 26 2 2 2" xfId="24466"/>
    <cellStyle name="注释 26 2 2 3" xfId="33868"/>
    <cellStyle name="注释 26 2 2 4" xfId="44976"/>
    <cellStyle name="注释 26 2 2 5" xfId="15381"/>
    <cellStyle name="注释 26 2 3" xfId="8214"/>
    <cellStyle name="注释 26 2 3 2" xfId="21442"/>
    <cellStyle name="注释 26 2 3 3" xfId="36294"/>
    <cellStyle name="注释 26 2 3 4" xfId="42187"/>
    <cellStyle name="注释 26 2 3 5" xfId="49021"/>
    <cellStyle name="注释 26 2 4" xfId="19732"/>
    <cellStyle name="注释 26 2 4 2" xfId="30384"/>
    <cellStyle name="注释 26 2 4 3" xfId="14659"/>
    <cellStyle name="注释 26 2 4 4" xfId="15945"/>
    <cellStyle name="注释 26 2 5" xfId="35467"/>
    <cellStyle name="注释 26 2 5 2" xfId="41336"/>
    <cellStyle name="注释 26 2 5 3" xfId="48170"/>
    <cellStyle name="注释 26 2 6" xfId="29556"/>
    <cellStyle name="注释 26 2 7" xfId="16191"/>
    <cellStyle name="注释 26 2 8" xfId="40107"/>
    <cellStyle name="注释 26 3" xfId="9726"/>
    <cellStyle name="注释 26 3 10" xfId="40449"/>
    <cellStyle name="注释 26 3 11" xfId="45332"/>
    <cellStyle name="注释 26 3 2" xfId="13363"/>
    <cellStyle name="注释 26 3 2 2" xfId="26591"/>
    <cellStyle name="注释 26 3 2 3" xfId="32843"/>
    <cellStyle name="注释 26 3 2 4" xfId="39063"/>
    <cellStyle name="注释 26 3 2 5" xfId="47586"/>
    <cellStyle name="注释 26 3 3" xfId="7669"/>
    <cellStyle name="注释 26 3 3 2" xfId="20897"/>
    <cellStyle name="注释 26 3 3 3" xfId="35339"/>
    <cellStyle name="注释 26 3 3 4" xfId="46104"/>
    <cellStyle name="注释 26 3 3 5" xfId="48042"/>
    <cellStyle name="注释 26 3 4" xfId="13518"/>
    <cellStyle name="注释 26 3 4 2" xfId="26746"/>
    <cellStyle name="注释 26 3 4 3" xfId="29842"/>
    <cellStyle name="注释 26 3 4 4" xfId="16354"/>
    <cellStyle name="注释 26 3 4 5" xfId="44531"/>
    <cellStyle name="注释 26 3 5" xfId="14493"/>
    <cellStyle name="注释 26 3 5 2" xfId="27721"/>
    <cellStyle name="注释 26 3 5 3" xfId="41040"/>
    <cellStyle name="注释 26 3 5 4" xfId="47736"/>
    <cellStyle name="注释 26 3 6" xfId="22954"/>
    <cellStyle name="注释 26 3 6 2" xfId="31668"/>
    <cellStyle name="注释 26 3 6 3" xfId="17878"/>
    <cellStyle name="注释 26 3 6 4" xfId="47474"/>
    <cellStyle name="注释 26 3 7" xfId="37678"/>
    <cellStyle name="注释 26 3 7 2" xfId="43601"/>
    <cellStyle name="注释 26 3 7 3" xfId="50435"/>
    <cellStyle name="注释 26 3 8" xfId="37066"/>
    <cellStyle name="注释 26 3 8 2" xfId="42985"/>
    <cellStyle name="注释 26 3 8 3" xfId="49819"/>
    <cellStyle name="注释 26 3 9" xfId="28532"/>
    <cellStyle name="注释 26 4" xfId="8351"/>
    <cellStyle name="注释 26 4 2" xfId="21579"/>
    <cellStyle name="注释 26 5" xfId="27862"/>
    <cellStyle name="注释 27" xfId="3560"/>
    <cellStyle name="注释 27 2" xfId="6505"/>
    <cellStyle name="注释 27 2 2" xfId="11239"/>
    <cellStyle name="注释 27 2 2 2" xfId="24467"/>
    <cellStyle name="注释 27 2 2 3" xfId="33869"/>
    <cellStyle name="注释 27 2 2 4" xfId="44977"/>
    <cellStyle name="注释 27 2 2 5" xfId="27947"/>
    <cellStyle name="注释 27 2 3" xfId="8215"/>
    <cellStyle name="注释 27 2 3 2" xfId="21443"/>
    <cellStyle name="注释 27 2 3 3" xfId="36295"/>
    <cellStyle name="注释 27 2 3 4" xfId="42188"/>
    <cellStyle name="注释 27 2 3 5" xfId="49022"/>
    <cellStyle name="注释 27 2 4" xfId="19733"/>
    <cellStyle name="注释 27 2 4 2" xfId="31375"/>
    <cellStyle name="注释 27 2 4 3" xfId="17958"/>
    <cellStyle name="注释 27 2 4 4" xfId="47076"/>
    <cellStyle name="注释 27 2 5" xfId="31529"/>
    <cellStyle name="注释 27 2 5 2" xfId="18010"/>
    <cellStyle name="注释 27 2 5 3" xfId="28751"/>
    <cellStyle name="注释 27 2 6" xfId="29557"/>
    <cellStyle name="注释 27 2 7" xfId="16192"/>
    <cellStyle name="注释 27 2 8" xfId="33017"/>
    <cellStyle name="注释 27 3" xfId="9727"/>
    <cellStyle name="注释 27 3 10" xfId="15824"/>
    <cellStyle name="注释 27 3 11" xfId="44326"/>
    <cellStyle name="注释 27 3 2" xfId="13364"/>
    <cellStyle name="注释 27 3 2 2" xfId="26592"/>
    <cellStyle name="注释 27 3 2 3" xfId="32844"/>
    <cellStyle name="注释 27 3 2 4" xfId="39064"/>
    <cellStyle name="注释 27 3 2 5" xfId="47585"/>
    <cellStyle name="注释 27 3 3" xfId="7670"/>
    <cellStyle name="注释 27 3 3 2" xfId="20898"/>
    <cellStyle name="注释 27 3 3 3" xfId="35340"/>
    <cellStyle name="注释 27 3 3 4" xfId="46105"/>
    <cellStyle name="注释 27 3 3 5" xfId="48043"/>
    <cellStyle name="注释 27 3 4" xfId="14132"/>
    <cellStyle name="注释 27 3 4 2" xfId="27360"/>
    <cellStyle name="注释 27 3 4 3" xfId="31092"/>
    <cellStyle name="注释 27 3 4 4" xfId="18605"/>
    <cellStyle name="注释 27 3 4 5" xfId="47524"/>
    <cellStyle name="注释 27 3 5" xfId="7233"/>
    <cellStyle name="注释 27 3 5 2" xfId="20461"/>
    <cellStyle name="注释 27 3 5 3" xfId="38357"/>
    <cellStyle name="注释 27 3 5 4" xfId="40363"/>
    <cellStyle name="注释 27 3 6" xfId="22955"/>
    <cellStyle name="注释 27 3 6 2" xfId="36802"/>
    <cellStyle name="注释 27 3 6 3" xfId="42713"/>
    <cellStyle name="注释 27 3 6 4" xfId="49547"/>
    <cellStyle name="注释 27 3 7" xfId="37444"/>
    <cellStyle name="注释 27 3 7 2" xfId="43364"/>
    <cellStyle name="注释 27 3 7 3" xfId="50198"/>
    <cellStyle name="注释 27 3 8" xfId="37456"/>
    <cellStyle name="注释 27 3 8 2" xfId="43376"/>
    <cellStyle name="注释 27 3 8 3" xfId="50210"/>
    <cellStyle name="注释 27 3 9" xfId="28533"/>
    <cellStyle name="注释 27 4" xfId="8352"/>
    <cellStyle name="注释 27 4 2" xfId="21580"/>
    <cellStyle name="注释 27 5" xfId="39293"/>
    <cellStyle name="注释 28" xfId="3561"/>
    <cellStyle name="注释 28 2" xfId="6506"/>
    <cellStyle name="注释 28 2 2" xfId="11240"/>
    <cellStyle name="注释 28 2 2 2" xfId="24468"/>
    <cellStyle name="注释 28 2 2 3" xfId="33870"/>
    <cellStyle name="注释 28 2 2 4" xfId="44978"/>
    <cellStyle name="注释 28 2 2 5" xfId="29118"/>
    <cellStyle name="注释 28 2 3" xfId="8216"/>
    <cellStyle name="注释 28 2 3 2" xfId="21444"/>
    <cellStyle name="注释 28 2 3 3" xfId="36296"/>
    <cellStyle name="注释 28 2 3 4" xfId="42189"/>
    <cellStyle name="注释 28 2 3 5" xfId="49023"/>
    <cellStyle name="注释 28 2 4" xfId="19734"/>
    <cellStyle name="注释 28 2 4 2" xfId="30719"/>
    <cellStyle name="注释 28 2 4 3" xfId="16906"/>
    <cellStyle name="注释 28 2 4 4" xfId="47098"/>
    <cellStyle name="注释 28 2 5" xfId="30303"/>
    <cellStyle name="注释 28 2 5 2" xfId="16737"/>
    <cellStyle name="注释 28 2 5 3" xfId="44552"/>
    <cellStyle name="注释 28 2 6" xfId="29558"/>
    <cellStyle name="注释 28 2 7" xfId="16193"/>
    <cellStyle name="注释 28 2 8" xfId="45184"/>
    <cellStyle name="注释 28 3" xfId="9728"/>
    <cellStyle name="注释 28 3 10" xfId="38427"/>
    <cellStyle name="注释 28 3 11" xfId="40083"/>
    <cellStyle name="注释 28 3 2" xfId="13365"/>
    <cellStyle name="注释 28 3 2 2" xfId="26593"/>
    <cellStyle name="注释 28 3 2 3" xfId="32845"/>
    <cellStyle name="注释 28 3 2 4" xfId="39065"/>
    <cellStyle name="注释 28 3 2 5" xfId="45780"/>
    <cellStyle name="注释 28 3 3" xfId="7671"/>
    <cellStyle name="注释 28 3 3 2" xfId="20899"/>
    <cellStyle name="注释 28 3 3 3" xfId="35341"/>
    <cellStyle name="注释 28 3 3 4" xfId="46106"/>
    <cellStyle name="注释 28 3 3 5" xfId="48044"/>
    <cellStyle name="注释 28 3 4" xfId="7316"/>
    <cellStyle name="注释 28 3 4 2" xfId="20544"/>
    <cellStyle name="注释 28 3 4 3" xfId="32159"/>
    <cellStyle name="注释 28 3 4 4" xfId="38384"/>
    <cellStyle name="注释 28 3 4 5" xfId="46788"/>
    <cellStyle name="注释 28 3 5" xfId="13511"/>
    <cellStyle name="注释 28 3 5 2" xfId="26739"/>
    <cellStyle name="注释 28 3 5 3" xfId="42464"/>
    <cellStyle name="注释 28 3 5 4" xfId="49298"/>
    <cellStyle name="注释 28 3 6" xfId="22956"/>
    <cellStyle name="注释 28 3 6 2" xfId="30610"/>
    <cellStyle name="注释 28 3 6 3" xfId="17834"/>
    <cellStyle name="注释 28 3 6 4" xfId="44487"/>
    <cellStyle name="注释 28 3 7" xfId="30160"/>
    <cellStyle name="注释 28 3 7 2" xfId="16620"/>
    <cellStyle name="注释 28 3 7 3" xfId="17463"/>
    <cellStyle name="注释 28 3 8" xfId="31655"/>
    <cellStyle name="注释 28 3 8 2" xfId="17348"/>
    <cellStyle name="注释 28 3 8 3" xfId="47215"/>
    <cellStyle name="注释 28 3 9" xfId="28534"/>
    <cellStyle name="注释 28 4" xfId="8353"/>
    <cellStyle name="注释 28 4 2" xfId="21581"/>
    <cellStyle name="注释 28 5" xfId="47551"/>
    <cellStyle name="注释 29" xfId="3562"/>
    <cellStyle name="注释 29 2" xfId="6507"/>
    <cellStyle name="注释 29 2 2" xfId="11241"/>
    <cellStyle name="注释 29 2 2 2" xfId="24469"/>
    <cellStyle name="注释 29 2 2 3" xfId="33871"/>
    <cellStyle name="注释 29 2 2 4" xfId="44979"/>
    <cellStyle name="注释 29 2 2 5" xfId="39927"/>
    <cellStyle name="注释 29 2 3" xfId="8217"/>
    <cellStyle name="注释 29 2 3 2" xfId="21445"/>
    <cellStyle name="注释 29 2 3 3" xfId="36297"/>
    <cellStyle name="注释 29 2 3 4" xfId="42190"/>
    <cellStyle name="注释 29 2 3 5" xfId="49024"/>
    <cellStyle name="注释 29 2 4" xfId="19735"/>
    <cellStyle name="注释 29 2 4 2" xfId="29784"/>
    <cellStyle name="注释 29 2 4 3" xfId="31689"/>
    <cellStyle name="注释 29 2 4 4" xfId="29070"/>
    <cellStyle name="注释 29 2 5" xfId="34766"/>
    <cellStyle name="注释 29 2 5 2" xfId="40761"/>
    <cellStyle name="注释 29 2 5 3" xfId="29086"/>
    <cellStyle name="注释 29 2 6" xfId="29559"/>
    <cellStyle name="注释 29 2 7" xfId="16194"/>
    <cellStyle name="注释 29 2 8" xfId="44051"/>
    <cellStyle name="注释 29 3" xfId="9729"/>
    <cellStyle name="注释 29 3 10" xfId="40293"/>
    <cellStyle name="注释 29 3 11" xfId="44564"/>
    <cellStyle name="注释 29 3 2" xfId="13366"/>
    <cellStyle name="注释 29 3 2 2" xfId="26594"/>
    <cellStyle name="注释 29 3 2 3" xfId="32846"/>
    <cellStyle name="注释 29 3 2 4" xfId="39066"/>
    <cellStyle name="注释 29 3 2 5" xfId="33219"/>
    <cellStyle name="注释 29 3 3" xfId="7672"/>
    <cellStyle name="注释 29 3 3 2" xfId="20900"/>
    <cellStyle name="注释 29 3 3 3" xfId="35342"/>
    <cellStyle name="注释 29 3 3 4" xfId="46107"/>
    <cellStyle name="注释 29 3 3 5" xfId="48045"/>
    <cellStyle name="注释 29 3 4" xfId="13580"/>
    <cellStyle name="注释 29 3 4 2" xfId="26808"/>
    <cellStyle name="注释 29 3 4 3" xfId="31091"/>
    <cellStyle name="注释 29 3 4 4" xfId="17754"/>
    <cellStyle name="注释 29 3 4 5" xfId="34407"/>
    <cellStyle name="注释 29 3 5" xfId="14244"/>
    <cellStyle name="注释 29 3 5 2" xfId="27472"/>
    <cellStyle name="注释 29 3 5 3" xfId="38356"/>
    <cellStyle name="注释 29 3 5 4" xfId="39282"/>
    <cellStyle name="注释 29 3 6" xfId="22957"/>
    <cellStyle name="注释 29 3 6 2" xfId="34987"/>
    <cellStyle name="注释 29 3 6 3" xfId="40991"/>
    <cellStyle name="注释 29 3 6 4" xfId="47687"/>
    <cellStyle name="注释 29 3 7" xfId="34822"/>
    <cellStyle name="注释 29 3 7 2" xfId="40820"/>
    <cellStyle name="注释 29 3 7 3" xfId="15425"/>
    <cellStyle name="注释 29 3 8" xfId="35611"/>
    <cellStyle name="注释 29 3 8 2" xfId="41488"/>
    <cellStyle name="注释 29 3 8 3" xfId="48322"/>
    <cellStyle name="注释 29 3 9" xfId="28535"/>
    <cellStyle name="注释 29 4" xfId="8354"/>
    <cellStyle name="注释 29 4 2" xfId="21582"/>
    <cellStyle name="注释 29 5" xfId="15150"/>
    <cellStyle name="注释 3" xfId="3563"/>
    <cellStyle name="注释 3 2" xfId="6508"/>
    <cellStyle name="注释 3 2 2" xfId="11242"/>
    <cellStyle name="注释 3 2 2 2" xfId="24470"/>
    <cellStyle name="注释 3 2 2 3" xfId="33872"/>
    <cellStyle name="注释 3 2 2 4" xfId="44980"/>
    <cellStyle name="注释 3 2 2 5" xfId="39486"/>
    <cellStyle name="注释 3 2 3" xfId="8218"/>
    <cellStyle name="注释 3 2 3 2" xfId="21446"/>
    <cellStyle name="注释 3 2 3 3" xfId="36298"/>
    <cellStyle name="注释 3 2 3 4" xfId="42191"/>
    <cellStyle name="注释 3 2 3 5" xfId="49025"/>
    <cellStyle name="注释 3 2 4" xfId="19736"/>
    <cellStyle name="注释 3 2 4 2" xfId="31959"/>
    <cellStyle name="注释 3 2 4 3" xfId="38182"/>
    <cellStyle name="注释 3 2 4 4" xfId="46327"/>
    <cellStyle name="注释 3 2 5" xfId="30809"/>
    <cellStyle name="注释 3 2 5 2" xfId="17782"/>
    <cellStyle name="注释 3 2 5 3" xfId="40417"/>
    <cellStyle name="注释 3 2 6" xfId="29560"/>
    <cellStyle name="注释 3 2 7" xfId="16195"/>
    <cellStyle name="注释 3 2 8" xfId="39272"/>
    <cellStyle name="注释 3 3" xfId="9730"/>
    <cellStyle name="注释 3 3 10" xfId="39207"/>
    <cellStyle name="注释 3 3 11" xfId="45534"/>
    <cellStyle name="注释 3 3 2" xfId="13367"/>
    <cellStyle name="注释 3 3 2 2" xfId="26595"/>
    <cellStyle name="注释 3 3 2 3" xfId="32847"/>
    <cellStyle name="注释 3 3 2 4" xfId="39067"/>
    <cellStyle name="注释 3 3 2 5" xfId="45813"/>
    <cellStyle name="注释 3 3 3" xfId="7673"/>
    <cellStyle name="注释 3 3 3 2" xfId="20901"/>
    <cellStyle name="注释 3 3 3 3" xfId="35343"/>
    <cellStyle name="注释 3 3 3 4" xfId="46108"/>
    <cellStyle name="注释 3 3 3 5" xfId="48046"/>
    <cellStyle name="注释 3 3 4" xfId="14187"/>
    <cellStyle name="注释 3 3 4 2" xfId="27415"/>
    <cellStyle name="注释 3 3 4 3" xfId="32158"/>
    <cellStyle name="注释 3 3 4 4" xfId="38383"/>
    <cellStyle name="注释 3 3 4 5" xfId="17916"/>
    <cellStyle name="注释 3 3 5" xfId="8674"/>
    <cellStyle name="注释 3 3 5 2" xfId="21902"/>
    <cellStyle name="注释 3 3 5 3" xfId="17361"/>
    <cellStyle name="注释 3 3 5 4" xfId="44186"/>
    <cellStyle name="注释 3 3 6" xfId="22958"/>
    <cellStyle name="注释 3 3 6 2" xfId="34779"/>
    <cellStyle name="注释 3 3 6 3" xfId="40775"/>
    <cellStyle name="注释 3 3 6 4" xfId="40278"/>
    <cellStyle name="注释 3 3 7" xfId="37508"/>
    <cellStyle name="注释 3 3 7 2" xfId="43428"/>
    <cellStyle name="注释 3 3 7 3" xfId="50262"/>
    <cellStyle name="注释 3 3 8" xfId="31724"/>
    <cellStyle name="注释 3 3 8 2" xfId="37945"/>
    <cellStyle name="注释 3 3 8 3" xfId="44182"/>
    <cellStyle name="注释 3 3 9" xfId="28536"/>
    <cellStyle name="注释 3 4" xfId="8355"/>
    <cellStyle name="注释 3 4 2" xfId="21583"/>
    <cellStyle name="注释 3 5" xfId="17420"/>
    <cellStyle name="注释 30" xfId="3564"/>
    <cellStyle name="注释 30 2" xfId="6509"/>
    <cellStyle name="注释 30 2 2" xfId="11243"/>
    <cellStyle name="注释 30 2 2 2" xfId="24471"/>
    <cellStyle name="注释 30 2 2 3" xfId="33873"/>
    <cellStyle name="注释 30 2 2 4" xfId="44981"/>
    <cellStyle name="注释 30 2 2 5" xfId="33103"/>
    <cellStyle name="注释 30 2 3" xfId="8219"/>
    <cellStyle name="注释 30 2 3 2" xfId="21447"/>
    <cellStyle name="注释 30 2 3 3" xfId="36299"/>
    <cellStyle name="注释 30 2 3 4" xfId="42192"/>
    <cellStyle name="注释 30 2 3 5" xfId="49026"/>
    <cellStyle name="注释 30 2 4" xfId="19737"/>
    <cellStyle name="注释 30 2 4 2" xfId="35706"/>
    <cellStyle name="注释 30 2 4 3" xfId="41590"/>
    <cellStyle name="注释 30 2 4 4" xfId="48424"/>
    <cellStyle name="注释 30 2 5" xfId="37629"/>
    <cellStyle name="注释 30 2 5 2" xfId="43552"/>
    <cellStyle name="注释 30 2 5 3" xfId="50386"/>
    <cellStyle name="注释 30 2 6" xfId="29561"/>
    <cellStyle name="注释 30 2 7" xfId="16196"/>
    <cellStyle name="注释 30 2 8" xfId="44452"/>
    <cellStyle name="注释 30 3" xfId="9731"/>
    <cellStyle name="注释 30 3 10" xfId="34424"/>
    <cellStyle name="注释 30 3 11" xfId="27922"/>
    <cellStyle name="注释 30 3 2" xfId="13368"/>
    <cellStyle name="注释 30 3 2 2" xfId="26596"/>
    <cellStyle name="注释 30 3 2 3" xfId="32848"/>
    <cellStyle name="注释 30 3 2 4" xfId="39068"/>
    <cellStyle name="注释 30 3 2 5" xfId="43980"/>
    <cellStyle name="注释 30 3 3" xfId="7674"/>
    <cellStyle name="注释 30 3 3 2" xfId="20902"/>
    <cellStyle name="注释 30 3 3 3" xfId="35344"/>
    <cellStyle name="注释 30 3 3 4" xfId="46109"/>
    <cellStyle name="注释 30 3 3 5" xfId="48047"/>
    <cellStyle name="注释 30 3 4" xfId="13048"/>
    <cellStyle name="注释 30 3 4 2" xfId="26276"/>
    <cellStyle name="注释 30 3 4 3" xfId="31088"/>
    <cellStyle name="注释 30 3 4 4" xfId="17753"/>
    <cellStyle name="注释 30 3 4 5" xfId="39710"/>
    <cellStyle name="注释 30 3 5" xfId="14492"/>
    <cellStyle name="注释 30 3 5 2" xfId="27720"/>
    <cellStyle name="注释 30 3 5 3" xfId="17230"/>
    <cellStyle name="注释 30 3 5 4" xfId="39829"/>
    <cellStyle name="注释 30 3 6" xfId="22959"/>
    <cellStyle name="注释 30 3 6 2" xfId="37170"/>
    <cellStyle name="注释 30 3 6 3" xfId="43089"/>
    <cellStyle name="注释 30 3 6 4" xfId="49923"/>
    <cellStyle name="注释 30 3 7" xfId="35890"/>
    <cellStyle name="注释 30 3 7 2" xfId="41782"/>
    <cellStyle name="注释 30 3 7 3" xfId="48616"/>
    <cellStyle name="注释 30 3 8" xfId="37772"/>
    <cellStyle name="注释 30 3 8 2" xfId="43696"/>
    <cellStyle name="注释 30 3 8 3" xfId="50530"/>
    <cellStyle name="注释 30 3 9" xfId="28537"/>
    <cellStyle name="注释 30 4" xfId="8356"/>
    <cellStyle name="注释 30 4 2" xfId="21584"/>
    <cellStyle name="注释 30 5" xfId="15640"/>
    <cellStyle name="注释 31" xfId="3565"/>
    <cellStyle name="注释 31 2" xfId="6510"/>
    <cellStyle name="注释 31 2 2" xfId="11244"/>
    <cellStyle name="注释 31 2 2 2" xfId="24472"/>
    <cellStyle name="注释 31 2 2 3" xfId="33874"/>
    <cellStyle name="注释 31 2 2 4" xfId="44982"/>
    <cellStyle name="注释 31 2 2 5" xfId="41237"/>
    <cellStyle name="注释 31 2 3" xfId="8761"/>
    <cellStyle name="注释 31 2 3 2" xfId="21989"/>
    <cellStyle name="注释 31 2 3 3" xfId="36300"/>
    <cellStyle name="注释 31 2 3 4" xfId="42193"/>
    <cellStyle name="注释 31 2 3 5" xfId="49027"/>
    <cellStyle name="注释 31 2 4" xfId="19738"/>
    <cellStyle name="注释 31 2 4 2" xfId="31615"/>
    <cellStyle name="注释 31 2 4 3" xfId="17866"/>
    <cellStyle name="注释 31 2 4 4" xfId="45810"/>
    <cellStyle name="注释 31 2 5" xfId="30495"/>
    <cellStyle name="注释 31 2 5 2" xfId="27778"/>
    <cellStyle name="注释 31 2 5 3" xfId="34468"/>
    <cellStyle name="注释 31 2 6" xfId="29562"/>
    <cellStyle name="注释 31 2 7" xfId="16197"/>
    <cellStyle name="注释 31 2 8" xfId="45438"/>
    <cellStyle name="注释 31 3" xfId="9732"/>
    <cellStyle name="注释 31 3 10" xfId="39554"/>
    <cellStyle name="注释 31 3 11" xfId="39232"/>
    <cellStyle name="注释 31 3 2" xfId="13369"/>
    <cellStyle name="注释 31 3 2 2" xfId="26597"/>
    <cellStyle name="注释 31 3 2 3" xfId="32849"/>
    <cellStyle name="注释 31 3 2 4" xfId="39069"/>
    <cellStyle name="注释 31 3 2 5" xfId="47439"/>
    <cellStyle name="注释 31 3 3" xfId="7675"/>
    <cellStyle name="注释 31 3 3 2" xfId="20903"/>
    <cellStyle name="注释 31 3 3 3" xfId="35345"/>
    <cellStyle name="注释 31 3 3 4" xfId="46110"/>
    <cellStyle name="注释 31 3 3 5" xfId="48048"/>
    <cellStyle name="注释 31 3 4" xfId="14045"/>
    <cellStyle name="注释 31 3 4 2" xfId="27273"/>
    <cellStyle name="注释 31 3 4 3" xfId="29843"/>
    <cellStyle name="注释 31 3 4 4" xfId="16316"/>
    <cellStyle name="注释 31 3 4 5" xfId="45501"/>
    <cellStyle name="注释 31 3 5" xfId="14157"/>
    <cellStyle name="注释 31 3 5 2" xfId="27385"/>
    <cellStyle name="注释 31 3 5 3" xfId="18054"/>
    <cellStyle name="注释 31 3 5 4" xfId="39857"/>
    <cellStyle name="注释 31 3 6" xfId="22960"/>
    <cellStyle name="注释 31 3 6 2" xfId="30089"/>
    <cellStyle name="注释 31 3 6 3" xfId="14628"/>
    <cellStyle name="注释 31 3 6 4" xfId="45273"/>
    <cellStyle name="注释 31 3 7" xfId="36801"/>
    <cellStyle name="注释 31 3 7 2" xfId="42712"/>
    <cellStyle name="注释 31 3 7 3" xfId="49546"/>
    <cellStyle name="注释 31 3 8" xfId="37435"/>
    <cellStyle name="注释 31 3 8 2" xfId="43355"/>
    <cellStyle name="注释 31 3 8 3" xfId="50189"/>
    <cellStyle name="注释 31 3 9" xfId="28538"/>
    <cellStyle name="注释 31 4" xfId="8357"/>
    <cellStyle name="注释 31 4 2" xfId="21585"/>
    <cellStyle name="注释 31 5" xfId="46051"/>
    <cellStyle name="注释 32" xfId="3566"/>
    <cellStyle name="注释 32 2" xfId="6511"/>
    <cellStyle name="注释 32 2 2" xfId="11245"/>
    <cellStyle name="注释 32 2 2 2" xfId="24473"/>
    <cellStyle name="注释 32 2 2 3" xfId="33875"/>
    <cellStyle name="注释 32 2 2 4" xfId="44983"/>
    <cellStyle name="注释 32 2 2 5" xfId="15380"/>
    <cellStyle name="注释 32 2 3" xfId="8199"/>
    <cellStyle name="注释 32 2 3 2" xfId="21427"/>
    <cellStyle name="注释 32 2 3 3" xfId="36301"/>
    <cellStyle name="注释 32 2 3 4" xfId="42194"/>
    <cellStyle name="注释 32 2 3 5" xfId="49028"/>
    <cellStyle name="注释 32 2 4" xfId="19739"/>
    <cellStyle name="注释 32 2 4 2" xfId="32065"/>
    <cellStyle name="注释 32 2 4 3" xfId="38288"/>
    <cellStyle name="注释 32 2 4 4" xfId="47610"/>
    <cellStyle name="注释 32 2 5" xfId="30702"/>
    <cellStyle name="注释 32 2 5 2" xfId="16897"/>
    <cellStyle name="注释 32 2 5 3" xfId="45841"/>
    <cellStyle name="注释 32 2 6" xfId="29563"/>
    <cellStyle name="注释 32 2 7" xfId="16216"/>
    <cellStyle name="注释 32 2 8" xfId="39376"/>
    <cellStyle name="注释 32 3" xfId="9733"/>
    <cellStyle name="注释 32 3 10" xfId="40536"/>
    <cellStyle name="注释 32 3 11" xfId="32553"/>
    <cellStyle name="注释 32 3 2" xfId="13370"/>
    <cellStyle name="注释 32 3 2 2" xfId="26598"/>
    <cellStyle name="注释 32 3 2 3" xfId="32850"/>
    <cellStyle name="注释 32 3 2 4" xfId="39070"/>
    <cellStyle name="注释 32 3 2 5" xfId="47005"/>
    <cellStyle name="注释 32 3 3" xfId="7676"/>
    <cellStyle name="注释 32 3 3 2" xfId="20904"/>
    <cellStyle name="注释 32 3 3 3" xfId="35346"/>
    <cellStyle name="注释 32 3 3 4" xfId="46111"/>
    <cellStyle name="注释 32 3 3 5" xfId="48049"/>
    <cellStyle name="注释 32 3 4" xfId="8491"/>
    <cellStyle name="注释 32 3 4 2" xfId="21719"/>
    <cellStyle name="注释 32 3 4 3" xfId="31094"/>
    <cellStyle name="注释 32 3 4 4" xfId="17755"/>
    <cellStyle name="注释 32 3 4 5" xfId="46753"/>
    <cellStyle name="注释 32 3 5" xfId="14053"/>
    <cellStyle name="注释 32 3 5 2" xfId="27281"/>
    <cellStyle name="注释 32 3 5 3" xfId="17240"/>
    <cellStyle name="注释 32 3 5 4" xfId="46430"/>
    <cellStyle name="注释 32 3 6" xfId="22961"/>
    <cellStyle name="注释 32 3 6 2" xfId="30445"/>
    <cellStyle name="注释 32 3 6 3" xfId="14902"/>
    <cellStyle name="注释 32 3 6 4" xfId="44494"/>
    <cellStyle name="注释 32 3 7" xfId="32069"/>
    <cellStyle name="注释 32 3 7 2" xfId="38292"/>
    <cellStyle name="注释 32 3 7 3" xfId="47449"/>
    <cellStyle name="注释 32 3 8" xfId="36889"/>
    <cellStyle name="注释 32 3 8 2" xfId="42804"/>
    <cellStyle name="注释 32 3 8 3" xfId="49638"/>
    <cellStyle name="注释 32 3 9" xfId="28539"/>
    <cellStyle name="注释 32 4" xfId="8358"/>
    <cellStyle name="注释 32 4 2" xfId="21586"/>
    <cellStyle name="注释 32 5" xfId="44232"/>
    <cellStyle name="注释 33" xfId="3567"/>
    <cellStyle name="注释 33 2" xfId="6512"/>
    <cellStyle name="注释 33 2 2" xfId="11246"/>
    <cellStyle name="注释 33 2 2 2" xfId="24474"/>
    <cellStyle name="注释 33 2 2 3" xfId="33876"/>
    <cellStyle name="注释 33 2 2 4" xfId="44984"/>
    <cellStyle name="注释 33 2 2 5" xfId="32457"/>
    <cellStyle name="注释 33 2 3" xfId="8220"/>
    <cellStyle name="注释 33 2 3 2" xfId="21448"/>
    <cellStyle name="注释 33 2 3 3" xfId="36302"/>
    <cellStyle name="注释 33 2 3 4" xfId="42195"/>
    <cellStyle name="注释 33 2 3 5" xfId="49029"/>
    <cellStyle name="注释 33 2 4" xfId="19740"/>
    <cellStyle name="注释 33 2 4 2" xfId="30822"/>
    <cellStyle name="注释 33 2 4 3" xfId="15226"/>
    <cellStyle name="注释 33 2 4 4" xfId="40347"/>
    <cellStyle name="注释 33 2 5" xfId="32100"/>
    <cellStyle name="注释 33 2 5 2" xfId="38323"/>
    <cellStyle name="注释 33 2 5 3" xfId="33069"/>
    <cellStyle name="注释 33 2 6" xfId="29564"/>
    <cellStyle name="注释 33 2 7" xfId="27813"/>
    <cellStyle name="注释 33 2 8" xfId="43890"/>
    <cellStyle name="注释 33 3" xfId="9734"/>
    <cellStyle name="注释 33 3 10" xfId="34790"/>
    <cellStyle name="注释 33 3 11" xfId="45204"/>
    <cellStyle name="注释 33 3 2" xfId="13371"/>
    <cellStyle name="注释 33 3 2 2" xfId="26599"/>
    <cellStyle name="注释 33 3 2 3" xfId="32851"/>
    <cellStyle name="注释 33 3 2 4" xfId="39071"/>
    <cellStyle name="注释 33 3 2 5" xfId="46326"/>
    <cellStyle name="注释 33 3 3" xfId="7677"/>
    <cellStyle name="注释 33 3 3 2" xfId="20905"/>
    <cellStyle name="注释 33 3 3 3" xfId="35347"/>
    <cellStyle name="注释 33 3 3 4" xfId="46112"/>
    <cellStyle name="注释 33 3 3 5" xfId="48050"/>
    <cellStyle name="注释 33 3 4" xfId="8461"/>
    <cellStyle name="注释 33 3 4 2" xfId="21689"/>
    <cellStyle name="注释 33 3 4 3" xfId="31093"/>
    <cellStyle name="注释 33 3 4 4" xfId="18604"/>
    <cellStyle name="注释 33 3 4 5" xfId="33432"/>
    <cellStyle name="注释 33 3 5" xfId="7223"/>
    <cellStyle name="注释 33 3 5 2" xfId="20451"/>
    <cellStyle name="注释 33 3 5 3" xfId="40826"/>
    <cellStyle name="注释 33 3 5 4" xfId="28659"/>
    <cellStyle name="注释 33 3 6" xfId="22962"/>
    <cellStyle name="注释 33 3 6 2" xfId="35049"/>
    <cellStyle name="注释 33 3 6 3" xfId="41056"/>
    <cellStyle name="注释 33 3 6 4" xfId="47752"/>
    <cellStyle name="注释 33 3 7" xfId="37620"/>
    <cellStyle name="注释 33 3 7 2" xfId="43543"/>
    <cellStyle name="注释 33 3 7 3" xfId="50377"/>
    <cellStyle name="注释 33 3 8" xfId="31895"/>
    <cellStyle name="注释 33 3 8 2" xfId="38116"/>
    <cellStyle name="注释 33 3 8 3" xfId="45729"/>
    <cellStyle name="注释 33 3 9" xfId="28540"/>
    <cellStyle name="注释 33 4" xfId="8359"/>
    <cellStyle name="注释 33 4 2" xfId="21587"/>
    <cellStyle name="注释 33 5" xfId="47508"/>
    <cellStyle name="注释 34" xfId="3568"/>
    <cellStyle name="注释 34 2" xfId="6513"/>
    <cellStyle name="注释 34 2 2" xfId="11247"/>
    <cellStyle name="注释 34 2 2 2" xfId="24475"/>
    <cellStyle name="注释 34 2 2 3" xfId="33877"/>
    <cellStyle name="注释 34 2 2 4" xfId="44985"/>
    <cellStyle name="注释 34 2 2 5" xfId="40056"/>
    <cellStyle name="注释 34 2 3" xfId="8221"/>
    <cellStyle name="注释 34 2 3 2" xfId="21449"/>
    <cellStyle name="注释 34 2 3 3" xfId="36303"/>
    <cellStyle name="注释 34 2 3 4" xfId="42196"/>
    <cellStyle name="注释 34 2 3 5" xfId="49030"/>
    <cellStyle name="注释 34 2 4" xfId="19741"/>
    <cellStyle name="注释 34 2 4 2" xfId="37255"/>
    <cellStyle name="注释 34 2 4 3" xfId="43175"/>
    <cellStyle name="注释 34 2 4 4" xfId="50009"/>
    <cellStyle name="注释 34 2 5" xfId="37737"/>
    <cellStyle name="注释 34 2 5 2" xfId="43661"/>
    <cellStyle name="注释 34 2 5 3" xfId="50495"/>
    <cellStyle name="注释 34 2 6" xfId="29565"/>
    <cellStyle name="注释 34 2 7" xfId="16198"/>
    <cellStyle name="注释 34 2 8" xfId="45361"/>
    <cellStyle name="注释 34 3" xfId="9735"/>
    <cellStyle name="注释 34 3 10" xfId="27970"/>
    <cellStyle name="注释 34 3 11" xfId="44071"/>
    <cellStyle name="注释 34 3 2" xfId="13372"/>
    <cellStyle name="注释 34 3 2 2" xfId="26600"/>
    <cellStyle name="注释 34 3 2 3" xfId="32852"/>
    <cellStyle name="注释 34 3 2 4" xfId="39072"/>
    <cellStyle name="注释 34 3 2 5" xfId="46899"/>
    <cellStyle name="注释 34 3 3" xfId="7678"/>
    <cellStyle name="注释 34 3 3 2" xfId="20906"/>
    <cellStyle name="注释 34 3 3 3" xfId="35348"/>
    <cellStyle name="注释 34 3 3 4" xfId="46113"/>
    <cellStyle name="注释 34 3 3 5" xfId="48051"/>
    <cellStyle name="注释 34 3 4" xfId="12940"/>
    <cellStyle name="注释 34 3 4 2" xfId="26168"/>
    <cellStyle name="注释 34 3 4 3" xfId="31095"/>
    <cellStyle name="注释 34 3 4 4" xfId="18606"/>
    <cellStyle name="注释 34 3 4 5" xfId="40024"/>
    <cellStyle name="注释 34 3 5" xfId="7312"/>
    <cellStyle name="注释 34 3 5 2" xfId="20540"/>
    <cellStyle name="注释 34 3 5 3" xfId="16649"/>
    <cellStyle name="注释 34 3 5 4" xfId="15345"/>
    <cellStyle name="注释 34 3 6" xfId="22963"/>
    <cellStyle name="注释 34 3 6 2" xfId="37714"/>
    <cellStyle name="注释 34 3 6 3" xfId="43637"/>
    <cellStyle name="注释 34 3 6 4" xfId="50471"/>
    <cellStyle name="注释 34 3 7" xfId="36962"/>
    <cellStyle name="注释 34 3 7 2" xfId="42880"/>
    <cellStyle name="注释 34 3 7 3" xfId="49714"/>
    <cellStyle name="注释 34 3 8" xfId="34782"/>
    <cellStyle name="注释 34 3 8 2" xfId="40778"/>
    <cellStyle name="注释 34 3 8 3" xfId="33193"/>
    <cellStyle name="注释 34 3 9" xfId="28541"/>
    <cellStyle name="注释 34 4" xfId="8360"/>
    <cellStyle name="注释 34 4 2" xfId="21588"/>
    <cellStyle name="注释 34 5" xfId="31634"/>
    <cellStyle name="注释 35" xfId="3569"/>
    <cellStyle name="注释 35 2" xfId="6514"/>
    <cellStyle name="注释 35 2 2" xfId="11248"/>
    <cellStyle name="注释 35 2 2 2" xfId="24476"/>
    <cellStyle name="注释 35 2 2 3" xfId="33878"/>
    <cellStyle name="注释 35 2 2 4" xfId="44986"/>
    <cellStyle name="注释 35 2 2 5" xfId="40074"/>
    <cellStyle name="注释 35 2 3" xfId="8222"/>
    <cellStyle name="注释 35 2 3 2" xfId="21450"/>
    <cellStyle name="注释 35 2 3 3" xfId="36304"/>
    <cellStyle name="注释 35 2 3 4" xfId="42197"/>
    <cellStyle name="注释 35 2 3 5" xfId="49031"/>
    <cellStyle name="注释 35 2 4" xfId="19742"/>
    <cellStyle name="注释 35 2 4 2" xfId="29972"/>
    <cellStyle name="注释 35 2 4 3" xfId="16487"/>
    <cellStyle name="注释 35 2 4 4" xfId="45122"/>
    <cellStyle name="注释 35 2 5" xfId="35529"/>
    <cellStyle name="注释 35 2 5 2" xfId="41402"/>
    <cellStyle name="注释 35 2 5 3" xfId="48236"/>
    <cellStyle name="注释 35 2 6" xfId="29566"/>
    <cellStyle name="注释 35 2 7" xfId="16199"/>
    <cellStyle name="注释 35 2 8" xfId="44355"/>
    <cellStyle name="注释 35 3" xfId="9736"/>
    <cellStyle name="注释 35 3 10" xfId="15446"/>
    <cellStyle name="注释 35 3 11" xfId="38407"/>
    <cellStyle name="注释 35 3 2" xfId="13373"/>
    <cellStyle name="注释 35 3 2 2" xfId="26601"/>
    <cellStyle name="注释 35 3 2 3" xfId="32853"/>
    <cellStyle name="注释 35 3 2 4" xfId="39073"/>
    <cellStyle name="注释 35 3 2 5" xfId="47454"/>
    <cellStyle name="注释 35 3 3" xfId="7679"/>
    <cellStyle name="注释 35 3 3 2" xfId="20907"/>
    <cellStyle name="注释 35 3 3 3" xfId="35349"/>
    <cellStyle name="注释 35 3 3 4" xfId="46114"/>
    <cellStyle name="注释 35 3 3 5" xfId="48052"/>
    <cellStyle name="注释 35 3 4" xfId="13711"/>
    <cellStyle name="注释 35 3 4 2" xfId="26939"/>
    <cellStyle name="注释 35 3 4 3" xfId="31096"/>
    <cellStyle name="注释 35 3 4 4" xfId="14717"/>
    <cellStyle name="注释 35 3 4 5" xfId="47294"/>
    <cellStyle name="注释 35 3 5" xfId="14491"/>
    <cellStyle name="注释 35 3 5 2" xfId="27719"/>
    <cellStyle name="注释 35 3 5 3" xfId="16650"/>
    <cellStyle name="注释 35 3 5 4" xfId="34076"/>
    <cellStyle name="注释 35 3 6" xfId="22964"/>
    <cellStyle name="注释 35 3 6 2" xfId="30404"/>
    <cellStyle name="注释 35 3 6 3" xfId="14867"/>
    <cellStyle name="注释 35 3 6 4" xfId="46337"/>
    <cellStyle name="注释 35 3 7" xfId="35033"/>
    <cellStyle name="注释 35 3 7 2" xfId="41037"/>
    <cellStyle name="注释 35 3 7 3" xfId="47733"/>
    <cellStyle name="注释 35 3 8" xfId="37816"/>
    <cellStyle name="注释 35 3 8 2" xfId="43740"/>
    <cellStyle name="注释 35 3 8 3" xfId="50574"/>
    <cellStyle name="注释 35 3 9" xfId="28542"/>
    <cellStyle name="注释 35 4" xfId="8361"/>
    <cellStyle name="注释 35 4 2" xfId="21589"/>
    <cellStyle name="注释 35 5" xfId="46351"/>
    <cellStyle name="注释 36" xfId="3570"/>
    <cellStyle name="注释 36 2" xfId="6515"/>
    <cellStyle name="注释 36 2 2" xfId="11249"/>
    <cellStyle name="注释 36 2 2 2" xfId="24477"/>
    <cellStyle name="注释 36 2 2 3" xfId="33879"/>
    <cellStyle name="注释 36 2 2 4" xfId="44987"/>
    <cellStyle name="注释 36 2 2 5" xfId="40062"/>
    <cellStyle name="注释 36 2 3" xfId="8223"/>
    <cellStyle name="注释 36 2 3 2" xfId="21451"/>
    <cellStyle name="注释 36 2 3 3" xfId="36305"/>
    <cellStyle name="注释 36 2 3 4" xfId="42198"/>
    <cellStyle name="注释 36 2 3 5" xfId="49032"/>
    <cellStyle name="注释 36 2 4" xfId="19743"/>
    <cellStyle name="注释 36 2 4 2" xfId="37132"/>
    <cellStyle name="注释 36 2 4 3" xfId="43051"/>
    <cellStyle name="注释 36 2 4 4" xfId="49885"/>
    <cellStyle name="注释 36 2 5" xfId="29773"/>
    <cellStyle name="注释 36 2 5 2" xfId="16332"/>
    <cellStyle name="注释 36 2 5 3" xfId="30078"/>
    <cellStyle name="注释 36 2 6" xfId="29567"/>
    <cellStyle name="注释 36 2 7" xfId="16200"/>
    <cellStyle name="注释 36 2 8" xfId="16457"/>
    <cellStyle name="注释 36 3" xfId="9737"/>
    <cellStyle name="注释 36 3 10" xfId="15416"/>
    <cellStyle name="注释 36 3 11" xfId="44472"/>
    <cellStyle name="注释 36 3 2" xfId="13374"/>
    <cellStyle name="注释 36 3 2 2" xfId="26602"/>
    <cellStyle name="注释 36 3 2 3" xfId="32854"/>
    <cellStyle name="注释 36 3 2 4" xfId="39074"/>
    <cellStyle name="注释 36 3 2 5" xfId="47220"/>
    <cellStyle name="注释 36 3 3" xfId="7680"/>
    <cellStyle name="注释 36 3 3 2" xfId="20908"/>
    <cellStyle name="注释 36 3 3 3" xfId="35350"/>
    <cellStyle name="注释 36 3 3 4" xfId="46115"/>
    <cellStyle name="注释 36 3 3 5" xfId="48053"/>
    <cellStyle name="注释 36 3 4" xfId="14283"/>
    <cellStyle name="注释 36 3 4 2" xfId="27511"/>
    <cellStyle name="注释 36 3 4 3" xfId="31097"/>
    <cellStyle name="注释 36 3 4 4" xfId="17756"/>
    <cellStyle name="注释 36 3 4 5" xfId="34501"/>
    <cellStyle name="注释 36 3 5" xfId="13531"/>
    <cellStyle name="注释 36 3 5 2" xfId="26759"/>
    <cellStyle name="注释 36 3 5 3" xfId="14774"/>
    <cellStyle name="注释 36 3 5 4" xfId="32302"/>
    <cellStyle name="注释 36 3 6" xfId="22965"/>
    <cellStyle name="注释 36 3 6 2" xfId="31990"/>
    <cellStyle name="注释 36 3 6 3" xfId="38213"/>
    <cellStyle name="注释 36 3 6 4" xfId="41178"/>
    <cellStyle name="注释 36 3 7" xfId="30243"/>
    <cellStyle name="注释 36 3 7 2" xfId="16694"/>
    <cellStyle name="注释 36 3 7 3" xfId="28722"/>
    <cellStyle name="注释 36 3 8" xfId="31205"/>
    <cellStyle name="注释 36 3 8 2" xfId="17115"/>
    <cellStyle name="注释 36 3 8 3" xfId="32306"/>
    <cellStyle name="注释 36 3 9" xfId="28543"/>
    <cellStyle name="注释 36 4" xfId="8362"/>
    <cellStyle name="注释 36 4 2" xfId="21590"/>
    <cellStyle name="注释 36 5" xfId="44498"/>
    <cellStyle name="注释 37" xfId="3571"/>
    <cellStyle name="注释 37 2" xfId="6516"/>
    <cellStyle name="注释 37 2 2" xfId="11250"/>
    <cellStyle name="注释 37 2 2 2" xfId="24478"/>
    <cellStyle name="注释 37 2 2 3" xfId="33880"/>
    <cellStyle name="注释 37 2 2 4" xfId="44988"/>
    <cellStyle name="注释 37 2 2 5" xfId="39313"/>
    <cellStyle name="注释 37 2 3" xfId="8224"/>
    <cellStyle name="注释 37 2 3 2" xfId="21452"/>
    <cellStyle name="注释 37 2 3 3" xfId="36306"/>
    <cellStyle name="注释 37 2 3 4" xfId="42199"/>
    <cellStyle name="注释 37 2 3 5" xfId="49033"/>
    <cellStyle name="注释 37 2 4" xfId="19744"/>
    <cellStyle name="注释 37 2 4 2" xfId="32160"/>
    <cellStyle name="注释 37 2 4 3" xfId="38385"/>
    <cellStyle name="注释 37 2 4 4" xfId="15589"/>
    <cellStyle name="注释 37 2 5" xfId="32085"/>
    <cellStyle name="注释 37 2 5 2" xfId="38308"/>
    <cellStyle name="注释 37 2 5 3" xfId="33014"/>
    <cellStyle name="注释 37 2 6" xfId="29568"/>
    <cellStyle name="注释 37 2 7" xfId="16201"/>
    <cellStyle name="注释 37 2 8" xfId="44595"/>
    <cellStyle name="注释 37 3" xfId="9738"/>
    <cellStyle name="注释 37 3 10" xfId="16462"/>
    <cellStyle name="注释 37 3 11" xfId="45458"/>
    <cellStyle name="注释 37 3 2" xfId="13375"/>
    <cellStyle name="注释 37 3 2 2" xfId="26603"/>
    <cellStyle name="注释 37 3 2 3" xfId="32855"/>
    <cellStyle name="注释 37 3 2 4" xfId="39075"/>
    <cellStyle name="注释 37 3 2 5" xfId="47453"/>
    <cellStyle name="注释 37 3 3" xfId="7681"/>
    <cellStyle name="注释 37 3 3 2" xfId="20909"/>
    <cellStyle name="注释 37 3 3 3" xfId="35351"/>
    <cellStyle name="注释 37 3 3 4" xfId="46116"/>
    <cellStyle name="注释 37 3 3 5" xfId="48054"/>
    <cellStyle name="注释 37 3 4" xfId="13530"/>
    <cellStyle name="注释 37 3 4 2" xfId="26758"/>
    <cellStyle name="注释 37 3 4 3" xfId="31098"/>
    <cellStyle name="注释 37 3 4 4" xfId="18608"/>
    <cellStyle name="注释 37 3 4 5" xfId="46734"/>
    <cellStyle name="注释 37 3 5" xfId="7222"/>
    <cellStyle name="注释 37 3 5 2" xfId="20450"/>
    <cellStyle name="注释 37 3 5 3" xfId="42885"/>
    <cellStyle name="注释 37 3 5 4" xfId="49719"/>
    <cellStyle name="注释 37 3 6" xfId="22966"/>
    <cellStyle name="注释 37 3 6 2" xfId="30349"/>
    <cellStyle name="注释 37 3 6 3" xfId="27804"/>
    <cellStyle name="注释 37 3 6 4" xfId="43981"/>
    <cellStyle name="注释 37 3 7" xfId="30805"/>
    <cellStyle name="注释 37 3 7 2" xfId="16943"/>
    <cellStyle name="注释 37 3 7 3" xfId="40282"/>
    <cellStyle name="注释 37 3 8" xfId="37729"/>
    <cellStyle name="注释 37 3 8 2" xfId="43652"/>
    <cellStyle name="注释 37 3 8 3" xfId="50486"/>
    <cellStyle name="注释 37 3 9" xfId="28544"/>
    <cellStyle name="注释 37 4" xfId="8363"/>
    <cellStyle name="注释 37 4 2" xfId="21591"/>
    <cellStyle name="注释 37 5" xfId="34592"/>
    <cellStyle name="注释 38" xfId="3572"/>
    <cellStyle name="注释 38 2" xfId="6517"/>
    <cellStyle name="注释 38 2 2" xfId="11251"/>
    <cellStyle name="注释 38 2 2 2" xfId="24479"/>
    <cellStyle name="注释 38 2 2 3" xfId="33881"/>
    <cellStyle name="注释 38 2 2 4" xfId="44989"/>
    <cellStyle name="注释 38 2 2 5" xfId="30039"/>
    <cellStyle name="注释 38 2 3" xfId="8225"/>
    <cellStyle name="注释 38 2 3 2" xfId="21453"/>
    <cellStyle name="注释 38 2 3 3" xfId="36307"/>
    <cellStyle name="注释 38 2 3 4" xfId="42200"/>
    <cellStyle name="注释 38 2 3 5" xfId="49034"/>
    <cellStyle name="注释 38 2 4" xfId="19745"/>
    <cellStyle name="注释 38 2 4 2" xfId="37361"/>
    <cellStyle name="注释 38 2 4 3" xfId="43281"/>
    <cellStyle name="注释 38 2 4 4" xfId="50115"/>
    <cellStyle name="注释 38 2 5" xfId="35847"/>
    <cellStyle name="注释 38 2 5 2" xfId="41736"/>
    <cellStyle name="注释 38 2 5 3" xfId="48570"/>
    <cellStyle name="注释 38 2 6" xfId="29569"/>
    <cellStyle name="注释 38 2 7" xfId="16202"/>
    <cellStyle name="注释 38 2 8" xfId="45565"/>
    <cellStyle name="注释 38 3" xfId="9739"/>
    <cellStyle name="注释 38 3 10" xfId="40088"/>
    <cellStyle name="注释 38 3 11" xfId="16454"/>
    <cellStyle name="注释 38 3 2" xfId="13376"/>
    <cellStyle name="注释 38 3 2 2" xfId="26604"/>
    <cellStyle name="注释 38 3 2 3" xfId="32856"/>
    <cellStyle name="注释 38 3 2 4" xfId="39076"/>
    <cellStyle name="注释 38 3 2 5" xfId="45624"/>
    <cellStyle name="注释 38 3 3" xfId="7682"/>
    <cellStyle name="注释 38 3 3 2" xfId="20910"/>
    <cellStyle name="注释 38 3 3 3" xfId="35352"/>
    <cellStyle name="注释 38 3 3 4" xfId="46117"/>
    <cellStyle name="注释 38 3 3 5" xfId="48055"/>
    <cellStyle name="注释 38 3 4" xfId="14144"/>
    <cellStyle name="注释 38 3 4 2" xfId="27372"/>
    <cellStyle name="注释 38 3 4 3" xfId="31099"/>
    <cellStyle name="注释 38 3 4 4" xfId="18607"/>
    <cellStyle name="注释 38 3 4 5" xfId="28866"/>
    <cellStyle name="注释 38 3 5" xfId="7224"/>
    <cellStyle name="注释 38 3 5 2" xfId="20452"/>
    <cellStyle name="注释 38 3 5 3" xfId="41433"/>
    <cellStyle name="注释 38 3 5 4" xfId="48267"/>
    <cellStyle name="注释 38 3 6" xfId="22967"/>
    <cellStyle name="注释 38 3 6 2" xfId="36855"/>
    <cellStyle name="注释 38 3 6 3" xfId="42767"/>
    <cellStyle name="注释 38 3 6 4" xfId="49601"/>
    <cellStyle name="注释 38 3 7" xfId="37245"/>
    <cellStyle name="注释 38 3 7 2" xfId="43165"/>
    <cellStyle name="注释 38 3 7 3" xfId="49999"/>
    <cellStyle name="注释 38 3 8" xfId="36897"/>
    <cellStyle name="注释 38 3 8 2" xfId="42812"/>
    <cellStyle name="注释 38 3 8 3" xfId="49646"/>
    <cellStyle name="注释 38 3 9" xfId="28545"/>
    <cellStyle name="注释 38 4" xfId="8364"/>
    <cellStyle name="注释 38 4 2" xfId="21592"/>
    <cellStyle name="注释 38 5" xfId="46365"/>
    <cellStyle name="注释 39" xfId="3573"/>
    <cellStyle name="注释 39 2" xfId="6518"/>
    <cellStyle name="注释 39 2 2" xfId="11252"/>
    <cellStyle name="注释 39 2 2 2" xfId="24480"/>
    <cellStyle name="注释 39 2 2 3" xfId="33882"/>
    <cellStyle name="注释 39 2 2 4" xfId="44990"/>
    <cellStyle name="注释 39 2 2 5" xfId="39928"/>
    <cellStyle name="注释 39 2 3" xfId="8247"/>
    <cellStyle name="注释 39 2 3 2" xfId="21475"/>
    <cellStyle name="注释 39 2 3 3" xfId="36308"/>
    <cellStyle name="注释 39 2 3 4" xfId="42201"/>
    <cellStyle name="注释 39 2 3 5" xfId="49035"/>
    <cellStyle name="注释 39 2 4" xfId="19746"/>
    <cellStyle name="注释 39 2 4 2" xfId="32029"/>
    <cellStyle name="注释 39 2 4 3" xfId="38252"/>
    <cellStyle name="注释 39 2 4 4" xfId="47021"/>
    <cellStyle name="注释 39 2 5" xfId="36732"/>
    <cellStyle name="注释 39 2 5 2" xfId="42637"/>
    <cellStyle name="注释 39 2 5 3" xfId="49471"/>
    <cellStyle name="注释 39 2 6" xfId="29570"/>
    <cellStyle name="注释 39 2 7" xfId="16203"/>
    <cellStyle name="注释 39 2 8" xfId="33421"/>
    <cellStyle name="注释 39 3" xfId="9740"/>
    <cellStyle name="注释 39 3 10" xfId="38668"/>
    <cellStyle name="注释 39 3 11" xfId="15480"/>
    <cellStyle name="注释 39 3 2" xfId="13377"/>
    <cellStyle name="注释 39 3 2 2" xfId="26605"/>
    <cellStyle name="注释 39 3 2 3" xfId="32857"/>
    <cellStyle name="注释 39 3 2 4" xfId="39077"/>
    <cellStyle name="注释 39 3 2 5" xfId="31388"/>
    <cellStyle name="注释 39 3 3" xfId="7683"/>
    <cellStyle name="注释 39 3 3 2" xfId="20911"/>
    <cellStyle name="注释 39 3 3 3" xfId="35353"/>
    <cellStyle name="注释 39 3 3 4" xfId="46118"/>
    <cellStyle name="注释 39 3 3 5" xfId="48056"/>
    <cellStyle name="注释 39 3 4" xfId="13614"/>
    <cellStyle name="注释 39 3 4 2" xfId="26842"/>
    <cellStyle name="注释 39 3 4 3" xfId="31867"/>
    <cellStyle name="注释 39 3 4 4" xfId="38088"/>
    <cellStyle name="注释 39 3 4 5" xfId="46988"/>
    <cellStyle name="注释 39 3 5" xfId="8743"/>
    <cellStyle name="注释 39 3 5 2" xfId="21971"/>
    <cellStyle name="注释 39 3 5 3" xfId="16928"/>
    <cellStyle name="注释 39 3 5 4" xfId="15847"/>
    <cellStyle name="注释 39 3 6" xfId="22968"/>
    <cellStyle name="注释 39 3 6 2" xfId="37713"/>
    <cellStyle name="注释 39 3 6 3" xfId="43636"/>
    <cellStyle name="注释 39 3 6 4" xfId="50470"/>
    <cellStyle name="注释 39 3 7" xfId="35895"/>
    <cellStyle name="注释 39 3 7 2" xfId="41788"/>
    <cellStyle name="注释 39 3 7 3" xfId="48622"/>
    <cellStyle name="注释 39 3 8" xfId="37753"/>
    <cellStyle name="注释 39 3 8 2" xfId="43677"/>
    <cellStyle name="注释 39 3 8 3" xfId="50511"/>
    <cellStyle name="注释 39 3 9" xfId="28546"/>
    <cellStyle name="注释 39 4" xfId="8365"/>
    <cellStyle name="注释 39 4 2" xfId="21593"/>
    <cellStyle name="注释 39 5" xfId="34114"/>
    <cellStyle name="注释 4" xfId="3574"/>
    <cellStyle name="注释 4 2" xfId="6519"/>
    <cellStyle name="注释 4 2 2" xfId="11253"/>
    <cellStyle name="注释 4 2 2 2" xfId="24481"/>
    <cellStyle name="注释 4 2 2 3" xfId="33883"/>
    <cellStyle name="注释 4 2 2 4" xfId="44991"/>
    <cellStyle name="注释 4 2 2 5" xfId="39487"/>
    <cellStyle name="注释 4 2 3" xfId="12865"/>
    <cellStyle name="注释 4 2 3 2" xfId="26093"/>
    <cellStyle name="注释 4 2 3 3" xfId="36309"/>
    <cellStyle name="注释 4 2 3 4" xfId="42202"/>
    <cellStyle name="注释 4 2 3 5" xfId="49036"/>
    <cellStyle name="注释 4 2 4" xfId="19747"/>
    <cellStyle name="注释 4 2 4 2" xfId="35903"/>
    <cellStyle name="注释 4 2 4 3" xfId="41796"/>
    <cellStyle name="注释 4 2 4 4" xfId="48630"/>
    <cellStyle name="注释 4 2 5" xfId="35031"/>
    <cellStyle name="注释 4 2 5 2" xfId="41035"/>
    <cellStyle name="注释 4 2 5 3" xfId="47731"/>
    <cellStyle name="注释 4 2 6" xfId="29571"/>
    <cellStyle name="注释 4 2 7" xfId="16204"/>
    <cellStyle name="注释 4 2 8" xfId="17540"/>
    <cellStyle name="注释 4 3" xfId="9741"/>
    <cellStyle name="注释 4 3 10" xfId="34367"/>
    <cellStyle name="注释 4 3 11" xfId="45311"/>
    <cellStyle name="注释 4 3 2" xfId="13378"/>
    <cellStyle name="注释 4 3 2 2" xfId="26606"/>
    <cellStyle name="注释 4 3 2 3" xfId="32858"/>
    <cellStyle name="注释 4 3 2 4" xfId="39078"/>
    <cellStyle name="注释 4 3 2 5" xfId="15318"/>
    <cellStyle name="注释 4 3 3" xfId="7684"/>
    <cellStyle name="注释 4 3 3 2" xfId="20912"/>
    <cellStyle name="注释 4 3 3 3" xfId="35354"/>
    <cellStyle name="注释 4 3 3 4" xfId="46119"/>
    <cellStyle name="注释 4 3 3 5" xfId="48057"/>
    <cellStyle name="注释 4 3 4" xfId="14220"/>
    <cellStyle name="注释 4 3 4 2" xfId="27448"/>
    <cellStyle name="注释 4 3 4 3" xfId="31102"/>
    <cellStyle name="注释 4 3 4 4" xfId="18610"/>
    <cellStyle name="注释 4 3 4 5" xfId="34350"/>
    <cellStyle name="注释 4 3 5" xfId="14054"/>
    <cellStyle name="注释 4 3 5 2" xfId="27282"/>
    <cellStyle name="注释 4 3 5 3" xfId="27737"/>
    <cellStyle name="注释 4 3 5 4" xfId="16530"/>
    <cellStyle name="注释 4 3 6" xfId="22969"/>
    <cellStyle name="注释 4 3 6 2" xfId="30156"/>
    <cellStyle name="注释 4 3 6 3" xfId="16616"/>
    <cellStyle name="注释 4 3 6 4" xfId="44316"/>
    <cellStyle name="注释 4 3 7" xfId="30476"/>
    <cellStyle name="注释 4 3 7 2" xfId="17828"/>
    <cellStyle name="注释 4 3 7 3" xfId="47518"/>
    <cellStyle name="注释 4 3 8" xfId="37297"/>
    <cellStyle name="注释 4 3 8 2" xfId="43217"/>
    <cellStyle name="注释 4 3 8 3" xfId="50051"/>
    <cellStyle name="注释 4 3 9" xfId="28547"/>
    <cellStyle name="注释 4 4" xfId="8366"/>
    <cellStyle name="注释 4 4 2" xfId="21594"/>
    <cellStyle name="注释 4 5" xfId="46663"/>
    <cellStyle name="注释 40" xfId="3575"/>
    <cellStyle name="注释 40 2" xfId="6520"/>
    <cellStyle name="注释 40 2 2" xfId="11254"/>
    <cellStyle name="注释 40 2 2 2" xfId="24482"/>
    <cellStyle name="注释 40 2 2 3" xfId="33884"/>
    <cellStyle name="注释 40 2 2 4" xfId="44992"/>
    <cellStyle name="注释 40 2 2 5" xfId="34355"/>
    <cellStyle name="注释 40 2 3" xfId="8226"/>
    <cellStyle name="注释 40 2 3 2" xfId="21454"/>
    <cellStyle name="注释 40 2 3 3" xfId="36310"/>
    <cellStyle name="注释 40 2 3 4" xfId="42203"/>
    <cellStyle name="注释 40 2 3 5" xfId="49037"/>
    <cellStyle name="注释 40 2 4" xfId="19748"/>
    <cellStyle name="注释 40 2 4 2" xfId="37032"/>
    <cellStyle name="注释 40 2 4 3" xfId="42951"/>
    <cellStyle name="注释 40 2 4 4" xfId="49785"/>
    <cellStyle name="注释 40 2 5" xfId="37593"/>
    <cellStyle name="注释 40 2 5 2" xfId="43516"/>
    <cellStyle name="注释 40 2 5 3" xfId="50350"/>
    <cellStyle name="注释 40 2 6" xfId="29572"/>
    <cellStyle name="注释 40 2 7" xfId="16205"/>
    <cellStyle name="注释 40 2 8" xfId="33059"/>
    <cellStyle name="注释 40 3" xfId="9742"/>
    <cellStyle name="注释 40 3 10" xfId="39326"/>
    <cellStyle name="注释 40 3 11" xfId="44305"/>
    <cellStyle name="注释 40 3 2" xfId="13379"/>
    <cellStyle name="注释 40 3 2 2" xfId="26607"/>
    <cellStyle name="注释 40 3 2 3" xfId="32859"/>
    <cellStyle name="注释 40 3 2 4" xfId="39079"/>
    <cellStyle name="注释 40 3 2 5" xfId="47017"/>
    <cellStyle name="注释 40 3 3" xfId="7685"/>
    <cellStyle name="注释 40 3 3 2" xfId="20913"/>
    <cellStyle name="注释 40 3 3 3" xfId="35355"/>
    <cellStyle name="注释 40 3 3 4" xfId="46120"/>
    <cellStyle name="注释 40 3 3 5" xfId="48058"/>
    <cellStyle name="注释 40 3 4" xfId="13077"/>
    <cellStyle name="注释 40 3 4 2" xfId="26305"/>
    <cellStyle name="注释 40 3 4 3" xfId="31103"/>
    <cellStyle name="注释 40 3 4 4" xfId="18611"/>
    <cellStyle name="注释 40 3 4 5" xfId="47373"/>
    <cellStyle name="注释 40 3 5" xfId="8652"/>
    <cellStyle name="注释 40 3 5 2" xfId="21880"/>
    <cellStyle name="注释 40 3 5 3" xfId="18037"/>
    <cellStyle name="注释 40 3 5 4" xfId="17519"/>
    <cellStyle name="注释 40 3 6" xfId="22970"/>
    <cellStyle name="注释 40 3 6 2" xfId="31761"/>
    <cellStyle name="注释 40 3 6 3" xfId="37982"/>
    <cellStyle name="注释 40 3 6 4" xfId="32974"/>
    <cellStyle name="注释 40 3 7" xfId="30862"/>
    <cellStyle name="注释 40 3 7 2" xfId="28016"/>
    <cellStyle name="注释 40 3 7 3" xfId="17616"/>
    <cellStyle name="注释 40 3 8" xfId="30242"/>
    <cellStyle name="注释 40 3 8 2" xfId="16693"/>
    <cellStyle name="注释 40 3 8 3" xfId="29960"/>
    <cellStyle name="注释 40 3 9" xfId="28548"/>
    <cellStyle name="注释 40 4" xfId="8367"/>
    <cellStyle name="注释 40 4 2" xfId="21595"/>
    <cellStyle name="注释 40 5" xfId="44915"/>
    <cellStyle name="注释 41" xfId="3576"/>
    <cellStyle name="注释 41 2" xfId="6521"/>
    <cellStyle name="注释 41 2 2" xfId="11255"/>
    <cellStyle name="注释 41 2 2 2" xfId="24483"/>
    <cellStyle name="注释 41 2 2 3" xfId="33885"/>
    <cellStyle name="注释 41 2 2 4" xfId="44993"/>
    <cellStyle name="注释 41 2 2 5" xfId="41238"/>
    <cellStyle name="注释 41 2 3" xfId="8227"/>
    <cellStyle name="注释 41 2 3 2" xfId="21455"/>
    <cellStyle name="注释 41 2 3 3" xfId="36311"/>
    <cellStyle name="注释 41 2 3 4" xfId="42204"/>
    <cellStyle name="注释 41 2 3 5" xfId="49038"/>
    <cellStyle name="注释 41 2 4" xfId="19749"/>
    <cellStyle name="注释 41 2 4 2" xfId="31829"/>
    <cellStyle name="注释 41 2 4 3" xfId="38050"/>
    <cellStyle name="注释 41 2 4 4" xfId="46269"/>
    <cellStyle name="注释 41 2 5" xfId="37606"/>
    <cellStyle name="注释 41 2 5 2" xfId="43529"/>
    <cellStyle name="注释 41 2 5 3" xfId="50363"/>
    <cellStyle name="注释 41 2 6" xfId="29573"/>
    <cellStyle name="注释 41 2 7" xfId="16206"/>
    <cellStyle name="注释 41 2 8" xfId="17406"/>
    <cellStyle name="注释 41 3" xfId="9743"/>
    <cellStyle name="注释 41 3 10" xfId="40390"/>
    <cellStyle name="注释 41 3 11" xfId="34959"/>
    <cellStyle name="注释 41 3 2" xfId="13380"/>
    <cellStyle name="注释 41 3 2 2" xfId="26608"/>
    <cellStyle name="注释 41 3 2 3" xfId="32860"/>
    <cellStyle name="注释 41 3 2 4" xfId="39080"/>
    <cellStyle name="注释 41 3 2 5" xfId="47566"/>
    <cellStyle name="注释 41 3 3" xfId="7686"/>
    <cellStyle name="注释 41 3 3 2" xfId="20914"/>
    <cellStyle name="注释 41 3 3 3" xfId="35356"/>
    <cellStyle name="注释 41 3 3 4" xfId="46121"/>
    <cellStyle name="注释 41 3 3 5" xfId="48059"/>
    <cellStyle name="注释 41 3 4" xfId="14080"/>
    <cellStyle name="注释 41 3 4 2" xfId="27308"/>
    <cellStyle name="注释 41 3 4 3" xfId="31104"/>
    <cellStyle name="注释 41 3 4 4" xfId="18612"/>
    <cellStyle name="注释 41 3 4 5" xfId="46633"/>
    <cellStyle name="注释 41 3 5" xfId="14194"/>
    <cellStyle name="注释 41 3 5 2" xfId="27422"/>
    <cellStyle name="注释 41 3 5 3" xfId="18151"/>
    <cellStyle name="注释 41 3 5 4" xfId="32459"/>
    <cellStyle name="注释 41 3 6" xfId="22971"/>
    <cellStyle name="注释 41 3 6 2" xfId="30350"/>
    <cellStyle name="注释 41 3 6 3" xfId="16769"/>
    <cellStyle name="注释 41 3 6 4" xfId="40572"/>
    <cellStyle name="注释 41 3 7" xfId="37331"/>
    <cellStyle name="注释 41 3 7 2" xfId="43251"/>
    <cellStyle name="注释 41 3 7 3" xfId="50085"/>
    <cellStyle name="注释 41 3 8" xfId="30088"/>
    <cellStyle name="注释 41 3 8 2" xfId="16568"/>
    <cellStyle name="注释 41 3 8 3" xfId="17967"/>
    <cellStyle name="注释 41 3 9" xfId="28549"/>
    <cellStyle name="注释 41 4" xfId="8368"/>
    <cellStyle name="注释 41 4 2" xfId="21596"/>
    <cellStyle name="注释 41 5" xfId="30045"/>
    <cellStyle name="注释 42" xfId="3577"/>
    <cellStyle name="注释 42 2" xfId="6522"/>
    <cellStyle name="注释 42 2 2" xfId="11256"/>
    <cellStyle name="注释 42 2 2 2" xfId="24484"/>
    <cellStyle name="注释 42 2 2 3" xfId="33886"/>
    <cellStyle name="注释 42 2 2 4" xfId="44994"/>
    <cellStyle name="注释 42 2 2 5" xfId="34544"/>
    <cellStyle name="注释 42 2 3" xfId="6817"/>
    <cellStyle name="注释 42 2 3 2" xfId="20045"/>
    <cellStyle name="注释 42 2 3 3" xfId="36312"/>
    <cellStyle name="注释 42 2 3 4" xfId="42205"/>
    <cellStyle name="注释 42 2 3 5" xfId="49039"/>
    <cellStyle name="注释 42 2 4" xfId="19750"/>
    <cellStyle name="注释 42 2 4 2" xfId="37316"/>
    <cellStyle name="注释 42 2 4 3" xfId="43236"/>
    <cellStyle name="注释 42 2 4 4" xfId="50070"/>
    <cellStyle name="注释 42 2 5" xfId="31323"/>
    <cellStyle name="注释 42 2 5 2" xfId="17818"/>
    <cellStyle name="注释 42 2 5 3" xfId="34955"/>
    <cellStyle name="注释 42 2 6" xfId="29574"/>
    <cellStyle name="注释 42 2 7" xfId="16207"/>
    <cellStyle name="注释 42 2 8" xfId="34287"/>
    <cellStyle name="注释 42 3" xfId="9744"/>
    <cellStyle name="注释 42 3 10" xfId="15773"/>
    <cellStyle name="注释 42 3 11" xfId="44543"/>
    <cellStyle name="注释 42 3 2" xfId="13381"/>
    <cellStyle name="注释 42 3 2 2" xfId="26609"/>
    <cellStyle name="注释 42 3 2 3" xfId="32861"/>
    <cellStyle name="注释 42 3 2 4" xfId="39081"/>
    <cellStyle name="注释 42 3 2 5" xfId="28827"/>
    <cellStyle name="注释 42 3 3" xfId="7687"/>
    <cellStyle name="注释 42 3 3 2" xfId="20915"/>
    <cellStyle name="注释 42 3 3 3" xfId="35357"/>
    <cellStyle name="注释 42 3 3 4" xfId="46122"/>
    <cellStyle name="注释 42 3 3 5" xfId="48060"/>
    <cellStyle name="注释 42 3 4" xfId="12944"/>
    <cellStyle name="注释 42 3 4 2" xfId="26172"/>
    <cellStyle name="注释 42 3 4 3" xfId="31105"/>
    <cellStyle name="注释 42 3 4 4" xfId="18613"/>
    <cellStyle name="注释 42 3 4 5" xfId="41166"/>
    <cellStyle name="注释 42 3 5" xfId="8451"/>
    <cellStyle name="注释 42 3 5 2" xfId="21679"/>
    <cellStyle name="注释 42 3 5 3" xfId="16918"/>
    <cellStyle name="注释 42 3 5 4" xfId="38763"/>
    <cellStyle name="注释 42 3 6" xfId="22972"/>
    <cellStyle name="注释 42 3 6 2" xfId="35700"/>
    <cellStyle name="注释 42 3 6 3" xfId="41584"/>
    <cellStyle name="注释 42 3 6 4" xfId="48418"/>
    <cellStyle name="注释 42 3 7" xfId="34675"/>
    <cellStyle name="注释 42 3 7 2" xfId="40664"/>
    <cellStyle name="注释 42 3 7 3" xfId="17478"/>
    <cellStyle name="注释 42 3 8" xfId="37249"/>
    <cellStyle name="注释 42 3 8 2" xfId="43169"/>
    <cellStyle name="注释 42 3 8 3" xfId="50003"/>
    <cellStyle name="注释 42 3 9" xfId="28550"/>
    <cellStyle name="注释 42 4" xfId="8369"/>
    <cellStyle name="注释 42 4 2" xfId="21597"/>
    <cellStyle name="注释 42 5" xfId="40374"/>
    <cellStyle name="注释 43" xfId="3578"/>
    <cellStyle name="注释 43 2" xfId="6523"/>
    <cellStyle name="注释 43 2 2" xfId="11257"/>
    <cellStyle name="注释 43 2 2 2" xfId="24485"/>
    <cellStyle name="注释 43 2 2 3" xfId="33887"/>
    <cellStyle name="注释 43 2 2 4" xfId="44995"/>
    <cellStyle name="注释 43 2 2 5" xfId="39897"/>
    <cellStyle name="注释 43 2 3" xfId="8229"/>
    <cellStyle name="注释 43 2 3 2" xfId="21457"/>
    <cellStyle name="注释 43 2 3 3" xfId="36313"/>
    <cellStyle name="注释 43 2 3 4" xfId="42206"/>
    <cellStyle name="注释 43 2 3 5" xfId="49040"/>
    <cellStyle name="注释 43 2 4" xfId="19751"/>
    <cellStyle name="注释 43 2 4 2" xfId="30104"/>
    <cellStyle name="注释 43 2 4 3" xfId="16581"/>
    <cellStyle name="注释 43 2 4 4" xfId="44328"/>
    <cellStyle name="注释 43 2 5" xfId="30516"/>
    <cellStyle name="注释 43 2 5 2" xfId="27774"/>
    <cellStyle name="注释 43 2 5 3" xfId="39849"/>
    <cellStyle name="注释 43 2 6" xfId="29575"/>
    <cellStyle name="注释 43 2 7" xfId="16208"/>
    <cellStyle name="注释 43 2 8" xfId="45133"/>
    <cellStyle name="注释 43 3" xfId="9745"/>
    <cellStyle name="注释 43 3 10" xfId="34464"/>
    <cellStyle name="注释 43 3 11" xfId="45513"/>
    <cellStyle name="注释 43 3 2" xfId="13382"/>
    <cellStyle name="注释 43 3 2 2" xfId="26610"/>
    <cellStyle name="注释 43 3 2 3" xfId="32862"/>
    <cellStyle name="注释 43 3 2 4" xfId="39082"/>
    <cellStyle name="注释 43 3 2 5" xfId="33184"/>
    <cellStyle name="注释 43 3 3" xfId="7688"/>
    <cellStyle name="注释 43 3 3 2" xfId="20916"/>
    <cellStyle name="注释 43 3 3 3" xfId="35358"/>
    <cellStyle name="注释 43 3 3 4" xfId="46123"/>
    <cellStyle name="注释 43 3 3 5" xfId="48061"/>
    <cellStyle name="注释 43 3 4" xfId="13715"/>
    <cellStyle name="注释 43 3 4 2" xfId="26943"/>
    <cellStyle name="注释 43 3 4 3" xfId="31106"/>
    <cellStyle name="注释 43 3 4 4" xfId="18614"/>
    <cellStyle name="注释 43 3 4 5" xfId="45760"/>
    <cellStyle name="注释 43 3 5" xfId="6766"/>
    <cellStyle name="注释 43 3 5 2" xfId="19994"/>
    <cellStyle name="注释 43 3 5 3" xfId="15215"/>
    <cellStyle name="注释 43 3 5 4" xfId="40182"/>
    <cellStyle name="注释 43 3 6" xfId="22973"/>
    <cellStyle name="注释 43 3 6 2" xfId="37712"/>
    <cellStyle name="注释 43 3 6 3" xfId="43635"/>
    <cellStyle name="注释 43 3 6 4" xfId="50469"/>
    <cellStyle name="注释 43 3 7" xfId="30447"/>
    <cellStyle name="注释 43 3 7 2" xfId="14667"/>
    <cellStyle name="注释 43 3 7 3" xfId="46780"/>
    <cellStyle name="注释 43 3 8" xfId="30653"/>
    <cellStyle name="注释 43 3 8 2" xfId="16880"/>
    <cellStyle name="注释 43 3 8 3" xfId="46808"/>
    <cellStyle name="注释 43 3 9" xfId="28551"/>
    <cellStyle name="注释 43 4" xfId="8370"/>
    <cellStyle name="注释 43 4 2" xfId="21598"/>
    <cellStyle name="注释 43 5" xfId="47467"/>
    <cellStyle name="注释 44" xfId="3579"/>
    <cellStyle name="注释 44 2" xfId="6524"/>
    <cellStyle name="注释 44 2 2" xfId="11258"/>
    <cellStyle name="注释 44 2 2 2" xfId="24486"/>
    <cellStyle name="注释 44 2 2 3" xfId="33888"/>
    <cellStyle name="注释 44 2 2 4" xfId="44996"/>
    <cellStyle name="注释 44 2 2 5" xfId="39456"/>
    <cellStyle name="注释 44 2 3" xfId="8228"/>
    <cellStyle name="注释 44 2 3 2" xfId="21456"/>
    <cellStyle name="注释 44 2 3 3" xfId="36314"/>
    <cellStyle name="注释 44 2 3 4" xfId="42207"/>
    <cellStyle name="注释 44 2 3 5" xfId="49041"/>
    <cellStyle name="注释 44 2 4" xfId="19752"/>
    <cellStyle name="注释 44 2 4 2" xfId="37159"/>
    <cellStyle name="注释 44 2 4 3" xfId="43078"/>
    <cellStyle name="注释 44 2 4 4" xfId="49912"/>
    <cellStyle name="注释 44 2 5" xfId="37484"/>
    <cellStyle name="注释 44 2 5 2" xfId="43404"/>
    <cellStyle name="注释 44 2 5 3" xfId="50238"/>
    <cellStyle name="注释 44 2 6" xfId="29576"/>
    <cellStyle name="注释 44 2 7" xfId="16209"/>
    <cellStyle name="注释 44 2 8" xfId="44001"/>
    <cellStyle name="注释 44 3" xfId="9746"/>
    <cellStyle name="注释 44 3 10" xfId="38402"/>
    <cellStyle name="注释 44 3 11" xfId="33405"/>
    <cellStyle name="注释 44 3 2" xfId="13383"/>
    <cellStyle name="注释 44 3 2 2" xfId="26611"/>
    <cellStyle name="注释 44 3 2 3" xfId="32863"/>
    <cellStyle name="注释 44 3 2 4" xfId="39083"/>
    <cellStyle name="注释 44 3 2 5" xfId="30057"/>
    <cellStyle name="注释 44 3 3" xfId="7689"/>
    <cellStyle name="注释 44 3 3 2" xfId="20917"/>
    <cellStyle name="注释 44 3 3 3" xfId="35359"/>
    <cellStyle name="注释 44 3 3 4" xfId="46124"/>
    <cellStyle name="注释 44 3 3 5" xfId="48062"/>
    <cellStyle name="注释 44 3 4" xfId="14289"/>
    <cellStyle name="注释 44 3 4 2" xfId="27517"/>
    <cellStyle name="注释 44 3 4 3" xfId="32275"/>
    <cellStyle name="注释 44 3 4 4" xfId="38491"/>
    <cellStyle name="注释 44 3 4 5" xfId="46279"/>
    <cellStyle name="注释 44 3 5" xfId="14336"/>
    <cellStyle name="注释 44 3 5 2" xfId="27564"/>
    <cellStyle name="注释 44 3 5 3" xfId="27738"/>
    <cellStyle name="注释 44 3 5 4" xfId="38523"/>
    <cellStyle name="注释 44 3 6" xfId="22974"/>
    <cellStyle name="注释 44 3 6 2" xfId="31917"/>
    <cellStyle name="注释 44 3 6 3" xfId="38139"/>
    <cellStyle name="注释 44 3 6 4" xfId="46389"/>
    <cellStyle name="注释 44 3 7" xfId="31310"/>
    <cellStyle name="注释 44 3 7 2" xfId="17957"/>
    <cellStyle name="注释 44 3 7 3" xfId="46812"/>
    <cellStyle name="注释 44 3 8" xfId="30586"/>
    <cellStyle name="注释 44 3 8 2" xfId="14679"/>
    <cellStyle name="注释 44 3 8 3" xfId="40017"/>
    <cellStyle name="注释 44 3 9" xfId="28552"/>
    <cellStyle name="注释 44 4" xfId="8371"/>
    <cellStyle name="注释 44 4 2" xfId="21599"/>
    <cellStyle name="注释 44 5" xfId="47331"/>
    <cellStyle name="注释 45" xfId="3580"/>
    <cellStyle name="注释 45 2" xfId="6525"/>
    <cellStyle name="注释 45 2 2" xfId="11259"/>
    <cellStyle name="注释 45 2 2 2" xfId="24487"/>
    <cellStyle name="注释 45 2 2 3" xfId="33889"/>
    <cellStyle name="注释 45 2 2 4" xfId="44997"/>
    <cellStyle name="注释 45 2 2 5" xfId="32981"/>
    <cellStyle name="注释 45 2 3" xfId="6818"/>
    <cellStyle name="注释 45 2 3 2" xfId="20046"/>
    <cellStyle name="注释 45 2 3 3" xfId="36315"/>
    <cellStyle name="注释 45 2 3 4" xfId="42208"/>
    <cellStyle name="注释 45 2 3 5" xfId="49042"/>
    <cellStyle name="注释 45 2 4" xfId="19753"/>
    <cellStyle name="注释 45 2 4 2" xfId="31217"/>
    <cellStyle name="注释 45 2 4 3" xfId="17125"/>
    <cellStyle name="注释 45 2 4 4" xfId="47081"/>
    <cellStyle name="注释 45 2 5" xfId="31627"/>
    <cellStyle name="注释 45 2 5 2" xfId="18025"/>
    <cellStyle name="注释 45 2 5 3" xfId="17885"/>
    <cellStyle name="注释 45 2 6" xfId="29577"/>
    <cellStyle name="注释 45 2 7" xfId="18122"/>
    <cellStyle name="注释 45 2 8" xfId="40360"/>
    <cellStyle name="注释 45 3" xfId="9747"/>
    <cellStyle name="注释 45 3 10" xfId="40267"/>
    <cellStyle name="注释 45 3 11" xfId="40106"/>
    <cellStyle name="注释 45 3 2" xfId="13384"/>
    <cellStyle name="注释 45 3 2 2" xfId="26612"/>
    <cellStyle name="注释 45 3 2 3" xfId="32864"/>
    <cellStyle name="注释 45 3 2 4" xfId="39084"/>
    <cellStyle name="注释 45 3 2 5" xfId="46810"/>
    <cellStyle name="注释 45 3 3" xfId="7690"/>
    <cellStyle name="注释 45 3 3 2" xfId="20918"/>
    <cellStyle name="注释 45 3 3 3" xfId="35360"/>
    <cellStyle name="注释 45 3 3 4" xfId="46125"/>
    <cellStyle name="注释 45 3 3 5" xfId="48063"/>
    <cellStyle name="注释 45 3 4" xfId="13538"/>
    <cellStyle name="注释 45 3 4 2" xfId="26766"/>
    <cellStyle name="注释 45 3 4 3" xfId="29844"/>
    <cellStyle name="注释 45 3 4 4" xfId="17686"/>
    <cellStyle name="注释 45 3 4 5" xfId="32481"/>
    <cellStyle name="注释 45 3 5" xfId="7445"/>
    <cellStyle name="注释 45 3 5 2" xfId="20673"/>
    <cellStyle name="注释 45 3 5 3" xfId="42653"/>
    <cellStyle name="注释 45 3 5 4" xfId="49487"/>
    <cellStyle name="注释 45 3 6" xfId="22975"/>
    <cellStyle name="注释 45 3 6 2" xfId="31989"/>
    <cellStyle name="注释 45 3 6 3" xfId="38212"/>
    <cellStyle name="注释 45 3 6 4" xfId="46585"/>
    <cellStyle name="注释 45 3 7" xfId="37231"/>
    <cellStyle name="注释 45 3 7 2" xfId="43150"/>
    <cellStyle name="注释 45 3 7 3" xfId="49984"/>
    <cellStyle name="注释 45 3 8" xfId="37814"/>
    <cellStyle name="注释 45 3 8 2" xfId="43738"/>
    <cellStyle name="注释 45 3 8 3" xfId="50572"/>
    <cellStyle name="注释 45 3 9" xfId="28553"/>
    <cellStyle name="注释 45 4" xfId="8372"/>
    <cellStyle name="注释 45 4 2" xfId="21600"/>
    <cellStyle name="注释 45 5" xfId="15575"/>
    <cellStyle name="注释 46" xfId="3581"/>
    <cellStyle name="注释 46 2" xfId="6526"/>
    <cellStyle name="注释 46 2 2" xfId="11260"/>
    <cellStyle name="注释 46 2 2 2" xfId="24488"/>
    <cellStyle name="注释 46 2 2 3" xfId="33890"/>
    <cellStyle name="注释 46 2 2 4" xfId="44998"/>
    <cellStyle name="注释 46 2 2 5" xfId="41207"/>
    <cellStyle name="注释 46 2 3" xfId="8231"/>
    <cellStyle name="注释 46 2 3 2" xfId="21459"/>
    <cellStyle name="注释 46 2 3 3" xfId="36316"/>
    <cellStyle name="注释 46 2 3 4" xfId="42209"/>
    <cellStyle name="注释 46 2 3 5" xfId="49043"/>
    <cellStyle name="注释 46 2 4" xfId="19754"/>
    <cellStyle name="注释 46 2 4 2" xfId="37390"/>
    <cellStyle name="注释 46 2 4 3" xfId="43310"/>
    <cellStyle name="注释 46 2 4 4" xfId="50144"/>
    <cellStyle name="注释 46 2 5" xfId="30284"/>
    <cellStyle name="注释 46 2 5 2" xfId="16720"/>
    <cellStyle name="注释 46 2 5 3" xfId="33439"/>
    <cellStyle name="注释 46 2 6" xfId="29578"/>
    <cellStyle name="注释 46 2 7" xfId="16189"/>
    <cellStyle name="注释 46 2 8" xfId="44403"/>
    <cellStyle name="注释 46 3" xfId="9748"/>
    <cellStyle name="注释 46 3 10" xfId="39179"/>
    <cellStyle name="注释 46 3 11" xfId="27934"/>
    <cellStyle name="注释 46 3 2" xfId="13385"/>
    <cellStyle name="注释 46 3 2 2" xfId="26613"/>
    <cellStyle name="注释 46 3 2 3" xfId="32865"/>
    <cellStyle name="注释 46 3 2 4" xfId="39085"/>
    <cellStyle name="注释 46 3 2 5" xfId="15632"/>
    <cellStyle name="注释 46 3 3" xfId="7691"/>
    <cellStyle name="注释 46 3 3 2" xfId="20919"/>
    <cellStyle name="注释 46 3 3 3" xfId="35361"/>
    <cellStyle name="注释 46 3 3 4" xfId="46126"/>
    <cellStyle name="注释 46 3 3 5" xfId="48064"/>
    <cellStyle name="注释 46 3 4" xfId="14149"/>
    <cellStyle name="注释 46 3 4 2" xfId="27377"/>
    <cellStyle name="注释 46 3 4 3" xfId="31107"/>
    <cellStyle name="注释 46 3 4 4" xfId="18615"/>
    <cellStyle name="注释 46 3 4 5" xfId="32133"/>
    <cellStyle name="注释 46 3 5" xfId="7263"/>
    <cellStyle name="注释 46 3 5 2" xfId="20491"/>
    <cellStyle name="注释 46 3 5 3" xfId="15216"/>
    <cellStyle name="注释 46 3 5 4" xfId="39419"/>
    <cellStyle name="注释 46 3 6" xfId="22976"/>
    <cellStyle name="注释 46 3 6 2" xfId="30351"/>
    <cellStyle name="注释 46 3 6 3" xfId="16770"/>
    <cellStyle name="注释 46 3 6 4" xfId="44383"/>
    <cellStyle name="注释 46 3 7" xfId="34677"/>
    <cellStyle name="注释 46 3 7 2" xfId="40666"/>
    <cellStyle name="注释 46 3 7 3" xfId="38690"/>
    <cellStyle name="注释 46 3 8" xfId="29853"/>
    <cellStyle name="注释 46 3 8 2" xfId="16363"/>
    <cellStyle name="注释 46 3 8 3" xfId="45379"/>
    <cellStyle name="注释 46 3 9" xfId="28554"/>
    <cellStyle name="注释 46 4" xfId="8373"/>
    <cellStyle name="注释 46 4 2" xfId="21601"/>
    <cellStyle name="注释 46 5" xfId="15639"/>
    <cellStyle name="注释 47" xfId="3582"/>
    <cellStyle name="注释 47 2" xfId="3583"/>
    <cellStyle name="注释 47 2 2" xfId="3584"/>
    <cellStyle name="注释 47 2 2 2" xfId="6529"/>
    <cellStyle name="注释 47 2 2 2 2" xfId="11263"/>
    <cellStyle name="注释 47 2 2 2 2 2" xfId="24491"/>
    <cellStyle name="注释 47 2 2 2 2 3" xfId="33893"/>
    <cellStyle name="注释 47 2 2 2 2 4" xfId="45001"/>
    <cellStyle name="注释 47 2 2 2 2 5" xfId="39930"/>
    <cellStyle name="注释 47 2 2 2 3" xfId="8233"/>
    <cellStyle name="注释 47 2 2 2 3 2" xfId="21461"/>
    <cellStyle name="注释 47 2 2 2 3 3" xfId="36319"/>
    <cellStyle name="注释 47 2 2 2 3 4" xfId="42212"/>
    <cellStyle name="注释 47 2 2 2 3 5" xfId="49046"/>
    <cellStyle name="注释 47 2 2 2 4" xfId="19757"/>
    <cellStyle name="注释 47 2 2 2 4 2" xfId="36862"/>
    <cellStyle name="注释 47 2 2 2 4 3" xfId="42774"/>
    <cellStyle name="注释 47 2 2 2 4 4" xfId="49608"/>
    <cellStyle name="注释 47 2 2 2 5" xfId="31810"/>
    <cellStyle name="注释 47 2 2 2 5 2" xfId="38031"/>
    <cellStyle name="注释 47 2 2 2 5 3" xfId="46969"/>
    <cellStyle name="注释 47 2 2 2 6" xfId="29581"/>
    <cellStyle name="注释 47 2 2 2 7" xfId="16212"/>
    <cellStyle name="注释 47 2 2 2 8" xfId="17893"/>
    <cellStyle name="注释 47 2 2 3" xfId="9751"/>
    <cellStyle name="注释 47 2 2 3 10" xfId="40504"/>
    <cellStyle name="注释 47 2 2 3 11" xfId="45153"/>
    <cellStyle name="注释 47 2 2 3 2" xfId="13388"/>
    <cellStyle name="注释 47 2 2 3 2 2" xfId="26616"/>
    <cellStyle name="注释 47 2 2 3 2 3" xfId="32868"/>
    <cellStyle name="注释 47 2 2 3 2 4" xfId="39088"/>
    <cellStyle name="注释 47 2 2 3 2 5" xfId="34168"/>
    <cellStyle name="注释 47 2 2 3 3" xfId="7694"/>
    <cellStyle name="注释 47 2 2 3 3 2" xfId="20922"/>
    <cellStyle name="注释 47 2 2 3 3 3" xfId="35364"/>
    <cellStyle name="注释 47 2 2 3 3 4" xfId="46129"/>
    <cellStyle name="注释 47 2 2 3 3 5" xfId="48067"/>
    <cellStyle name="注释 47 2 2 3 4" xfId="13049"/>
    <cellStyle name="注释 47 2 2 3 4 2" xfId="26277"/>
    <cellStyle name="注释 47 2 2 3 4 3" xfId="31110"/>
    <cellStyle name="注释 47 2 2 3 4 4" xfId="18618"/>
    <cellStyle name="注释 47 2 2 3 4 5" xfId="46229"/>
    <cellStyle name="注释 47 2 2 3 5" xfId="7218"/>
    <cellStyle name="注释 47 2 2 3 5 2" xfId="20446"/>
    <cellStyle name="注释 47 2 2 3 5 3" xfId="41048"/>
    <cellStyle name="注释 47 2 2 3 5 4" xfId="47744"/>
    <cellStyle name="注释 47 2 2 3 6" xfId="22979"/>
    <cellStyle name="注释 47 2 2 3 6 2" xfId="30231"/>
    <cellStyle name="注释 47 2 2 3 6 3" xfId="16681"/>
    <cellStyle name="注释 47 2 2 3 6 4" xfId="39177"/>
    <cellStyle name="注释 47 2 2 3 7" xfId="30177"/>
    <cellStyle name="注释 47 2 2 3 7 2" xfId="16638"/>
    <cellStyle name="注释 47 2 2 3 7 3" xfId="32960"/>
    <cellStyle name="注释 47 2 2 3 8" xfId="37467"/>
    <cellStyle name="注释 47 2 2 3 8 2" xfId="43387"/>
    <cellStyle name="注释 47 2 2 3 8 3" xfId="50221"/>
    <cellStyle name="注释 47 2 2 3 9" xfId="28557"/>
    <cellStyle name="注释 47 2 2 4" xfId="8376"/>
    <cellStyle name="注释 47 2 2 4 2" xfId="21604"/>
    <cellStyle name="注释 47 2 2 5" xfId="17528"/>
    <cellStyle name="注释 47 2 3" xfId="6528"/>
    <cellStyle name="注释 47 2 3 2" xfId="11262"/>
    <cellStyle name="注释 47 2 3 2 2" xfId="24490"/>
    <cellStyle name="注释 47 2 3 2 3" xfId="33892"/>
    <cellStyle name="注释 47 2 3 2 4" xfId="45000"/>
    <cellStyle name="注释 47 2 3 2 5" xfId="28225"/>
    <cellStyle name="注释 47 2 3 3" xfId="6819"/>
    <cellStyle name="注释 47 2 3 3 2" xfId="20047"/>
    <cellStyle name="注释 47 2 3 3 3" xfId="36318"/>
    <cellStyle name="注释 47 2 3 3 4" xfId="42211"/>
    <cellStyle name="注释 47 2 3 3 5" xfId="49045"/>
    <cellStyle name="注释 47 2 3 4" xfId="19756"/>
    <cellStyle name="注释 47 2 3 4 2" xfId="30671"/>
    <cellStyle name="注释 47 2 3 4 3" xfId="16888"/>
    <cellStyle name="注释 47 2 3 4 4" xfId="43903"/>
    <cellStyle name="注释 47 2 3 5" xfId="29765"/>
    <cellStyle name="注释 47 2 3 5 2" xfId="16328"/>
    <cellStyle name="注释 47 2 3 5 3" xfId="33377"/>
    <cellStyle name="注释 47 2 3 6" xfId="29580"/>
    <cellStyle name="注释 47 2 3 7" xfId="16211"/>
    <cellStyle name="注释 47 2 3 8" xfId="34870"/>
    <cellStyle name="注释 47 2 4" xfId="9750"/>
    <cellStyle name="注释 47 2 4 10" xfId="39525"/>
    <cellStyle name="注释 47 2 4 11" xfId="28237"/>
    <cellStyle name="注释 47 2 4 2" xfId="13387"/>
    <cellStyle name="注释 47 2 4 2 2" xfId="26615"/>
    <cellStyle name="注释 47 2 4 2 3" xfId="32867"/>
    <cellStyle name="注释 47 2 4 2 4" xfId="39087"/>
    <cellStyle name="注释 47 2 4 2 5" xfId="46174"/>
    <cellStyle name="注释 47 2 4 3" xfId="7693"/>
    <cellStyle name="注释 47 2 4 3 2" xfId="20921"/>
    <cellStyle name="注释 47 2 4 3 3" xfId="35363"/>
    <cellStyle name="注释 47 2 4 3 4" xfId="46128"/>
    <cellStyle name="注释 47 2 4 3 5" xfId="48066"/>
    <cellStyle name="注释 47 2 4 4" xfId="14188"/>
    <cellStyle name="注释 47 2 4 4 2" xfId="27416"/>
    <cellStyle name="注释 47 2 4 4 3" xfId="31109"/>
    <cellStyle name="注释 47 2 4 4 4" xfId="18617"/>
    <cellStyle name="注释 47 2 4 4 5" xfId="47344"/>
    <cellStyle name="注释 47 2 4 5" xfId="13654"/>
    <cellStyle name="注释 47 2 4 5 2" xfId="26882"/>
    <cellStyle name="注释 47 2 4 5 3" xfId="42761"/>
    <cellStyle name="注释 47 2 4 5 4" xfId="49595"/>
    <cellStyle name="注释 47 2 4 6" xfId="22978"/>
    <cellStyle name="注释 47 2 4 6 2" xfId="31734"/>
    <cellStyle name="注释 47 2 4 6 3" xfId="37955"/>
    <cellStyle name="注释 47 2 4 6 4" xfId="44183"/>
    <cellStyle name="注释 47 2 4 7" xfId="34676"/>
    <cellStyle name="注释 47 2 4 7 2" xfId="40665"/>
    <cellStyle name="注释 47 2 4 7 3" xfId="38694"/>
    <cellStyle name="注释 47 2 4 8" xfId="30517"/>
    <cellStyle name="注释 47 2 4 8 2" xfId="18057"/>
    <cellStyle name="注释 47 2 4 8 3" xfId="45595"/>
    <cellStyle name="注释 47 2 4 9" xfId="28556"/>
    <cellStyle name="注释 47 2 5" xfId="8375"/>
    <cellStyle name="注释 47 2 5 2" xfId="21603"/>
    <cellStyle name="注释 47 2 6" xfId="44231"/>
    <cellStyle name="注释 47 3" xfId="3585"/>
    <cellStyle name="注释 47 3 2" xfId="6530"/>
    <cellStyle name="注释 47 3 2 2" xfId="11264"/>
    <cellStyle name="注释 47 3 2 2 2" xfId="24492"/>
    <cellStyle name="注释 47 3 2 2 3" xfId="33894"/>
    <cellStyle name="注释 47 3 2 2 4" xfId="45002"/>
    <cellStyle name="注释 47 3 2 2 5" xfId="34237"/>
    <cellStyle name="注释 47 3 2 3" xfId="8232"/>
    <cellStyle name="注释 47 3 2 3 2" xfId="21460"/>
    <cellStyle name="注释 47 3 2 3 3" xfId="36320"/>
    <cellStyle name="注释 47 3 2 3 4" xfId="42213"/>
    <cellStyle name="注释 47 3 2 3 5" xfId="49047"/>
    <cellStyle name="注释 47 3 2 4" xfId="19758"/>
    <cellStyle name="注释 47 3 2 4 2" xfId="30246"/>
    <cellStyle name="注释 47 3 2 4 3" xfId="16695"/>
    <cellStyle name="注释 47 3 2 4 4" xfId="16517"/>
    <cellStyle name="注释 47 3 2 5" xfId="36740"/>
    <cellStyle name="注释 47 3 2 5 2" xfId="42645"/>
    <cellStyle name="注释 47 3 2 5 3" xfId="49479"/>
    <cellStyle name="注释 47 3 2 6" xfId="29582"/>
    <cellStyle name="注释 47 3 2 7" xfId="16213"/>
    <cellStyle name="注释 47 3 2 8" xfId="45279"/>
    <cellStyle name="注释 47 3 3" xfId="9752"/>
    <cellStyle name="注释 47 3 3 10" xfId="17639"/>
    <cellStyle name="注释 47 3 3 11" xfId="44020"/>
    <cellStyle name="注释 47 3 3 2" xfId="13389"/>
    <cellStyle name="注释 47 3 3 2 2" xfId="26617"/>
    <cellStyle name="注释 47 3 3 2 3" xfId="32869"/>
    <cellStyle name="注释 47 3 3 2 4" xfId="39089"/>
    <cellStyle name="注释 47 3 3 2 5" xfId="46695"/>
    <cellStyle name="注释 47 3 3 3" xfId="7695"/>
    <cellStyle name="注释 47 3 3 3 2" xfId="20923"/>
    <cellStyle name="注释 47 3 3 3 3" xfId="35365"/>
    <cellStyle name="注释 47 3 3 3 4" xfId="46130"/>
    <cellStyle name="注释 47 3 3 3 5" xfId="48068"/>
    <cellStyle name="注释 47 3 3 4" xfId="14046"/>
    <cellStyle name="注释 47 3 3 4 2" xfId="27274"/>
    <cellStyle name="注释 47 3 3 4 3" xfId="31111"/>
    <cellStyle name="注释 47 3 3 4 4" xfId="18619"/>
    <cellStyle name="注释 47 3 3 4 5" xfId="46258"/>
    <cellStyle name="注释 47 3 3 5" xfId="7264"/>
    <cellStyle name="注释 47 3 3 5 2" xfId="20492"/>
    <cellStyle name="注释 47 3 3 5 3" xfId="42472"/>
    <cellStyle name="注释 47 3 3 5 4" xfId="49306"/>
    <cellStyle name="注释 47 3 3 6" xfId="22980"/>
    <cellStyle name="注释 47 3 3 6 2" xfId="36483"/>
    <cellStyle name="注释 47 3 3 6 3" xfId="42376"/>
    <cellStyle name="注释 47 3 3 6 4" xfId="49210"/>
    <cellStyle name="注释 47 3 3 7" xfId="37518"/>
    <cellStyle name="注释 47 3 3 7 2" xfId="43439"/>
    <cellStyle name="注释 47 3 3 7 3" xfId="50273"/>
    <cellStyle name="注释 47 3 3 8" xfId="31394"/>
    <cellStyle name="注释 47 3 3 8 2" xfId="18474"/>
    <cellStyle name="注释 47 3 3 8 3" xfId="15317"/>
    <cellStyle name="注释 47 3 3 9" xfId="28558"/>
    <cellStyle name="注释 47 3 4" xfId="8377"/>
    <cellStyle name="注释 47 3 4 2" xfId="21605"/>
    <cellStyle name="注释 47 3 5" xfId="33217"/>
    <cellStyle name="注释 47 4" xfId="6527"/>
    <cellStyle name="注释 47 4 2" xfId="11261"/>
    <cellStyle name="注释 47 4 2 2" xfId="24489"/>
    <cellStyle name="注释 47 4 2 3" xfId="33891"/>
    <cellStyle name="注释 47 4 2 4" xfId="44999"/>
    <cellStyle name="注释 47 4 2 5" xfId="14505"/>
    <cellStyle name="注释 47 4 3" xfId="8230"/>
    <cellStyle name="注释 47 4 3 2" xfId="21458"/>
    <cellStyle name="注释 47 4 3 3" xfId="36317"/>
    <cellStyle name="注释 47 4 3 4" xfId="42210"/>
    <cellStyle name="注释 47 4 3 5" xfId="49044"/>
    <cellStyle name="注释 47 4 4" xfId="19755"/>
    <cellStyle name="注释 47 4 4 2" xfId="31955"/>
    <cellStyle name="注释 47 4 4 3" xfId="38178"/>
    <cellStyle name="注释 47 4 4 4" xfId="46590"/>
    <cellStyle name="注释 47 4 5" xfId="37653"/>
    <cellStyle name="注释 47 4 5 2" xfId="43576"/>
    <cellStyle name="注释 47 4 5 3" xfId="50410"/>
    <cellStyle name="注释 47 4 6" xfId="29579"/>
    <cellStyle name="注释 47 4 7" xfId="16210"/>
    <cellStyle name="注释 47 4 8" xfId="45387"/>
    <cellStyle name="注释 47 5" xfId="9749"/>
    <cellStyle name="注释 47 5 10" xfId="30009"/>
    <cellStyle name="注释 47 5 11" xfId="40562"/>
    <cellStyle name="注释 47 5 2" xfId="13386"/>
    <cellStyle name="注释 47 5 2 2" xfId="26614"/>
    <cellStyle name="注释 47 5 2 3" xfId="32866"/>
    <cellStyle name="注释 47 5 2 4" xfId="39086"/>
    <cellStyle name="注释 47 5 2 5" xfId="44251"/>
    <cellStyle name="注释 47 5 3" xfId="7692"/>
    <cellStyle name="注释 47 5 3 2" xfId="20920"/>
    <cellStyle name="注释 47 5 3 3" xfId="35362"/>
    <cellStyle name="注释 47 5 3 4" xfId="46127"/>
    <cellStyle name="注释 47 5 3 5" xfId="48065"/>
    <cellStyle name="注释 47 5 4" xfId="13581"/>
    <cellStyle name="注释 47 5 4 2" xfId="26809"/>
    <cellStyle name="注释 47 5 4 3" xfId="31108"/>
    <cellStyle name="注释 47 5 4 4" xfId="18616"/>
    <cellStyle name="注释 47 5 4 5" xfId="34123"/>
    <cellStyle name="注释 47 5 5" xfId="8657"/>
    <cellStyle name="注释 47 5 5 2" xfId="21885"/>
    <cellStyle name="注释 47 5 5 3" xfId="41577"/>
    <cellStyle name="注释 47 5 5 4" xfId="48411"/>
    <cellStyle name="注释 47 5 6" xfId="22977"/>
    <cellStyle name="注释 47 5 6 2" xfId="37349"/>
    <cellStyle name="注释 47 5 6 3" xfId="43269"/>
    <cellStyle name="注释 47 5 6 4" xfId="50103"/>
    <cellStyle name="注释 47 5 7" xfId="37689"/>
    <cellStyle name="注释 47 5 7 2" xfId="43612"/>
    <cellStyle name="注释 47 5 7 3" xfId="50446"/>
    <cellStyle name="注释 47 5 8" xfId="37728"/>
    <cellStyle name="注释 47 5 8 2" xfId="43651"/>
    <cellStyle name="注释 47 5 8 3" xfId="50485"/>
    <cellStyle name="注释 47 5 9" xfId="28555"/>
    <cellStyle name="注释 47 6" xfId="8374"/>
    <cellStyle name="注释 47 6 2" xfId="21602"/>
    <cellStyle name="注释 47 7" xfId="46050"/>
    <cellStyle name="注释 48" xfId="3586"/>
    <cellStyle name="注释 48 2" xfId="3587"/>
    <cellStyle name="注释 48 2 2" xfId="3588"/>
    <cellStyle name="注释 48 2 2 2" xfId="6533"/>
    <cellStyle name="注释 48 2 2 2 2" xfId="11267"/>
    <cellStyle name="注释 48 2 2 2 2 2" xfId="24495"/>
    <cellStyle name="注释 48 2 2 2 2 3" xfId="33897"/>
    <cellStyle name="注释 48 2 2 2 2 4" xfId="45005"/>
    <cellStyle name="注释 48 2 2 2 2 5" xfId="28167"/>
    <cellStyle name="注释 48 2 2 2 3" xfId="8234"/>
    <cellStyle name="注释 48 2 2 2 3 2" xfId="21462"/>
    <cellStyle name="注释 48 2 2 2 3 3" xfId="36323"/>
    <cellStyle name="注释 48 2 2 2 3 4" xfId="42216"/>
    <cellStyle name="注释 48 2 2 2 3 5" xfId="49050"/>
    <cellStyle name="注释 48 2 2 2 4" xfId="19761"/>
    <cellStyle name="注释 48 2 2 2 4 2" xfId="37254"/>
    <cellStyle name="注释 48 2 2 2 4 3" xfId="43174"/>
    <cellStyle name="注释 48 2 2 2 4 4" xfId="50008"/>
    <cellStyle name="注释 48 2 2 2 5" xfId="36669"/>
    <cellStyle name="注释 48 2 2 2 5 2" xfId="42572"/>
    <cellStyle name="注释 48 2 2 2 5 3" xfId="49406"/>
    <cellStyle name="注释 48 2 2 2 6" xfId="29585"/>
    <cellStyle name="注释 48 2 2 2 7" xfId="17669"/>
    <cellStyle name="注释 48 2 2 2 8" xfId="44510"/>
    <cellStyle name="注释 48 2 2 3" xfId="9755"/>
    <cellStyle name="注释 48 2 2 3 10" xfId="17709"/>
    <cellStyle name="注释 48 2 2 3 11" xfId="45406"/>
    <cellStyle name="注释 48 2 2 3 2" xfId="13392"/>
    <cellStyle name="注释 48 2 2 3 2 2" xfId="26620"/>
    <cellStyle name="注释 48 2 2 3 2 3" xfId="32872"/>
    <cellStyle name="注释 48 2 2 3 2 4" xfId="39092"/>
    <cellStyle name="注释 48 2 2 3 2 5" xfId="47254"/>
    <cellStyle name="注释 48 2 2 3 3" xfId="7698"/>
    <cellStyle name="注释 48 2 2 3 3 2" xfId="20926"/>
    <cellStyle name="注释 48 2 2 3 3 3" xfId="35368"/>
    <cellStyle name="注释 48 2 2 3 3 4" xfId="46133"/>
    <cellStyle name="注释 48 2 2 3 3 5" xfId="48071"/>
    <cellStyle name="注释 48 2 2 3 4" xfId="12916"/>
    <cellStyle name="注释 48 2 2 3 4 2" xfId="26144"/>
    <cellStyle name="注释 48 2 2 3 4 3" xfId="31114"/>
    <cellStyle name="注释 48 2 2 3 4 4" xfId="18622"/>
    <cellStyle name="注释 48 2 2 3 4 5" xfId="46953"/>
    <cellStyle name="注释 48 2 2 3 5" xfId="8012"/>
    <cellStyle name="注释 48 2 2 3 5 2" xfId="21240"/>
    <cellStyle name="注释 48 2 2 3 5 3" xfId="16364"/>
    <cellStyle name="注释 48 2 2 3 5 4" xfId="40383"/>
    <cellStyle name="注释 48 2 2 3 6" xfId="22983"/>
    <cellStyle name="注释 48 2 2 3 6 2" xfId="34679"/>
    <cellStyle name="注释 48 2 2 3 6 3" xfId="40668"/>
    <cellStyle name="注释 48 2 2 3 6 4" xfId="17479"/>
    <cellStyle name="注释 48 2 2 3 7" xfId="31640"/>
    <cellStyle name="注释 48 2 2 3 7 2" xfId="15142"/>
    <cellStyle name="注释 48 2 2 3 7 3" xfId="39856"/>
    <cellStyle name="注释 48 2 2 3 8" xfId="32323"/>
    <cellStyle name="注释 48 2 2 3 8 2" xfId="38541"/>
    <cellStyle name="注释 48 2 2 3 8 3" xfId="44149"/>
    <cellStyle name="注释 48 2 2 3 9" xfId="28561"/>
    <cellStyle name="注释 48 2 2 4" xfId="8380"/>
    <cellStyle name="注释 48 2 2 4 2" xfId="21608"/>
    <cellStyle name="注释 48 2 2 5" xfId="34128"/>
    <cellStyle name="注释 48 2 3" xfId="6532"/>
    <cellStyle name="注释 48 2 3 2" xfId="11266"/>
    <cellStyle name="注释 48 2 3 2 2" xfId="24494"/>
    <cellStyle name="注释 48 2 3 2 3" xfId="33896"/>
    <cellStyle name="注释 48 2 3 2 4" xfId="45004"/>
    <cellStyle name="注释 48 2 3 2 5" xfId="33197"/>
    <cellStyle name="注释 48 2 3 3" xfId="8235"/>
    <cellStyle name="注释 48 2 3 3 2" xfId="21463"/>
    <cellStyle name="注释 48 2 3 3 3" xfId="36322"/>
    <cellStyle name="注释 48 2 3 3 4" xfId="42215"/>
    <cellStyle name="注释 48 2 3 3 5" xfId="49049"/>
    <cellStyle name="注释 48 2 3 4" xfId="19760"/>
    <cellStyle name="注释 48 2 3 4 2" xfId="30813"/>
    <cellStyle name="注释 48 2 3 4 3" xfId="18059"/>
    <cellStyle name="注释 48 2 3 4 4" xfId="40120"/>
    <cellStyle name="注释 48 2 3 5" xfId="31710"/>
    <cellStyle name="注释 48 2 3 5 2" xfId="27981"/>
    <cellStyle name="注释 48 2 3 5 3" xfId="47002"/>
    <cellStyle name="注释 48 2 3 6" xfId="29584"/>
    <cellStyle name="注释 48 2 3 7" xfId="16215"/>
    <cellStyle name="注释 48 2 3 8" xfId="34438"/>
    <cellStyle name="注释 48 2 4" xfId="9754"/>
    <cellStyle name="注释 48 2 4 10" xfId="15415"/>
    <cellStyle name="注释 48 2 4 11" xfId="44421"/>
    <cellStyle name="注释 48 2 4 2" xfId="13391"/>
    <cellStyle name="注释 48 2 4 2 2" xfId="26619"/>
    <cellStyle name="注释 48 2 4 2 3" xfId="32871"/>
    <cellStyle name="注释 48 2 4 2 4" xfId="39091"/>
    <cellStyle name="注释 48 2 4 2 5" xfId="39537"/>
    <cellStyle name="注释 48 2 4 3" xfId="7697"/>
    <cellStyle name="注释 48 2 4 3 2" xfId="20925"/>
    <cellStyle name="注释 48 2 4 3 3" xfId="35367"/>
    <cellStyle name="注释 48 2 4 3 4" xfId="46132"/>
    <cellStyle name="注释 48 2 4 3 5" xfId="48070"/>
    <cellStyle name="注释 48 2 4 4" xfId="8460"/>
    <cellStyle name="注释 48 2 4 4 2" xfId="21688"/>
    <cellStyle name="注释 48 2 4 4 3" xfId="31113"/>
    <cellStyle name="注释 48 2 4 4 4" xfId="18621"/>
    <cellStyle name="注释 48 2 4 4 5" xfId="33369"/>
    <cellStyle name="注释 48 2 4 5" xfId="13933"/>
    <cellStyle name="注释 48 2 4 5 2" xfId="27161"/>
    <cellStyle name="注释 48 2 4 5 3" xfId="16647"/>
    <cellStyle name="注释 48 2 4 5 4" xfId="45554"/>
    <cellStyle name="注释 48 2 4 6" xfId="22982"/>
    <cellStyle name="注释 48 2 4 6 2" xfId="37064"/>
    <cellStyle name="注释 48 2 4 6 3" xfId="42983"/>
    <cellStyle name="注释 48 2 4 6 4" xfId="49817"/>
    <cellStyle name="注释 48 2 4 7" xfId="37580"/>
    <cellStyle name="注释 48 2 4 7 2" xfId="43502"/>
    <cellStyle name="注释 48 2 4 7 3" xfId="50336"/>
    <cellStyle name="注释 48 2 4 8" xfId="37520"/>
    <cellStyle name="注释 48 2 4 8 2" xfId="43441"/>
    <cellStyle name="注释 48 2 4 8 3" xfId="50275"/>
    <cellStyle name="注释 48 2 4 9" xfId="28560"/>
    <cellStyle name="注释 48 2 5" xfId="8379"/>
    <cellStyle name="注释 48 2 5 2" xfId="21607"/>
    <cellStyle name="注释 48 2 6" xfId="44497"/>
    <cellStyle name="注释 48 3" xfId="3589"/>
    <cellStyle name="注释 48 3 2" xfId="6534"/>
    <cellStyle name="注释 48 3 2 2" xfId="11268"/>
    <cellStyle name="注释 48 3 2 2 2" xfId="24496"/>
    <cellStyle name="注释 48 3 2 2 3" xfId="33898"/>
    <cellStyle name="注释 48 3 2 2 4" xfId="45006"/>
    <cellStyle name="注释 48 3 2 2 5" xfId="39931"/>
    <cellStyle name="注释 48 3 2 3" xfId="6821"/>
    <cellStyle name="注释 48 3 2 3 2" xfId="20049"/>
    <cellStyle name="注释 48 3 2 3 3" xfId="36324"/>
    <cellStyle name="注释 48 3 2 3 4" xfId="42217"/>
    <cellStyle name="注释 48 3 2 3 5" xfId="49051"/>
    <cellStyle name="注释 48 3 2 4" xfId="19762"/>
    <cellStyle name="注释 48 3 2 4 2" xfId="29971"/>
    <cellStyle name="注释 48 3 2 4 3" xfId="17702"/>
    <cellStyle name="注释 48 3 2 4 4" xfId="17457"/>
    <cellStyle name="注释 48 3 2 5" xfId="37809"/>
    <cellStyle name="注释 48 3 2 5 2" xfId="43733"/>
    <cellStyle name="注释 48 3 2 5 3" xfId="50567"/>
    <cellStyle name="注释 48 3 2 6" xfId="29586"/>
    <cellStyle name="注释 48 3 2 7" xfId="16228"/>
    <cellStyle name="注释 48 3 2 8" xfId="45479"/>
    <cellStyle name="注释 48 3 3" xfId="9756"/>
    <cellStyle name="注释 48 3 3 10" xfId="40144"/>
    <cellStyle name="注释 48 3 3 11" xfId="17440"/>
    <cellStyle name="注释 48 3 3 2" xfId="13393"/>
    <cellStyle name="注释 48 3 3 2 2" xfId="26621"/>
    <cellStyle name="注释 48 3 3 2 3" xfId="32873"/>
    <cellStyle name="注释 48 3 3 2 4" xfId="39093"/>
    <cellStyle name="注释 48 3 3 2 5" xfId="33218"/>
    <cellStyle name="注释 48 3 3 3" xfId="7699"/>
    <cellStyle name="注释 48 3 3 3 2" xfId="20927"/>
    <cellStyle name="注释 48 3 3 3 3" xfId="35369"/>
    <cellStyle name="注释 48 3 3 3 4" xfId="46134"/>
    <cellStyle name="注释 48 3 3 3 5" xfId="48072"/>
    <cellStyle name="注释 48 3 3 4" xfId="13686"/>
    <cellStyle name="注释 48 3 3 4 2" xfId="26914"/>
    <cellStyle name="注释 48 3 3 4 3" xfId="31115"/>
    <cellStyle name="注释 48 3 3 4 4" xfId="18623"/>
    <cellStyle name="注释 48 3 3 4 5" xfId="17381"/>
    <cellStyle name="注释 48 3 3 5" xfId="13969"/>
    <cellStyle name="注释 48 3 3 5 2" xfId="27197"/>
    <cellStyle name="注释 48 3 3 5 3" xfId="17774"/>
    <cellStyle name="注释 48 3 3 5 4" xfId="40310"/>
    <cellStyle name="注释 48 3 3 6" xfId="22984"/>
    <cellStyle name="注释 48 3 3 6 2" xfId="31386"/>
    <cellStyle name="注释 48 3 3 6 3" xfId="17875"/>
    <cellStyle name="注释 48 3 3 6 4" xfId="34446"/>
    <cellStyle name="注释 48 3 3 7" xfId="31286"/>
    <cellStyle name="注释 48 3 3 7 2" xfId="17176"/>
    <cellStyle name="注释 48 3 3 7 3" xfId="15512"/>
    <cellStyle name="注释 48 3 3 8" xfId="35826"/>
    <cellStyle name="注释 48 3 3 8 2" xfId="41713"/>
    <cellStyle name="注释 48 3 3 8 3" xfId="48547"/>
    <cellStyle name="注释 48 3 3 9" xfId="28562"/>
    <cellStyle name="注释 48 3 4" xfId="8381"/>
    <cellStyle name="注释 48 3 4 2" xfId="21609"/>
    <cellStyle name="注释 48 3 5" xfId="17790"/>
    <cellStyle name="注释 48 4" xfId="6531"/>
    <cellStyle name="注释 48 4 2" xfId="11265"/>
    <cellStyle name="注释 48 4 2 2" xfId="24493"/>
    <cellStyle name="注释 48 4 2 3" xfId="33895"/>
    <cellStyle name="注释 48 4 2 4" xfId="45003"/>
    <cellStyle name="注释 48 4 2 5" xfId="41240"/>
    <cellStyle name="注释 48 4 3" xfId="6820"/>
    <cellStyle name="注释 48 4 3 2" xfId="20048"/>
    <cellStyle name="注释 48 4 3 3" xfId="36321"/>
    <cellStyle name="注释 48 4 3 4" xfId="42214"/>
    <cellStyle name="注释 48 4 3 5" xfId="49048"/>
    <cellStyle name="注释 48 4 4" xfId="19759"/>
    <cellStyle name="注释 48 4 4 2" xfId="31954"/>
    <cellStyle name="注释 48 4 4 3" xfId="38177"/>
    <cellStyle name="注释 48 4 4 4" xfId="43902"/>
    <cellStyle name="注释 48 4 5" xfId="37385"/>
    <cellStyle name="注释 48 4 5 2" xfId="43305"/>
    <cellStyle name="注释 48 4 5 3" xfId="50139"/>
    <cellStyle name="注释 48 4 6" xfId="29583"/>
    <cellStyle name="注释 48 4 7" xfId="16214"/>
    <cellStyle name="注释 48 4 8" xfId="44273"/>
    <cellStyle name="注释 48 5" xfId="9753"/>
    <cellStyle name="注释 48 5 10" xfId="33177"/>
    <cellStyle name="注释 48 5 11" xfId="40342"/>
    <cellStyle name="注释 48 5 2" xfId="13390"/>
    <cellStyle name="注释 48 5 2 2" xfId="26618"/>
    <cellStyle name="注释 48 5 2 3" xfId="32870"/>
    <cellStyle name="注释 48 5 2 4" xfId="39090"/>
    <cellStyle name="注释 48 5 2 5" xfId="41381"/>
    <cellStyle name="注释 48 5 3" xfId="7696"/>
    <cellStyle name="注释 48 5 3 2" xfId="20924"/>
    <cellStyle name="注释 48 5 3 3" xfId="35366"/>
    <cellStyle name="注释 48 5 3 4" xfId="46131"/>
    <cellStyle name="注释 48 5 3 5" xfId="48069"/>
    <cellStyle name="注释 48 5 4" xfId="8490"/>
    <cellStyle name="注释 48 5 4 2" xfId="21718"/>
    <cellStyle name="注释 48 5 4 3" xfId="31112"/>
    <cellStyle name="注释 48 5 4 4" xfId="18620"/>
    <cellStyle name="注释 48 5 4 5" xfId="15771"/>
    <cellStyle name="注释 48 5 5" xfId="13546"/>
    <cellStyle name="注释 48 5 5 2" xfId="26774"/>
    <cellStyle name="注释 48 5 5 3" xfId="40730"/>
    <cellStyle name="注释 48 5 5 4" xfId="39565"/>
    <cellStyle name="注释 48 5 6" xfId="22981"/>
    <cellStyle name="注释 48 5 6 2" xfId="34859"/>
    <cellStyle name="注释 48 5 6 3" xfId="40858"/>
    <cellStyle name="注释 48 5 6 4" xfId="14535"/>
    <cellStyle name="注释 48 5 7" xfId="35639"/>
    <cellStyle name="注释 48 5 7 2" xfId="41519"/>
    <cellStyle name="注释 48 5 7 3" xfId="48353"/>
    <cellStyle name="注释 48 5 8" xfId="36650"/>
    <cellStyle name="注释 48 5 8 2" xfId="42552"/>
    <cellStyle name="注释 48 5 8 3" xfId="49386"/>
    <cellStyle name="注释 48 5 9" xfId="28559"/>
    <cellStyle name="注释 48 6" xfId="8378"/>
    <cellStyle name="注释 48 6 2" xfId="21606"/>
    <cellStyle name="注释 48 7" xfId="46350"/>
    <cellStyle name="注释 49" xfId="3590"/>
    <cellStyle name="注释 49 2" xfId="3591"/>
    <cellStyle name="注释 49 2 2" xfId="6536"/>
    <cellStyle name="注释 49 2 2 2" xfId="11270"/>
    <cellStyle name="注释 49 2 2 2 2" xfId="24498"/>
    <cellStyle name="注释 49 2 2 2 3" xfId="33900"/>
    <cellStyle name="注释 49 2 2 2 4" xfId="45008"/>
    <cellStyle name="注释 49 2 2 2 5" xfId="34144"/>
    <cellStyle name="注释 49 2 2 3" xfId="8236"/>
    <cellStyle name="注释 49 2 2 3 2" xfId="21464"/>
    <cellStyle name="注释 49 2 2 3 3" xfId="36326"/>
    <cellStyle name="注释 49 2 2 3 4" xfId="42219"/>
    <cellStyle name="注释 49 2 2 3 5" xfId="49053"/>
    <cellStyle name="注释 49 2 2 4" xfId="19764"/>
    <cellStyle name="注释 49 2 2 4 2" xfId="37446"/>
    <cellStyle name="注释 49 2 2 4 3" xfId="43366"/>
    <cellStyle name="注释 49 2 2 4 4" xfId="50200"/>
    <cellStyle name="注释 49 2 2 5" xfId="32425"/>
    <cellStyle name="注释 49 2 2 5 2" xfId="38643"/>
    <cellStyle name="注释 49 2 2 5 3" xfId="17569"/>
    <cellStyle name="注释 49 2 2 6" xfId="29588"/>
    <cellStyle name="注释 49 2 2 7" xfId="28043"/>
    <cellStyle name="注释 49 2 2 8" xfId="16476"/>
    <cellStyle name="注释 49 2 3" xfId="9758"/>
    <cellStyle name="注释 49 2 3 10" xfId="34569"/>
    <cellStyle name="注释 49 2 3 11" xfId="45289"/>
    <cellStyle name="注释 49 2 3 2" xfId="13395"/>
    <cellStyle name="注释 49 2 3 2 2" xfId="26623"/>
    <cellStyle name="注释 49 2 3 2 3" xfId="32875"/>
    <cellStyle name="注释 49 2 3 2 4" xfId="39095"/>
    <cellStyle name="注释 49 2 3 2 5" xfId="18083"/>
    <cellStyle name="注释 49 2 3 3" xfId="7701"/>
    <cellStyle name="注释 49 2 3 3 2" xfId="20929"/>
    <cellStyle name="注释 49 2 3 3 3" xfId="35371"/>
    <cellStyle name="注释 49 2 3 3 4" xfId="46136"/>
    <cellStyle name="注释 49 2 3 3 5" xfId="48074"/>
    <cellStyle name="注释 49 2 3 4" xfId="13504"/>
    <cellStyle name="注释 49 2 3 4 2" xfId="26732"/>
    <cellStyle name="注释 49 2 3 4 3" xfId="31117"/>
    <cellStyle name="注释 49 2 3 4 4" xfId="27799"/>
    <cellStyle name="注释 49 2 3 4 5" xfId="44615"/>
    <cellStyle name="注释 49 2 3 5" xfId="14412"/>
    <cellStyle name="注释 49 2 3 5 2" xfId="27640"/>
    <cellStyle name="注释 49 2 3 5 3" xfId="15154"/>
    <cellStyle name="注释 49 2 3 5 4" xfId="15412"/>
    <cellStyle name="注释 49 2 3 6" xfId="22986"/>
    <cellStyle name="注释 49 2 3 6 2" xfId="31774"/>
    <cellStyle name="注释 49 2 3 6 3" xfId="37995"/>
    <cellStyle name="注释 49 2 3 6 4" xfId="47036"/>
    <cellStyle name="注释 49 2 3 7" xfId="36480"/>
    <cellStyle name="注释 49 2 3 7 2" xfId="42373"/>
    <cellStyle name="注释 49 2 3 7 3" xfId="49207"/>
    <cellStyle name="注释 49 2 3 8" xfId="37786"/>
    <cellStyle name="注释 49 2 3 8 2" xfId="43710"/>
    <cellStyle name="注释 49 2 3 8 3" xfId="50544"/>
    <cellStyle name="注释 49 2 3 9" xfId="28564"/>
    <cellStyle name="注释 49 2 4" xfId="8383"/>
    <cellStyle name="注释 49 2 4 2" xfId="21611"/>
    <cellStyle name="注释 49 2 5" xfId="46662"/>
    <cellStyle name="注释 49 3" xfId="6535"/>
    <cellStyle name="注释 49 3 2" xfId="11269"/>
    <cellStyle name="注释 49 3 2 2" xfId="24497"/>
    <cellStyle name="注释 49 3 2 3" xfId="33899"/>
    <cellStyle name="注释 49 3 2 4" xfId="45007"/>
    <cellStyle name="注释 49 3 2 5" xfId="40165"/>
    <cellStyle name="注释 49 3 3" xfId="9111"/>
    <cellStyle name="注释 49 3 3 2" xfId="22339"/>
    <cellStyle name="注释 49 3 3 3" xfId="36325"/>
    <cellStyle name="注释 49 3 3 4" xfId="42218"/>
    <cellStyle name="注释 49 3 3 5" xfId="49052"/>
    <cellStyle name="注释 49 3 4" xfId="19763"/>
    <cellStyle name="注释 49 3 4 2" xfId="31808"/>
    <cellStyle name="注释 49 3 4 3" xfId="38029"/>
    <cellStyle name="注释 49 3 4 4" xfId="39713"/>
    <cellStyle name="注释 49 3 5" xfId="37490"/>
    <cellStyle name="注释 49 3 5 2" xfId="43410"/>
    <cellStyle name="注释 49 3 5 3" xfId="50244"/>
    <cellStyle name="注释 49 3 6" xfId="29587"/>
    <cellStyle name="注释 49 3 7" xfId="14587"/>
    <cellStyle name="注释 49 3 8" xfId="29064"/>
    <cellStyle name="注释 49 4" xfId="9757"/>
    <cellStyle name="注释 49 4 10" xfId="38724"/>
    <cellStyle name="注释 49 4 11" xfId="34537"/>
    <cellStyle name="注释 49 4 2" xfId="13394"/>
    <cellStyle name="注释 49 4 2 2" xfId="26622"/>
    <cellStyle name="注释 49 4 2 3" xfId="32874"/>
    <cellStyle name="注释 49 4 2 4" xfId="39094"/>
    <cellStyle name="注释 49 4 2 5" xfId="46187"/>
    <cellStyle name="注释 49 4 3" xfId="7700"/>
    <cellStyle name="注释 49 4 3 2" xfId="20928"/>
    <cellStyle name="注释 49 4 3 3" xfId="35370"/>
    <cellStyle name="注释 49 4 3 4" xfId="46135"/>
    <cellStyle name="注释 49 4 3 5" xfId="48073"/>
    <cellStyle name="注释 49 4 4" xfId="14257"/>
    <cellStyle name="注释 49 4 4 2" xfId="27485"/>
    <cellStyle name="注释 49 4 4 3" xfId="31116"/>
    <cellStyle name="注释 49 4 4 4" xfId="17079"/>
    <cellStyle name="注释 49 4 4 5" xfId="43939"/>
    <cellStyle name="注释 49 4 5" xfId="14386"/>
    <cellStyle name="注释 49 4 5 2" xfId="27614"/>
    <cellStyle name="注释 49 4 5 3" xfId="16648"/>
    <cellStyle name="注释 49 4 5 4" xfId="44584"/>
    <cellStyle name="注释 49 4 6" xfId="22985"/>
    <cellStyle name="注释 49 4 6 2" xfId="37423"/>
    <cellStyle name="注释 49 4 6 3" xfId="43343"/>
    <cellStyle name="注释 49 4 6 4" xfId="50177"/>
    <cellStyle name="注释 49 4 7" xfId="30298"/>
    <cellStyle name="注释 49 4 7 2" xfId="18140"/>
    <cellStyle name="注释 49 4 7 3" xfId="32501"/>
    <cellStyle name="注释 49 4 8" xfId="30849"/>
    <cellStyle name="注释 49 4 8 2" xfId="16962"/>
    <cellStyle name="注释 49 4 8 3" xfId="39357"/>
    <cellStyle name="注释 49 4 9" xfId="28563"/>
    <cellStyle name="注释 49 5" xfId="8382"/>
    <cellStyle name="注释 49 5 2" xfId="21610"/>
    <cellStyle name="注释 49 6" xfId="47226"/>
    <cellStyle name="注释 5" xfId="3592"/>
    <cellStyle name="注释 5 2" xfId="6537"/>
    <cellStyle name="注释 5 2 2" xfId="11271"/>
    <cellStyle name="注释 5 2 2 2" xfId="24499"/>
    <cellStyle name="注释 5 2 2 3" xfId="33901"/>
    <cellStyle name="注释 5 2 2 4" xfId="45009"/>
    <cellStyle name="注释 5 2 2 5" xfId="41241"/>
    <cellStyle name="注释 5 2 3" xfId="8198"/>
    <cellStyle name="注释 5 2 3 2" xfId="21426"/>
    <cellStyle name="注释 5 2 3 3" xfId="36327"/>
    <cellStyle name="注释 5 2 3 4" xfId="42220"/>
    <cellStyle name="注释 5 2 3 5" xfId="49054"/>
    <cellStyle name="注释 5 2 4" xfId="19765"/>
    <cellStyle name="注释 5 2 4 2" xfId="30154"/>
    <cellStyle name="注释 5 2 4 3" xfId="18403"/>
    <cellStyle name="注释 5 2 4 4" xfId="27848"/>
    <cellStyle name="注释 5 2 5" xfId="31230"/>
    <cellStyle name="注释 5 2 5 2" xfId="17135"/>
    <cellStyle name="注释 5 2 5 3" xfId="29990"/>
    <cellStyle name="注释 5 2 6" xfId="29589"/>
    <cellStyle name="注释 5 2 7" xfId="17650"/>
    <cellStyle name="注释 5 2 8" xfId="28716"/>
    <cellStyle name="注释 5 3" xfId="9759"/>
    <cellStyle name="注释 5 3 10" xfId="39380"/>
    <cellStyle name="注释 5 3 11" xfId="44283"/>
    <cellStyle name="注释 5 3 2" xfId="13396"/>
    <cellStyle name="注释 5 3 2 2" xfId="26624"/>
    <cellStyle name="注释 5 3 2 3" xfId="32876"/>
    <cellStyle name="注释 5 3 2 4" xfId="39096"/>
    <cellStyle name="注释 5 3 2 5" xfId="44255"/>
    <cellStyle name="注释 5 3 3" xfId="7702"/>
    <cellStyle name="注释 5 3 3 2" xfId="20930"/>
    <cellStyle name="注释 5 3 3 3" xfId="35372"/>
    <cellStyle name="注释 5 3 3 4" xfId="46137"/>
    <cellStyle name="注释 5 3 3 5" xfId="48075"/>
    <cellStyle name="注释 5 3 4" xfId="14124"/>
    <cellStyle name="注释 5 3 4 2" xfId="27352"/>
    <cellStyle name="注释 5 3 4 3" xfId="31118"/>
    <cellStyle name="注释 5 3 4 4" xfId="18624"/>
    <cellStyle name="注释 5 3 4 5" xfId="47622"/>
    <cellStyle name="注释 5 3 5" xfId="13922"/>
    <cellStyle name="注释 5 3 5 2" xfId="27150"/>
    <cellStyle name="注释 5 3 5 3" xfId="16619"/>
    <cellStyle name="注释 5 3 5 4" xfId="45525"/>
    <cellStyle name="注释 5 3 6" xfId="22987"/>
    <cellStyle name="注释 5 3 6 2" xfId="31248"/>
    <cellStyle name="注释 5 3 6 3" xfId="17149"/>
    <cellStyle name="注释 5 3 6 4" xfId="15560"/>
    <cellStyle name="注释 5 3 7" xfId="37219"/>
    <cellStyle name="注释 5 3 7 2" xfId="43138"/>
    <cellStyle name="注释 5 3 7 3" xfId="49972"/>
    <cellStyle name="注释 5 3 8" xfId="36768"/>
    <cellStyle name="注释 5 3 8 2" xfId="42675"/>
    <cellStyle name="注释 5 3 8 3" xfId="49509"/>
    <cellStyle name="注释 5 3 9" xfId="28565"/>
    <cellStyle name="注释 5 4" xfId="8384"/>
    <cellStyle name="注释 5 4 2" xfId="21612"/>
    <cellStyle name="注释 5 5" xfId="44914"/>
    <cellStyle name="注释 50" xfId="6486"/>
    <cellStyle name="注释 50 2" xfId="11220"/>
    <cellStyle name="注释 50 2 2" xfId="24448"/>
    <cellStyle name="注释 50 2 3" xfId="33850"/>
    <cellStyle name="注释 50 2 4" xfId="44958"/>
    <cellStyle name="注释 50 2 5" xfId="39924"/>
    <cellStyle name="注释 50 3" xfId="8608"/>
    <cellStyle name="注释 50 3 2" xfId="21836"/>
    <cellStyle name="注释 50 3 3" xfId="36276"/>
    <cellStyle name="注释 50 3 4" xfId="42169"/>
    <cellStyle name="注释 50 3 5" xfId="49003"/>
    <cellStyle name="注释 50 4" xfId="19714"/>
    <cellStyle name="注释 50 4 2" xfId="37213"/>
    <cellStyle name="注释 50 4 3" xfId="43132"/>
    <cellStyle name="注释 50 4 4" xfId="49966"/>
    <cellStyle name="注释 50 5" xfId="36562"/>
    <cellStyle name="注释 50 5 2" xfId="42460"/>
    <cellStyle name="注释 50 5 3" xfId="49294"/>
    <cellStyle name="注释 50 6" xfId="29538"/>
    <cellStyle name="注释 50 7" xfId="17663"/>
    <cellStyle name="注释 50 8" xfId="29026"/>
    <cellStyle name="注释 51" xfId="9708"/>
    <cellStyle name="注释 51 10" xfId="38669"/>
    <cellStyle name="注释 51 11" xfId="40201"/>
    <cellStyle name="注释 51 2" xfId="13345"/>
    <cellStyle name="注释 51 2 2" xfId="26573"/>
    <cellStyle name="注释 51 2 3" xfId="32825"/>
    <cellStyle name="注释 51 2 4" xfId="39045"/>
    <cellStyle name="注释 51 2 5" xfId="47588"/>
    <cellStyle name="注释 51 3" xfId="7652"/>
    <cellStyle name="注释 51 3 2" xfId="20880"/>
    <cellStyle name="注释 51 3 3" xfId="35321"/>
    <cellStyle name="注释 51 3 4" xfId="46086"/>
    <cellStyle name="注释 51 3 5" xfId="48024"/>
    <cellStyle name="注释 51 4" xfId="8718"/>
    <cellStyle name="注释 51 4 2" xfId="21946"/>
    <cellStyle name="注释 51 4 3" xfId="31084"/>
    <cellStyle name="注释 51 4 4" xfId="17752"/>
    <cellStyle name="注释 51 4 5" xfId="47623"/>
    <cellStyle name="注释 51 5" xfId="7262"/>
    <cellStyle name="注释 51 5 2" xfId="20490"/>
    <cellStyle name="注释 51 5 3" xfId="42416"/>
    <cellStyle name="注释 51 5 4" xfId="49250"/>
    <cellStyle name="注释 51 6" xfId="22936"/>
    <cellStyle name="注释 51 6 2" xfId="37225"/>
    <cellStyle name="注释 51 6 3" xfId="43144"/>
    <cellStyle name="注释 51 6 4" xfId="49978"/>
    <cellStyle name="注释 51 7" xfId="32354"/>
    <cellStyle name="注释 51 7 2" xfId="38572"/>
    <cellStyle name="注释 51 7 3" xfId="31418"/>
    <cellStyle name="注释 51 8" xfId="35588"/>
    <cellStyle name="注释 51 8 2" xfId="41464"/>
    <cellStyle name="注释 51 8 3" xfId="48298"/>
    <cellStyle name="注释 51 9" xfId="28514"/>
    <cellStyle name="注释 52" xfId="8333"/>
    <cellStyle name="注释 52 2" xfId="21561"/>
    <cellStyle name="注释 53" xfId="44917"/>
    <cellStyle name="注释 6" xfId="3593"/>
    <cellStyle name="注释 6 2" xfId="6538"/>
    <cellStyle name="注释 6 2 2" xfId="11272"/>
    <cellStyle name="注释 6 2 2 2" xfId="24500"/>
    <cellStyle name="注释 6 2 2 3" xfId="33902"/>
    <cellStyle name="注释 6 2 2 4" xfId="45010"/>
    <cellStyle name="注释 6 2 2 5" xfId="32954"/>
    <cellStyle name="注释 6 2 3" xfId="6822"/>
    <cellStyle name="注释 6 2 3 2" xfId="20050"/>
    <cellStyle name="注释 6 2 3 3" xfId="36328"/>
    <cellStyle name="注释 6 2 3 4" xfId="42221"/>
    <cellStyle name="注释 6 2 3 5" xfId="49055"/>
    <cellStyle name="注释 6 2 4" xfId="19766"/>
    <cellStyle name="注释 6 2 4 2" xfId="34706"/>
    <cellStyle name="注释 6 2 4 3" xfId="40696"/>
    <cellStyle name="注释 6 2 4 4" xfId="17493"/>
    <cellStyle name="注释 6 2 5" xfId="30339"/>
    <cellStyle name="注释 6 2 5 2" xfId="16760"/>
    <cellStyle name="注释 6 2 5 3" xfId="34513"/>
    <cellStyle name="注释 6 2 6" xfId="29590"/>
    <cellStyle name="注释 6 2 7" xfId="16218"/>
    <cellStyle name="注释 6 2 8" xfId="45183"/>
    <cellStyle name="注释 6 3" xfId="9760"/>
    <cellStyle name="注释 6 3 10" xfId="40442"/>
    <cellStyle name="注释 6 3 11" xfId="15772"/>
    <cellStyle name="注释 6 3 2" xfId="13397"/>
    <cellStyle name="注释 6 3 2 2" xfId="26625"/>
    <cellStyle name="注释 6 3 2 3" xfId="32877"/>
    <cellStyle name="注释 6 3 2 4" xfId="39097"/>
    <cellStyle name="注释 6 3 2 5" xfId="34578"/>
    <cellStyle name="注释 6 3 3" xfId="7703"/>
    <cellStyle name="注释 6 3 3 2" xfId="20931"/>
    <cellStyle name="注释 6 3 3 3" xfId="35373"/>
    <cellStyle name="注释 6 3 3 4" xfId="46138"/>
    <cellStyle name="注释 6 3 3 5" xfId="48076"/>
    <cellStyle name="注释 6 3 4" xfId="13615"/>
    <cellStyle name="注释 6 3 4 2" xfId="26843"/>
    <cellStyle name="注释 6 3 4 3" xfId="31119"/>
    <cellStyle name="注释 6 3 4 4" xfId="17055"/>
    <cellStyle name="注释 6 3 4 5" xfId="47581"/>
    <cellStyle name="注释 6 3 5" xfId="13932"/>
    <cellStyle name="注释 6 3 5 2" xfId="27160"/>
    <cellStyle name="注释 6 3 5 3" xfId="41702"/>
    <cellStyle name="注释 6 3 5 4" xfId="48536"/>
    <cellStyle name="注释 6 3 6" xfId="22988"/>
    <cellStyle name="注释 6 3 6 2" xfId="31897"/>
    <cellStyle name="注释 6 3 6 3" xfId="38118"/>
    <cellStyle name="注释 6 3 6 4" xfId="47384"/>
    <cellStyle name="注释 6 3 7" xfId="31264"/>
    <cellStyle name="注释 6 3 7 2" xfId="14731"/>
    <cellStyle name="注释 6 3 7 3" xfId="47261"/>
    <cellStyle name="注释 6 3 8" xfId="30475"/>
    <cellStyle name="注释 6 3 8 2" xfId="16808"/>
    <cellStyle name="注释 6 3 8 3" xfId="27950"/>
    <cellStyle name="注释 6 3 9" xfId="28566"/>
    <cellStyle name="注释 6 4" xfId="8385"/>
    <cellStyle name="注释 6 4 2" xfId="21613"/>
    <cellStyle name="注释 6 5" xfId="39846"/>
    <cellStyle name="注释 7" xfId="3594"/>
    <cellStyle name="注释 7 2" xfId="6539"/>
    <cellStyle name="注释 7 2 2" xfId="11273"/>
    <cellStyle name="注释 7 2 2 2" xfId="24501"/>
    <cellStyle name="注释 7 2 2 3" xfId="33903"/>
    <cellStyle name="注释 7 2 2 4" xfId="45011"/>
    <cellStyle name="注释 7 2 2 5" xfId="32530"/>
    <cellStyle name="注释 7 2 3" xfId="9112"/>
    <cellStyle name="注释 7 2 3 2" xfId="22340"/>
    <cellStyle name="注释 7 2 3 3" xfId="36329"/>
    <cellStyle name="注释 7 2 3 4" xfId="42222"/>
    <cellStyle name="注释 7 2 3 5" xfId="49056"/>
    <cellStyle name="注释 7 2 4" xfId="19767"/>
    <cellStyle name="注释 7 2 4 2" xfId="31258"/>
    <cellStyle name="注释 7 2 4 3" xfId="17155"/>
    <cellStyle name="注释 7 2 4 4" xfId="46730"/>
    <cellStyle name="注释 7 2 5" xfId="35657"/>
    <cellStyle name="注释 7 2 5 2" xfId="41537"/>
    <cellStyle name="注释 7 2 5 3" xfId="48371"/>
    <cellStyle name="注释 7 2 6" xfId="29591"/>
    <cellStyle name="注释 7 2 7" xfId="16219"/>
    <cellStyle name="注释 7 2 8" xfId="44050"/>
    <cellStyle name="注释 7 3" xfId="9761"/>
    <cellStyle name="注释 7 3 10" xfId="17441"/>
    <cellStyle name="注释 7 3 11" xfId="44520"/>
    <cellStyle name="注释 7 3 2" xfId="13398"/>
    <cellStyle name="注释 7 3 2 2" xfId="26626"/>
    <cellStyle name="注释 7 3 2 3" xfId="32878"/>
    <cellStyle name="注释 7 3 2 4" xfId="39098"/>
    <cellStyle name="注释 7 3 2 5" xfId="45601"/>
    <cellStyle name="注释 7 3 3" xfId="7704"/>
    <cellStyle name="注释 7 3 3 2" xfId="20932"/>
    <cellStyle name="注释 7 3 3 3" xfId="35374"/>
    <cellStyle name="注释 7 3 3 4" xfId="46139"/>
    <cellStyle name="注释 7 3 3 5" xfId="48077"/>
    <cellStyle name="注释 7 3 4" xfId="14221"/>
    <cellStyle name="注释 7 3 4 2" xfId="27449"/>
    <cellStyle name="注释 7 3 4 3" xfId="31120"/>
    <cellStyle name="注释 7 3 4 4" xfId="17017"/>
    <cellStyle name="注释 7 3 4 5" xfId="47083"/>
    <cellStyle name="注释 7 3 5" xfId="7743"/>
    <cellStyle name="注释 7 3 5 2" xfId="20971"/>
    <cellStyle name="注释 7 3 5 3" xfId="42793"/>
    <cellStyle name="注释 7 3 5 4" xfId="49627"/>
    <cellStyle name="注释 7 3 6" xfId="22989"/>
    <cellStyle name="注释 7 3 6 2" xfId="37194"/>
    <cellStyle name="注释 7 3 6 3" xfId="43113"/>
    <cellStyle name="注释 7 3 6 4" xfId="49947"/>
    <cellStyle name="注释 7 3 7" xfId="37445"/>
    <cellStyle name="注释 7 3 7 2" xfId="43365"/>
    <cellStyle name="注释 7 3 7 3" xfId="50199"/>
    <cellStyle name="注释 7 3 8" xfId="34728"/>
    <cellStyle name="注释 7 3 8 2" xfId="40718"/>
    <cellStyle name="注释 7 3 8 3" xfId="17501"/>
    <cellStyle name="注释 7 3 9" xfId="28567"/>
    <cellStyle name="注释 7 4" xfId="8386"/>
    <cellStyle name="注释 7 4 2" xfId="21614"/>
    <cellStyle name="注释 7 5" xfId="38518"/>
    <cellStyle name="注释 8" xfId="3595"/>
    <cellStyle name="注释 8 2" xfId="6540"/>
    <cellStyle name="注释 8 2 2" xfId="11274"/>
    <cellStyle name="注释 8 2 2 2" xfId="24502"/>
    <cellStyle name="注释 8 2 2 3" xfId="33904"/>
    <cellStyle name="注释 8 2 2 4" xfId="45012"/>
    <cellStyle name="注释 8 2 2 5" xfId="39932"/>
    <cellStyle name="注释 8 2 3" xfId="8237"/>
    <cellStyle name="注释 8 2 3 2" xfId="21465"/>
    <cellStyle name="注释 8 2 3 3" xfId="36330"/>
    <cellStyle name="注释 8 2 3 4" xfId="42223"/>
    <cellStyle name="注释 8 2 3 5" xfId="49057"/>
    <cellStyle name="注释 8 2 4" xfId="19768"/>
    <cellStyle name="注释 8 2 4 2" xfId="30687"/>
    <cellStyle name="注释 8 2 4 3" xfId="17816"/>
    <cellStyle name="注释 8 2 4 4" xfId="41164"/>
    <cellStyle name="注释 8 2 5" xfId="31293"/>
    <cellStyle name="注释 8 2 5 2" xfId="17183"/>
    <cellStyle name="注释 8 2 5 3" xfId="45641"/>
    <cellStyle name="注释 8 2 6" xfId="29592"/>
    <cellStyle name="注释 8 2 7" xfId="14767"/>
    <cellStyle name="注释 8 2 8" xfId="40355"/>
    <cellStyle name="注释 8 3" xfId="9762"/>
    <cellStyle name="注释 8 3 10" xfId="38476"/>
    <cellStyle name="注释 8 3 11" xfId="45490"/>
    <cellStyle name="注释 8 3 2" xfId="13399"/>
    <cellStyle name="注释 8 3 2 2" xfId="26627"/>
    <cellStyle name="注释 8 3 2 3" xfId="32879"/>
    <cellStyle name="注释 8 3 2 4" xfId="39099"/>
    <cellStyle name="注释 8 3 2 5" xfId="46699"/>
    <cellStyle name="注释 8 3 3" xfId="7705"/>
    <cellStyle name="注释 8 3 3 2" xfId="20933"/>
    <cellStyle name="注释 8 3 3 3" xfId="35375"/>
    <cellStyle name="注释 8 3 3 4" xfId="46140"/>
    <cellStyle name="注释 8 3 3 5" xfId="48078"/>
    <cellStyle name="注释 8 3 4" xfId="13078"/>
    <cellStyle name="注释 8 3 4 2" xfId="26306"/>
    <cellStyle name="注释 8 3 4 3" xfId="31121"/>
    <cellStyle name="注释 8 3 4 4" xfId="18106"/>
    <cellStyle name="注释 8 3 4 5" xfId="45585"/>
    <cellStyle name="注释 8 3 5" xfId="7299"/>
    <cellStyle name="注释 8 3 5 2" xfId="20527"/>
    <cellStyle name="注释 8 3 5 3" xfId="41345"/>
    <cellStyle name="注释 8 3 5 4" xfId="48179"/>
    <cellStyle name="注释 8 3 6" xfId="22990"/>
    <cellStyle name="注释 8 3 6 2" xfId="30611"/>
    <cellStyle name="注释 8 3 6 3" xfId="27759"/>
    <cellStyle name="注释 8 3 6 4" xfId="34399"/>
    <cellStyle name="注释 8 3 7" xfId="30331"/>
    <cellStyle name="注释 8 3 7 2" xfId="16752"/>
    <cellStyle name="注释 8 3 7 3" xfId="34441"/>
    <cellStyle name="注释 8 3 8" xfId="37292"/>
    <cellStyle name="注释 8 3 8 2" xfId="43212"/>
    <cellStyle name="注释 8 3 8 3" xfId="50046"/>
    <cellStyle name="注释 8 3 9" xfId="28568"/>
    <cellStyle name="注释 8 4" xfId="8387"/>
    <cellStyle name="注释 8 4 2" xfId="21615"/>
    <cellStyle name="注释 8 5" xfId="45650"/>
    <cellStyle name="注释 9" xfId="3596"/>
    <cellStyle name="注释 9 2" xfId="6541"/>
    <cellStyle name="注释 9 2 2" xfId="11275"/>
    <cellStyle name="注释 9 2 2 2" xfId="24503"/>
    <cellStyle name="注释 9 2 2 3" xfId="33905"/>
    <cellStyle name="注释 9 2 2 4" xfId="45013"/>
    <cellStyle name="注释 9 2 2 5" xfId="34461"/>
    <cellStyle name="注释 9 2 3" xfId="8238"/>
    <cellStyle name="注释 9 2 3 2" xfId="21466"/>
    <cellStyle name="注释 9 2 3 3" xfId="36331"/>
    <cellStyle name="注释 9 2 3 4" xfId="42224"/>
    <cellStyle name="注释 9 2 3 5" xfId="49058"/>
    <cellStyle name="注释 9 2 4" xfId="19769"/>
    <cellStyle name="注释 9 2 4 2" xfId="30734"/>
    <cellStyle name="注释 9 2 4 3" xfId="16914"/>
    <cellStyle name="注释 9 2 4 4" xfId="39298"/>
    <cellStyle name="注释 9 2 5" xfId="34761"/>
    <cellStyle name="注释 9 2 5 2" xfId="40753"/>
    <cellStyle name="注释 9 2 5 3" xfId="28831"/>
    <cellStyle name="注释 9 2 6" xfId="29593"/>
    <cellStyle name="注释 9 2 7" xfId="16221"/>
    <cellStyle name="注释 9 2 8" xfId="44451"/>
    <cellStyle name="注释 9 3" xfId="9763"/>
    <cellStyle name="注释 9 3 10" xfId="40338"/>
    <cellStyle name="注释 9 3 11" xfId="14968"/>
    <cellStyle name="注释 9 3 2" xfId="13400"/>
    <cellStyle name="注释 9 3 2 2" xfId="26628"/>
    <cellStyle name="注释 9 3 2 3" xfId="32880"/>
    <cellStyle name="注释 9 3 2 4" xfId="39100"/>
    <cellStyle name="注释 9 3 2 5" xfId="41083"/>
    <cellStyle name="注释 9 3 3" xfId="7706"/>
    <cellStyle name="注释 9 3 3 2" xfId="20934"/>
    <cellStyle name="注释 9 3 3 3" xfId="35376"/>
    <cellStyle name="注释 9 3 3 4" xfId="46141"/>
    <cellStyle name="注释 9 3 3 5" xfId="48079"/>
    <cellStyle name="注释 9 3 4" xfId="14081"/>
    <cellStyle name="注释 9 3 4 2" xfId="27309"/>
    <cellStyle name="注释 9 3 4 3" xfId="31122"/>
    <cellStyle name="注释 9 3 4 4" xfId="18107"/>
    <cellStyle name="注释 9 3 4 5" xfId="33221"/>
    <cellStyle name="注释 9 3 5" xfId="7284"/>
    <cellStyle name="注释 9 3 5 2" xfId="20512"/>
    <cellStyle name="注释 9 3 5 3" xfId="42560"/>
    <cellStyle name="注释 9 3 5 4" xfId="49394"/>
    <cellStyle name="注释 9 3 6" xfId="22991"/>
    <cellStyle name="注释 9 3 6 2" xfId="35672"/>
    <cellStyle name="注释 9 3 6 3" xfId="41552"/>
    <cellStyle name="注释 9 3 6 4" xfId="48386"/>
    <cellStyle name="注释 9 3 7" xfId="36938"/>
    <cellStyle name="注释 9 3 7 2" xfId="42854"/>
    <cellStyle name="注释 9 3 7 3" xfId="49688"/>
    <cellStyle name="注释 9 3 8" xfId="37691"/>
    <cellStyle name="注释 9 3 8 2" xfId="43614"/>
    <cellStyle name="注释 9 3 8 3" xfId="50448"/>
    <cellStyle name="注释 9 3 9" xfId="28569"/>
    <cellStyle name="注释 9 4" xfId="8388"/>
    <cellStyle name="注释 9 4 2" xfId="21616"/>
    <cellStyle name="注释 9 5" xfId="17568"/>
    <cellStyle name="注释_2011년 고객만족센터 일보고_0701(구)" xfId="3597"/>
    <cellStyle name="중립" xfId="54513"/>
    <cellStyle name="지정되지 않음" xfId="54514"/>
    <cellStyle name="差" xfId="3598"/>
    <cellStyle name="差 2" xfId="3599"/>
    <cellStyle name="差 2 2" xfId="3600"/>
    <cellStyle name="差 2 2 2" xfId="3601"/>
    <cellStyle name="差 2 3" xfId="3602"/>
    <cellStyle name="差 3" xfId="3603"/>
    <cellStyle name="差 3 2" xfId="3604"/>
    <cellStyle name="差 3 2 2" xfId="3605"/>
    <cellStyle name="差 3 3" xfId="3606"/>
    <cellStyle name="差 4" xfId="3607"/>
    <cellStyle name="差 4 2" xfId="3608"/>
    <cellStyle name="差_2011년 고객만족센터 일보고_0701(구)" xfId="3609"/>
    <cellStyle name="差_2011년 고객만족센터 일보고_0701(구) 2" xfId="3610"/>
    <cellStyle name="差_2011년 고객만족센터 일보고_0701(구) 2 2" xfId="3611"/>
    <cellStyle name="差_2011년 고객만족센터 일보고_0701(구) 2 2 2" xfId="3612"/>
    <cellStyle name="差_2011년 고객만족센터 일보고_0701(구) 2 3" xfId="3613"/>
    <cellStyle name="差_2011년 고객만족센터 일보고_0701(구) 3" xfId="3614"/>
    <cellStyle name="差_2011년 고객만족센터 일보고_0701(구) 3 2" xfId="3615"/>
    <cellStyle name="差_2011년 고객만족센터 일보고_0701(구) 3 2 2" xfId="3616"/>
    <cellStyle name="差_2011년 고객만족센터 일보고_0701(구) 4" xfId="3617"/>
    <cellStyle name="差_2011년 고객만족센터 일보고_0701(구) 4 2" xfId="3618"/>
    <cellStyle name="差_2011년 고객만족센터 일보고_0701(구) 4 2 2" xfId="3619"/>
    <cellStyle name="差_2011년 고객만족센터 일보고_0701(구) 4 3" xfId="3620"/>
    <cellStyle name="差_2011년 고객만족센터 일보고_0701(구) 5" xfId="3621"/>
    <cellStyle name="差_2011년 고객만족센터 일보고_0701(구) 5 2" xfId="3622"/>
    <cellStyle name="千分位[0]_CFB617" xfId="54515"/>
    <cellStyle name="千分位_CFB617" xfId="54516"/>
    <cellStyle name="千位分隔[0]_2003qingdao" xfId="54517"/>
    <cellStyle name="千位分隔_费用明细表" xfId="54518"/>
    <cellStyle name="출력 10" xfId="54519"/>
    <cellStyle name="출력 10 2" xfId="54520"/>
    <cellStyle name="출력 11" xfId="54521"/>
    <cellStyle name="출력 11 2" xfId="54522"/>
    <cellStyle name="출력 12" xfId="54523"/>
    <cellStyle name="출력 13" xfId="54524"/>
    <cellStyle name="출력 14" xfId="54525"/>
    <cellStyle name="출력 15" xfId="54526"/>
    <cellStyle name="출력 16" xfId="54527"/>
    <cellStyle name="출력 17" xfId="54528"/>
    <cellStyle name="출력 18" xfId="54529"/>
    <cellStyle name="출력 19" xfId="54530"/>
    <cellStyle name="출력 2" xfId="309"/>
    <cellStyle name="출력 2 10" xfId="3625"/>
    <cellStyle name="출력 2 10 2" xfId="6544"/>
    <cellStyle name="출력 2 10 2 10" xfId="43869"/>
    <cellStyle name="출력 2 10 2 2" xfId="11278"/>
    <cellStyle name="출력 2 10 2 2 2" xfId="24506"/>
    <cellStyle name="출력 2 10 2 2 3" xfId="33908"/>
    <cellStyle name="출력 2 10 2 2 4" xfId="39965"/>
    <cellStyle name="출력 2 10 2 2 5" xfId="28644"/>
    <cellStyle name="출력 2 10 2 3" xfId="8667"/>
    <cellStyle name="출력 2 10 2 3 2" xfId="21895"/>
    <cellStyle name="출력 2 10 2 3 3" xfId="36334"/>
    <cellStyle name="출력 2 10 2 3 4" xfId="42227"/>
    <cellStyle name="출력 2 10 2 3 5" xfId="49061"/>
    <cellStyle name="출력 2 10 2 4" xfId="19772"/>
    <cellStyle name="출력 2 10 2 4 2" xfId="31561"/>
    <cellStyle name="출력 2 10 2 4 3" xfId="17306"/>
    <cellStyle name="출력 2 10 2 4 4" xfId="45676"/>
    <cellStyle name="출력 2 10 2 5" xfId="35875"/>
    <cellStyle name="출력 2 10 2 5 2" xfId="41767"/>
    <cellStyle name="출력 2 10 2 5 3" xfId="48601"/>
    <cellStyle name="출력 2 10 2 6" xfId="30382"/>
    <cellStyle name="출력 2 10 2 6 2" xfId="18658"/>
    <cellStyle name="출력 2 10 2 6 3" xfId="31576"/>
    <cellStyle name="출력 2 10 2 6 4" xfId="51363"/>
    <cellStyle name="출력 2 10 2 7" xfId="36882"/>
    <cellStyle name="출력 2 10 2 7 2" xfId="42797"/>
    <cellStyle name="출력 2 10 2 7 3" xfId="49631"/>
    <cellStyle name="출력 2 10 2 7 4" xfId="51364"/>
    <cellStyle name="출력 2 10 2 8" xfId="29596"/>
    <cellStyle name="출력 2 10 2 9" xfId="14589"/>
    <cellStyle name="출력 2 10 3" xfId="5762"/>
    <cellStyle name="출력 2 10 3 10" xfId="45568"/>
    <cellStyle name="출력 2 10 3 2" xfId="10496"/>
    <cellStyle name="출력 2 10 3 2 2" xfId="23724"/>
    <cellStyle name="출력 2 10 3 2 3" xfId="33276"/>
    <cellStyle name="출력 2 10 3 2 4" xfId="39490"/>
    <cellStyle name="출력 2 10 3 2 5" xfId="46406"/>
    <cellStyle name="출력 2 10 3 3" xfId="7955"/>
    <cellStyle name="출력 2 10 3 3 2" xfId="21183"/>
    <cellStyle name="출력 2 10 3 3 3" xfId="35757"/>
    <cellStyle name="출력 2 10 3 3 4" xfId="41641"/>
    <cellStyle name="출력 2 10 3 3 5" xfId="48475"/>
    <cellStyle name="출력 2 10 3 4" xfId="19001"/>
    <cellStyle name="출력 2 10 3 4 2" xfId="31337"/>
    <cellStyle name="출력 2 10 3 4 3" xfId="17876"/>
    <cellStyle name="출력 2 10 3 4 4" xfId="15551"/>
    <cellStyle name="출력 2 10 3 5" xfId="36701"/>
    <cellStyle name="출력 2 10 3 5 2" xfId="42605"/>
    <cellStyle name="출력 2 10 3 5 3" xfId="49439"/>
    <cellStyle name="출력 2 10 3 6" xfId="31187"/>
    <cellStyle name="출력 2 10 3 6 2" xfId="17098"/>
    <cellStyle name="출력 2 10 3 6 3" xfId="47580"/>
    <cellStyle name="출력 2 10 3 6 4" xfId="51365"/>
    <cellStyle name="출력 2 10 3 7" xfId="37779"/>
    <cellStyle name="출력 2 10 3 7 2" xfId="43703"/>
    <cellStyle name="출력 2 10 3 7 3" xfId="50537"/>
    <cellStyle name="출력 2 10 3 7 4" xfId="51366"/>
    <cellStyle name="출력 2 10 3 8" xfId="28973"/>
    <cellStyle name="출력 2 10 3 9" xfId="36766"/>
    <cellStyle name="출력 2 10 4" xfId="9766"/>
    <cellStyle name="출력 2 10 4 10" xfId="45203"/>
    <cellStyle name="출력 2 10 4 2" xfId="13403"/>
    <cellStyle name="출력 2 10 4 2 2" xfId="26631"/>
    <cellStyle name="출력 2 10 4 2 3" xfId="32883"/>
    <cellStyle name="출력 2 10 4 2 4" xfId="39103"/>
    <cellStyle name="출력 2 10 4 2 5" xfId="32525"/>
    <cellStyle name="출력 2 10 4 3" xfId="14268"/>
    <cellStyle name="출력 2 10 4 3 2" xfId="27496"/>
    <cellStyle name="출력 2 10 4 3 3" xfId="35379"/>
    <cellStyle name="출력 2 10 4 3 4" xfId="41271"/>
    <cellStyle name="출력 2 10 4 3 5" xfId="48082"/>
    <cellStyle name="출력 2 10 4 4" xfId="14279"/>
    <cellStyle name="출력 2 10 4 4 2" xfId="27507"/>
    <cellStyle name="출력 2 10 4 4 3" xfId="31125"/>
    <cellStyle name="출력 2 10 4 4 4" xfId="18111"/>
    <cellStyle name="출력 2 10 4 4 5" xfId="33442"/>
    <cellStyle name="출력 2 10 4 5" xfId="22994"/>
    <cellStyle name="출력 2 10 4 5 2" xfId="31746"/>
    <cellStyle name="출력 2 10 4 5 3" xfId="37967"/>
    <cellStyle name="출력 2 10 4 5 4" xfId="44180"/>
    <cellStyle name="출력 2 10 4 6" xfId="34674"/>
    <cellStyle name="출력 2 10 4 6 2" xfId="40663"/>
    <cellStyle name="출력 2 10 4 6 3" xfId="17477"/>
    <cellStyle name="출력 2 10 4 7" xfId="37022"/>
    <cellStyle name="출력 2 10 4 7 2" xfId="42941"/>
    <cellStyle name="출력 2 10 4 7 3" xfId="49775"/>
    <cellStyle name="출력 2 10 4 7 4" xfId="51367"/>
    <cellStyle name="출력 2 10 4 8" xfId="28572"/>
    <cellStyle name="출력 2 10 4 9" xfId="39599"/>
    <cellStyle name="출력 2 10 5" xfId="8416"/>
    <cellStyle name="출력 2 10 5 2" xfId="21644"/>
    <cellStyle name="출력 2 10 6" xfId="46661"/>
    <cellStyle name="출력 2 11" xfId="3626"/>
    <cellStyle name="출력 2 11 2" xfId="6545"/>
    <cellStyle name="출력 2 11 2 10" xfId="45340"/>
    <cellStyle name="출력 2 11 2 2" xfId="11279"/>
    <cellStyle name="출력 2 11 2 2 2" xfId="24507"/>
    <cellStyle name="출력 2 11 2 2 3" xfId="33909"/>
    <cellStyle name="출력 2 11 2 2 4" xfId="39966"/>
    <cellStyle name="출력 2 11 2 2 5" xfId="33187"/>
    <cellStyle name="출력 2 11 2 3" xfId="8682"/>
    <cellStyle name="출력 2 11 2 3 2" xfId="21910"/>
    <cellStyle name="출력 2 11 2 3 3" xfId="36335"/>
    <cellStyle name="출력 2 11 2 3 4" xfId="42228"/>
    <cellStyle name="출력 2 11 2 3 5" xfId="49062"/>
    <cellStyle name="출력 2 11 2 4" xfId="19773"/>
    <cellStyle name="출력 2 11 2 4 2" xfId="31560"/>
    <cellStyle name="출력 2 11 2 4 3" xfId="17305"/>
    <cellStyle name="출력 2 11 2 4 4" xfId="18490"/>
    <cellStyle name="출력 2 11 2 5" xfId="29751"/>
    <cellStyle name="출력 2 11 2 5 2" xfId="16321"/>
    <cellStyle name="출력 2 11 2 5 3" xfId="28162"/>
    <cellStyle name="출력 2 11 2 6" xfId="30706"/>
    <cellStyle name="출력 2 11 2 6 2" xfId="15212"/>
    <cellStyle name="출력 2 11 2 6 3" xfId="46638"/>
    <cellStyle name="출력 2 11 2 6 4" xfId="51368"/>
    <cellStyle name="출력 2 11 2 7" xfId="37534"/>
    <cellStyle name="출력 2 11 2 7 2" xfId="43455"/>
    <cellStyle name="출력 2 11 2 7 3" xfId="50289"/>
    <cellStyle name="출력 2 11 2 7 4" xfId="51369"/>
    <cellStyle name="출력 2 11 2 8" xfId="29597"/>
    <cellStyle name="출력 2 11 2 9" xfId="16220"/>
    <cellStyle name="출력 2 11 3" xfId="5763"/>
    <cellStyle name="출력 2 11 3 10" xfId="34320"/>
    <cellStyle name="출력 2 11 3 2" xfId="10497"/>
    <cellStyle name="출력 2 11 3 2 2" xfId="23725"/>
    <cellStyle name="출력 2 11 3 2 3" xfId="33277"/>
    <cellStyle name="출력 2 11 3 2 4" xfId="39491"/>
    <cellStyle name="출력 2 11 3 2 5" xfId="34121"/>
    <cellStyle name="출력 2 11 3 3" xfId="7956"/>
    <cellStyle name="출력 2 11 3 3 2" xfId="21184"/>
    <cellStyle name="출력 2 11 3 3 3" xfId="35758"/>
    <cellStyle name="출력 2 11 3 3 4" xfId="41642"/>
    <cellStyle name="출력 2 11 3 3 5" xfId="48476"/>
    <cellStyle name="출력 2 11 3 4" xfId="19002"/>
    <cellStyle name="출력 2 11 3 4 2" xfId="30063"/>
    <cellStyle name="출력 2 11 3 4 3" xfId="16547"/>
    <cellStyle name="출력 2 11 3 4 4" xfId="39563"/>
    <cellStyle name="출력 2 11 3 5" xfId="30123"/>
    <cellStyle name="출력 2 11 3 5 2" xfId="14772"/>
    <cellStyle name="출력 2 11 3 5 3" xfId="44503"/>
    <cellStyle name="출력 2 11 3 6" xfId="37203"/>
    <cellStyle name="출력 2 11 3 6 2" xfId="43122"/>
    <cellStyle name="출력 2 11 3 6 3" xfId="49956"/>
    <cellStyle name="출력 2 11 3 6 4" xfId="51370"/>
    <cellStyle name="출력 2 11 3 7" xfId="30627"/>
    <cellStyle name="출력 2 11 3 7 2" xfId="16867"/>
    <cellStyle name="출력 2 11 3 7 3" xfId="44206"/>
    <cellStyle name="출력 2 11 3 7 4" xfId="51371"/>
    <cellStyle name="출력 2 11 3 8" xfId="28974"/>
    <cellStyle name="출력 2 11 3 9" xfId="34697"/>
    <cellStyle name="출력 2 11 4" xfId="9767"/>
    <cellStyle name="출력 2 11 4 10" xfId="44070"/>
    <cellStyle name="출력 2 11 4 2" xfId="13404"/>
    <cellStyle name="출력 2 11 4 2 2" xfId="26632"/>
    <cellStyle name="출력 2 11 4 2 3" xfId="32884"/>
    <cellStyle name="출력 2 11 4 2 4" xfId="39104"/>
    <cellStyle name="출력 2 11 4 2 5" xfId="45640"/>
    <cellStyle name="출력 2 11 4 3" xfId="13517"/>
    <cellStyle name="출력 2 11 4 3 2" xfId="26745"/>
    <cellStyle name="출력 2 11 4 3 3" xfId="35380"/>
    <cellStyle name="출력 2 11 4 3 4" xfId="41272"/>
    <cellStyle name="출력 2 11 4 3 5" xfId="48083"/>
    <cellStyle name="출력 2 11 4 4" xfId="13509"/>
    <cellStyle name="출력 2 11 4 4 2" xfId="26737"/>
    <cellStyle name="출력 2 11 4 4 3" xfId="31126"/>
    <cellStyle name="출력 2 11 4 4 4" xfId="16935"/>
    <cellStyle name="출력 2 11 4 4 5" xfId="17573"/>
    <cellStyle name="출력 2 11 4 5" xfId="22995"/>
    <cellStyle name="출력 2 11 4 5 2" xfId="30185"/>
    <cellStyle name="출력 2 11 4 5 3" xfId="16646"/>
    <cellStyle name="출력 2 11 4 5 4" xfId="45351"/>
    <cellStyle name="출력 2 11 4 6" xfId="37290"/>
    <cellStyle name="출력 2 11 4 6 2" xfId="43210"/>
    <cellStyle name="출력 2 11 4 6 3" xfId="50044"/>
    <cellStyle name="출력 2 11 4 7" xfId="30357"/>
    <cellStyle name="출력 2 11 4 7 2" xfId="14655"/>
    <cellStyle name="출력 2 11 4 7 3" xfId="44309"/>
    <cellStyle name="출력 2 11 4 7 4" xfId="51372"/>
    <cellStyle name="출력 2 11 4 8" xfId="28573"/>
    <cellStyle name="출력 2 11 4 9" xfId="40582"/>
    <cellStyle name="출력 2 11 5" xfId="8417"/>
    <cellStyle name="출력 2 11 5 2" xfId="21645"/>
    <cellStyle name="출력 2 11 6" xfId="44913"/>
    <cellStyle name="출력 2 12" xfId="3627"/>
    <cellStyle name="출력 2 12 2" xfId="6546"/>
    <cellStyle name="출력 2 12 2 10" xfId="44334"/>
    <cellStyle name="출력 2 12 2 2" xfId="11280"/>
    <cellStyle name="출력 2 12 2 2 2" xfId="24508"/>
    <cellStyle name="출력 2 12 2 2 3" xfId="33910"/>
    <cellStyle name="출력 2 12 2 2 4" xfId="39967"/>
    <cellStyle name="출력 2 12 2 2 5" xfId="39933"/>
    <cellStyle name="출력 2 12 2 3" xfId="8695"/>
    <cellStyle name="출력 2 12 2 3 2" xfId="21923"/>
    <cellStyle name="출력 2 12 2 3 3" xfId="36336"/>
    <cellStyle name="출력 2 12 2 3 4" xfId="42229"/>
    <cellStyle name="출력 2 12 2 3 5" xfId="49063"/>
    <cellStyle name="출력 2 12 2 4" xfId="19774"/>
    <cellStyle name="출력 2 12 2 4 2" xfId="29890"/>
    <cellStyle name="출력 2 12 2 4 3" xfId="18127"/>
    <cellStyle name="출력 2 12 2 4 4" xfId="44505"/>
    <cellStyle name="출력 2 12 2 5" xfId="35008"/>
    <cellStyle name="출력 2 12 2 5 2" xfId="41012"/>
    <cellStyle name="출력 2 12 2 5 3" xfId="47708"/>
    <cellStyle name="출력 2 12 2 6" xfId="31782"/>
    <cellStyle name="출력 2 12 2 6 2" xfId="38003"/>
    <cellStyle name="출력 2 12 2 6 3" xfId="41171"/>
    <cellStyle name="출력 2 12 2 6 4" xfId="51373"/>
    <cellStyle name="출력 2 12 2 7" xfId="37724"/>
    <cellStyle name="출력 2 12 2 7 2" xfId="43647"/>
    <cellStyle name="출력 2 12 2 7 3" xfId="50481"/>
    <cellStyle name="출력 2 12 2 7 4" xfId="51374"/>
    <cellStyle name="출력 2 12 2 8" xfId="29598"/>
    <cellStyle name="출력 2 12 2 9" xfId="17670"/>
    <cellStyle name="출력 2 12 3" xfId="5764"/>
    <cellStyle name="출력 2 12 3 10" xfId="18460"/>
    <cellStyle name="출력 2 12 3 2" xfId="10498"/>
    <cellStyle name="출력 2 12 3 2 2" xfId="23726"/>
    <cellStyle name="출력 2 12 3 2 3" xfId="33278"/>
    <cellStyle name="출력 2 12 3 2 4" xfId="39492"/>
    <cellStyle name="출력 2 12 3 2 5" xfId="47583"/>
    <cellStyle name="출력 2 12 3 3" xfId="7957"/>
    <cellStyle name="출력 2 12 3 3 2" xfId="21185"/>
    <cellStyle name="출력 2 12 3 3 3" xfId="35759"/>
    <cellStyle name="출력 2 12 3 3 4" xfId="41643"/>
    <cellStyle name="출력 2 12 3 3 5" xfId="48477"/>
    <cellStyle name="출력 2 12 3 4" xfId="19003"/>
    <cellStyle name="출력 2 12 3 4 2" xfId="30146"/>
    <cellStyle name="출력 2 12 3 4 3" xfId="16610"/>
    <cellStyle name="출력 2 12 3 4 4" xfId="40203"/>
    <cellStyle name="출력 2 12 3 5" xfId="30145"/>
    <cellStyle name="출력 2 12 3 5 2" xfId="16609"/>
    <cellStyle name="출력 2 12 3 5 3" xfId="38782"/>
    <cellStyle name="출력 2 12 3 6" xfId="31616"/>
    <cellStyle name="출력 2 12 3 6 2" xfId="15141"/>
    <cellStyle name="출력 2 12 3 6 3" xfId="46236"/>
    <cellStyle name="출력 2 12 3 6 4" xfId="51375"/>
    <cellStyle name="출력 2 12 3 7" xfId="31700"/>
    <cellStyle name="출력 2 12 3 7 2" xfId="27989"/>
    <cellStyle name="출력 2 12 3 7 3" xfId="46332"/>
    <cellStyle name="출력 2 12 3 7 4" xfId="51376"/>
    <cellStyle name="출력 2 12 3 8" xfId="28975"/>
    <cellStyle name="출력 2 12 3 9" xfId="15894"/>
    <cellStyle name="출력 2 12 4" xfId="9768"/>
    <cellStyle name="출력 2 12 4 10" xfId="15782"/>
    <cellStyle name="출력 2 12 4 2" xfId="13405"/>
    <cellStyle name="출력 2 12 4 2 2" xfId="26633"/>
    <cellStyle name="출력 2 12 4 2 3" xfId="32885"/>
    <cellStyle name="출력 2 12 4 2 4" xfId="39105"/>
    <cellStyle name="출력 2 12 4 2 5" xfId="15627"/>
    <cellStyle name="출력 2 12 4 3" xfId="14131"/>
    <cellStyle name="출력 2 12 4 3 2" xfId="27359"/>
    <cellStyle name="출력 2 12 4 3 3" xfId="35381"/>
    <cellStyle name="출력 2 12 4 3 4" xfId="41273"/>
    <cellStyle name="출력 2 12 4 3 5" xfId="48084"/>
    <cellStyle name="출력 2 12 4 4" xfId="7221"/>
    <cellStyle name="출력 2 12 4 4 2" xfId="20449"/>
    <cellStyle name="출력 2 12 4 4 3" xfId="31127"/>
    <cellStyle name="출력 2 12 4 4 4" xfId="18310"/>
    <cellStyle name="출력 2 12 4 4 5" xfId="28912"/>
    <cellStyle name="출력 2 12 4 5" xfId="22996"/>
    <cellStyle name="출력 2 12 4 5 2" xfId="29744"/>
    <cellStyle name="출력 2 12 4 5 3" xfId="36689"/>
    <cellStyle name="출력 2 12 4 5 4" xfId="44354"/>
    <cellStyle name="출력 2 12 4 6" xfId="31910"/>
    <cellStyle name="출력 2 12 4 6 2" xfId="38132"/>
    <cellStyle name="출력 2 12 4 6 3" xfId="46792"/>
    <cellStyle name="출력 2 12 4 7" xfId="36501"/>
    <cellStyle name="출력 2 12 4 7 2" xfId="42394"/>
    <cellStyle name="출력 2 12 4 7 3" xfId="49228"/>
    <cellStyle name="출력 2 12 4 7 4" xfId="51377"/>
    <cellStyle name="출력 2 12 4 8" xfId="28574"/>
    <cellStyle name="출력 2 12 4 9" xfId="35858"/>
    <cellStyle name="출력 2 12 5" xfId="8418"/>
    <cellStyle name="출력 2 12 5 2" xfId="21646"/>
    <cellStyle name="출력 2 12 6" xfId="41158"/>
    <cellStyle name="출력 2 13" xfId="3628"/>
    <cellStyle name="출력 2 13 2" xfId="6547"/>
    <cellStyle name="출력 2 13 2 10" xfId="27831"/>
    <cellStyle name="출력 2 13 2 2" xfId="11281"/>
    <cellStyle name="출력 2 13 2 2 2" xfId="24509"/>
    <cellStyle name="출력 2 13 2 2 3" xfId="33911"/>
    <cellStyle name="출력 2 13 2 2 4" xfId="39968"/>
    <cellStyle name="출력 2 13 2 2 5" xfId="28899"/>
    <cellStyle name="출력 2 13 2 3" xfId="8685"/>
    <cellStyle name="출력 2 13 2 3 2" xfId="21913"/>
    <cellStyle name="출력 2 13 2 3 3" xfId="36337"/>
    <cellStyle name="출력 2 13 2 3 4" xfId="42230"/>
    <cellStyle name="출력 2 13 2 3 5" xfId="49064"/>
    <cellStyle name="출력 2 13 2 4" xfId="19775"/>
    <cellStyle name="출력 2 13 2 4 2" xfId="32422"/>
    <cellStyle name="출력 2 13 2 4 3" xfId="38640"/>
    <cellStyle name="출력 2 13 2 4 4" xfId="17557"/>
    <cellStyle name="출력 2 13 2 5" xfId="36544"/>
    <cellStyle name="출력 2 13 2 5 2" xfId="42442"/>
    <cellStyle name="출력 2 13 2 5 3" xfId="49276"/>
    <cellStyle name="출력 2 13 2 6" xfId="37031"/>
    <cellStyle name="출력 2 13 2 6 2" xfId="42950"/>
    <cellStyle name="출력 2 13 2 6 3" xfId="49784"/>
    <cellStyle name="출력 2 13 2 6 4" xfId="51378"/>
    <cellStyle name="출력 2 13 2 7" xfId="37660"/>
    <cellStyle name="출력 2 13 2 7 2" xfId="43583"/>
    <cellStyle name="출력 2 13 2 7 3" xfId="50417"/>
    <cellStyle name="출력 2 13 2 7 4" xfId="51379"/>
    <cellStyle name="출력 2 13 2 8" xfId="29599"/>
    <cellStyle name="출력 2 13 2 9" xfId="16222"/>
    <cellStyle name="출력 2 13 3" xfId="5765"/>
    <cellStyle name="출력 2 13 3 10" xfId="32472"/>
    <cellStyle name="출력 2 13 3 2" xfId="10499"/>
    <cellStyle name="출력 2 13 3 2 2" xfId="23727"/>
    <cellStyle name="출력 2 13 3 2 3" xfId="33279"/>
    <cellStyle name="출력 2 13 3 2 4" xfId="39493"/>
    <cellStyle name="출력 2 13 3 2 5" xfId="47263"/>
    <cellStyle name="출력 2 13 3 3" xfId="7958"/>
    <cellStyle name="출력 2 13 3 3 2" xfId="21186"/>
    <cellStyle name="출력 2 13 3 3 3" xfId="35760"/>
    <cellStyle name="출력 2 13 3 3 4" xfId="41644"/>
    <cellStyle name="출력 2 13 3 3 5" xfId="48478"/>
    <cellStyle name="출력 2 13 3 4" xfId="19004"/>
    <cellStyle name="출력 2 13 3 4 2" xfId="31338"/>
    <cellStyle name="출력 2 13 3 4 3" xfId="17204"/>
    <cellStyle name="출력 2 13 3 4 4" xfId="46252"/>
    <cellStyle name="출력 2 13 3 5" xfId="35517"/>
    <cellStyle name="출력 2 13 3 5 2" xfId="41389"/>
    <cellStyle name="출력 2 13 3 5 3" xfId="48223"/>
    <cellStyle name="출력 2 13 3 6" xfId="31994"/>
    <cellStyle name="출력 2 13 3 6 2" xfId="38217"/>
    <cellStyle name="출력 2 13 3 6 3" xfId="45677"/>
    <cellStyle name="출력 2 13 3 6 4" xfId="51380"/>
    <cellStyle name="출력 2 13 3 7" xfId="31673"/>
    <cellStyle name="출력 2 13 3 7 2" xfId="17357"/>
    <cellStyle name="출력 2 13 3 7 3" xfId="34567"/>
    <cellStyle name="출력 2 13 3 7 4" xfId="51381"/>
    <cellStyle name="출력 2 13 3 8" xfId="28976"/>
    <cellStyle name="출력 2 13 3 9" xfId="15896"/>
    <cellStyle name="출력 2 13 4" xfId="9769"/>
    <cellStyle name="출력 2 13 4 10" xfId="44471"/>
    <cellStyle name="출력 2 13 4 2" xfId="13406"/>
    <cellStyle name="출력 2 13 4 2 2" xfId="26634"/>
    <cellStyle name="출력 2 13 4 2 3" xfId="32886"/>
    <cellStyle name="출력 2 13 4 2 4" xfId="39106"/>
    <cellStyle name="출력 2 13 4 2 5" xfId="44252"/>
    <cellStyle name="출력 2 13 4 3" xfId="13582"/>
    <cellStyle name="출력 2 13 4 3 2" xfId="26810"/>
    <cellStyle name="출력 2 13 4 3 3" xfId="35382"/>
    <cellStyle name="출력 2 13 4 3 4" xfId="41274"/>
    <cellStyle name="출력 2 13 4 3 5" xfId="48085"/>
    <cellStyle name="출력 2 13 4 4" xfId="13030"/>
    <cellStyle name="출력 2 13 4 4 2" xfId="26258"/>
    <cellStyle name="출력 2 13 4 4 3" xfId="31128"/>
    <cellStyle name="출력 2 13 4 4 4" xfId="18307"/>
    <cellStyle name="출력 2 13 4 4 5" xfId="46752"/>
    <cellStyle name="출력 2 13 4 5" xfId="22997"/>
    <cellStyle name="출력 2 13 4 5 2" xfId="30186"/>
    <cellStyle name="출력 2 13 4 5 3" xfId="28026"/>
    <cellStyle name="출력 2 13 4 5 4" xfId="44345"/>
    <cellStyle name="출력 2 13 4 6" xfId="30541"/>
    <cellStyle name="출력 2 13 4 6 2" xfId="16833"/>
    <cellStyle name="출력 2 13 4 6 3" xfId="46221"/>
    <cellStyle name="출력 2 13 4 7" xfId="37307"/>
    <cellStyle name="출력 2 13 4 7 2" xfId="43227"/>
    <cellStyle name="출력 2 13 4 7 3" xfId="50061"/>
    <cellStyle name="출력 2 13 4 7 4" xfId="51382"/>
    <cellStyle name="출력 2 13 4 8" xfId="28575"/>
    <cellStyle name="출력 2 13 4 9" xfId="29940"/>
    <cellStyle name="출력 2 13 5" xfId="8419"/>
    <cellStyle name="출력 2 13 5 2" xfId="21647"/>
    <cellStyle name="출력 2 13 6" xfId="40478"/>
    <cellStyle name="출력 2 14" xfId="3629"/>
    <cellStyle name="출력 2 14 2" xfId="6548"/>
    <cellStyle name="출력 2 14 2 10" xfId="44572"/>
    <cellStyle name="출력 2 14 2 2" xfId="11282"/>
    <cellStyle name="출력 2 14 2 2 2" xfId="24510"/>
    <cellStyle name="출력 2 14 2 2 3" xfId="33912"/>
    <cellStyle name="출력 2 14 2 2 4" xfId="39969"/>
    <cellStyle name="출력 2 14 2 2 5" xfId="34451"/>
    <cellStyle name="출력 2 14 2 3" xfId="8693"/>
    <cellStyle name="출력 2 14 2 3 2" xfId="21921"/>
    <cellStyle name="출력 2 14 2 3 3" xfId="36338"/>
    <cellStyle name="출력 2 14 2 3 4" xfId="42231"/>
    <cellStyle name="출력 2 14 2 3 5" xfId="49065"/>
    <cellStyle name="출력 2 14 2 4" xfId="19776"/>
    <cellStyle name="출력 2 14 2 4 2" xfId="31937"/>
    <cellStyle name="출력 2 14 2 4 3" xfId="38159"/>
    <cellStyle name="출력 2 14 2 4 4" xfId="38446"/>
    <cellStyle name="출력 2 14 2 5" xfId="31752"/>
    <cellStyle name="출력 2 14 2 5 2" xfId="37973"/>
    <cellStyle name="출력 2 14 2 5 3" xfId="34411"/>
    <cellStyle name="출력 2 14 2 6" xfId="30171"/>
    <cellStyle name="출력 2 14 2 6 2" xfId="16632"/>
    <cellStyle name="출력 2 14 2 6 3" xfId="44329"/>
    <cellStyle name="출력 2 14 2 6 4" xfId="51383"/>
    <cellStyle name="출력 2 14 2 7" xfId="32093"/>
    <cellStyle name="출력 2 14 2 7 2" xfId="38316"/>
    <cellStyle name="출력 2 14 2 7 3" xfId="38710"/>
    <cellStyle name="출력 2 14 2 7 4" xfId="51384"/>
    <cellStyle name="출력 2 14 2 8" xfId="29600"/>
    <cellStyle name="출력 2 14 2 9" xfId="16223"/>
    <cellStyle name="출력 2 14 3" xfId="5766"/>
    <cellStyle name="출력 2 14 3 10" xfId="33337"/>
    <cellStyle name="출력 2 14 3 2" xfId="10500"/>
    <cellStyle name="출력 2 14 3 2 2" xfId="23728"/>
    <cellStyle name="출력 2 14 3 2 3" xfId="33280"/>
    <cellStyle name="출력 2 14 3 2 4" xfId="39494"/>
    <cellStyle name="출력 2 14 3 2 5" xfId="46816"/>
    <cellStyle name="출력 2 14 3 3" xfId="7959"/>
    <cellStyle name="출력 2 14 3 3 2" xfId="21187"/>
    <cellStyle name="출력 2 14 3 3 3" xfId="35761"/>
    <cellStyle name="출력 2 14 3 3 4" xfId="41645"/>
    <cellStyle name="출력 2 14 3 3 5" xfId="48479"/>
    <cellStyle name="출력 2 14 3 4" xfId="19005"/>
    <cellStyle name="출력 2 14 3 4 2" xfId="31339"/>
    <cellStyle name="출력 2 14 3 4 3" xfId="17205"/>
    <cellStyle name="출력 2 14 3 4 4" xfId="14615"/>
    <cellStyle name="출력 2 14 3 5" xfId="35904"/>
    <cellStyle name="출력 2 14 3 5 2" xfId="41797"/>
    <cellStyle name="출력 2 14 3 5 3" xfId="48631"/>
    <cellStyle name="출력 2 14 3 6" xfId="37355"/>
    <cellStyle name="출력 2 14 3 6 2" xfId="43275"/>
    <cellStyle name="출력 2 14 3 6 3" xfId="50109"/>
    <cellStyle name="출력 2 14 3 6 4" xfId="51385"/>
    <cellStyle name="출력 2 14 3 7" xfId="31978"/>
    <cellStyle name="출력 2 14 3 7 2" xfId="38201"/>
    <cellStyle name="출력 2 14 3 7 3" xfId="34406"/>
    <cellStyle name="출력 2 14 3 7 4" xfId="51386"/>
    <cellStyle name="출력 2 14 3 8" xfId="28977"/>
    <cellStyle name="출력 2 14 3 9" xfId="27825"/>
    <cellStyle name="출력 2 14 4" xfId="9770"/>
    <cellStyle name="출력 2 14 4 10" xfId="45457"/>
    <cellStyle name="출력 2 14 4 2" xfId="13407"/>
    <cellStyle name="출력 2 14 4 2 2" xfId="26635"/>
    <cellStyle name="출력 2 14 4 2 3" xfId="32887"/>
    <cellStyle name="출력 2 14 4 2 4" xfId="39107"/>
    <cellStyle name="출력 2 14 4 2 5" xfId="45819"/>
    <cellStyle name="출력 2 14 4 3" xfId="14189"/>
    <cellStyle name="출력 2 14 4 3 2" xfId="27417"/>
    <cellStyle name="출력 2 14 4 3 3" xfId="35383"/>
    <cellStyle name="출력 2 14 4 3 4" xfId="41275"/>
    <cellStyle name="출력 2 14 4 3 5" xfId="48086"/>
    <cellStyle name="출력 2 14 4 4" xfId="14145"/>
    <cellStyle name="출력 2 14 4 4 2" xfId="27373"/>
    <cellStyle name="출력 2 14 4 4 3" xfId="31129"/>
    <cellStyle name="출력 2 14 4 4 4" xfId="14718"/>
    <cellStyle name="출력 2 14 4 4 5" xfId="17538"/>
    <cellStyle name="출력 2 14 4 5" xfId="22998"/>
    <cellStyle name="출력 2 14 4 5 2" xfId="30519"/>
    <cellStyle name="출력 2 14 4 5 3" xfId="14677"/>
    <cellStyle name="출력 2 14 4 5 4" xfId="15647"/>
    <cellStyle name="출력 2 14 4 6" xfId="34670"/>
    <cellStyle name="출력 2 14 4 6 2" xfId="40659"/>
    <cellStyle name="출력 2 14 4 6 3" xfId="17474"/>
    <cellStyle name="출력 2 14 4 7" xfId="31828"/>
    <cellStyle name="출력 2 14 4 7 2" xfId="38049"/>
    <cellStyle name="출력 2 14 4 7 3" xfId="17708"/>
    <cellStyle name="출력 2 14 4 7 4" xfId="51387"/>
    <cellStyle name="출력 2 14 4 8" xfId="28576"/>
    <cellStyle name="출력 2 14 4 9" xfId="28725"/>
    <cellStyle name="출력 2 14 5" xfId="8420"/>
    <cellStyle name="출력 2 14 5 2" xfId="21648"/>
    <cellStyle name="출력 2 14 6" xfId="39417"/>
    <cellStyle name="출력 2 15" xfId="3630"/>
    <cellStyle name="출력 2 15 2" xfId="6549"/>
    <cellStyle name="출력 2 15 2 10" xfId="45542"/>
    <cellStyle name="출력 2 15 2 2" xfId="11283"/>
    <cellStyle name="출력 2 15 2 2 2" xfId="24511"/>
    <cellStyle name="출력 2 15 2 2 3" xfId="33913"/>
    <cellStyle name="출력 2 15 2 2 4" xfId="39970"/>
    <cellStyle name="출력 2 15 2 2 5" xfId="33320"/>
    <cellStyle name="출력 2 15 2 3" xfId="6823"/>
    <cellStyle name="출력 2 15 2 3 2" xfId="20051"/>
    <cellStyle name="출력 2 15 2 3 3" xfId="36339"/>
    <cellStyle name="출력 2 15 2 3 4" xfId="42232"/>
    <cellStyle name="출력 2 15 2 3 5" xfId="49066"/>
    <cellStyle name="출력 2 15 2 4" xfId="19777"/>
    <cellStyle name="출력 2 15 2 4 2" xfId="31562"/>
    <cellStyle name="출력 2 15 2 4 3" xfId="17822"/>
    <cellStyle name="출력 2 15 2 4 4" xfId="17385"/>
    <cellStyle name="출력 2 15 2 5" xfId="35663"/>
    <cellStyle name="출력 2 15 2 5 2" xfId="41543"/>
    <cellStyle name="출력 2 15 2 5 3" xfId="48377"/>
    <cellStyle name="출력 2 15 2 6" xfId="30365"/>
    <cellStyle name="출력 2 15 2 6 2" xfId="14656"/>
    <cellStyle name="출력 2 15 2 6 3" xfId="44030"/>
    <cellStyle name="출력 2 15 2 6 4" xfId="51388"/>
    <cellStyle name="출력 2 15 2 7" xfId="35506"/>
    <cellStyle name="출력 2 15 2 7 2" xfId="41377"/>
    <cellStyle name="출력 2 15 2 7 3" xfId="48211"/>
    <cellStyle name="출력 2 15 2 7 4" xfId="51389"/>
    <cellStyle name="출력 2 15 2 8" xfId="29601"/>
    <cellStyle name="출력 2 15 2 9" xfId="18649"/>
    <cellStyle name="출력 2 15 3" xfId="5767"/>
    <cellStyle name="출력 2 15 3 10" xfId="32491"/>
    <cellStyle name="출력 2 15 3 2" xfId="10501"/>
    <cellStyle name="출력 2 15 3 2 2" xfId="23729"/>
    <cellStyle name="출력 2 15 3 2 3" xfId="33281"/>
    <cellStyle name="출력 2 15 3 2 4" xfId="39495"/>
    <cellStyle name="출력 2 15 3 2 5" xfId="45213"/>
    <cellStyle name="출력 2 15 3 3" xfId="7960"/>
    <cellStyle name="출력 2 15 3 3 2" xfId="21188"/>
    <cellStyle name="출력 2 15 3 3 3" xfId="35762"/>
    <cellStyle name="출력 2 15 3 3 4" xfId="41646"/>
    <cellStyle name="출력 2 15 3 3 5" xfId="48480"/>
    <cellStyle name="출력 2 15 3 4" xfId="19006"/>
    <cellStyle name="출력 2 15 3 4 2" xfId="31340"/>
    <cellStyle name="출력 2 15 3 4 3" xfId="15168"/>
    <cellStyle name="출력 2 15 3 4 4" xfId="46786"/>
    <cellStyle name="출력 2 15 3 5" xfId="35463"/>
    <cellStyle name="출력 2 15 3 5 2" xfId="41332"/>
    <cellStyle name="출력 2 15 3 5 3" xfId="48166"/>
    <cellStyle name="출력 2 15 3 6" xfId="35898"/>
    <cellStyle name="출력 2 15 3 6 2" xfId="41791"/>
    <cellStyle name="출력 2 15 3 6 3" xfId="48625"/>
    <cellStyle name="출력 2 15 3 6 4" xfId="51390"/>
    <cellStyle name="출력 2 15 3 7" xfId="36902"/>
    <cellStyle name="출력 2 15 3 7 2" xfId="42817"/>
    <cellStyle name="출력 2 15 3 7 3" xfId="49651"/>
    <cellStyle name="출력 2 15 3 7 4" xfId="51391"/>
    <cellStyle name="출력 2 15 3 8" xfId="28978"/>
    <cellStyle name="출력 2 15 3 9" xfId="15895"/>
    <cellStyle name="출력 2 15 4" xfId="9771"/>
    <cellStyle name="출력 2 15 4 10" xfId="15408"/>
    <cellStyle name="출력 2 15 4 2" xfId="13408"/>
    <cellStyle name="출력 2 15 4 2 2" xfId="26636"/>
    <cellStyle name="출력 2 15 4 2 3" xfId="32888"/>
    <cellStyle name="출력 2 15 4 2 4" xfId="39108"/>
    <cellStyle name="출력 2 15 4 2 5" xfId="29029"/>
    <cellStyle name="출력 2 15 4 3" xfId="13050"/>
    <cellStyle name="출력 2 15 4 3 2" xfId="26278"/>
    <cellStyle name="출력 2 15 4 3 3" xfId="35384"/>
    <cellStyle name="출력 2 15 4 3 4" xfId="41276"/>
    <cellStyle name="출력 2 15 4 3 5" xfId="48087"/>
    <cellStyle name="출력 2 15 4 4" xfId="14260"/>
    <cellStyle name="출력 2 15 4 4 2" xfId="27488"/>
    <cellStyle name="출력 2 15 4 4 3" xfId="31130"/>
    <cellStyle name="출력 2 15 4 4 4" xfId="17058"/>
    <cellStyle name="출력 2 15 4 4 5" xfId="46307"/>
    <cellStyle name="출력 2 15 4 5" xfId="22999"/>
    <cellStyle name="출력 2 15 4 5 2" xfId="35631"/>
    <cellStyle name="출력 2 15 4 5 3" xfId="41509"/>
    <cellStyle name="출력 2 15 4 5 4" xfId="48343"/>
    <cellStyle name="출력 2 15 4 6" xfId="30840"/>
    <cellStyle name="출력 2 15 4 6 2" xfId="16958"/>
    <cellStyle name="출력 2 15 4 6 3" xfId="15786"/>
    <cellStyle name="출력 2 15 4 7" xfId="34716"/>
    <cellStyle name="출력 2 15 4 7 2" xfId="40706"/>
    <cellStyle name="출력 2 15 4 7 3" xfId="27840"/>
    <cellStyle name="출력 2 15 4 7 4" xfId="51392"/>
    <cellStyle name="출력 2 15 4 8" xfId="28577"/>
    <cellStyle name="출력 2 15 4 9" xfId="14616"/>
    <cellStyle name="출력 2 15 5" xfId="8421"/>
    <cellStyle name="출력 2 15 5 2" xfId="21649"/>
    <cellStyle name="출력 2 15 6" xfId="45592"/>
    <cellStyle name="출력 2 16" xfId="3631"/>
    <cellStyle name="출력 2 16 2" xfId="6550"/>
    <cellStyle name="출력 2 16 2 10" xfId="17395"/>
    <cellStyle name="출력 2 16 2 2" xfId="11284"/>
    <cellStyle name="출력 2 16 2 2 2" xfId="24512"/>
    <cellStyle name="출력 2 16 2 2 3" xfId="33914"/>
    <cellStyle name="출력 2 16 2 2 4" xfId="39971"/>
    <cellStyle name="출력 2 16 2 2 5" xfId="41243"/>
    <cellStyle name="출력 2 16 2 3" xfId="8242"/>
    <cellStyle name="출력 2 16 2 3 2" xfId="21470"/>
    <cellStyle name="출력 2 16 2 3 3" xfId="36340"/>
    <cellStyle name="출력 2 16 2 3 4" xfId="42233"/>
    <cellStyle name="출력 2 16 2 3 5" xfId="49067"/>
    <cellStyle name="출력 2 16 2 4" xfId="19778"/>
    <cellStyle name="출력 2 16 2 4 2" xfId="31546"/>
    <cellStyle name="출력 2 16 2 4 3" xfId="15135"/>
    <cellStyle name="출력 2 16 2 4 4" xfId="46627"/>
    <cellStyle name="출력 2 16 2 5" xfId="36819"/>
    <cellStyle name="출력 2 16 2 5 2" xfId="42730"/>
    <cellStyle name="출력 2 16 2 5 3" xfId="49564"/>
    <cellStyle name="출력 2 16 2 6" xfId="30512"/>
    <cellStyle name="출력 2 16 2 6 2" xfId="27775"/>
    <cellStyle name="출력 2 16 2 6 3" xfId="28855"/>
    <cellStyle name="출력 2 16 2 6 4" xfId="51393"/>
    <cellStyle name="출력 2 16 2 7" xfId="37704"/>
    <cellStyle name="출력 2 16 2 7 2" xfId="43627"/>
    <cellStyle name="출력 2 16 2 7 3" xfId="50461"/>
    <cellStyle name="출력 2 16 2 7 4" xfId="51394"/>
    <cellStyle name="출력 2 16 2 8" xfId="29602"/>
    <cellStyle name="출력 2 16 2 9" xfId="14590"/>
    <cellStyle name="출력 2 16 3" xfId="5768"/>
    <cellStyle name="출력 2 16 3 10" xfId="45148"/>
    <cellStyle name="출력 2 16 3 2" xfId="10502"/>
    <cellStyle name="출력 2 16 3 2 2" xfId="23730"/>
    <cellStyle name="출력 2 16 3 2 3" xfId="33282"/>
    <cellStyle name="출력 2 16 3 2 4" xfId="39496"/>
    <cellStyle name="출력 2 16 3 2 5" xfId="45734"/>
    <cellStyle name="출력 2 16 3 3" xfId="7961"/>
    <cellStyle name="출력 2 16 3 3 2" xfId="21189"/>
    <cellStyle name="출력 2 16 3 3 3" xfId="35763"/>
    <cellStyle name="출력 2 16 3 3 4" xfId="41647"/>
    <cellStyle name="출력 2 16 3 3 5" xfId="48481"/>
    <cellStyle name="출력 2 16 3 4" xfId="19007"/>
    <cellStyle name="출력 2 16 3 4 2" xfId="31341"/>
    <cellStyle name="출력 2 16 3 4 3" xfId="17206"/>
    <cellStyle name="출력 2 16 3 4 4" xfId="28862"/>
    <cellStyle name="출력 2 16 3 5" xfId="32030"/>
    <cellStyle name="출력 2 16 3 5 2" xfId="38253"/>
    <cellStyle name="출력 2 16 3 5 3" xfId="46245"/>
    <cellStyle name="출력 2 16 3 6" xfId="37038"/>
    <cellStyle name="출력 2 16 3 6 2" xfId="42957"/>
    <cellStyle name="출력 2 16 3 6 3" xfId="49791"/>
    <cellStyle name="출력 2 16 3 6 4" xfId="51395"/>
    <cellStyle name="출력 2 16 3 7" xfId="37400"/>
    <cellStyle name="출력 2 16 3 7 2" xfId="43320"/>
    <cellStyle name="출력 2 16 3 7 3" xfId="50154"/>
    <cellStyle name="출력 2 16 3 7 4" xfId="51396"/>
    <cellStyle name="출력 2 16 3 8" xfId="28979"/>
    <cellStyle name="출력 2 16 3 9" xfId="17636"/>
    <cellStyle name="출력 2 16 4" xfId="9772"/>
    <cellStyle name="출력 2 16 4 10" xfId="43872"/>
    <cellStyle name="출력 2 16 4 2" xfId="13409"/>
    <cellStyle name="출력 2 16 4 2 2" xfId="26637"/>
    <cellStyle name="출력 2 16 4 2 3" xfId="32889"/>
    <cellStyle name="출력 2 16 4 2 4" xfId="39109"/>
    <cellStyle name="출력 2 16 4 2 5" xfId="46696"/>
    <cellStyle name="출력 2 16 4 3" xfId="14047"/>
    <cellStyle name="출력 2 16 4 3 2" xfId="27275"/>
    <cellStyle name="출력 2 16 4 3 3" xfId="35385"/>
    <cellStyle name="출력 2 16 4 3 4" xfId="41277"/>
    <cellStyle name="출력 2 16 4 3 5" xfId="48088"/>
    <cellStyle name="출력 2 16 4 4" xfId="13626"/>
    <cellStyle name="출력 2 16 4 4 2" xfId="26854"/>
    <cellStyle name="출력 2 16 4 4 3" xfId="31131"/>
    <cellStyle name="출력 2 16 4 4 4" xfId="17059"/>
    <cellStyle name="출력 2 16 4 4 5" xfId="47264"/>
    <cellStyle name="출력 2 16 4 5" xfId="23000"/>
    <cellStyle name="출력 2 16 4 5 2" xfId="32408"/>
    <cellStyle name="출력 2 16 4 5 3" xfId="38626"/>
    <cellStyle name="출력 2 16 4 5 4" xfId="45605"/>
    <cellStyle name="출력 2 16 4 6" xfId="30544"/>
    <cellStyle name="출력 2 16 4 6 2" xfId="27770"/>
    <cellStyle name="출력 2 16 4 6 3" xfId="44218"/>
    <cellStyle name="출력 2 16 4 7" xfId="36675"/>
    <cellStyle name="출력 2 16 4 7 2" xfId="42578"/>
    <cellStyle name="출력 2 16 4 7 3" xfId="49412"/>
    <cellStyle name="출력 2 16 4 7 4" xfId="51397"/>
    <cellStyle name="출력 2 16 4 8" xfId="28578"/>
    <cellStyle name="출력 2 16 4 9" xfId="40087"/>
    <cellStyle name="출력 2 16 5" xfId="8422"/>
    <cellStyle name="출력 2 16 5 2" xfId="21650"/>
    <cellStyle name="출력 2 16 6" xfId="45714"/>
    <cellStyle name="출력 2 17" xfId="3632"/>
    <cellStyle name="출력 2 17 2" xfId="6551"/>
    <cellStyle name="출력 2 17 2 10" xfId="40105"/>
    <cellStyle name="출력 2 17 2 2" xfId="11285"/>
    <cellStyle name="출력 2 17 2 2 2" xfId="24513"/>
    <cellStyle name="출력 2 17 2 2 3" xfId="33915"/>
    <cellStyle name="출력 2 17 2 2 4" xfId="39972"/>
    <cellStyle name="출력 2 17 2 2 5" xfId="32265"/>
    <cellStyle name="출력 2 17 2 3" xfId="8243"/>
    <cellStyle name="출력 2 17 2 3 2" xfId="21471"/>
    <cellStyle name="출력 2 17 2 3 3" xfId="36341"/>
    <cellStyle name="출력 2 17 2 3 4" xfId="42234"/>
    <cellStyle name="출력 2 17 2 3 5" xfId="49068"/>
    <cellStyle name="출력 2 17 2 4" xfId="19779"/>
    <cellStyle name="출력 2 17 2 4 2" xfId="30130"/>
    <cellStyle name="출력 2 17 2 4 3" xfId="16597"/>
    <cellStyle name="출력 2 17 2 4 4" xfId="40098"/>
    <cellStyle name="출력 2 17 2 5" xfId="31753"/>
    <cellStyle name="출력 2 17 2 5 2" xfId="37974"/>
    <cellStyle name="출력 2 17 2 5 3" xfId="17608"/>
    <cellStyle name="출력 2 17 2 6" xfId="30153"/>
    <cellStyle name="출력 2 17 2 6 2" xfId="14970"/>
    <cellStyle name="출력 2 17 2 6 3" xfId="38475"/>
    <cellStyle name="출력 2 17 2 6 4" xfId="51398"/>
    <cellStyle name="출력 2 17 2 7" xfId="37759"/>
    <cellStyle name="출력 2 17 2 7 2" xfId="43683"/>
    <cellStyle name="출력 2 17 2 7 3" xfId="50517"/>
    <cellStyle name="출력 2 17 2 7 4" xfId="51399"/>
    <cellStyle name="출력 2 17 2 8" xfId="29603"/>
    <cellStyle name="출력 2 17 2 9" xfId="16225"/>
    <cellStyle name="출력 2 17 3" xfId="5769"/>
    <cellStyle name="출력 2 17 3 10" xfId="44016"/>
    <cellStyle name="출력 2 17 3 2" xfId="10503"/>
    <cellStyle name="출력 2 17 3 2 2" xfId="23731"/>
    <cellStyle name="출력 2 17 3 2 3" xfId="33283"/>
    <cellStyle name="출력 2 17 3 2 4" xfId="39497"/>
    <cellStyle name="출력 2 17 3 2 5" xfId="47383"/>
    <cellStyle name="출력 2 17 3 3" xfId="7962"/>
    <cellStyle name="출력 2 17 3 3 2" xfId="21190"/>
    <cellStyle name="출력 2 17 3 3 3" xfId="35764"/>
    <cellStyle name="출력 2 17 3 3 4" xfId="41648"/>
    <cellStyle name="출력 2 17 3 3 5" xfId="48482"/>
    <cellStyle name="출력 2 17 3 4" xfId="19008"/>
    <cellStyle name="출력 2 17 3 4 2" xfId="31342"/>
    <cellStyle name="출력 2 17 3 4 3" xfId="17207"/>
    <cellStyle name="출력 2 17 3 4 4" xfId="34119"/>
    <cellStyle name="출력 2 17 3 5" xfId="32084"/>
    <cellStyle name="출력 2 17 3 5 2" xfId="38307"/>
    <cellStyle name="출력 2 17 3 5 3" xfId="39596"/>
    <cellStyle name="출력 2 17 3 6" xfId="31946"/>
    <cellStyle name="출력 2 17 3 6 2" xfId="38168"/>
    <cellStyle name="출력 2 17 3 6 3" xfId="46589"/>
    <cellStyle name="출력 2 17 3 6 4" xfId="51400"/>
    <cellStyle name="출력 2 17 3 7" xfId="31614"/>
    <cellStyle name="출력 2 17 3 7 2" xfId="17333"/>
    <cellStyle name="출력 2 17 3 7 3" xfId="47273"/>
    <cellStyle name="출력 2 17 3 7 4" xfId="51401"/>
    <cellStyle name="출력 2 17 3 8" xfId="28980"/>
    <cellStyle name="출력 2 17 3 9" xfId="15898"/>
    <cellStyle name="출력 2 17 4" xfId="9773"/>
    <cellStyle name="출력 2 17 4 10" xfId="45343"/>
    <cellStyle name="출력 2 17 4 2" xfId="13410"/>
    <cellStyle name="출력 2 17 4 2 2" xfId="26638"/>
    <cellStyle name="출력 2 17 4 2 3" xfId="32890"/>
    <cellStyle name="출력 2 17 4 2 4" xfId="39110"/>
    <cellStyle name="출력 2 17 4 2 5" xfId="34487"/>
    <cellStyle name="출력 2 17 4 3" xfId="8489"/>
    <cellStyle name="출력 2 17 4 3 2" xfId="21717"/>
    <cellStyle name="출력 2 17 4 3 3" xfId="35386"/>
    <cellStyle name="출력 2 17 4 3 4" xfId="41278"/>
    <cellStyle name="출력 2 17 4 3 5" xfId="48089"/>
    <cellStyle name="출력 2 17 4 4" xfId="14305"/>
    <cellStyle name="출력 2 17 4 4 2" xfId="27533"/>
    <cellStyle name="출력 2 17 4 4 3" xfId="31132"/>
    <cellStyle name="출력 2 17 4 4 4" xfId="17060"/>
    <cellStyle name="출력 2 17 4 4 5" xfId="46733"/>
    <cellStyle name="출력 2 17 4 5" xfId="23001"/>
    <cellStyle name="출력 2 17 4 5 2" xfId="31886"/>
    <cellStyle name="출력 2 17 4 5 3" xfId="38107"/>
    <cellStyle name="출력 2 17 4 5 4" xfId="46393"/>
    <cellStyle name="출력 2 17 4 6" xfId="32141"/>
    <cellStyle name="출력 2 17 4 6 2" xfId="38366"/>
    <cellStyle name="출력 2 17 4 6 3" xfId="15394"/>
    <cellStyle name="출력 2 17 4 7" xfId="37821"/>
    <cellStyle name="출력 2 17 4 7 2" xfId="43745"/>
    <cellStyle name="출력 2 17 4 7 3" xfId="50579"/>
    <cellStyle name="출력 2 17 4 7 4" xfId="51402"/>
    <cellStyle name="출력 2 17 4 8" xfId="28579"/>
    <cellStyle name="출력 2 17 4 9" xfId="38667"/>
    <cellStyle name="출력 2 17 5" xfId="8423"/>
    <cellStyle name="출력 2 17 5 2" xfId="21651"/>
    <cellStyle name="출력 2 17 6" xfId="46971"/>
    <cellStyle name="출력 2 18" xfId="3633"/>
    <cellStyle name="출력 2 18 2" xfId="6552"/>
    <cellStyle name="출력 2 18 2 10" xfId="28754"/>
    <cellStyle name="출력 2 18 2 2" xfId="11286"/>
    <cellStyle name="출력 2 18 2 2 2" xfId="24514"/>
    <cellStyle name="출력 2 18 2 2 3" xfId="33916"/>
    <cellStyle name="출력 2 18 2 2 4" xfId="39973"/>
    <cellStyle name="출력 2 18 2 2 5" xfId="39934"/>
    <cellStyle name="출력 2 18 2 3" xfId="8244"/>
    <cellStyle name="출력 2 18 2 3 2" xfId="21472"/>
    <cellStyle name="출력 2 18 2 3 3" xfId="36342"/>
    <cellStyle name="출력 2 18 2 3 4" xfId="42235"/>
    <cellStyle name="출력 2 18 2 3 5" xfId="49069"/>
    <cellStyle name="출력 2 18 2 4" xfId="19780"/>
    <cellStyle name="출력 2 18 2 4 2" xfId="32062"/>
    <cellStyle name="출력 2 18 2 4 3" xfId="38285"/>
    <cellStyle name="출력 2 18 2 4 4" xfId="34328"/>
    <cellStyle name="출력 2 18 2 5" xfId="30791"/>
    <cellStyle name="출력 2 18 2 5 2" xfId="17952"/>
    <cellStyle name="출력 2 18 2 5 3" xfId="40481"/>
    <cellStyle name="출력 2 18 2 6" xfId="31783"/>
    <cellStyle name="출력 2 18 2 6 2" xfId="38004"/>
    <cellStyle name="출력 2 18 2 6 3" xfId="40425"/>
    <cellStyle name="출력 2 18 2 6 4" xfId="51403"/>
    <cellStyle name="출력 2 18 2 7" xfId="35046"/>
    <cellStyle name="출력 2 18 2 7 2" xfId="41053"/>
    <cellStyle name="출력 2 18 2 7 3" xfId="47749"/>
    <cellStyle name="출력 2 18 2 7 4" xfId="51404"/>
    <cellStyle name="출력 2 18 2 8" xfId="29604"/>
    <cellStyle name="출력 2 18 2 9" xfId="16224"/>
    <cellStyle name="출력 2 18 3" xfId="5770"/>
    <cellStyle name="출력 2 18 3 10" xfId="16472"/>
    <cellStyle name="출력 2 18 3 2" xfId="10504"/>
    <cellStyle name="출력 2 18 3 2 2" xfId="23732"/>
    <cellStyle name="출력 2 18 3 2 3" xfId="33284"/>
    <cellStyle name="출력 2 18 3 2 4" xfId="39498"/>
    <cellStyle name="출력 2 18 3 2 5" xfId="45638"/>
    <cellStyle name="출력 2 18 3 3" xfId="7963"/>
    <cellStyle name="출력 2 18 3 3 2" xfId="21191"/>
    <cellStyle name="출력 2 18 3 3 3" xfId="35765"/>
    <cellStyle name="출력 2 18 3 3 4" xfId="41649"/>
    <cellStyle name="출력 2 18 3 3 5" xfId="48483"/>
    <cellStyle name="출력 2 18 3 4" xfId="19009"/>
    <cellStyle name="출력 2 18 3 4 2" xfId="31934"/>
    <cellStyle name="출력 2 18 3 4 3" xfId="38156"/>
    <cellStyle name="출력 2 18 3 4 4" xfId="46592"/>
    <cellStyle name="출력 2 18 3 5" xfId="36927"/>
    <cellStyle name="출력 2 18 3 5 2" xfId="42842"/>
    <cellStyle name="출력 2 18 3 5 3" xfId="49676"/>
    <cellStyle name="출력 2 18 3 6" xfId="35519"/>
    <cellStyle name="출력 2 18 3 6 2" xfId="41391"/>
    <cellStyle name="출력 2 18 3 6 3" xfId="48225"/>
    <cellStyle name="출력 2 18 3 6 4" xfId="51405"/>
    <cellStyle name="출력 2 18 3 7" xfId="37758"/>
    <cellStyle name="출력 2 18 3 7 2" xfId="43682"/>
    <cellStyle name="출력 2 18 3 7 3" xfId="50516"/>
    <cellStyle name="출력 2 18 3 7 4" xfId="51406"/>
    <cellStyle name="출력 2 18 3 8" xfId="28981"/>
    <cellStyle name="출력 2 18 3 9" xfId="27824"/>
    <cellStyle name="출력 2 18 4" xfId="9774"/>
    <cellStyle name="출력 2 18 4 10" xfId="44337"/>
    <cellStyle name="출력 2 18 4 2" xfId="13411"/>
    <cellStyle name="출력 2 18 4 2 2" xfId="26639"/>
    <cellStyle name="출력 2 18 4 2 3" xfId="32891"/>
    <cellStyle name="출력 2 18 4 2 4" xfId="39111"/>
    <cellStyle name="출력 2 18 4 2 5" xfId="45851"/>
    <cellStyle name="출력 2 18 4 3" xfId="8459"/>
    <cellStyle name="출력 2 18 4 3 2" xfId="21687"/>
    <cellStyle name="출력 2 18 4 3 3" xfId="35387"/>
    <cellStyle name="출력 2 18 4 3 4" xfId="41279"/>
    <cellStyle name="출력 2 18 4 3 5" xfId="48090"/>
    <cellStyle name="출력 2 18 4 4" xfId="13655"/>
    <cellStyle name="출력 2 18 4 4 2" xfId="26883"/>
    <cellStyle name="출력 2 18 4 4 3" xfId="31133"/>
    <cellStyle name="출력 2 18 4 4 4" xfId="17061"/>
    <cellStyle name="출력 2 18 4 4 5" xfId="41138"/>
    <cellStyle name="출력 2 18 4 5" xfId="23002"/>
    <cellStyle name="출력 2 18 4 5 2" xfId="36792"/>
    <cellStyle name="출력 2 18 4 5 3" xfId="42700"/>
    <cellStyle name="출력 2 18 4 5 4" xfId="49534"/>
    <cellStyle name="출력 2 18 4 6" xfId="30363"/>
    <cellStyle name="출력 2 18 4 6 2" xfId="18141"/>
    <cellStyle name="출력 2 18 4 6 3" xfId="30051"/>
    <cellStyle name="출력 2 18 4 7" xfId="36936"/>
    <cellStyle name="출력 2 18 4 7 2" xfId="42852"/>
    <cellStyle name="출력 2 18 4 7 3" xfId="49686"/>
    <cellStyle name="출력 2 18 4 7 4" xfId="51407"/>
    <cellStyle name="출력 2 18 4 8" xfId="28580"/>
    <cellStyle name="출력 2 18 4 9" xfId="33112"/>
    <cellStyle name="출력 2 18 5" xfId="8424"/>
    <cellStyle name="출력 2 18 5 2" xfId="21652"/>
    <cellStyle name="출력 2 18 6" xfId="32223"/>
    <cellStyle name="출력 2 19" xfId="3634"/>
    <cellStyle name="출력 2 19 2" xfId="6553"/>
    <cellStyle name="출력 2 19 2 10" xfId="17510"/>
    <cellStyle name="출력 2 19 2 2" xfId="11287"/>
    <cellStyle name="출력 2 19 2 2 2" xfId="24515"/>
    <cellStyle name="출력 2 19 2 2 3" xfId="33917"/>
    <cellStyle name="출력 2 19 2 2 4" xfId="39974"/>
    <cellStyle name="출력 2 19 2 2 5" xfId="34489"/>
    <cellStyle name="출력 2 19 2 3" xfId="8245"/>
    <cellStyle name="출력 2 19 2 3 2" xfId="21473"/>
    <cellStyle name="출력 2 19 2 3 3" xfId="36343"/>
    <cellStyle name="출력 2 19 2 3 4" xfId="42236"/>
    <cellStyle name="출력 2 19 2 3 5" xfId="49070"/>
    <cellStyle name="출력 2 19 2 4" xfId="19781"/>
    <cellStyle name="출력 2 19 2 4 2" xfId="30129"/>
    <cellStyle name="출력 2 19 2 4 3" xfId="17718"/>
    <cellStyle name="출력 2 19 2 4 4" xfId="44037"/>
    <cellStyle name="출력 2 19 2 5" xfId="36725"/>
    <cellStyle name="출력 2 19 2 5 2" xfId="42630"/>
    <cellStyle name="출력 2 19 2 5 3" xfId="49464"/>
    <cellStyle name="출력 2 19 2 6" xfId="32012"/>
    <cellStyle name="출력 2 19 2 6 2" xfId="38235"/>
    <cellStyle name="출력 2 19 2 6 3" xfId="34491"/>
    <cellStyle name="출력 2 19 2 6 4" xfId="51408"/>
    <cellStyle name="출력 2 19 2 7" xfId="30266"/>
    <cellStyle name="출력 2 19 2 7 2" xfId="16708"/>
    <cellStyle name="출력 2 19 2 7 3" xfId="43886"/>
    <cellStyle name="출력 2 19 2 7 4" xfId="51409"/>
    <cellStyle name="출력 2 19 2 8" xfId="29605"/>
    <cellStyle name="출력 2 19 2 9" xfId="14591"/>
    <cellStyle name="출력 2 19 3" xfId="5771"/>
    <cellStyle name="출력 2 19 3 10" xfId="44417"/>
    <cellStyle name="출력 2 19 3 2" xfId="10505"/>
    <cellStyle name="출력 2 19 3 2 2" xfId="23733"/>
    <cellStyle name="출력 2 19 3 2 3" xfId="33285"/>
    <cellStyle name="출력 2 19 3 2 4" xfId="39499"/>
    <cellStyle name="출력 2 19 3 2 5" xfId="31588"/>
    <cellStyle name="출력 2 19 3 3" xfId="7964"/>
    <cellStyle name="출력 2 19 3 3 2" xfId="21192"/>
    <cellStyle name="출력 2 19 3 3 3" xfId="35766"/>
    <cellStyle name="출력 2 19 3 3 4" xfId="41650"/>
    <cellStyle name="출력 2 19 3 3 5" xfId="48484"/>
    <cellStyle name="출력 2 19 3 4" xfId="19010"/>
    <cellStyle name="출력 2 19 3 4 2" xfId="31343"/>
    <cellStyle name="출력 2 19 3 4 3" xfId="17849"/>
    <cellStyle name="출력 2 19 3 4 4" xfId="43934"/>
    <cellStyle name="출력 2 19 3 5" xfId="30068"/>
    <cellStyle name="출력 2 19 3 5 2" xfId="16551"/>
    <cellStyle name="출력 2 19 3 5 3" xfId="44440"/>
    <cellStyle name="출력 2 19 3 6" xfId="37322"/>
    <cellStyle name="출력 2 19 3 6 2" xfId="43242"/>
    <cellStyle name="출력 2 19 3 6 3" xfId="50076"/>
    <cellStyle name="출력 2 19 3 6 4" xfId="51410"/>
    <cellStyle name="출력 2 19 3 7" xfId="37605"/>
    <cellStyle name="출력 2 19 3 7 2" xfId="43528"/>
    <cellStyle name="출력 2 19 3 7 3" xfId="50362"/>
    <cellStyle name="출력 2 19 3 7 4" xfId="51411"/>
    <cellStyle name="출력 2 19 3 8" xfId="28982"/>
    <cellStyle name="출력 2 19 3 9" xfId="15897"/>
    <cellStyle name="출력 2 19 4" xfId="9775"/>
    <cellStyle name="출력 2 19 4 10" xfId="38663"/>
    <cellStyle name="출력 2 19 4 2" xfId="13412"/>
    <cellStyle name="출력 2 19 4 2 2" xfId="26640"/>
    <cellStyle name="출력 2 19 4 2 3" xfId="32892"/>
    <cellStyle name="출력 2 19 4 2 4" xfId="39112"/>
    <cellStyle name="출력 2 19 4 2 5" xfId="47286"/>
    <cellStyle name="출력 2 19 4 3" xfId="12917"/>
    <cellStyle name="출력 2 19 4 3 2" xfId="26145"/>
    <cellStyle name="출력 2 19 4 3 3" xfId="35388"/>
    <cellStyle name="출력 2 19 4 3 4" xfId="41280"/>
    <cellStyle name="출력 2 19 4 3 5" xfId="48091"/>
    <cellStyle name="출력 2 19 4 4" xfId="8749"/>
    <cellStyle name="출력 2 19 4 4 2" xfId="21977"/>
    <cellStyle name="출력 2 19 4 4 3" xfId="31134"/>
    <cellStyle name="출력 2 19 4 4 4" xfId="17062"/>
    <cellStyle name="출력 2 19 4 4 5" xfId="45614"/>
    <cellStyle name="출력 2 19 4 5" xfId="23003"/>
    <cellStyle name="출력 2 19 4 5 2" xfId="34980"/>
    <cellStyle name="출력 2 19 4 5 3" xfId="40982"/>
    <cellStyle name="출력 2 19 4 5 4" xfId="47678"/>
    <cellStyle name="출력 2 19 4 6" xfId="37016"/>
    <cellStyle name="출력 2 19 4 6 2" xfId="42935"/>
    <cellStyle name="출력 2 19 4 6 3" xfId="49769"/>
    <cellStyle name="출력 2 19 4 7" xfId="37813"/>
    <cellStyle name="출력 2 19 4 7 2" xfId="43737"/>
    <cellStyle name="출력 2 19 4 7 3" xfId="50571"/>
    <cellStyle name="출력 2 19 4 7 4" xfId="51412"/>
    <cellStyle name="출력 2 19 4 8" xfId="28581"/>
    <cellStyle name="출력 2 19 4 9" xfId="39325"/>
    <cellStyle name="출력 2 19 5" xfId="8425"/>
    <cellStyle name="출력 2 19 5 2" xfId="21653"/>
    <cellStyle name="출력 2 19 6" xfId="46048"/>
    <cellStyle name="출력 2 2" xfId="3635"/>
    <cellStyle name="출력 2 2 2" xfId="3636"/>
    <cellStyle name="출력 2 2 2 2" xfId="6555"/>
    <cellStyle name="출력 2 2 2 2 10" xfId="39440"/>
    <cellStyle name="출력 2 2 2 2 2" xfId="11289"/>
    <cellStyle name="출력 2 2 2 2 2 2" xfId="24517"/>
    <cellStyle name="출력 2 2 2 2 2 3" xfId="33919"/>
    <cellStyle name="출력 2 2 2 2 2 4" xfId="39976"/>
    <cellStyle name="출력 2 2 2 2 2 5" xfId="34318"/>
    <cellStyle name="출력 2 2 2 2 3" xfId="8614"/>
    <cellStyle name="출력 2 2 2 2 3 2" xfId="21842"/>
    <cellStyle name="출력 2 2 2 2 3 3" xfId="36345"/>
    <cellStyle name="출력 2 2 2 2 3 4" xfId="42238"/>
    <cellStyle name="출력 2 2 2 2 3 5" xfId="49072"/>
    <cellStyle name="출력 2 2 2 2 4" xfId="19783"/>
    <cellStyle name="출력 2 2 2 2 4 2" xfId="29892"/>
    <cellStyle name="출력 2 2 2 2 4 3" xfId="16434"/>
    <cellStyle name="출력 2 2 2 2 4 4" xfId="34099"/>
    <cellStyle name="출력 2 2 2 2 5" xfId="35538"/>
    <cellStyle name="출력 2 2 2 2 5 2" xfId="41413"/>
    <cellStyle name="출력 2 2 2 2 5 3" xfId="48247"/>
    <cellStyle name="출력 2 2 2 2 6" xfId="37438"/>
    <cellStyle name="출력 2 2 2 2 6 2" xfId="43358"/>
    <cellStyle name="출력 2 2 2 2 6 3" xfId="50192"/>
    <cellStyle name="출력 2 2 2 2 6 4" xfId="51413"/>
    <cellStyle name="출력 2 2 2 2 7" xfId="30142"/>
    <cellStyle name="출력 2 2 2 2 7 2" xfId="16607"/>
    <cellStyle name="출력 2 2 2 2 7 3" xfId="34243"/>
    <cellStyle name="출력 2 2 2 2 7 4" xfId="51414"/>
    <cellStyle name="출력 2 2 2 2 8" xfId="29607"/>
    <cellStyle name="출력 2 2 2 2 9" xfId="16226"/>
    <cellStyle name="출력 2 2 2 3" xfId="5773"/>
    <cellStyle name="출력 2 2 2 3 10" xfId="38660"/>
    <cellStyle name="출력 2 2 2 3 2" xfId="10507"/>
    <cellStyle name="출력 2 2 2 3 2 2" xfId="23735"/>
    <cellStyle name="출력 2 2 2 3 2 3" xfId="33287"/>
    <cellStyle name="출력 2 2 2 3 2 4" xfId="39501"/>
    <cellStyle name="출력 2 2 2 3 2 5" xfId="15597"/>
    <cellStyle name="출력 2 2 2 3 3" xfId="7966"/>
    <cellStyle name="출력 2 2 2 3 3 2" xfId="21194"/>
    <cellStyle name="출력 2 2 2 3 3 3" xfId="35768"/>
    <cellStyle name="출력 2 2 2 3 3 4" xfId="41652"/>
    <cellStyle name="출력 2 2 2 3 3 5" xfId="48486"/>
    <cellStyle name="출력 2 2 2 3 4" xfId="19012"/>
    <cellStyle name="출력 2 2 2 3 4 2" xfId="32075"/>
    <cellStyle name="출력 2 2 2 3 4 3" xfId="38298"/>
    <cellStyle name="출력 2 2 2 3 4 4" xfId="46740"/>
    <cellStyle name="출력 2 2 2 3 5" xfId="35856"/>
    <cellStyle name="출력 2 2 2 3 5 2" xfId="41745"/>
    <cellStyle name="출력 2 2 2 3 5 3" xfId="48579"/>
    <cellStyle name="출력 2 2 2 3 6" xfId="34655"/>
    <cellStyle name="출력 2 2 2 3 6 2" xfId="40644"/>
    <cellStyle name="출력 2 2 2 3 6 3" xfId="29113"/>
    <cellStyle name="출력 2 2 2 3 6 4" xfId="51415"/>
    <cellStyle name="출력 2 2 2 3 7" xfId="37330"/>
    <cellStyle name="출력 2 2 2 3 7 2" xfId="43250"/>
    <cellStyle name="출력 2 2 2 3 7 3" xfId="50084"/>
    <cellStyle name="출력 2 2 2 3 7 4" xfId="51416"/>
    <cellStyle name="출력 2 2 2 3 8" xfId="28984"/>
    <cellStyle name="출력 2 2 2 3 9" xfId="36847"/>
    <cellStyle name="출력 2 2 2 4" xfId="9777"/>
    <cellStyle name="출력 2 2 2 4 10" xfId="45545"/>
    <cellStyle name="출력 2 2 2 4 2" xfId="13414"/>
    <cellStyle name="출력 2 2 2 4 2 2" xfId="26642"/>
    <cellStyle name="출력 2 2 2 4 2 3" xfId="32894"/>
    <cellStyle name="출력 2 2 2 4 2 4" xfId="39114"/>
    <cellStyle name="출력 2 2 2 4 2 5" xfId="45711"/>
    <cellStyle name="출력 2 2 2 4 3" xfId="14258"/>
    <cellStyle name="출력 2 2 2 4 3 2" xfId="27486"/>
    <cellStyle name="출력 2 2 2 4 3 3" xfId="35390"/>
    <cellStyle name="출력 2 2 2 4 3 4" xfId="41282"/>
    <cellStyle name="출력 2 2 2 4 3 5" xfId="48093"/>
    <cellStyle name="출력 2 2 2 4 4" xfId="14344"/>
    <cellStyle name="출력 2 2 2 4 4 2" xfId="27572"/>
    <cellStyle name="출력 2 2 2 4 4 3" xfId="31136"/>
    <cellStyle name="출력 2 2 2 4 4 4" xfId="17064"/>
    <cellStyle name="출력 2 2 2 4 4 5" xfId="38420"/>
    <cellStyle name="출력 2 2 2 4 5" xfId="23005"/>
    <cellStyle name="출력 2 2 2 4 5 2" xfId="36521"/>
    <cellStyle name="출력 2 2 2 4 5 3" xfId="42417"/>
    <cellStyle name="출력 2 2 2 4 5 4" xfId="49251"/>
    <cellStyle name="출력 2 2 2 4 6" xfId="37238"/>
    <cellStyle name="출력 2 2 2 4 6 2" xfId="43157"/>
    <cellStyle name="출력 2 2 2 4 6 3" xfId="49991"/>
    <cellStyle name="출력 2 2 2 4 7" xfId="37734"/>
    <cellStyle name="출력 2 2 2 4 7 2" xfId="43658"/>
    <cellStyle name="출력 2 2 2 4 7 3" xfId="50492"/>
    <cellStyle name="출력 2 2 2 4 7 4" xfId="51417"/>
    <cellStyle name="출력 2 2 2 4 8" xfId="28583"/>
    <cellStyle name="출력 2 2 2 4 9" xfId="27828"/>
    <cellStyle name="출력 2 2 2 5" xfId="8427"/>
    <cellStyle name="출력 2 2 2 5 2" xfId="21655"/>
    <cellStyle name="출력 2 2 2 6" xfId="47222"/>
    <cellStyle name="출력 2 2 3" xfId="6554"/>
    <cellStyle name="출력 2 2 3 10" xfId="40499"/>
    <cellStyle name="출력 2 2 3 2" xfId="11288"/>
    <cellStyle name="출력 2 2 3 2 2" xfId="24516"/>
    <cellStyle name="출력 2 2 3 2 3" xfId="33918"/>
    <cellStyle name="출력 2 2 3 2 4" xfId="39975"/>
    <cellStyle name="출력 2 2 3 2 5" xfId="41244"/>
    <cellStyle name="출력 2 2 3 3" xfId="8246"/>
    <cellStyle name="출력 2 2 3 3 2" xfId="21474"/>
    <cellStyle name="출력 2 2 3 3 3" xfId="36344"/>
    <cellStyle name="출력 2 2 3 3 4" xfId="42237"/>
    <cellStyle name="출력 2 2 3 3 5" xfId="49071"/>
    <cellStyle name="출력 2 2 3 4" xfId="19782"/>
    <cellStyle name="출력 2 2 3 4 2" xfId="29891"/>
    <cellStyle name="출력 2 2 3 4 3" xfId="16432"/>
    <cellStyle name="출력 2 2 3 4 4" xfId="45474"/>
    <cellStyle name="출력 2 2 3 5" xfId="36892"/>
    <cellStyle name="출력 2 2 3 5 2" xfId="42807"/>
    <cellStyle name="출력 2 2 3 5 3" xfId="49641"/>
    <cellStyle name="출력 2 2 3 6" xfId="32438"/>
    <cellStyle name="출력 2 2 3 6 2" xfId="38656"/>
    <cellStyle name="출력 2 2 3 6 3" xfId="15508"/>
    <cellStyle name="출력 2 2 3 6 4" xfId="51418"/>
    <cellStyle name="출력 2 2 3 7" xfId="30470"/>
    <cellStyle name="출력 2 2 3 7 2" xfId="16805"/>
    <cellStyle name="출력 2 2 3 7 3" xfId="27853"/>
    <cellStyle name="출력 2 2 3 7 4" xfId="51419"/>
    <cellStyle name="출력 2 2 3 8" xfId="29606"/>
    <cellStyle name="출력 2 2 3 9" xfId="18509"/>
    <cellStyle name="출력 2 2 4" xfId="5772"/>
    <cellStyle name="출력 2 2 4 10" xfId="45401"/>
    <cellStyle name="출력 2 2 4 2" xfId="10506"/>
    <cellStyle name="출력 2 2 4 2 2" xfId="23734"/>
    <cellStyle name="출력 2 2 4 2 3" xfId="33286"/>
    <cellStyle name="출력 2 2 4 2 4" xfId="39500"/>
    <cellStyle name="출력 2 2 4 2 5" xfId="44082"/>
    <cellStyle name="출력 2 2 4 3" xfId="7965"/>
    <cellStyle name="출력 2 2 4 3 2" xfId="21193"/>
    <cellStyle name="출력 2 2 4 3 3" xfId="35767"/>
    <cellStyle name="출력 2 2 4 3 4" xfId="41651"/>
    <cellStyle name="출력 2 2 4 3 5" xfId="48485"/>
    <cellStyle name="출력 2 2 4 4" xfId="19011"/>
    <cellStyle name="출력 2 2 4 4 2" xfId="31344"/>
    <cellStyle name="출력 2 2 4 4 3" xfId="18468"/>
    <cellStyle name="출력 2 2 4 4 4" xfId="44609"/>
    <cellStyle name="출력 2 2 4 5" xfId="31332"/>
    <cellStyle name="출력 2 2 4 5 2" xfId="18467"/>
    <cellStyle name="출력 2 2 4 5 3" xfId="17444"/>
    <cellStyle name="출력 2 2 4 6" xfId="32431"/>
    <cellStyle name="출력 2 2 4 6 2" xfId="38649"/>
    <cellStyle name="출력 2 2 4 6 3" xfId="16478"/>
    <cellStyle name="출력 2 2 4 6 4" xfId="51420"/>
    <cellStyle name="출력 2 2 4 7" xfId="36858"/>
    <cellStyle name="출력 2 2 4 7 2" xfId="42770"/>
    <cellStyle name="출력 2 2 4 7 3" xfId="49604"/>
    <cellStyle name="출력 2 2 4 7 4" xfId="51421"/>
    <cellStyle name="출력 2 2 4 8" xfId="28983"/>
    <cellStyle name="출력 2 2 4 9" xfId="17637"/>
    <cellStyle name="출력 2 2 5" xfId="9776"/>
    <cellStyle name="출력 2 2 5 10" xfId="44575"/>
    <cellStyle name="출력 2 2 5 2" xfId="13413"/>
    <cellStyle name="출력 2 2 5 2 2" xfId="26641"/>
    <cellStyle name="출력 2 2 5 2 3" xfId="32893"/>
    <cellStyle name="출력 2 2 5 2 4" xfId="39113"/>
    <cellStyle name="출력 2 2 5 2 5" xfId="47020"/>
    <cellStyle name="출력 2 2 5 3" xfId="13687"/>
    <cellStyle name="출력 2 2 5 3 2" xfId="26915"/>
    <cellStyle name="출력 2 2 5 3 3" xfId="35389"/>
    <cellStyle name="출력 2 2 5 3 4" xfId="41281"/>
    <cellStyle name="출력 2 2 5 3 5" xfId="48092"/>
    <cellStyle name="출력 2 2 5 4" xfId="13625"/>
    <cellStyle name="출력 2 2 5 4 2" xfId="26853"/>
    <cellStyle name="출력 2 2 5 4 3" xfId="31135"/>
    <cellStyle name="출력 2 2 5 4 4" xfId="17063"/>
    <cellStyle name="출력 2 2 5 4 5" xfId="39199"/>
    <cellStyle name="출력 2 2 5 5" xfId="23004"/>
    <cellStyle name="출력 2 2 5 5 2" xfId="29743"/>
    <cellStyle name="출력 2 2 5 5 3" xfId="15296"/>
    <cellStyle name="출력 2 2 5 5 4" xfId="45360"/>
    <cellStyle name="출력 2 2 5 6" xfId="30360"/>
    <cellStyle name="출력 2 2 5 6 2" xfId="16775"/>
    <cellStyle name="출력 2 2 5 6 3" xfId="45518"/>
    <cellStyle name="출력 2 2 5 7" xfId="30064"/>
    <cellStyle name="출력 2 2 5 7 2" xfId="17716"/>
    <cellStyle name="출력 2 2 5 7 3" xfId="28758"/>
    <cellStyle name="출력 2 2 5 7 4" xfId="51422"/>
    <cellStyle name="출력 2 2 5 8" xfId="28582"/>
    <cellStyle name="출력 2 2 5 9" xfId="40389"/>
    <cellStyle name="출력 2 2 6" xfId="8426"/>
    <cellStyle name="출력 2 2 6 2" xfId="21654"/>
    <cellStyle name="출력 2 2 7" xfId="44229"/>
    <cellStyle name="출력 2 2_CRM팀 1단계 정보확인 DB 검색코드_110425" xfId="3637"/>
    <cellStyle name="출력 2 20" xfId="3638"/>
    <cellStyle name="출력 2 20 2" xfId="6556"/>
    <cellStyle name="출력 2 20 2 10" xfId="34109"/>
    <cellStyle name="출력 2 20 2 2" xfId="11290"/>
    <cellStyle name="출력 2 20 2 2 2" xfId="24518"/>
    <cellStyle name="출력 2 20 2 2 3" xfId="33920"/>
    <cellStyle name="출력 2 20 2 2 4" xfId="39977"/>
    <cellStyle name="출력 2 20 2 2 5" xfId="39935"/>
    <cellStyle name="출력 2 20 2 3" xfId="8289"/>
    <cellStyle name="출력 2 20 2 3 2" xfId="21517"/>
    <cellStyle name="출력 2 20 2 3 3" xfId="36346"/>
    <cellStyle name="출력 2 20 2 3 4" xfId="42239"/>
    <cellStyle name="출력 2 20 2 3 5" xfId="49073"/>
    <cellStyle name="출력 2 20 2 4" xfId="19784"/>
    <cellStyle name="출력 2 20 2 4 2" xfId="30131"/>
    <cellStyle name="출력 2 20 2 4 3" xfId="16596"/>
    <cellStyle name="출력 2 20 2 4 4" xfId="44438"/>
    <cellStyle name="출력 2 20 2 5" xfId="36947"/>
    <cellStyle name="출력 2 20 2 5 2" xfId="42865"/>
    <cellStyle name="출력 2 20 2 5 3" xfId="49699"/>
    <cellStyle name="출력 2 20 2 6" xfId="30513"/>
    <cellStyle name="출력 2 20 2 6 2" xfId="15188"/>
    <cellStyle name="출력 2 20 2 6 3" xfId="39707"/>
    <cellStyle name="출력 2 20 2 6 4" xfId="51423"/>
    <cellStyle name="출력 2 20 2 7" xfId="35669"/>
    <cellStyle name="출력 2 20 2 7 2" xfId="41549"/>
    <cellStyle name="출력 2 20 2 7 3" xfId="48383"/>
    <cellStyle name="출력 2 20 2 7 4" xfId="51424"/>
    <cellStyle name="출력 2 20 2 8" xfId="29608"/>
    <cellStyle name="출력 2 20 2 9" xfId="16188"/>
    <cellStyle name="출력 2 20 3" xfId="5774"/>
    <cellStyle name="출력 2 20 3 10" xfId="29953"/>
    <cellStyle name="출력 2 20 3 2" xfId="10508"/>
    <cellStyle name="출력 2 20 3 2 2" xfId="23736"/>
    <cellStyle name="출력 2 20 3 2 3" xfId="33288"/>
    <cellStyle name="출력 2 20 3 2 4" xfId="39502"/>
    <cellStyle name="출력 2 20 3 2 5" xfId="15494"/>
    <cellStyle name="출력 2 20 3 3" xfId="7967"/>
    <cellStyle name="출력 2 20 3 3 2" xfId="21195"/>
    <cellStyle name="출력 2 20 3 3 3" xfId="35769"/>
    <cellStyle name="출력 2 20 3 3 4" xfId="41653"/>
    <cellStyle name="출력 2 20 3 3 5" xfId="48487"/>
    <cellStyle name="출력 2 20 3 4" xfId="19013"/>
    <cellStyle name="출력 2 20 3 4 2" xfId="32307"/>
    <cellStyle name="출력 2 20 3 4 3" xfId="38525"/>
    <cellStyle name="출력 2 20 3 4 4" xfId="45814"/>
    <cellStyle name="출력 2 20 3 5" xfId="31950"/>
    <cellStyle name="출력 2 20 3 5 2" xfId="38172"/>
    <cellStyle name="출력 2 20 3 5 3" xfId="45675"/>
    <cellStyle name="출력 2 20 3 6" xfId="31308"/>
    <cellStyle name="출력 2 20 3 6 2" xfId="15232"/>
    <cellStyle name="출력 2 20 3 6 3" xfId="46427"/>
    <cellStyle name="출력 2 20 3 6 4" xfId="51425"/>
    <cellStyle name="출력 2 20 3 7" xfId="31911"/>
    <cellStyle name="출력 2 20 3 7 2" xfId="38133"/>
    <cellStyle name="출력 2 20 3 7 3" xfId="15724"/>
    <cellStyle name="출력 2 20 3 7 4" xfId="51426"/>
    <cellStyle name="출력 2 20 3 8" xfId="28985"/>
    <cellStyle name="출력 2 20 3 9" xfId="18118"/>
    <cellStyle name="출력 2 20 4" xfId="9778"/>
    <cellStyle name="출력 2 20 4 10" xfId="32268"/>
    <cellStyle name="출력 2 20 4 2" xfId="13415"/>
    <cellStyle name="출력 2 20 4 2 2" xfId="26643"/>
    <cellStyle name="출력 2 20 4 2 3" xfId="32895"/>
    <cellStyle name="출력 2 20 4 2 4" xfId="39115"/>
    <cellStyle name="출력 2 20 4 2 5" xfId="44254"/>
    <cellStyle name="출력 2 20 4 3" xfId="13505"/>
    <cellStyle name="출력 2 20 4 3 2" xfId="26733"/>
    <cellStyle name="출력 2 20 4 3 3" xfId="35391"/>
    <cellStyle name="출력 2 20 4 3 4" xfId="41283"/>
    <cellStyle name="출력 2 20 4 3 5" xfId="48094"/>
    <cellStyle name="출력 2 20 4 4" xfId="7265"/>
    <cellStyle name="출력 2 20 4 4 2" xfId="20493"/>
    <cellStyle name="출력 2 20 4 4 3" xfId="31137"/>
    <cellStyle name="출력 2 20 4 4 4" xfId="17065"/>
    <cellStyle name="출력 2 20 4 4 5" xfId="39404"/>
    <cellStyle name="출력 2 20 4 5" xfId="23006"/>
    <cellStyle name="출력 2 20 4 5 2" xfId="32170"/>
    <cellStyle name="출력 2 20 4 5 3" xfId="38395"/>
    <cellStyle name="출력 2 20 4 5 4" xfId="47108"/>
    <cellStyle name="출력 2 20 4 6" xfId="30359"/>
    <cellStyle name="출력 2 20 4 6 2" xfId="18142"/>
    <cellStyle name="출력 2 20 4 6 3" xfId="44548"/>
    <cellStyle name="출력 2 20 4 7" xfId="30218"/>
    <cellStyle name="출력 2 20 4 7 2" xfId="16667"/>
    <cellStyle name="출력 2 20 4 7 3" xfId="45526"/>
    <cellStyle name="출력 2 20 4 7 4" xfId="51427"/>
    <cellStyle name="출력 2 20 4 8" xfId="28584"/>
    <cellStyle name="출력 2 20 4 9" xfId="38401"/>
    <cellStyle name="출력 2 20 5" xfId="8428"/>
    <cellStyle name="출력 2 20 5 2" xfId="21656"/>
    <cellStyle name="출력 2 20 6" xfId="46349"/>
    <cellStyle name="출력 2 21" xfId="3639"/>
    <cellStyle name="출력 2 21 2" xfId="6557"/>
    <cellStyle name="출력 2 21 2 10" xfId="45175"/>
    <cellStyle name="출력 2 21 2 2" xfId="11291"/>
    <cellStyle name="출력 2 21 2 2 2" xfId="24519"/>
    <cellStyle name="출력 2 21 2 2 3" xfId="33921"/>
    <cellStyle name="출력 2 21 2 2 4" xfId="39978"/>
    <cellStyle name="출력 2 21 2 2 5" xfId="29017"/>
    <cellStyle name="출력 2 21 2 3" xfId="8249"/>
    <cellStyle name="출력 2 21 2 3 2" xfId="21477"/>
    <cellStyle name="출력 2 21 2 3 3" xfId="36347"/>
    <cellStyle name="출력 2 21 2 3 4" xfId="42240"/>
    <cellStyle name="출력 2 21 2 3 5" xfId="49074"/>
    <cellStyle name="출력 2 21 2 4" xfId="19785"/>
    <cellStyle name="출력 2 21 2 4 2" xfId="31924"/>
    <cellStyle name="출력 2 21 2 4 3" xfId="38146"/>
    <cellStyle name="출력 2 21 2 4 4" xfId="46591"/>
    <cellStyle name="출력 2 21 2 5" xfId="31550"/>
    <cellStyle name="출력 2 21 2 5 2" xfId="18051"/>
    <cellStyle name="출력 2 21 2 5 3" xfId="27791"/>
    <cellStyle name="출력 2 21 2 6" xfId="37315"/>
    <cellStyle name="출력 2 21 2 6 2" xfId="43235"/>
    <cellStyle name="출력 2 21 2 6 3" xfId="50069"/>
    <cellStyle name="출력 2 21 2 6 4" xfId="51428"/>
    <cellStyle name="출력 2 21 2 7" xfId="37740"/>
    <cellStyle name="출력 2 21 2 7 2" xfId="43664"/>
    <cellStyle name="출력 2 21 2 7 3" xfId="50498"/>
    <cellStyle name="출력 2 21 2 7 4" xfId="51429"/>
    <cellStyle name="출력 2 21 2 8" xfId="29609"/>
    <cellStyle name="출력 2 21 2 9" xfId="14592"/>
    <cellStyle name="출력 2 21 3" xfId="5775"/>
    <cellStyle name="출력 2 21 3 10" xfId="45287"/>
    <cellStyle name="출력 2 21 3 2" xfId="10509"/>
    <cellStyle name="출력 2 21 3 2 2" xfId="23737"/>
    <cellStyle name="출력 2 21 3 2 3" xfId="33289"/>
    <cellStyle name="출력 2 21 3 2 4" xfId="39503"/>
    <cellStyle name="출력 2 21 3 2 5" xfId="46432"/>
    <cellStyle name="출력 2 21 3 3" xfId="7968"/>
    <cellStyle name="출력 2 21 3 3 2" xfId="21196"/>
    <cellStyle name="출력 2 21 3 3 3" xfId="35770"/>
    <cellStyle name="출력 2 21 3 3 4" xfId="41654"/>
    <cellStyle name="출력 2 21 3 3 5" xfId="48488"/>
    <cellStyle name="출력 2 21 3 4" xfId="19014"/>
    <cellStyle name="출력 2 21 3 4 2" xfId="31903"/>
    <cellStyle name="출력 2 21 3 4 3" xfId="38124"/>
    <cellStyle name="출력 2 21 3 4 4" xfId="46593"/>
    <cellStyle name="출력 2 21 3 5" xfId="31333"/>
    <cellStyle name="출력 2 21 3 5 2" xfId="15235"/>
    <cellStyle name="출력 2 21 3 5 3" xfId="47085"/>
    <cellStyle name="출력 2 21 3 6" xfId="37017"/>
    <cellStyle name="출력 2 21 3 6 2" xfId="42936"/>
    <cellStyle name="출력 2 21 3 6 3" xfId="49770"/>
    <cellStyle name="출력 2 21 3 6 4" xfId="51430"/>
    <cellStyle name="출력 2 21 3 7" xfId="36696"/>
    <cellStyle name="출력 2 21 3 7 2" xfId="42600"/>
    <cellStyle name="출력 2 21 3 7 3" xfId="49434"/>
    <cellStyle name="출력 2 21 3 7 4" xfId="51431"/>
    <cellStyle name="출력 2 21 3 8" xfId="28986"/>
    <cellStyle name="출력 2 21 3 9" xfId="27823"/>
    <cellStyle name="출력 2 21 4" xfId="9779"/>
    <cellStyle name="출력 2 21 4 10" xfId="17437"/>
    <cellStyle name="출력 2 21 4 2" xfId="13416"/>
    <cellStyle name="출력 2 21 4 2 2" xfId="26644"/>
    <cellStyle name="출력 2 21 4 2 3" xfId="32896"/>
    <cellStyle name="출력 2 21 4 2 4" xfId="39116"/>
    <cellStyle name="출력 2 21 4 2 5" xfId="34134"/>
    <cellStyle name="출력 2 21 4 3" xfId="14125"/>
    <cellStyle name="출력 2 21 4 3 2" xfId="27353"/>
    <cellStyle name="출력 2 21 4 3 3" xfId="35392"/>
    <cellStyle name="출력 2 21 4 3 4" xfId="41284"/>
    <cellStyle name="출력 2 21 4 3 5" xfId="48095"/>
    <cellStyle name="출력 2 21 4 4" xfId="7451"/>
    <cellStyle name="출력 2 21 4 4 2" xfId="20679"/>
    <cellStyle name="출력 2 21 4 4 3" xfId="31138"/>
    <cellStyle name="출력 2 21 4 4 4" xfId="17066"/>
    <cellStyle name="출력 2 21 4 4 5" xfId="40285"/>
    <cellStyle name="출력 2 21 4 5" xfId="23007"/>
    <cellStyle name="출력 2 21 4 5 2" xfId="29897"/>
    <cellStyle name="출력 2 21 4 5 3" xfId="18104"/>
    <cellStyle name="출력 2 21 4 5 4" xfId="32258"/>
    <cellStyle name="출력 2 21 4 6" xfId="31233"/>
    <cellStyle name="출력 2 21 4 6 2" xfId="17137"/>
    <cellStyle name="출력 2 21 4 6 3" xfId="34286"/>
    <cellStyle name="출력 2 21 4 7" xfId="37774"/>
    <cellStyle name="출력 2 21 4 7 2" xfId="43698"/>
    <cellStyle name="출력 2 21 4 7 3" xfId="50532"/>
    <cellStyle name="출력 2 21 4 7 4" xfId="51432"/>
    <cellStyle name="출력 2 21 4 8" xfId="28585"/>
    <cellStyle name="출력 2 21 4 9" xfId="40266"/>
    <cellStyle name="출력 2 21 5" xfId="8429"/>
    <cellStyle name="출력 2 21 5 2" xfId="21657"/>
    <cellStyle name="출력 2 21 6" xfId="44495"/>
    <cellStyle name="출력 2 22" xfId="3640"/>
    <cellStyle name="출력 2 22 2" xfId="6558"/>
    <cellStyle name="출력 2 22 2 10" xfId="44042"/>
    <cellStyle name="출력 2 22 2 2" xfId="11292"/>
    <cellStyle name="출력 2 22 2 2 2" xfId="24520"/>
    <cellStyle name="출력 2 22 2 2 3" xfId="33922"/>
    <cellStyle name="출력 2 22 2 2 4" xfId="39979"/>
    <cellStyle name="출력 2 22 2 2 5" xfId="41245"/>
    <cellStyle name="출력 2 22 2 3" xfId="12958"/>
    <cellStyle name="출력 2 22 2 3 2" xfId="26186"/>
    <cellStyle name="출력 2 22 2 3 3" xfId="36348"/>
    <cellStyle name="출력 2 22 2 3 4" xfId="42241"/>
    <cellStyle name="출력 2 22 2 3 5" xfId="49075"/>
    <cellStyle name="출력 2 22 2 4" xfId="19786"/>
    <cellStyle name="출력 2 22 2 4 2" xfId="32031"/>
    <cellStyle name="출력 2 22 2 4 3" xfId="38254"/>
    <cellStyle name="출력 2 22 2 4 4" xfId="29122"/>
    <cellStyle name="출력 2 22 2 5" xfId="35877"/>
    <cellStyle name="출력 2 22 2 5 2" xfId="41769"/>
    <cellStyle name="출력 2 22 2 5 3" xfId="48603"/>
    <cellStyle name="출력 2 22 2 6" xfId="32117"/>
    <cellStyle name="출력 2 22 2 6 2" xfId="38340"/>
    <cellStyle name="출력 2 22 2 6 3" xfId="38447"/>
    <cellStyle name="출력 2 22 2 6 4" xfId="51433"/>
    <cellStyle name="출력 2 22 2 7" xfId="34938"/>
    <cellStyle name="출력 2 22 2 7 2" xfId="40936"/>
    <cellStyle name="출력 2 22 2 7 3" xfId="47632"/>
    <cellStyle name="출력 2 22 2 7 4" xfId="51434"/>
    <cellStyle name="출력 2 22 2 8" xfId="29610"/>
    <cellStyle name="출력 2 22 2 9" xfId="18123"/>
    <cellStyle name="출력 2 22 3" xfId="5776"/>
    <cellStyle name="출력 2 22 3 10" xfId="44281"/>
    <cellStyle name="출력 2 22 3 2" xfId="10510"/>
    <cellStyle name="출력 2 22 3 2 2" xfId="23738"/>
    <cellStyle name="출력 2 22 3 2 3" xfId="33290"/>
    <cellStyle name="출력 2 22 3 2 4" xfId="39504"/>
    <cellStyle name="출력 2 22 3 2 5" xfId="39312"/>
    <cellStyle name="출력 2 22 3 3" xfId="7969"/>
    <cellStyle name="출력 2 22 3 3 2" xfId="21197"/>
    <cellStyle name="출력 2 22 3 3 3" xfId="35771"/>
    <cellStyle name="출력 2 22 3 3 4" xfId="41655"/>
    <cellStyle name="출력 2 22 3 3 5" xfId="48489"/>
    <cellStyle name="출력 2 22 3 4" xfId="19015"/>
    <cellStyle name="출력 2 22 3 4 2" xfId="31345"/>
    <cellStyle name="출력 2 22 3 4 3" xfId="18043"/>
    <cellStyle name="출력 2 22 3 4 4" xfId="47616"/>
    <cellStyle name="출력 2 22 3 5" xfId="34784"/>
    <cellStyle name="출력 2 22 3 5 2" xfId="40780"/>
    <cellStyle name="출력 2 22 3 5 3" xfId="40302"/>
    <cellStyle name="출력 2 22 3 6" xfId="31274"/>
    <cellStyle name="출력 2 22 3 6 2" xfId="18626"/>
    <cellStyle name="출력 2 22 3 6 3" xfId="47577"/>
    <cellStyle name="출력 2 22 3 6 4" xfId="51435"/>
    <cellStyle name="출력 2 22 3 7" xfId="37489"/>
    <cellStyle name="출력 2 22 3 7 2" xfId="43409"/>
    <cellStyle name="출력 2 22 3 7 3" xfId="50243"/>
    <cellStyle name="출력 2 22 3 7 4" xfId="51436"/>
    <cellStyle name="출력 2 22 3 8" xfId="28987"/>
    <cellStyle name="출력 2 22 3 9" xfId="15899"/>
    <cellStyle name="출력 2 22 4" xfId="9780"/>
    <cellStyle name="출력 2 22 4 10" xfId="17403"/>
    <cellStyle name="출력 2 22 4 2" xfId="13417"/>
    <cellStyle name="출력 2 22 4 2 2" xfId="26645"/>
    <cellStyle name="출력 2 22 4 2 3" xfId="32897"/>
    <cellStyle name="출력 2 22 4 2 4" xfId="39117"/>
    <cellStyle name="출력 2 22 4 2 5" xfId="30055"/>
    <cellStyle name="출력 2 22 4 3" xfId="13616"/>
    <cellStyle name="출력 2 22 4 3 2" xfId="26844"/>
    <cellStyle name="출력 2 22 4 3 3" xfId="35393"/>
    <cellStyle name="출력 2 22 4 3 4" xfId="41285"/>
    <cellStyle name="출력 2 22 4 3 5" xfId="48096"/>
    <cellStyle name="출력 2 22 4 4" xfId="13970"/>
    <cellStyle name="출력 2 22 4 4 2" xfId="27198"/>
    <cellStyle name="출력 2 22 4 4 3" xfId="31139"/>
    <cellStyle name="출력 2 22 4 4 4" xfId="17067"/>
    <cellStyle name="출력 2 22 4 4 5" xfId="34503"/>
    <cellStyle name="출력 2 22 4 5" xfId="23008"/>
    <cellStyle name="출력 2 22 4 5 2" xfId="34801"/>
    <cellStyle name="출력 2 22 4 5 3" xfId="40797"/>
    <cellStyle name="출력 2 22 4 5 4" xfId="27890"/>
    <cellStyle name="출력 2 22 4 6" xfId="30361"/>
    <cellStyle name="출력 2 22 4 6 2" xfId="16777"/>
    <cellStyle name="출력 2 22 4 6 3" xfId="28755"/>
    <cellStyle name="출력 2 22 4 7" xfId="35528"/>
    <cellStyle name="출력 2 22 4 7 2" xfId="41401"/>
    <cellStyle name="출력 2 22 4 7 3" xfId="48235"/>
    <cellStyle name="출력 2 22 4 7 4" xfId="51437"/>
    <cellStyle name="출력 2 22 4 8" xfId="28586"/>
    <cellStyle name="출력 2 22 4 9" xfId="39178"/>
    <cellStyle name="출력 2 22 5" xfId="8430"/>
    <cellStyle name="출력 2 22 5 2" xfId="21658"/>
    <cellStyle name="출력 2 22 6" xfId="27944"/>
    <cellStyle name="출력 2 23" xfId="3641"/>
    <cellStyle name="출력 2 23 2" xfId="6559"/>
    <cellStyle name="출력 2 23 2 10" xfId="16519"/>
    <cellStyle name="출력 2 23 2 2" xfId="11293"/>
    <cellStyle name="출력 2 23 2 2 2" xfId="24521"/>
    <cellStyle name="출력 2 23 2 2 3" xfId="33923"/>
    <cellStyle name="출력 2 23 2 2 4" xfId="39980"/>
    <cellStyle name="출력 2 23 2 2 5" xfId="33040"/>
    <cellStyle name="출력 2 23 2 3" xfId="8615"/>
    <cellStyle name="출력 2 23 2 3 2" xfId="21843"/>
    <cellStyle name="출력 2 23 2 3 3" xfId="36349"/>
    <cellStyle name="출력 2 23 2 3 4" xfId="42242"/>
    <cellStyle name="출력 2 23 2 3 5" xfId="49076"/>
    <cellStyle name="출력 2 23 2 4" xfId="19787"/>
    <cellStyle name="출력 2 23 2 4 2" xfId="29893"/>
    <cellStyle name="출력 2 23 2 4 3" xfId="16435"/>
    <cellStyle name="출력 2 23 2 4 4" xfId="40546"/>
    <cellStyle name="출력 2 23 2 5" xfId="30127"/>
    <cellStyle name="출력 2 23 2 5 2" xfId="16595"/>
    <cellStyle name="출력 2 23 2 5 3" xfId="34612"/>
    <cellStyle name="출력 2 23 2 6" xfId="30170"/>
    <cellStyle name="출력 2 23 2 6 2" xfId="16631"/>
    <cellStyle name="출력 2 23 2 6 3" xfId="45335"/>
    <cellStyle name="출력 2 23 2 6 4" xfId="51438"/>
    <cellStyle name="출력 2 23 2 7" xfId="36840"/>
    <cellStyle name="출력 2 23 2 7 2" xfId="42751"/>
    <cellStyle name="출력 2 23 2 7 3" xfId="49585"/>
    <cellStyle name="출력 2 23 2 7 4" xfId="51439"/>
    <cellStyle name="출력 2 23 2 8" xfId="29611"/>
    <cellStyle name="출력 2 23 2 9" xfId="27812"/>
    <cellStyle name="출력 2 23 3" xfId="5777"/>
    <cellStyle name="출력 2 23 3 10" xfId="40534"/>
    <cellStyle name="출력 2 23 3 2" xfId="10511"/>
    <cellStyle name="출력 2 23 3 2 2" xfId="23739"/>
    <cellStyle name="출력 2 23 3 2 3" xfId="33291"/>
    <cellStyle name="출력 2 23 3 2 4" xfId="39505"/>
    <cellStyle name="출력 2 23 3 2 5" xfId="47052"/>
    <cellStyle name="출력 2 23 3 3" xfId="7970"/>
    <cellStyle name="출력 2 23 3 3 2" xfId="21198"/>
    <cellStyle name="출력 2 23 3 3 3" xfId="35772"/>
    <cellStyle name="출력 2 23 3 3 4" xfId="41656"/>
    <cellStyle name="출력 2 23 3 3 5" xfId="48490"/>
    <cellStyle name="출력 2 23 3 4" xfId="19016"/>
    <cellStyle name="출력 2 23 3 4 2" xfId="32165"/>
    <cellStyle name="출력 2 23 3 4 3" xfId="38390"/>
    <cellStyle name="출력 2 23 3 4 4" xfId="45757"/>
    <cellStyle name="출력 2 23 3 5" xfId="31541"/>
    <cellStyle name="출력 2 23 3 5 2" xfId="17295"/>
    <cellStyle name="출력 2 23 3 5 3" xfId="46377"/>
    <cellStyle name="출력 2 23 3 6" xfId="37229"/>
    <cellStyle name="출력 2 23 3 6 2" xfId="43148"/>
    <cellStyle name="출력 2 23 3 6 3" xfId="49982"/>
    <cellStyle name="출력 2 23 3 6 4" xfId="51440"/>
    <cellStyle name="출력 2 23 3 7" xfId="36910"/>
    <cellStyle name="출력 2 23 3 7 2" xfId="42825"/>
    <cellStyle name="출력 2 23 3 7 3" xfId="49659"/>
    <cellStyle name="출력 2 23 3 7 4" xfId="51441"/>
    <cellStyle name="출력 2 23 3 8" xfId="28988"/>
    <cellStyle name="출력 2 23 3 9" xfId="15900"/>
    <cellStyle name="출력 2 23 4" xfId="9781"/>
    <cellStyle name="출력 2 23 4 10" xfId="39579"/>
    <cellStyle name="출력 2 23 4 2" xfId="13418"/>
    <cellStyle name="출력 2 23 4 2 2" xfId="26646"/>
    <cellStyle name="출력 2 23 4 2 3" xfId="32898"/>
    <cellStyle name="출력 2 23 4 2 4" xfId="39118"/>
    <cellStyle name="출력 2 23 4 2 5" xfId="46698"/>
    <cellStyle name="출력 2 23 4 3" xfId="14222"/>
    <cellStyle name="출력 2 23 4 3 2" xfId="27450"/>
    <cellStyle name="출력 2 23 4 3 3" xfId="35394"/>
    <cellStyle name="출력 2 23 4 3 4" xfId="41286"/>
    <cellStyle name="출력 2 23 4 3 5" xfId="48097"/>
    <cellStyle name="출력 2 23 4 4" xfId="8330"/>
    <cellStyle name="출력 2 23 4 4 2" xfId="21558"/>
    <cellStyle name="출력 2 23 4 4 3" xfId="31140"/>
    <cellStyle name="출력 2 23 4 4 4" xfId="17068"/>
    <cellStyle name="출력 2 23 4 4 5" xfId="15802"/>
    <cellStyle name="출력 2 23 4 5" xfId="23009"/>
    <cellStyle name="출력 2 23 4 5 2" xfId="35872"/>
    <cellStyle name="출력 2 23 4 5 3" xfId="41763"/>
    <cellStyle name="출력 2 23 4 5 4" xfId="48597"/>
    <cellStyle name="출력 2 23 4 6" xfId="30801"/>
    <cellStyle name="출력 2 23 4 6 2" xfId="16942"/>
    <cellStyle name="출력 2 23 4 6 3" xfId="40522"/>
    <cellStyle name="출력 2 23 4 7" xfId="31296"/>
    <cellStyle name="출력 2 23 4 7 2" xfId="18462"/>
    <cellStyle name="출력 2 23 4 7 3" xfId="40081"/>
    <cellStyle name="출력 2 23 4 7 4" xfId="51442"/>
    <cellStyle name="출력 2 23 4 8" xfId="28587"/>
    <cellStyle name="출력 2 23 4 9" xfId="27842"/>
    <cellStyle name="출력 2 23 5" xfId="8431"/>
    <cellStyle name="출력 2 23 5 2" xfId="21659"/>
    <cellStyle name="출력 2 23 6" xfId="47350"/>
    <cellStyle name="출력 2 24" xfId="3642"/>
    <cellStyle name="출력 2 24 2" xfId="6560"/>
    <cellStyle name="출력 2 24 2 10" xfId="44443"/>
    <cellStyle name="출력 2 24 2 2" xfId="11294"/>
    <cellStyle name="출력 2 24 2 2 2" xfId="24522"/>
    <cellStyle name="출력 2 24 2 2 3" xfId="33924"/>
    <cellStyle name="출력 2 24 2 2 4" xfId="39981"/>
    <cellStyle name="출력 2 24 2 2 5" xfId="39936"/>
    <cellStyle name="출력 2 24 2 3" xfId="8251"/>
    <cellStyle name="출력 2 24 2 3 2" xfId="21479"/>
    <cellStyle name="출력 2 24 2 3 3" xfId="36350"/>
    <cellStyle name="출력 2 24 2 3 4" xfId="42243"/>
    <cellStyle name="출력 2 24 2 3 5" xfId="49077"/>
    <cellStyle name="출력 2 24 2 4" xfId="19788"/>
    <cellStyle name="출력 2 24 2 4 2" xfId="31564"/>
    <cellStyle name="출력 2 24 2 4 3" xfId="17308"/>
    <cellStyle name="출력 2 24 2 4 4" xfId="15309"/>
    <cellStyle name="출력 2 24 2 5" xfId="34807"/>
    <cellStyle name="출력 2 24 2 5 2" xfId="40803"/>
    <cellStyle name="출력 2 24 2 5 3" xfId="32209"/>
    <cellStyle name="출력 2 24 2 6" xfId="29861"/>
    <cellStyle name="출력 2 24 2 6 2" xfId="14610"/>
    <cellStyle name="출력 2 24 2 6 3" xfId="15924"/>
    <cellStyle name="출력 2 24 2 6 4" xfId="51443"/>
    <cellStyle name="출력 2 24 2 7" xfId="37592"/>
    <cellStyle name="출력 2 24 2 7 2" xfId="43515"/>
    <cellStyle name="출력 2 24 2 7 3" xfId="50349"/>
    <cellStyle name="출력 2 24 2 7 4" xfId="51444"/>
    <cellStyle name="출력 2 24 2 8" xfId="29612"/>
    <cellStyle name="출력 2 24 2 9" xfId="16229"/>
    <cellStyle name="출력 2 24 3" xfId="5778"/>
    <cellStyle name="출력 2 24 3 10" xfId="44518"/>
    <cellStyle name="출력 2 24 3 2" xfId="10512"/>
    <cellStyle name="출력 2 24 3 2 2" xfId="23740"/>
    <cellStyle name="출력 2 24 3 2 3" xfId="33292"/>
    <cellStyle name="출력 2 24 3 2 4" xfId="39506"/>
    <cellStyle name="출력 2 24 3 2 5" xfId="28820"/>
    <cellStyle name="출력 2 24 3 3" xfId="8596"/>
    <cellStyle name="출력 2 24 3 3 2" xfId="21824"/>
    <cellStyle name="출력 2 24 3 3 3" xfId="35773"/>
    <cellStyle name="출력 2 24 3 3 4" xfId="41657"/>
    <cellStyle name="출력 2 24 3 3 5" xfId="48491"/>
    <cellStyle name="출력 2 24 3 4" xfId="19017"/>
    <cellStyle name="출력 2 24 3 4 2" xfId="30115"/>
    <cellStyle name="출력 2 24 3 4 3" xfId="16588"/>
    <cellStyle name="출력 2 24 3 4 4" xfId="39398"/>
    <cellStyle name="출력 2 24 3 5" xfId="30092"/>
    <cellStyle name="출력 2 24 3 5 2" xfId="16572"/>
    <cellStyle name="출력 2 24 3 5 3" xfId="44504"/>
    <cellStyle name="출력 2 24 3 6" xfId="30847"/>
    <cellStyle name="출력 2 24 3 6 2" xfId="15119"/>
    <cellStyle name="출력 2 24 3 6 3" xfId="17626"/>
    <cellStyle name="출력 2 24 3 6 4" xfId="51445"/>
    <cellStyle name="출력 2 24 3 7" xfId="30202"/>
    <cellStyle name="출력 2 24 3 7 2" xfId="16658"/>
    <cellStyle name="출력 2 24 3 7 3" xfId="28664"/>
    <cellStyle name="출력 2 24 3 7 4" xfId="51446"/>
    <cellStyle name="출력 2 24 3 8" xfId="28989"/>
    <cellStyle name="출력 2 24 3 9" xfId="14761"/>
    <cellStyle name="출력 2 24 4" xfId="9782"/>
    <cellStyle name="출력 2 24 4 10" xfId="33211"/>
    <cellStyle name="출력 2 24 4 2" xfId="13419"/>
    <cellStyle name="출력 2 24 4 2 2" xfId="26647"/>
    <cellStyle name="출력 2 24 4 2 3" xfId="32899"/>
    <cellStyle name="출력 2 24 4 2 4" xfId="39119"/>
    <cellStyle name="출력 2 24 4 2 5" xfId="33328"/>
    <cellStyle name="출력 2 24 4 3" xfId="13079"/>
    <cellStyle name="출력 2 24 4 3 2" xfId="26307"/>
    <cellStyle name="출력 2 24 4 3 3" xfId="35395"/>
    <cellStyle name="출력 2 24 4 3 4" xfId="41287"/>
    <cellStyle name="출력 2 24 4 3 5" xfId="48098"/>
    <cellStyle name="출력 2 24 4 4" xfId="7361"/>
    <cellStyle name="출력 2 24 4 4 2" xfId="20589"/>
    <cellStyle name="출력 2 24 4 4 3" xfId="31141"/>
    <cellStyle name="출력 2 24 4 4 4" xfId="17069"/>
    <cellStyle name="출력 2 24 4 4 5" xfId="32985"/>
    <cellStyle name="출력 2 24 4 5" xfId="23010"/>
    <cellStyle name="출력 2 24 4 5 2" xfId="36943"/>
    <cellStyle name="출력 2 24 4 5 3" xfId="42860"/>
    <cellStyle name="출력 2 24 4 5 4" xfId="49694"/>
    <cellStyle name="출력 2 24 4 6" xfId="30530"/>
    <cellStyle name="출력 2 24 4 6 2" xfId="18028"/>
    <cellStyle name="출력 2 24 4 6 3" xfId="27786"/>
    <cellStyle name="출력 2 24 4 7" xfId="31929"/>
    <cellStyle name="출력 2 24 4 7 2" xfId="38151"/>
    <cellStyle name="출력 2 24 4 7 3" xfId="47001"/>
    <cellStyle name="출력 2 24 4 7 4" xfId="51447"/>
    <cellStyle name="출력 2 24 4 8" xfId="28588"/>
    <cellStyle name="출력 2 24 4 9" xfId="39524"/>
    <cellStyle name="출력 2 24 5" xfId="8432"/>
    <cellStyle name="출력 2 24 5 2" xfId="21660"/>
    <cellStyle name="출력 2 24 6" xfId="47266"/>
    <cellStyle name="출력 2 25" xfId="3643"/>
    <cellStyle name="출력 2 25 2" xfId="6561"/>
    <cellStyle name="출력 2 25 2 10" xfId="45429"/>
    <cellStyle name="출력 2 25 2 2" xfId="11295"/>
    <cellStyle name="출력 2 25 2 2 2" xfId="24523"/>
    <cellStyle name="출력 2 25 2 2 3" xfId="33925"/>
    <cellStyle name="출력 2 25 2 2 4" xfId="39982"/>
    <cellStyle name="출력 2 25 2 2 5" xfId="27843"/>
    <cellStyle name="출력 2 25 2 3" xfId="8250"/>
    <cellStyle name="출력 2 25 2 3 2" xfId="21478"/>
    <cellStyle name="출력 2 25 2 3 3" xfId="36351"/>
    <cellStyle name="출력 2 25 2 3 4" xfId="42244"/>
    <cellStyle name="출력 2 25 2 3 5" xfId="49078"/>
    <cellStyle name="출력 2 25 2 4" xfId="19789"/>
    <cellStyle name="출력 2 25 2 4 2" xfId="30096"/>
    <cellStyle name="출력 2 25 2 4 3" xfId="16575"/>
    <cellStyle name="출력 2 25 2 4 4" xfId="14500"/>
    <cellStyle name="출력 2 25 2 5" xfId="31899"/>
    <cellStyle name="출력 2 25 2 5 2" xfId="38120"/>
    <cellStyle name="출력 2 25 2 5 3" xfId="28698"/>
    <cellStyle name="출력 2 25 2 6" xfId="31958"/>
    <cellStyle name="출력 2 25 2 6 2" xfId="38181"/>
    <cellStyle name="출력 2 25 2 6 3" xfId="40490"/>
    <cellStyle name="출력 2 25 2 6 4" xfId="51448"/>
    <cellStyle name="출력 2 25 2 7" xfId="36707"/>
    <cellStyle name="출력 2 25 2 7 2" xfId="42612"/>
    <cellStyle name="출력 2 25 2 7 3" xfId="49446"/>
    <cellStyle name="출력 2 25 2 7 4" xfId="51449"/>
    <cellStyle name="출력 2 25 2 8" xfId="29613"/>
    <cellStyle name="출력 2 25 2 9" xfId="16230"/>
    <cellStyle name="출력 2 25 3" xfId="5779"/>
    <cellStyle name="출력 2 25 3 10" xfId="45487"/>
    <cellStyle name="출력 2 25 3 2" xfId="10513"/>
    <cellStyle name="출력 2 25 3 2 2" xfId="23741"/>
    <cellStyle name="출력 2 25 3 2 3" xfId="33293"/>
    <cellStyle name="출력 2 25 3 2 4" xfId="39507"/>
    <cellStyle name="출력 2 25 3 2 5" xfId="45768"/>
    <cellStyle name="출력 2 25 3 3" xfId="7989"/>
    <cellStyle name="출력 2 25 3 3 2" xfId="21217"/>
    <cellStyle name="출력 2 25 3 3 3" xfId="35774"/>
    <cellStyle name="출력 2 25 3 3 4" xfId="41658"/>
    <cellStyle name="출력 2 25 3 3 5" xfId="48492"/>
    <cellStyle name="출력 2 25 3 4" xfId="19018"/>
    <cellStyle name="출력 2 25 3 4 2" xfId="32308"/>
    <cellStyle name="출력 2 25 3 4 3" xfId="38526"/>
    <cellStyle name="출력 2 25 3 4 4" xfId="15340"/>
    <cellStyle name="출력 2 25 3 5" xfId="36550"/>
    <cellStyle name="출력 2 25 3 5 2" xfId="42448"/>
    <cellStyle name="출력 2 25 3 5 3" xfId="49282"/>
    <cellStyle name="출력 2 25 3 6" xfId="37459"/>
    <cellStyle name="출력 2 25 3 6 2" xfId="43379"/>
    <cellStyle name="출력 2 25 3 6 3" xfId="50213"/>
    <cellStyle name="출력 2 25 3 6 4" xfId="51450"/>
    <cellStyle name="출력 2 25 3 7" xfId="37472"/>
    <cellStyle name="출력 2 25 3 7 2" xfId="43392"/>
    <cellStyle name="출력 2 25 3 7 3" xfId="50226"/>
    <cellStyle name="출력 2 25 3 7 4" xfId="51451"/>
    <cellStyle name="출력 2 25 3 8" xfId="28990"/>
    <cellStyle name="출력 2 25 3 9" xfId="35692"/>
    <cellStyle name="출력 2 25 4" xfId="9783"/>
    <cellStyle name="출력 2 25 4 10" xfId="45152"/>
    <cellStyle name="출력 2 25 4 2" xfId="13420"/>
    <cellStyle name="출력 2 25 4 2 2" xfId="26648"/>
    <cellStyle name="출력 2 25 4 2 3" xfId="32900"/>
    <cellStyle name="출력 2 25 4 2 4" xfId="39120"/>
    <cellStyle name="출력 2 25 4 2 5" xfId="47106"/>
    <cellStyle name="출력 2 25 4 3" xfId="14082"/>
    <cellStyle name="출력 2 25 4 3 2" xfId="27310"/>
    <cellStyle name="출력 2 25 4 3 3" xfId="35396"/>
    <cellStyle name="출력 2 25 4 3 4" xfId="41288"/>
    <cellStyle name="출력 2 25 4 3 5" xfId="48099"/>
    <cellStyle name="출력 2 25 4 4" xfId="7338"/>
    <cellStyle name="출력 2 25 4 4 2" xfId="20566"/>
    <cellStyle name="출력 2 25 4 4 3" xfId="31142"/>
    <cellStyle name="출력 2 25 4 4 4" xfId="17070"/>
    <cellStyle name="출력 2 25 4 4 5" xfId="34253"/>
    <cellStyle name="출력 2 25 4 5" xfId="23011"/>
    <cellStyle name="출력 2 25 4 5 2" xfId="35532"/>
    <cellStyle name="출력 2 25 4 5 3" xfId="41406"/>
    <cellStyle name="출력 2 25 4 5 4" xfId="48240"/>
    <cellStyle name="출력 2 25 4 6" xfId="37007"/>
    <cellStyle name="출력 2 25 4 6 2" xfId="42926"/>
    <cellStyle name="출력 2 25 4 6 3" xfId="49760"/>
    <cellStyle name="출력 2 25 4 7" xfId="30124"/>
    <cellStyle name="출력 2 25 4 7 2" xfId="16593"/>
    <cellStyle name="출력 2 25 4 7 3" xfId="45472"/>
    <cellStyle name="출력 2 25 4 7 4" xfId="51452"/>
    <cellStyle name="출력 2 25 4 8" xfId="28589"/>
    <cellStyle name="출력 2 25 4 9" xfId="40503"/>
    <cellStyle name="출력 2 25 5" xfId="8433"/>
    <cellStyle name="출력 2 25 5 2" xfId="21661"/>
    <cellStyle name="출력 2 25 6" xfId="46659"/>
    <cellStyle name="출력 2 26" xfId="3644"/>
    <cellStyle name="출력 2 27" xfId="4888"/>
    <cellStyle name="출력 2 28" xfId="3624"/>
    <cellStyle name="출력 2 28 2" xfId="6543"/>
    <cellStyle name="출력 2 28 2 10" xfId="32454"/>
    <cellStyle name="출력 2 28 2 2" xfId="11277"/>
    <cellStyle name="출력 2 28 2 2 2" xfId="24505"/>
    <cellStyle name="출력 2 28 2 2 3" xfId="33907"/>
    <cellStyle name="출력 2 28 2 2 4" xfId="39964"/>
    <cellStyle name="출력 2 28 2 2 5" xfId="41242"/>
    <cellStyle name="출력 2 28 2 3" xfId="8670"/>
    <cellStyle name="출력 2 28 2 3 2" xfId="21898"/>
    <cellStyle name="출력 2 28 2 3 3" xfId="36333"/>
    <cellStyle name="출력 2 28 2 3 4" xfId="42226"/>
    <cellStyle name="출력 2 28 2 3 5" xfId="49060"/>
    <cellStyle name="출력 2 28 2 4" xfId="19771"/>
    <cellStyle name="출력 2 28 2 4 2" xfId="29889"/>
    <cellStyle name="출력 2 28 2 4 3" xfId="16431"/>
    <cellStyle name="출력 2 28 2 4 4" xfId="39276"/>
    <cellStyle name="출력 2 28 2 5" xfId="34804"/>
    <cellStyle name="출력 2 28 2 5 2" xfId="40800"/>
    <cellStyle name="출력 2 28 2 5 3" xfId="17507"/>
    <cellStyle name="출력 2 28 2 6" xfId="30364"/>
    <cellStyle name="출력 2 28 2 6 2" xfId="16774"/>
    <cellStyle name="출력 2 28 2 6 3" xfId="45163"/>
    <cellStyle name="출력 2 28 2 6 4" xfId="51453"/>
    <cellStyle name="출력 2 28 2 7" xfId="36648"/>
    <cellStyle name="출력 2 28 2 7 2" xfId="42550"/>
    <cellStyle name="출력 2 28 2 7 3" xfId="49384"/>
    <cellStyle name="출력 2 28 2 7 4" xfId="51454"/>
    <cellStyle name="출력 2 28 2 8" xfId="29595"/>
    <cellStyle name="출력 2 28 2 9" xfId="17671"/>
    <cellStyle name="출력 2 28 3" xfId="5761"/>
    <cellStyle name="출력 2 28 3 10" xfId="44598"/>
    <cellStyle name="출력 2 28 3 2" xfId="10495"/>
    <cellStyle name="출력 2 28 3 2 2" xfId="23723"/>
    <cellStyle name="출력 2 28 3 2 3" xfId="33275"/>
    <cellStyle name="출력 2 28 3 2 4" xfId="39489"/>
    <cellStyle name="출력 2 28 3 2 5" xfId="47349"/>
    <cellStyle name="출력 2 28 3 3" xfId="7954"/>
    <cellStyle name="출력 2 28 3 3 2" xfId="21182"/>
    <cellStyle name="출력 2 28 3 3 3" xfId="35756"/>
    <cellStyle name="출력 2 28 3 3 4" xfId="41640"/>
    <cellStyle name="출력 2 28 3 3 5" xfId="48474"/>
    <cellStyle name="출력 2 28 3 4" xfId="19000"/>
    <cellStyle name="출력 2 28 3 4 2" xfId="31336"/>
    <cellStyle name="출력 2 28 3 4 3" xfId="15121"/>
    <cellStyle name="출력 2 28 3 4 4" xfId="47407"/>
    <cellStyle name="출력 2 28 3 5" xfId="34648"/>
    <cellStyle name="출력 2 28 3 5 2" xfId="40637"/>
    <cellStyle name="출력 2 28 3 5 3" xfId="34542"/>
    <cellStyle name="출력 2 28 3 6" xfId="37366"/>
    <cellStyle name="출력 2 28 3 6 2" xfId="43286"/>
    <cellStyle name="출력 2 28 3 6 3" xfId="50120"/>
    <cellStyle name="출력 2 28 3 6 4" xfId="51455"/>
    <cellStyle name="출력 2 28 3 7" xfId="30556"/>
    <cellStyle name="출력 2 28 3 7 2" xfId="15194"/>
    <cellStyle name="출력 2 28 3 7 3" xfId="46646"/>
    <cellStyle name="출력 2 28 3 7 4" xfId="51456"/>
    <cellStyle name="출력 2 28 3 8" xfId="28972"/>
    <cellStyle name="출력 2 28 3 9" xfId="14549"/>
    <cellStyle name="출력 2 28 4" xfId="9765"/>
    <cellStyle name="출력 2 28 4 10" xfId="28239"/>
    <cellStyle name="출력 2 28 4 2" xfId="13402"/>
    <cellStyle name="출력 2 28 4 2 2" xfId="26630"/>
    <cellStyle name="출력 2 28 4 2 3" xfId="32882"/>
    <cellStyle name="출력 2 28 4 2 4" xfId="39102"/>
    <cellStyle name="출력 2 28 4 2 5" xfId="46917"/>
    <cellStyle name="출력 2 28 4 3" xfId="13694"/>
    <cellStyle name="출력 2 28 4 3 2" xfId="26922"/>
    <cellStyle name="출력 2 28 4 3 3" xfId="35378"/>
    <cellStyle name="출력 2 28 4 3 4" xfId="41270"/>
    <cellStyle name="출력 2 28 4 3 5" xfId="48081"/>
    <cellStyle name="출력 2 28 4 4" xfId="8651"/>
    <cellStyle name="출력 2 28 4 4 2" xfId="21879"/>
    <cellStyle name="출력 2 28 4 4 3" xfId="31124"/>
    <cellStyle name="출력 2 28 4 4 4" xfId="18109"/>
    <cellStyle name="출력 2 28 4 4 5" xfId="46424"/>
    <cellStyle name="출력 2 28 4 5" xfId="22993"/>
    <cellStyle name="출력 2 28 4 5 2" xfId="32319"/>
    <cellStyle name="출력 2 28 4 5 3" xfId="38537"/>
    <cellStyle name="출력 2 28 4 5 4" xfId="47395"/>
    <cellStyle name="출력 2 28 4 6" xfId="32027"/>
    <cellStyle name="출력 2 28 4 6 2" xfId="38250"/>
    <cellStyle name="출력 2 28 4 6 3" xfId="34262"/>
    <cellStyle name="출력 2 28 4 7" xfId="37226"/>
    <cellStyle name="출력 2 28 4 7 2" xfId="43145"/>
    <cellStyle name="출력 2 28 4 7 3" xfId="49979"/>
    <cellStyle name="출력 2 28 4 7 4" xfId="51457"/>
    <cellStyle name="출력 2 28 4 8" xfId="28571"/>
    <cellStyle name="출력 2 28 4 9" xfId="17542"/>
    <cellStyle name="출력 2 28 5" xfId="8415"/>
    <cellStyle name="출력 2 28 5 2" xfId="21643"/>
    <cellStyle name="출력 2 28 6" xfId="34256"/>
    <cellStyle name="출력 2 29" xfId="51458"/>
    <cellStyle name="출력 2 3" xfId="3645"/>
    <cellStyle name="출력 2 3 2" xfId="6562"/>
    <cellStyle name="출력 2 3 2 10" xfId="32172"/>
    <cellStyle name="출력 2 3 2 2" xfId="11296"/>
    <cellStyle name="출력 2 3 2 2 2" xfId="24524"/>
    <cellStyle name="출력 2 3 2 2 3" xfId="33926"/>
    <cellStyle name="출력 2 3 2 2 4" xfId="39983"/>
    <cellStyle name="출력 2 3 2 2 5" xfId="41246"/>
    <cellStyle name="출력 2 3 2 3" xfId="8616"/>
    <cellStyle name="출력 2 3 2 3 2" xfId="21844"/>
    <cellStyle name="출력 2 3 2 3 3" xfId="36352"/>
    <cellStyle name="출력 2 3 2 3 4" xfId="42245"/>
    <cellStyle name="출력 2 3 2 3 5" xfId="49079"/>
    <cellStyle name="출력 2 3 2 4" xfId="19790"/>
    <cellStyle name="출력 2 3 2 4 2" xfId="32169"/>
    <cellStyle name="출력 2 3 2 4 3" xfId="38394"/>
    <cellStyle name="출력 2 3 2 4 4" xfId="47608"/>
    <cellStyle name="출력 2 3 2 5" xfId="31659"/>
    <cellStyle name="출력 2 3 2 5 2" xfId="15273"/>
    <cellStyle name="출력 2 3 2 5 3" xfId="46277"/>
    <cellStyle name="출력 2 3 2 6" xfId="30510"/>
    <cellStyle name="출력 2 3 2 6 2" xfId="16820"/>
    <cellStyle name="출력 2 3 2 6 3" xfId="43950"/>
    <cellStyle name="출력 2 3 2 6 4" xfId="51459"/>
    <cellStyle name="출력 2 3 2 7" xfId="37483"/>
    <cellStyle name="출력 2 3 2 7 2" xfId="43403"/>
    <cellStyle name="출력 2 3 2 7 3" xfId="50237"/>
    <cellStyle name="출력 2 3 2 7 4" xfId="51460"/>
    <cellStyle name="출력 2 3 2 8" xfId="29614"/>
    <cellStyle name="출력 2 3 2 9" xfId="16231"/>
    <cellStyle name="출력 2 3 3" xfId="5780"/>
    <cellStyle name="출력 2 3 3 10" xfId="32541"/>
    <cellStyle name="출력 2 3 3 2" xfId="10514"/>
    <cellStyle name="출력 2 3 3 2 2" xfId="23742"/>
    <cellStyle name="출력 2 3 3 2 3" xfId="33294"/>
    <cellStyle name="출력 2 3 3 2 4" xfId="39508"/>
    <cellStyle name="출력 2 3 3 2 5" xfId="18489"/>
    <cellStyle name="출력 2 3 3 3" xfId="7972"/>
    <cellStyle name="출력 2 3 3 3 2" xfId="21200"/>
    <cellStyle name="출력 2 3 3 3 3" xfId="35775"/>
    <cellStyle name="출력 2 3 3 3 4" xfId="41659"/>
    <cellStyle name="출력 2 3 3 3 5" xfId="48493"/>
    <cellStyle name="출력 2 3 3 4" xfId="19019"/>
    <cellStyle name="출력 2 3 3 4 2" xfId="30114"/>
    <cellStyle name="출력 2 3 3 4 3" xfId="16587"/>
    <cellStyle name="출력 2 3 3 4 4" xfId="43988"/>
    <cellStyle name="출력 2 3 3 5" xfId="31542"/>
    <cellStyle name="출력 2 3 3 5 2" xfId="18023"/>
    <cellStyle name="출력 2 3 3 5 3" xfId="17593"/>
    <cellStyle name="출력 2 3 3 6" xfId="32365"/>
    <cellStyle name="출력 2 3 3 6 2" xfId="38583"/>
    <cellStyle name="출력 2 3 3 6 3" xfId="46320"/>
    <cellStyle name="출력 2 3 3 6 4" xfId="51461"/>
    <cellStyle name="출력 2 3 3 7" xfId="37658"/>
    <cellStyle name="출력 2 3 3 7 2" xfId="43581"/>
    <cellStyle name="출력 2 3 3 7 3" xfId="50415"/>
    <cellStyle name="출력 2 3 3 7 4" xfId="51462"/>
    <cellStyle name="출력 2 3 3 8" xfId="28991"/>
    <cellStyle name="출력 2 3 3 9" xfId="15902"/>
    <cellStyle name="출력 2 3 4" xfId="9784"/>
    <cellStyle name="출력 2 3 4 10" xfId="44019"/>
    <cellStyle name="출력 2 3 4 2" xfId="13421"/>
    <cellStyle name="출력 2 3 4 2 2" xfId="26649"/>
    <cellStyle name="출력 2 3 4 2 3" xfId="32901"/>
    <cellStyle name="출력 2 3 4 2 4" xfId="39121"/>
    <cellStyle name="출력 2 3 4 2 5" xfId="34116"/>
    <cellStyle name="출력 2 3 4 3" xfId="12901"/>
    <cellStyle name="출력 2 3 4 3 2" xfId="26129"/>
    <cellStyle name="출력 2 3 4 3 3" xfId="35397"/>
    <cellStyle name="출력 2 3 4 3 4" xfId="41289"/>
    <cellStyle name="출력 2 3 4 3 5" xfId="48100"/>
    <cellStyle name="출력 2 3 4 4" xfId="13931"/>
    <cellStyle name="출력 2 3 4 4 2" xfId="27159"/>
    <cellStyle name="출력 2 3 4 4 3" xfId="31143"/>
    <cellStyle name="출력 2 3 4 4 4" xfId="17071"/>
    <cellStyle name="출력 2 3 4 4 5" xfId="32526"/>
    <cellStyle name="출력 2 3 4 5" xfId="23012"/>
    <cellStyle name="출력 2 3 4 5 2" xfId="36718"/>
    <cellStyle name="출력 2 3 4 5 3" xfId="42623"/>
    <cellStyle name="출력 2 3 4 5 4" xfId="49457"/>
    <cellStyle name="출력 2 3 4 6" xfId="31806"/>
    <cellStyle name="출력 2 3 4 6 2" xfId="38027"/>
    <cellStyle name="출력 2 3 4 6 3" xfId="38709"/>
    <cellStyle name="출력 2 3 4 7" xfId="37787"/>
    <cellStyle name="출력 2 3 4 7 2" xfId="43711"/>
    <cellStyle name="출력 2 3 4 7 3" xfId="50545"/>
    <cellStyle name="출력 2 3 4 7 4" xfId="51463"/>
    <cellStyle name="출력 2 3 4 8" xfId="28590"/>
    <cellStyle name="출력 2 3 4 9" xfId="37152"/>
    <cellStyle name="출력 2 3 5" xfId="8434"/>
    <cellStyle name="출력 2 3 5 2" xfId="21662"/>
    <cellStyle name="출력 2 3 6" xfId="32279"/>
    <cellStyle name="출력 2 4" xfId="3646"/>
    <cellStyle name="출력 2 4 2" xfId="6563"/>
    <cellStyle name="출력 2 4 2 10" xfId="43888"/>
    <cellStyle name="출력 2 4 2 2" xfId="11297"/>
    <cellStyle name="출력 2 4 2 2 2" xfId="24525"/>
    <cellStyle name="출력 2 4 2 2 3" xfId="33927"/>
    <cellStyle name="출력 2 4 2 2 4" xfId="39984"/>
    <cellStyle name="출력 2 4 2 2 5" xfId="28738"/>
    <cellStyle name="출력 2 4 2 3" xfId="8253"/>
    <cellStyle name="출력 2 4 2 3 2" xfId="21481"/>
    <cellStyle name="출력 2 4 2 3 3" xfId="36353"/>
    <cellStyle name="출력 2 4 2 3 4" xfId="42246"/>
    <cellStyle name="출력 2 4 2 3 5" xfId="49080"/>
    <cellStyle name="출력 2 4 2 4" xfId="19791"/>
    <cellStyle name="출력 2 4 2 4 2" xfId="31563"/>
    <cellStyle name="출력 2 4 2 4 3" xfId="17307"/>
    <cellStyle name="출력 2 4 2 4 4" xfId="27836"/>
    <cellStyle name="출력 2 4 2 5" xfId="30126"/>
    <cellStyle name="출력 2 4 2 5 2" xfId="17719"/>
    <cellStyle name="출력 2 4 2 5 3" xfId="15839"/>
    <cellStyle name="출력 2 4 2 6" xfId="37158"/>
    <cellStyle name="출력 2 4 2 6 2" xfId="43077"/>
    <cellStyle name="출력 2 4 2 6 3" xfId="49911"/>
    <cellStyle name="출력 2 4 2 6 4" xfId="51464"/>
    <cellStyle name="출력 2 4 2 7" xfId="37757"/>
    <cellStyle name="출력 2 4 2 7 2" xfId="43681"/>
    <cellStyle name="출력 2 4 2 7 3" xfId="50515"/>
    <cellStyle name="출력 2 4 2 7 4" xfId="51465"/>
    <cellStyle name="출력 2 4 2 8" xfId="29615"/>
    <cellStyle name="출력 2 4 2 9" xfId="16232"/>
    <cellStyle name="출력 2 4 3" xfId="5781"/>
    <cellStyle name="출력 2 4 3 10" xfId="36568"/>
    <cellStyle name="출력 2 4 3 2" xfId="10515"/>
    <cellStyle name="출력 2 4 3 2 2" xfId="23743"/>
    <cellStyle name="출력 2 4 3 2 3" xfId="33295"/>
    <cellStyle name="출력 2 4 3 2 4" xfId="39509"/>
    <cellStyle name="출력 2 4 3 2 5" xfId="44083"/>
    <cellStyle name="출력 2 4 3 3" xfId="12980"/>
    <cellStyle name="출력 2 4 3 3 2" xfId="26208"/>
    <cellStyle name="출력 2 4 3 3 3" xfId="35776"/>
    <cellStyle name="출력 2 4 3 3 4" xfId="41660"/>
    <cellStyle name="출력 2 4 3 3 5" xfId="48494"/>
    <cellStyle name="출력 2 4 3 4" xfId="19020"/>
    <cellStyle name="출력 2 4 3 4 2" xfId="31331"/>
    <cellStyle name="출력 2 4 3 4 3" xfId="17850"/>
    <cellStyle name="출력 2 4 3 4 4" xfId="15436"/>
    <cellStyle name="출력 2 4 3 5" xfId="31334"/>
    <cellStyle name="출력 2 4 3 5 2" xfId="17202"/>
    <cellStyle name="출력 2 4 3 5 3" xfId="45695"/>
    <cellStyle name="출력 2 4 3 6" xfId="30085"/>
    <cellStyle name="출력 2 4 3 6 2" xfId="16565"/>
    <cellStyle name="출력 2 4 3 6 3" xfId="44391"/>
    <cellStyle name="출력 2 4 3 6 4" xfId="51466"/>
    <cellStyle name="출력 2 4 3 7" xfId="30631"/>
    <cellStyle name="출력 2 4 3 7 2" xfId="16868"/>
    <cellStyle name="출력 2 4 3 7 3" xfId="34062"/>
    <cellStyle name="출력 2 4 3 7 4" xfId="51467"/>
    <cellStyle name="출력 2 4 3 8" xfId="28992"/>
    <cellStyle name="출력 2 4 3 9" xfId="27822"/>
    <cellStyle name="출력 2 4 4" xfId="9785"/>
    <cellStyle name="출력 2 4 4 10" xfId="38480"/>
    <cellStyle name="출력 2 4 4 2" xfId="13422"/>
    <cellStyle name="출력 2 4 4 2 2" xfId="26650"/>
    <cellStyle name="출력 2 4 4 2 3" xfId="32902"/>
    <cellStyle name="출력 2 4 4 2 4" xfId="39122"/>
    <cellStyle name="출력 2 4 4 2 5" xfId="46367"/>
    <cellStyle name="출력 2 4 4 3" xfId="13672"/>
    <cellStyle name="출력 2 4 4 3 2" xfId="26900"/>
    <cellStyle name="출력 2 4 4 3 3" xfId="35398"/>
    <cellStyle name="출력 2 4 4 3 4" xfId="41290"/>
    <cellStyle name="출력 2 4 4 3 5" xfId="48101"/>
    <cellStyle name="출력 2 4 4 4" xfId="8601"/>
    <cellStyle name="출력 2 4 4 4 2" xfId="21829"/>
    <cellStyle name="출력 2 4 4 4 3" xfId="31144"/>
    <cellStyle name="출력 2 4 4 4 4" xfId="17072"/>
    <cellStyle name="출력 2 4 4 4 5" xfId="36842"/>
    <cellStyle name="출력 2 4 4 5" xfId="23013"/>
    <cellStyle name="출력 2 4 4 5 2" xfId="35694"/>
    <cellStyle name="출력 2 4 4 5 3" xfId="41578"/>
    <cellStyle name="출력 2 4 4 5 4" xfId="48412"/>
    <cellStyle name="출력 2 4 4 6" xfId="34791"/>
    <cellStyle name="출력 2 4 4 6 2" xfId="40787"/>
    <cellStyle name="출력 2 4 4 6 3" xfId="32995"/>
    <cellStyle name="출력 2 4 4 7" xfId="34663"/>
    <cellStyle name="출력 2 4 4 7 2" xfId="40652"/>
    <cellStyle name="출력 2 4 4 7 3" xfId="39348"/>
    <cellStyle name="출력 2 4 4 7 4" xfId="51468"/>
    <cellStyle name="출력 2 4 4 8" xfId="28591"/>
    <cellStyle name="출력 2 4 4 9" xfId="28209"/>
    <cellStyle name="출력 2 4 5" xfId="8435"/>
    <cellStyle name="출력 2 4 5 2" xfId="21663"/>
    <cellStyle name="출력 2 4 6" xfId="15730"/>
    <cellStyle name="출력 2 5" xfId="3647"/>
    <cellStyle name="출력 2 5 2" xfId="6564"/>
    <cellStyle name="출력 2 5 2 10" xfId="45359"/>
    <cellStyle name="출력 2 5 2 2" xfId="11298"/>
    <cellStyle name="출력 2 5 2 2 2" xfId="24526"/>
    <cellStyle name="출력 2 5 2 2 3" xfId="33928"/>
    <cellStyle name="출력 2 5 2 2 4" xfId="39985"/>
    <cellStyle name="출력 2 5 2 2 5" xfId="41255"/>
    <cellStyle name="출력 2 5 2 3" xfId="8252"/>
    <cellStyle name="출력 2 5 2 3 2" xfId="21480"/>
    <cellStyle name="출력 2 5 2 3 3" xfId="36354"/>
    <cellStyle name="출력 2 5 2 3 4" xfId="42247"/>
    <cellStyle name="출력 2 5 2 3 5" xfId="49081"/>
    <cellStyle name="출력 2 5 2 4" xfId="19792"/>
    <cellStyle name="출력 2 5 2 4 2" xfId="31905"/>
    <cellStyle name="출력 2 5 2 4 3" xfId="38126"/>
    <cellStyle name="출력 2 5 2 4 4" xfId="46904"/>
    <cellStyle name="출력 2 5 2 5" xfId="29902"/>
    <cellStyle name="출력 2 5 2 5 2" xfId="17691"/>
    <cellStyle name="출력 2 5 2 5 3" xfId="44314"/>
    <cellStyle name="출력 2 5 2 6" xfId="30380"/>
    <cellStyle name="출력 2 5 2 6 2" xfId="16773"/>
    <cellStyle name="출력 2 5 2 6 3" xfId="39418"/>
    <cellStyle name="출력 2 5 2 6 4" xfId="51469"/>
    <cellStyle name="출력 2 5 2 7" xfId="35633"/>
    <cellStyle name="출력 2 5 2 7 2" xfId="41512"/>
    <cellStyle name="출력 2 5 2 7 3" xfId="48346"/>
    <cellStyle name="출력 2 5 2 7 4" xfId="51470"/>
    <cellStyle name="출력 2 5 2 8" xfId="29616"/>
    <cellStyle name="출력 2 5 2 9" xfId="16233"/>
    <cellStyle name="출력 2 5 3" xfId="5782"/>
    <cellStyle name="출력 2 5 3 10" xfId="34413"/>
    <cellStyle name="출력 2 5 3 2" xfId="10516"/>
    <cellStyle name="출력 2 5 3 2 2" xfId="23744"/>
    <cellStyle name="출력 2 5 3 2 3" xfId="33296"/>
    <cellStyle name="출력 2 5 3 2 4" xfId="39510"/>
    <cellStyle name="출력 2 5 3 2 5" xfId="46754"/>
    <cellStyle name="출력 2 5 3 3" xfId="6842"/>
    <cellStyle name="출력 2 5 3 3 2" xfId="20070"/>
    <cellStyle name="출력 2 5 3 3 3" xfId="35777"/>
    <cellStyle name="출력 2 5 3 3 4" xfId="41661"/>
    <cellStyle name="출력 2 5 3 3 5" xfId="48495"/>
    <cellStyle name="출력 2 5 3 4" xfId="19021"/>
    <cellStyle name="출력 2 5 3 4 2" xfId="31346"/>
    <cellStyle name="출력 2 5 3 4 3" xfId="17208"/>
    <cellStyle name="출력 2 5 3 4 4" xfId="47575"/>
    <cellStyle name="출력 2 5 3 5" xfId="35015"/>
    <cellStyle name="출력 2 5 3 5 2" xfId="41019"/>
    <cellStyle name="출력 2 5 3 5 3" xfId="47715"/>
    <cellStyle name="출력 2 5 3 6" xfId="35844"/>
    <cellStyle name="출력 2 5 3 6 2" xfId="41733"/>
    <cellStyle name="출력 2 5 3 6 3" xfId="48567"/>
    <cellStyle name="출력 2 5 3 6 4" xfId="51471"/>
    <cellStyle name="출력 2 5 3 7" xfId="31704"/>
    <cellStyle name="출력 2 5 3 7 2" xfId="27986"/>
    <cellStyle name="출력 2 5 3 7 3" xfId="27787"/>
    <cellStyle name="출력 2 5 3 7 4" xfId="51472"/>
    <cellStyle name="출력 2 5 3 8" xfId="28993"/>
    <cellStyle name="출력 2 5 3 9" xfId="15880"/>
    <cellStyle name="출력 2 5 4" xfId="9786"/>
    <cellStyle name="출력 2 5 4 10" xfId="44420"/>
    <cellStyle name="출력 2 5 4 2" xfId="13423"/>
    <cellStyle name="출력 2 5 4 2 2" xfId="26651"/>
    <cellStyle name="출력 2 5 4 2 3" xfId="32903"/>
    <cellStyle name="출력 2 5 4 2 4" xfId="39123"/>
    <cellStyle name="출력 2 5 4 2 5" xfId="17588"/>
    <cellStyle name="출력 2 5 4 3" xfId="14241"/>
    <cellStyle name="출력 2 5 4 3 2" xfId="27469"/>
    <cellStyle name="출력 2 5 4 3 3" xfId="35399"/>
    <cellStyle name="출력 2 5 4 3 4" xfId="41291"/>
    <cellStyle name="출력 2 5 4 3 5" xfId="48102"/>
    <cellStyle name="출력 2 5 4 4" xfId="13643"/>
    <cellStyle name="출력 2 5 4 4 2" xfId="26871"/>
    <cellStyle name="출력 2 5 4 4 3" xfId="31145"/>
    <cellStyle name="출력 2 5 4 4 4" xfId="17073"/>
    <cellStyle name="출력 2 5 4 4 5" xfId="46900"/>
    <cellStyle name="출력 2 5 4 5" xfId="23014"/>
    <cellStyle name="출력 2 5 4 5 2" xfId="36850"/>
    <cellStyle name="출력 2 5 4 5 3" xfId="42762"/>
    <cellStyle name="출력 2 5 4 5 4" xfId="49596"/>
    <cellStyle name="출력 2 5 4 6" xfId="30529"/>
    <cellStyle name="출력 2 5 4 6 2" xfId="16828"/>
    <cellStyle name="출력 2 5 4 6 3" xfId="30740"/>
    <cellStyle name="출력 2 5 4 7" xfId="29850"/>
    <cellStyle name="출력 2 5 4 7 2" xfId="16360"/>
    <cellStyle name="출력 2 5 4 7 3" xfId="43993"/>
    <cellStyle name="출력 2 5 4 7 4" xfId="51473"/>
    <cellStyle name="출력 2 5 4 8" xfId="28592"/>
    <cellStyle name="출력 2 5 4 9" xfId="18131"/>
    <cellStyle name="출력 2 5 5" xfId="8436"/>
    <cellStyle name="출력 2 5 5 2" xfId="21664"/>
    <cellStyle name="출력 2 5 6" xfId="47133"/>
    <cellStyle name="출력 2 6" xfId="3648"/>
    <cellStyle name="출력 2 6 2" xfId="6565"/>
    <cellStyle name="출력 2 6 2 10" xfId="44353"/>
    <cellStyle name="출력 2 6 2 2" xfId="11299"/>
    <cellStyle name="출력 2 6 2 2 2" xfId="24527"/>
    <cellStyle name="출력 2 6 2 2 3" xfId="33929"/>
    <cellStyle name="출력 2 6 2 2 4" xfId="39986"/>
    <cellStyle name="출력 2 6 2 2 5" xfId="40544"/>
    <cellStyle name="출력 2 6 2 3" xfId="8617"/>
    <cellStyle name="출력 2 6 2 3 2" xfId="21845"/>
    <cellStyle name="출력 2 6 2 3 3" xfId="36355"/>
    <cellStyle name="출력 2 6 2 3 4" xfId="42248"/>
    <cellStyle name="출력 2 6 2 3 5" xfId="49082"/>
    <cellStyle name="출력 2 6 2 4" xfId="19793"/>
    <cellStyle name="출력 2 6 2 4 2" xfId="30072"/>
    <cellStyle name="출력 2 6 2 4 3" xfId="16555"/>
    <cellStyle name="출력 2 6 2 4 4" xfId="45298"/>
    <cellStyle name="출력 2 6 2 5" xfId="31551"/>
    <cellStyle name="출력 2 6 2 5 2" xfId="17946"/>
    <cellStyle name="출력 2 6 2 5 3" xfId="18063"/>
    <cellStyle name="출력 2 6 2 6" xfId="30511"/>
    <cellStyle name="출력 2 6 2 6 2" xfId="15189"/>
    <cellStyle name="출력 2 6 2 6 3" xfId="18070"/>
    <cellStyle name="출력 2 6 2 6 4" xfId="51474"/>
    <cellStyle name="출력 2 6 2 7" xfId="37652"/>
    <cellStyle name="출력 2 6 2 7 2" xfId="43575"/>
    <cellStyle name="출력 2 6 2 7 3" xfId="50409"/>
    <cellStyle name="출력 2 6 2 7 4" xfId="51475"/>
    <cellStyle name="출력 2 6 2 8" xfId="29617"/>
    <cellStyle name="출력 2 6 2 9" xfId="16234"/>
    <cellStyle name="출력 2 6 3" xfId="5783"/>
    <cellStyle name="출력 2 6 3 10" xfId="45197"/>
    <cellStyle name="출력 2 6 3 2" xfId="10517"/>
    <cellStyle name="출력 2 6 3 2 2" xfId="23745"/>
    <cellStyle name="출력 2 6 3 2 3" xfId="33297"/>
    <cellStyle name="출력 2 6 3 2 4" xfId="39511"/>
    <cellStyle name="출력 2 6 3 2 5" xfId="15500"/>
    <cellStyle name="출력 2 6 3 3" xfId="7974"/>
    <cellStyle name="출력 2 6 3 3 2" xfId="21202"/>
    <cellStyle name="출력 2 6 3 3 3" xfId="35778"/>
    <cellStyle name="출력 2 6 3 3 4" xfId="41662"/>
    <cellStyle name="출력 2 6 3 3 5" xfId="48496"/>
    <cellStyle name="출력 2 6 3 4" xfId="19022"/>
    <cellStyle name="출력 2 6 3 4 2" xfId="32070"/>
    <cellStyle name="출력 2 6 3 4 3" xfId="38293"/>
    <cellStyle name="출력 2 6 3 4 4" xfId="29132"/>
    <cellStyle name="출력 2 6 3 5" xfId="31923"/>
    <cellStyle name="출력 2 6 3 5 2" xfId="38145"/>
    <cellStyle name="출력 2 6 3 5 3" xfId="29951"/>
    <cellStyle name="출력 2 6 3 6" xfId="34836"/>
    <cellStyle name="출력 2 6 3 6 2" xfId="40835"/>
    <cellStyle name="출력 2 6 3 6 3" xfId="40172"/>
    <cellStyle name="출력 2 6 3 6 4" xfId="51476"/>
    <cellStyle name="출력 2 6 3 7" xfId="31270"/>
    <cellStyle name="출력 2 6 3 7 2" xfId="14733"/>
    <cellStyle name="출력 2 6 3 7 3" xfId="34418"/>
    <cellStyle name="출력 2 6 3 7 4" xfId="51477"/>
    <cellStyle name="출력 2 6 3 8" xfId="28994"/>
    <cellStyle name="출력 2 6 3 9" xfId="15901"/>
    <cellStyle name="출력 2 6 4" xfId="9787"/>
    <cellStyle name="출력 2 6 4 10" xfId="45405"/>
    <cellStyle name="출력 2 6 4 2" xfId="13424"/>
    <cellStyle name="출력 2 6 4 2 2" xfId="26652"/>
    <cellStyle name="출력 2 6 4 2 3" xfId="32904"/>
    <cellStyle name="출력 2 6 4 2 4" xfId="39124"/>
    <cellStyle name="출력 2 6 4 2 5" xfId="44253"/>
    <cellStyle name="출력 2 6 4 3" xfId="13489"/>
    <cellStyle name="출력 2 6 4 3 2" xfId="26717"/>
    <cellStyle name="출력 2 6 4 3 3" xfId="35400"/>
    <cellStyle name="출력 2 6 4 3 4" xfId="41292"/>
    <cellStyle name="출력 2 6 4 3 5" xfId="48103"/>
    <cellStyle name="출력 2 6 4 4" xfId="14354"/>
    <cellStyle name="출력 2 6 4 4 2" xfId="27582"/>
    <cellStyle name="출력 2 6 4 4 3" xfId="31146"/>
    <cellStyle name="출력 2 6 4 4 4" xfId="17074"/>
    <cellStyle name="출력 2 6 4 4 5" xfId="47015"/>
    <cellStyle name="출력 2 6 4 5" xfId="23015"/>
    <cellStyle name="출력 2 6 4 5 2" xfId="35042"/>
    <cellStyle name="출력 2 6 4 5 3" xfId="41049"/>
    <cellStyle name="출력 2 6 4 5 4" xfId="47745"/>
    <cellStyle name="출력 2 6 4 6" xfId="31908"/>
    <cellStyle name="출력 2 6 4 6 2" xfId="38130"/>
    <cellStyle name="출력 2 6 4 6 3" xfId="15667"/>
    <cellStyle name="출력 2 6 4 7" xfId="31294"/>
    <cellStyle name="출력 2 6 4 7 2" xfId="17184"/>
    <cellStyle name="출력 2 6 4 7 3" xfId="47477"/>
    <cellStyle name="출력 2 6 4 7 4" xfId="51478"/>
    <cellStyle name="출력 2 6 4 8" xfId="28593"/>
    <cellStyle name="출력 2 6 4 9" xfId="40149"/>
    <cellStyle name="출력 2 6 5" xfId="8437"/>
    <cellStyle name="출력 2 6 5 2" xfId="21665"/>
    <cellStyle name="출력 2 6 6" xfId="45801"/>
    <cellStyle name="출력 2 7" xfId="3649"/>
    <cellStyle name="출력 2 7 2" xfId="6566"/>
    <cellStyle name="출력 2 7 2 10" xfId="32254"/>
    <cellStyle name="출력 2 7 2 2" xfId="11300"/>
    <cellStyle name="출력 2 7 2 2 2" xfId="24528"/>
    <cellStyle name="출력 2 7 2 2 3" xfId="33930"/>
    <cellStyle name="출력 2 7 2 2 4" xfId="39987"/>
    <cellStyle name="출력 2 7 2 2 5" xfId="39937"/>
    <cellStyle name="출력 2 7 2 3" xfId="8255"/>
    <cellStyle name="출력 2 7 2 3 2" xfId="21483"/>
    <cellStyle name="출력 2 7 2 3 3" xfId="36356"/>
    <cellStyle name="출력 2 7 2 3 4" xfId="42249"/>
    <cellStyle name="출력 2 7 2 3 5" xfId="49083"/>
    <cellStyle name="출력 2 7 2 4" xfId="19794"/>
    <cellStyle name="출력 2 7 2 4 2" xfId="30132"/>
    <cellStyle name="출력 2 7 2 4 3" xfId="14773"/>
    <cellStyle name="출력 2 7 2 4 4" xfId="45424"/>
    <cellStyle name="출력 2 7 2 5" xfId="36492"/>
    <cellStyle name="출력 2 7 2 5 2" xfId="42385"/>
    <cellStyle name="출력 2 7 2 5 3" xfId="49219"/>
    <cellStyle name="출력 2 7 2 6" xfId="31216"/>
    <cellStyle name="출력 2 7 2 6 2" xfId="14727"/>
    <cellStyle name="출력 2 7 2 6 3" xfId="47579"/>
    <cellStyle name="출력 2 7 2 6 4" xfId="51479"/>
    <cellStyle name="출력 2 7 2 7" xfId="36731"/>
    <cellStyle name="출력 2 7 2 7 2" xfId="42636"/>
    <cellStyle name="출력 2 7 2 7 3" xfId="49470"/>
    <cellStyle name="출력 2 7 2 7 4" xfId="51480"/>
    <cellStyle name="출력 2 7 2 8" xfId="29618"/>
    <cellStyle name="출력 2 7 2 9" xfId="16235"/>
    <cellStyle name="출력 2 7 3" xfId="5784"/>
    <cellStyle name="출력 2 7 3 10" xfId="44064"/>
    <cellStyle name="출력 2 7 3 2" xfId="10518"/>
    <cellStyle name="출력 2 7 3 2 2" xfId="23746"/>
    <cellStyle name="출력 2 7 3 2 3" xfId="33298"/>
    <cellStyle name="출력 2 7 3 2 4" xfId="39512"/>
    <cellStyle name="출력 2 7 3 2 5" xfId="46459"/>
    <cellStyle name="출력 2 7 3 3" xfId="7973"/>
    <cellStyle name="출력 2 7 3 3 2" xfId="21201"/>
    <cellStyle name="출력 2 7 3 3 3" xfId="35779"/>
    <cellStyle name="출력 2 7 3 3 4" xfId="41663"/>
    <cellStyle name="출력 2 7 3 3 5" xfId="48497"/>
    <cellStyle name="출력 2 7 3 4" xfId="19023"/>
    <cellStyle name="출력 2 7 3 4 2" xfId="31347"/>
    <cellStyle name="출력 2 7 3 4 3" xfId="17209"/>
    <cellStyle name="출력 2 7 3 4 4" xfId="47077"/>
    <cellStyle name="출력 2 7 3 5" xfId="31335"/>
    <cellStyle name="출력 2 7 3 5 2" xfId="17203"/>
    <cellStyle name="출력 2 7 3 5 3" xfId="28192"/>
    <cellStyle name="출력 2 7 3 6" xfId="36886"/>
    <cellStyle name="출력 2 7 3 6 2" xfId="42801"/>
    <cellStyle name="출력 2 7 3 6 3" xfId="49635"/>
    <cellStyle name="출력 2 7 3 6 4" xfId="51481"/>
    <cellStyle name="출력 2 7 3 7" xfId="30700"/>
    <cellStyle name="출력 2 7 3 7 2" xfId="27744"/>
    <cellStyle name="출력 2 7 3 7 3" xfId="47377"/>
    <cellStyle name="출력 2 7 3 7 4" xfId="51482"/>
    <cellStyle name="출력 2 7 3 8" xfId="28995"/>
    <cellStyle name="출력 2 7 3 9" xfId="14762"/>
    <cellStyle name="출력 2 7 4" xfId="9788"/>
    <cellStyle name="출력 2 7 4 10" xfId="39252"/>
    <cellStyle name="출력 2 7 4 2" xfId="13425"/>
    <cellStyle name="출력 2 7 4 2 2" xfId="26653"/>
    <cellStyle name="출력 2 7 4 2 3" xfId="32905"/>
    <cellStyle name="출력 2 7 4 2 4" xfId="39125"/>
    <cellStyle name="출력 2 7 4 2 5" xfId="46303"/>
    <cellStyle name="출력 2 7 4 3" xfId="14106"/>
    <cellStyle name="출력 2 7 4 3 2" xfId="27334"/>
    <cellStyle name="출력 2 7 4 3 3" xfId="35401"/>
    <cellStyle name="출력 2 7 4 3 4" xfId="41293"/>
    <cellStyle name="출력 2 7 4 3 5" xfId="48104"/>
    <cellStyle name="출력 2 7 4 4" xfId="7187"/>
    <cellStyle name="출력 2 7 4 4 2" xfId="20415"/>
    <cellStyle name="출력 2 7 4 4 3" xfId="31147"/>
    <cellStyle name="출력 2 7 4 4 4" xfId="17075"/>
    <cellStyle name="출력 2 7 4 4 5" xfId="47003"/>
    <cellStyle name="출력 2 7 4 5" xfId="23016"/>
    <cellStyle name="출력 2 7 4 5 2" xfId="36571"/>
    <cellStyle name="출력 2 7 4 5 3" xfId="42473"/>
    <cellStyle name="출력 2 7 4 5 4" xfId="49307"/>
    <cellStyle name="출력 2 7 4 6" xfId="34669"/>
    <cellStyle name="출력 2 7 4 6 2" xfId="40658"/>
    <cellStyle name="출력 2 7 4 6 3" xfId="39412"/>
    <cellStyle name="출력 2 7 4 7" xfId="37755"/>
    <cellStyle name="출력 2 7 4 7 2" xfId="43679"/>
    <cellStyle name="출력 2 7 4 7 3" xfId="50513"/>
    <cellStyle name="출력 2 7 4 7 4" xfId="51483"/>
    <cellStyle name="출력 2 7 4 8" xfId="28594"/>
    <cellStyle name="출력 2 7 4 9" xfId="38728"/>
    <cellStyle name="출력 2 7 5" xfId="8438"/>
    <cellStyle name="출력 2 7 5 2" xfId="21666"/>
    <cellStyle name="출력 2 7 6" xfId="15657"/>
    <cellStyle name="출력 2 8" xfId="3650"/>
    <cellStyle name="출력 2 8 2" xfId="6567"/>
    <cellStyle name="출력 2 8 2 10" xfId="44593"/>
    <cellStyle name="출력 2 8 2 2" xfId="11301"/>
    <cellStyle name="출력 2 8 2 2 2" xfId="24529"/>
    <cellStyle name="출력 2 8 2 2 3" xfId="33931"/>
    <cellStyle name="출력 2 8 2 2 4" xfId="39988"/>
    <cellStyle name="출력 2 8 2 2 5" xfId="30011"/>
    <cellStyle name="출력 2 8 2 3" xfId="8254"/>
    <cellStyle name="출력 2 8 2 3 2" xfId="21482"/>
    <cellStyle name="출력 2 8 2 3 3" xfId="36357"/>
    <cellStyle name="출력 2 8 2 3 4" xfId="42250"/>
    <cellStyle name="출력 2 8 2 3 5" xfId="49084"/>
    <cellStyle name="출력 2 8 2 4" xfId="19795"/>
    <cellStyle name="출력 2 8 2 4 2" xfId="29894"/>
    <cellStyle name="출력 2 8 2 4 3" xfId="16436"/>
    <cellStyle name="출력 2 8 2 4 4" xfId="32493"/>
    <cellStyle name="출력 2 8 2 5" xfId="31572"/>
    <cellStyle name="출력 2 8 2 5 2" xfId="17311"/>
    <cellStyle name="출력 2 8 2 5 3" xfId="15513"/>
    <cellStyle name="출력 2 8 2 6" xfId="30381"/>
    <cellStyle name="출력 2 8 2 6 2" xfId="18112"/>
    <cellStyle name="출력 2 8 2 6 3" xfId="15462"/>
    <cellStyle name="출력 2 8 2 6 4" xfId="51484"/>
    <cellStyle name="출력 2 8 2 7" xfId="31648"/>
    <cellStyle name="출력 2 8 2 7 2" xfId="18631"/>
    <cellStyle name="출력 2 8 2 7 3" xfId="46207"/>
    <cellStyle name="출력 2 8 2 7 4" xfId="51485"/>
    <cellStyle name="출력 2 8 2 8" xfId="29619"/>
    <cellStyle name="출력 2 8 2 9" xfId="16236"/>
    <cellStyle name="출력 2 8 3" xfId="5785"/>
    <cellStyle name="출력 2 8 3 10" xfId="16515"/>
    <cellStyle name="출력 2 8 3 2" xfId="10519"/>
    <cellStyle name="출력 2 8 3 2 2" xfId="23747"/>
    <cellStyle name="출력 2 8 3 2 3" xfId="33299"/>
    <cellStyle name="출력 2 8 3 2 4" xfId="39513"/>
    <cellStyle name="출력 2 8 3 2 5" xfId="40053"/>
    <cellStyle name="출력 2 8 3 3" xfId="8599"/>
    <cellStyle name="출력 2 8 3 3 2" xfId="21827"/>
    <cellStyle name="출력 2 8 3 3 3" xfId="35780"/>
    <cellStyle name="출력 2 8 3 3 4" xfId="41664"/>
    <cellStyle name="출력 2 8 3 3 5" xfId="48498"/>
    <cellStyle name="출력 2 8 3 4" xfId="19024"/>
    <cellStyle name="출력 2 8 3 4 2" xfId="31348"/>
    <cellStyle name="출력 2 8 3 4 3" xfId="15237"/>
    <cellStyle name="출력 2 8 3 4 4" xfId="45579"/>
    <cellStyle name="출력 2 8 3 5" xfId="36825"/>
    <cellStyle name="출력 2 8 3 5 2" xfId="42736"/>
    <cellStyle name="출력 2 8 3 5 3" xfId="49570"/>
    <cellStyle name="출력 2 8 3 6" xfId="37264"/>
    <cellStyle name="출력 2 8 3 6 2" xfId="43184"/>
    <cellStyle name="출력 2 8 3 6 3" xfId="50018"/>
    <cellStyle name="출력 2 8 3 6 4" xfId="51486"/>
    <cellStyle name="출력 2 8 3 7" xfId="30288"/>
    <cellStyle name="출력 2 8 3 7 2" xfId="16724"/>
    <cellStyle name="출력 2 8 3 7 3" xfId="44501"/>
    <cellStyle name="출력 2 8 3 7 4" xfId="51487"/>
    <cellStyle name="출력 2 8 3 8" xfId="28996"/>
    <cellStyle name="출력 2 8 3 9" xfId="30221"/>
    <cellStyle name="출력 2 8 4" xfId="9789"/>
    <cellStyle name="출력 2 8 4 10" xfId="15486"/>
    <cellStyle name="출력 2 8 4 2" xfId="13426"/>
    <cellStyle name="출력 2 8 4 2 2" xfId="26654"/>
    <cellStyle name="출력 2 8 4 2 3" xfId="32906"/>
    <cellStyle name="출력 2 8 4 2 4" xfId="39126"/>
    <cellStyle name="출력 2 8 4 2 5" xfId="47210"/>
    <cellStyle name="출력 2 8 4 3" xfId="13583"/>
    <cellStyle name="출력 2 8 4 3 2" xfId="26811"/>
    <cellStyle name="출력 2 8 4 3 3" xfId="35402"/>
    <cellStyle name="출력 2 8 4 3 4" xfId="41294"/>
    <cellStyle name="출력 2 8 4 3 5" xfId="48105"/>
    <cellStyle name="출력 2 8 4 4" xfId="7720"/>
    <cellStyle name="출력 2 8 4 4 2" xfId="20948"/>
    <cellStyle name="출력 2 8 4 4 3" xfId="31148"/>
    <cellStyle name="출력 2 8 4 4 4" xfId="17076"/>
    <cellStyle name="출력 2 8 4 4 5" xfId="31411"/>
    <cellStyle name="출력 2 8 4 5" xfId="23017"/>
    <cellStyle name="출력 2 8 4 5 2" xfId="34806"/>
    <cellStyle name="출력 2 8 4 5 3" xfId="40802"/>
    <cellStyle name="출력 2 8 4 5 4" xfId="40515"/>
    <cellStyle name="출력 2 8 4 6" xfId="30677"/>
    <cellStyle name="출력 2 8 4 6 2" xfId="15209"/>
    <cellStyle name="출력 2 8 4 6 3" xfId="46640"/>
    <cellStyle name="출력 2 8 4 7" xfId="37378"/>
    <cellStyle name="출력 2 8 4 7 2" xfId="43298"/>
    <cellStyle name="출력 2 8 4 7 3" xfId="50132"/>
    <cellStyle name="출력 2 8 4 7 4" xfId="51488"/>
    <cellStyle name="출력 2 8 4 8" xfId="28595"/>
    <cellStyle name="출력 2 8 4 9" xfId="33170"/>
    <cellStyle name="출력 2 8 5" xfId="8439"/>
    <cellStyle name="출력 2 8 5 2" xfId="21667"/>
    <cellStyle name="출력 2 8 6" xfId="46049"/>
    <cellStyle name="출력 2 9" xfId="3651"/>
    <cellStyle name="출력 2 9 2" xfId="6568"/>
    <cellStyle name="출력 2 9 2 10" xfId="45563"/>
    <cellStyle name="출력 2 9 2 2" xfId="11302"/>
    <cellStyle name="출력 2 9 2 2 2" xfId="24530"/>
    <cellStyle name="출력 2 9 2 2 3" xfId="33932"/>
    <cellStyle name="출력 2 9 2 2 4" xfId="39989"/>
    <cellStyle name="출력 2 9 2 2 5" xfId="41247"/>
    <cellStyle name="출력 2 9 2 3" xfId="8618"/>
    <cellStyle name="출력 2 9 2 3 2" xfId="21846"/>
    <cellStyle name="출력 2 9 2 3 3" xfId="36358"/>
    <cellStyle name="출력 2 9 2 3 4" xfId="42251"/>
    <cellStyle name="출력 2 9 2 3 5" xfId="49085"/>
    <cellStyle name="출력 2 9 2 4" xfId="19796"/>
    <cellStyle name="출력 2 9 2 4 2" xfId="31565"/>
    <cellStyle name="출력 2 9 2 4 3" xfId="15262"/>
    <cellStyle name="출력 2 9 2 4 4" xfId="44198"/>
    <cellStyle name="출력 2 9 2 5" xfId="29888"/>
    <cellStyle name="출력 2 9 2 5 2" xfId="16430"/>
    <cellStyle name="출력 2 9 2 5 3" xfId="44268"/>
    <cellStyle name="출력 2 9 2 6" xfId="30169"/>
    <cellStyle name="출력 2 9 2 6 2" xfId="16630"/>
    <cellStyle name="출력 2 9 2 6 3" xfId="43864"/>
    <cellStyle name="출력 2 9 2 6 4" xfId="51489"/>
    <cellStyle name="출력 2 9 2 7" xfId="37336"/>
    <cellStyle name="출력 2 9 2 7 2" xfId="43256"/>
    <cellStyle name="출력 2 9 2 7 3" xfId="50090"/>
    <cellStyle name="출력 2 9 2 7 4" xfId="51490"/>
    <cellStyle name="출력 2 9 2 8" xfId="29620"/>
    <cellStyle name="출력 2 9 2 9" xfId="16237"/>
    <cellStyle name="출력 2 9 3" xfId="5786"/>
    <cellStyle name="출력 2 9 3 10" xfId="44465"/>
    <cellStyle name="출력 2 9 3 2" xfId="10520"/>
    <cellStyle name="출력 2 9 3 2 2" xfId="23748"/>
    <cellStyle name="출력 2 9 3 2 3" xfId="33300"/>
    <cellStyle name="출력 2 9 3 2 4" xfId="39514"/>
    <cellStyle name="출력 2 9 3 2 5" xfId="33066"/>
    <cellStyle name="출력 2 9 3 3" xfId="7976"/>
    <cellStyle name="출력 2 9 3 3 2" xfId="21204"/>
    <cellStyle name="출력 2 9 3 3 3" xfId="35781"/>
    <cellStyle name="출력 2 9 3 3 4" xfId="41665"/>
    <cellStyle name="출력 2 9 3 3 5" xfId="48499"/>
    <cellStyle name="출력 2 9 3 4" xfId="19025"/>
    <cellStyle name="출력 2 9 3 4 2" xfId="32076"/>
    <cellStyle name="출력 2 9 3 4 3" xfId="38299"/>
    <cellStyle name="출력 2 9 3 4 4" xfId="32445"/>
    <cellStyle name="출력 2 9 3 5" xfId="30148"/>
    <cellStyle name="출력 2 9 3 5 2" xfId="16624"/>
    <cellStyle name="출력 2 9 3 5 3" xfId="45119"/>
    <cellStyle name="출력 2 9 3 6" xfId="30820"/>
    <cellStyle name="출력 2 9 3 6 2" xfId="15227"/>
    <cellStyle name="출력 2 9 3 6 3" xfId="15754"/>
    <cellStyle name="출력 2 9 3 6 4" xfId="51491"/>
    <cellStyle name="출력 2 9 3 7" xfId="30336"/>
    <cellStyle name="출력 2 9 3 7 2" xfId="16757"/>
    <cellStyle name="출력 2 9 3 7 3" xfId="40265"/>
    <cellStyle name="출력 2 9 3 7 4" xfId="51492"/>
    <cellStyle name="출력 2 9 3 8" xfId="28997"/>
    <cellStyle name="출력 2 9 3 9" xfId="30278"/>
    <cellStyle name="출력 2 9 4" xfId="9790"/>
    <cellStyle name="출력 2 9 4 10" xfId="45288"/>
    <cellStyle name="출력 2 9 4 2" xfId="13427"/>
    <cellStyle name="출력 2 9 4 2 2" xfId="26655"/>
    <cellStyle name="출력 2 9 4 2 3" xfId="32907"/>
    <cellStyle name="출력 2 9 4 2 4" xfId="39127"/>
    <cellStyle name="출력 2 9 4 2 5" xfId="46697"/>
    <cellStyle name="출력 2 9 4 3" xfId="14190"/>
    <cellStyle name="출력 2 9 4 3 2" xfId="27418"/>
    <cellStyle name="출력 2 9 4 3 3" xfId="35403"/>
    <cellStyle name="출력 2 9 4 3 4" xfId="41295"/>
    <cellStyle name="출력 2 9 4 3 5" xfId="48106"/>
    <cellStyle name="출력 2 9 4 4" xfId="13930"/>
    <cellStyle name="출력 2 9 4 4 2" xfId="27158"/>
    <cellStyle name="출력 2 9 4 4 3" xfId="31149"/>
    <cellStyle name="출력 2 9 4 4 4" xfId="17077"/>
    <cellStyle name="출력 2 9 4 4 5" xfId="44205"/>
    <cellStyle name="출력 2 9 4 5" xfId="23018"/>
    <cellStyle name="출력 2 9 4 5 2" xfId="35876"/>
    <cellStyle name="출력 2 9 4 5 3" xfId="41768"/>
    <cellStyle name="출력 2 9 4 5 4" xfId="48602"/>
    <cellStyle name="출력 2 9 4 6" xfId="30081"/>
    <cellStyle name="출력 2 9 4 6 2" xfId="27808"/>
    <cellStyle name="출력 2 9 4 6 3" xfId="28846"/>
    <cellStyle name="출력 2 9 4 7" xfId="32423"/>
    <cellStyle name="출력 2 9 4 7 2" xfId="38641"/>
    <cellStyle name="출력 2 9 4 7 3" xfId="28850"/>
    <cellStyle name="출력 2 9 4 7 4" xfId="51493"/>
    <cellStyle name="출력 2 9 4 8" xfId="28596"/>
    <cellStyle name="출력 2 9 4 9" xfId="39385"/>
    <cellStyle name="출력 2 9 5" xfId="8440"/>
    <cellStyle name="출력 2 9 5 2" xfId="21668"/>
    <cellStyle name="출력 2 9 6" xfId="44230"/>
    <cellStyle name="출력 2_CRM팀 1단계 정보확인 DB 검색코드_110425" xfId="3652"/>
    <cellStyle name="출력 20" xfId="54531"/>
    <cellStyle name="출력 21" xfId="54532"/>
    <cellStyle name="출력 22" xfId="54533"/>
    <cellStyle name="출력 23" xfId="54534"/>
    <cellStyle name="출력 24" xfId="54535"/>
    <cellStyle name="출력 25" xfId="54536"/>
    <cellStyle name="출력 26" xfId="54537"/>
    <cellStyle name="출력 3" xfId="310"/>
    <cellStyle name="출력 3 2" xfId="3654"/>
    <cellStyle name="출력 3 2 2" xfId="51121"/>
    <cellStyle name="출력 3 3" xfId="3653"/>
    <cellStyle name="출력 3 3 2" xfId="6569"/>
    <cellStyle name="출력 3 3 2 10" xfId="29107"/>
    <cellStyle name="출력 3 3 2 2" xfId="11303"/>
    <cellStyle name="출력 3 3 2 2 2" xfId="24531"/>
    <cellStyle name="출력 3 3 2 2 3" xfId="33933"/>
    <cellStyle name="출력 3 3 2 2 4" xfId="39990"/>
    <cellStyle name="출력 3 3 2 2 5" xfId="33418"/>
    <cellStyle name="출력 3 3 2 3" xfId="8257"/>
    <cellStyle name="출력 3 3 2 3 2" xfId="21485"/>
    <cellStyle name="출력 3 3 2 3 3" xfId="36359"/>
    <cellStyle name="출력 3 3 2 3 4" xfId="42252"/>
    <cellStyle name="출력 3 3 2 3 5" xfId="49086"/>
    <cellStyle name="출력 3 3 2 4" xfId="19797"/>
    <cellStyle name="출력 3 3 2 4 2" xfId="30133"/>
    <cellStyle name="출력 3 3 2 4 3" xfId="16598"/>
    <cellStyle name="출력 3 3 2 4 4" xfId="28172"/>
    <cellStyle name="출력 3 3 2 5" xfId="31936"/>
    <cellStyle name="출력 3 3 2 5 2" xfId="38158"/>
    <cellStyle name="출력 3 3 2 5 3" xfId="40311"/>
    <cellStyle name="출력 3 3 2 6" xfId="37389"/>
    <cellStyle name="출력 3 3 2 6 2" xfId="43309"/>
    <cellStyle name="출력 3 3 2 6 3" xfId="50143"/>
    <cellStyle name="출력 3 3 2 6 4" xfId="51494"/>
    <cellStyle name="출력 3 3 2 7" xfId="32327"/>
    <cellStyle name="출력 3 3 2 7 2" xfId="38545"/>
    <cellStyle name="출력 3 3 2 7 3" xfId="28197"/>
    <cellStyle name="출력 3 3 2 7 4" xfId="51495"/>
    <cellStyle name="출력 3 3 2 8" xfId="29621"/>
    <cellStyle name="출력 3 3 2 9" xfId="16238"/>
    <cellStyle name="출력 3 3 3" xfId="5787"/>
    <cellStyle name="출력 3 3 3 10" xfId="45451"/>
    <cellStyle name="출력 3 3 3 2" xfId="10521"/>
    <cellStyle name="출력 3 3 3 2 2" xfId="23749"/>
    <cellStyle name="출력 3 3 3 2 3" xfId="33301"/>
    <cellStyle name="출력 3 3 3 2 4" xfId="39515"/>
    <cellStyle name="출력 3 3 3 2 5" xfId="47274"/>
    <cellStyle name="출력 3 3 3 3" xfId="7975"/>
    <cellStyle name="출력 3 3 3 3 2" xfId="21203"/>
    <cellStyle name="출력 3 3 3 3 3" xfId="35782"/>
    <cellStyle name="출력 3 3 3 3 4" xfId="41666"/>
    <cellStyle name="출력 3 3 3 3 5" xfId="48500"/>
    <cellStyle name="출력 3 3 3 4" xfId="19026"/>
    <cellStyle name="출력 3 3 3 4 2" xfId="32309"/>
    <cellStyle name="출력 3 3 3 4 3" xfId="38527"/>
    <cellStyle name="출력 3 3 3 4 4" xfId="46293"/>
    <cellStyle name="출력 3 3 3 5" xfId="30112"/>
    <cellStyle name="출력 3 3 3 5 2" xfId="18136"/>
    <cellStyle name="출력 3 3 3 5 3" xfId="15740"/>
    <cellStyle name="출력 3 3 3 6" xfId="35482"/>
    <cellStyle name="출력 3 3 3 6 2" xfId="41353"/>
    <cellStyle name="출력 3 3 3 6 3" xfId="48187"/>
    <cellStyle name="출력 3 3 3 6 4" xfId="51496"/>
    <cellStyle name="출력 3 3 3 7" xfId="36929"/>
    <cellStyle name="출력 3 3 3 7 2" xfId="42844"/>
    <cellStyle name="출력 3 3 3 7 3" xfId="49678"/>
    <cellStyle name="출력 3 3 3 7 4" xfId="51497"/>
    <cellStyle name="출력 3 3 3 8" xfId="28998"/>
    <cellStyle name="출력 3 3 3 9" xfId="31353"/>
    <cellStyle name="출력 3 3 4" xfId="9791"/>
    <cellStyle name="출력 3 3 4 10" xfId="44282"/>
    <cellStyle name="출력 3 3 4 2" xfId="13428"/>
    <cellStyle name="출력 3 3 4 2 2" xfId="26656"/>
    <cellStyle name="출력 3 3 4 2 3" xfId="32908"/>
    <cellStyle name="출력 3 3 4 2 4" xfId="39128"/>
    <cellStyle name="출력 3 3 4 2 5" xfId="47564"/>
    <cellStyle name="출력 3 3 4 3" xfId="13051"/>
    <cellStyle name="출력 3 3 4 3 2" xfId="26279"/>
    <cellStyle name="출력 3 3 4 3 3" xfId="35404"/>
    <cellStyle name="출력 3 3 4 3 4" xfId="41296"/>
    <cellStyle name="출력 3 3 4 3 5" xfId="48107"/>
    <cellStyle name="출력 3 3 4 4" xfId="12672"/>
    <cellStyle name="출력 3 3 4 4 2" xfId="25900"/>
    <cellStyle name="출력 3 3 4 4 3" xfId="31150"/>
    <cellStyle name="출력 3 3 4 4 4" xfId="18155"/>
    <cellStyle name="출력 3 3 4 4 5" xfId="46875"/>
    <cellStyle name="출력 3 3 4 5" xfId="23019"/>
    <cellStyle name="출력 3 3 4 5 2" xfId="36573"/>
    <cellStyle name="출력 3 3 4 5 3" xfId="42475"/>
    <cellStyle name="출력 3 3 4 5 4" xfId="49309"/>
    <cellStyle name="출력 3 3 4 6" xfId="32355"/>
    <cellStyle name="출력 3 3 4 6 2" xfId="38573"/>
    <cellStyle name="출력 3 3 4 6 3" xfId="44145"/>
    <cellStyle name="출력 3 3 4 7" xfId="31618"/>
    <cellStyle name="출력 3 3 4 7 2" xfId="17334"/>
    <cellStyle name="출력 3 3 4 7 3" xfId="44191"/>
    <cellStyle name="출력 3 3 4 7 4" xfId="51498"/>
    <cellStyle name="출력 3 3 4 8" xfId="28597"/>
    <cellStyle name="출력 3 3 4 9" xfId="40447"/>
    <cellStyle name="출력 3 3 5" xfId="8441"/>
    <cellStyle name="출력 3 3 5 2" xfId="21669"/>
    <cellStyle name="출력 3 3 6" xfId="47118"/>
    <cellStyle name="출력 3 4" xfId="54538"/>
    <cellStyle name="출력 3 5" xfId="54539"/>
    <cellStyle name="출력 3_사업부문" xfId="54540"/>
    <cellStyle name="출력 4" xfId="311"/>
    <cellStyle name="출력 4 2" xfId="3656"/>
    <cellStyle name="출력 4 2 2" xfId="51122"/>
    <cellStyle name="출력 4 3" xfId="3655"/>
    <cellStyle name="출력 4 3 2" xfId="6570"/>
    <cellStyle name="출력 4 3 2 10" xfId="40352"/>
    <cellStyle name="출력 4 3 2 2" xfId="11304"/>
    <cellStyle name="출력 4 3 2 2 2" xfId="24532"/>
    <cellStyle name="출력 4 3 2 2 3" xfId="33934"/>
    <cellStyle name="출력 4 3 2 2 4" xfId="39991"/>
    <cellStyle name="출력 4 3 2 2 5" xfId="39938"/>
    <cellStyle name="출력 4 3 2 3" xfId="8256"/>
    <cellStyle name="출력 4 3 2 3 2" xfId="21484"/>
    <cellStyle name="출력 4 3 2 3 3" xfId="36360"/>
    <cellStyle name="출력 4 3 2 3 4" xfId="42253"/>
    <cellStyle name="출력 4 3 2 3 5" xfId="49087"/>
    <cellStyle name="출력 4 3 2 4" xfId="19798"/>
    <cellStyle name="출력 4 3 2 4 2" xfId="30073"/>
    <cellStyle name="출력 4 3 2 4 3" xfId="16556"/>
    <cellStyle name="출력 4 3 2 4 4" xfId="44292"/>
    <cellStyle name="출력 4 3 2 5" xfId="36679"/>
    <cellStyle name="출력 4 3 2 5 2" xfId="42582"/>
    <cellStyle name="출력 4 3 2 5 3" xfId="49416"/>
    <cellStyle name="출력 4 3 2 6" xfId="31742"/>
    <cellStyle name="출력 4 3 2 6 2" xfId="37963"/>
    <cellStyle name="출력 4 3 2 6 3" xfId="47399"/>
    <cellStyle name="출력 4 3 2 6 4" xfId="51499"/>
    <cellStyle name="출력 4 3 2 7" xfId="31711"/>
    <cellStyle name="출력 4 3 2 7 2" xfId="17372"/>
    <cellStyle name="출력 4 3 2 7 3" xfId="18065"/>
    <cellStyle name="출력 4 3 2 7 4" xfId="51500"/>
    <cellStyle name="출력 4 3 2 8" xfId="29622"/>
    <cellStyle name="출력 4 3 2 9" xfId="16239"/>
    <cellStyle name="출력 4 3 3" xfId="5788"/>
    <cellStyle name="출력 4 3 3 10" xfId="40261"/>
    <cellStyle name="출력 4 3 3 2" xfId="10522"/>
    <cellStyle name="출력 4 3 3 2 2" xfId="23750"/>
    <cellStyle name="출력 4 3 3 2 3" xfId="33302"/>
    <cellStyle name="출력 4 3 3 2 4" xfId="39516"/>
    <cellStyle name="출력 4 3 3 2 5" xfId="47421"/>
    <cellStyle name="출력 4 3 3 3" xfId="8598"/>
    <cellStyle name="출력 4 3 3 3 2" xfId="21826"/>
    <cellStyle name="출력 4 3 3 3 3" xfId="35783"/>
    <cellStyle name="출력 4 3 3 3 4" xfId="41667"/>
    <cellStyle name="출력 4 3 3 3 5" xfId="48501"/>
    <cellStyle name="출력 4 3 3 4" xfId="19027"/>
    <cellStyle name="출력 4 3 3 4 2" xfId="31945"/>
    <cellStyle name="출력 4 3 3 4 3" xfId="38167"/>
    <cellStyle name="출력 4 3 3 4 4" xfId="45598"/>
    <cellStyle name="출력 4 3 3 5" xfId="35670"/>
    <cellStyle name="출력 4 3 3 5 2" xfId="41550"/>
    <cellStyle name="출력 4 3 3 5 3" xfId="48384"/>
    <cellStyle name="출력 4 3 3 6" xfId="37136"/>
    <cellStyle name="출력 4 3 3 6 2" xfId="43055"/>
    <cellStyle name="출력 4 3 3 6 3" xfId="49889"/>
    <cellStyle name="출력 4 3 3 6 4" xfId="51501"/>
    <cellStyle name="출력 4 3 3 7" xfId="37804"/>
    <cellStyle name="출력 4 3 3 7 2" xfId="43728"/>
    <cellStyle name="출력 4 3 3 7 3" xfId="50562"/>
    <cellStyle name="출력 4 3 3 7 4" xfId="51502"/>
    <cellStyle name="출력 4 3 3 8" xfId="28999"/>
    <cellStyle name="출력 4 3 3 9" xfId="31523"/>
    <cellStyle name="출력 4 3 4" xfId="9792"/>
    <cellStyle name="출력 4 3 4 10" xfId="40387"/>
    <cellStyle name="출력 4 3 4 2" xfId="13429"/>
    <cellStyle name="출력 4 3 4 2 2" xfId="26657"/>
    <cellStyle name="출력 4 3 4 2 3" xfId="32909"/>
    <cellStyle name="출력 4 3 4 2 4" xfId="39129"/>
    <cellStyle name="출력 4 3 4 2 5" xfId="47040"/>
    <cellStyle name="출력 4 3 4 3" xfId="14048"/>
    <cellStyle name="출력 4 3 4 3 2" xfId="27276"/>
    <cellStyle name="출력 4 3 4 3 3" xfId="35405"/>
    <cellStyle name="출력 4 3 4 3 4" xfId="41297"/>
    <cellStyle name="출력 4 3 4 3 5" xfId="48108"/>
    <cellStyle name="출력 4 3 4 4" xfId="7267"/>
    <cellStyle name="출력 4 3 4 4 2" xfId="20495"/>
    <cellStyle name="출력 4 3 4 4 3" xfId="31151"/>
    <cellStyle name="출력 4 3 4 4 4" xfId="17057"/>
    <cellStyle name="출력 4 3 4 4 5" xfId="29745"/>
    <cellStyle name="출력 4 3 4 5" xfId="23020"/>
    <cellStyle name="출력 4 3 4 5 2" xfId="36946"/>
    <cellStyle name="출력 4 3 4 5 3" xfId="42864"/>
    <cellStyle name="출력 4 3 4 5 4" xfId="49698"/>
    <cellStyle name="출력 4 3 4 6" xfId="30571"/>
    <cellStyle name="출력 4 3 4 6 2" xfId="16846"/>
    <cellStyle name="출력 4 3 4 6 3" xfId="34443"/>
    <cellStyle name="출력 4 3 4 7" xfId="37019"/>
    <cellStyle name="출력 4 3 4 7 2" xfId="42938"/>
    <cellStyle name="출력 4 3 4 7 3" xfId="49772"/>
    <cellStyle name="출력 4 3 4 7 4" xfId="51503"/>
    <cellStyle name="출력 4 3 4 8" xfId="28598"/>
    <cellStyle name="출력 4 3 4 9" xfId="15823"/>
    <cellStyle name="출력 4 3 5" xfId="8442"/>
    <cellStyle name="출력 4 3 5 2" xfId="21670"/>
    <cellStyle name="출력 4 3 6" xfId="44496"/>
    <cellStyle name="출력 4 4" xfId="54541"/>
    <cellStyle name="출력 4 5" xfId="54542"/>
    <cellStyle name="출력 4_사업부문" xfId="54543"/>
    <cellStyle name="출력 5" xfId="312"/>
    <cellStyle name="출력 5 2" xfId="3658"/>
    <cellStyle name="출력 5 2 2" xfId="51123"/>
    <cellStyle name="출력 5 3" xfId="3657"/>
    <cellStyle name="출력 5 3 2" xfId="6571"/>
    <cellStyle name="출력 5 3 2 10" xfId="15389"/>
    <cellStyle name="출력 5 3 2 2" xfId="11305"/>
    <cellStyle name="출력 5 3 2 2 2" xfId="24533"/>
    <cellStyle name="출력 5 3 2 2 3" xfId="33935"/>
    <cellStyle name="출력 5 3 2 2 4" xfId="39992"/>
    <cellStyle name="출력 5 3 2 2 5" xfId="34126"/>
    <cellStyle name="출력 5 3 2 3" xfId="8619"/>
    <cellStyle name="출력 5 3 2 3 2" xfId="21847"/>
    <cellStyle name="출력 5 3 2 3 3" xfId="36361"/>
    <cellStyle name="출력 5 3 2 3 4" xfId="42254"/>
    <cellStyle name="출력 5 3 2 3 5" xfId="49088"/>
    <cellStyle name="출력 5 3 2 4" xfId="19799"/>
    <cellStyle name="출력 5 3 2 4 2" xfId="32080"/>
    <cellStyle name="출력 5 3 2 4 3" xfId="38303"/>
    <cellStyle name="출력 5 3 2 4 4" xfId="39831"/>
    <cellStyle name="출력 5 3 2 5" xfId="32310"/>
    <cellStyle name="출력 5 3 2 5 2" xfId="38528"/>
    <cellStyle name="출력 5 3 2 5 3" xfId="46805"/>
    <cellStyle name="출력 5 3 2 6" xfId="32430"/>
    <cellStyle name="출력 5 3 2 6 2" xfId="38648"/>
    <cellStyle name="출력 5 3 2 6 3" xfId="41316"/>
    <cellStyle name="출력 5 3 2 6 4" xfId="51504"/>
    <cellStyle name="출력 5 3 2 7" xfId="34941"/>
    <cellStyle name="출력 5 3 2 7 2" xfId="40939"/>
    <cellStyle name="출력 5 3 2 7 3" xfId="47635"/>
    <cellStyle name="출력 5 3 2 7 4" xfId="51505"/>
    <cellStyle name="출력 5 3 2 8" xfId="29623"/>
    <cellStyle name="출력 5 3 2 9" xfId="16240"/>
    <cellStyle name="출력 5 3 3" xfId="5789"/>
    <cellStyle name="출력 5 3 3 10" xfId="28206"/>
    <cellStyle name="출력 5 3 3 2" xfId="10523"/>
    <cellStyle name="출력 5 3 3 2 2" xfId="23751"/>
    <cellStyle name="출력 5 3 3 2 3" xfId="33303"/>
    <cellStyle name="출력 5 3 3 2 4" xfId="39517"/>
    <cellStyle name="출력 5 3 3 2 5" xfId="46421"/>
    <cellStyle name="출력 5 3 3 3" xfId="10155"/>
    <cellStyle name="출력 5 3 3 3 2" xfId="23383"/>
    <cellStyle name="출력 5 3 3 3 3" xfId="35784"/>
    <cellStyle name="출력 5 3 3 3 4" xfId="41668"/>
    <cellStyle name="출력 5 3 3 3 5" xfId="48502"/>
    <cellStyle name="출력 5 3 3 4" xfId="19028"/>
    <cellStyle name="출력 5 3 3 4 2" xfId="31349"/>
    <cellStyle name="출력 5 3 3 4 3" xfId="18469"/>
    <cellStyle name="출력 5 3 3 4 4" xfId="28075"/>
    <cellStyle name="출력 5 3 3 5" xfId="31543"/>
    <cellStyle name="출력 5 3 3 5 2" xfId="17296"/>
    <cellStyle name="출력 5 3 3 5 3" xfId="44200"/>
    <cellStyle name="출력 5 3 3 6" xfId="32163"/>
    <cellStyle name="출력 5 3 3 6 2" xfId="38388"/>
    <cellStyle name="출력 5 3 3 6 3" xfId="47381"/>
    <cellStyle name="출력 5 3 3 6 4" xfId="51506"/>
    <cellStyle name="출력 5 3 3 7" xfId="37607"/>
    <cellStyle name="출력 5 3 3 7 2" xfId="43530"/>
    <cellStyle name="출력 5 3 3 7 3" xfId="50364"/>
    <cellStyle name="출력 5 3 3 7 4" xfId="51507"/>
    <cellStyle name="출력 5 3 3 8" xfId="29000"/>
    <cellStyle name="출력 5 3 3 9" xfId="35465"/>
    <cellStyle name="출력 5 3 4" xfId="9793"/>
    <cellStyle name="출력 5 3 4 10" xfId="44519"/>
    <cellStyle name="출력 5 3 4 2" xfId="13430"/>
    <cellStyle name="출력 5 3 4 2 2" xfId="26658"/>
    <cellStyle name="출력 5 3 4 2 3" xfId="32910"/>
    <cellStyle name="출력 5 3 4 2 4" xfId="39130"/>
    <cellStyle name="출력 5 3 4 2 5" xfId="17607"/>
    <cellStyle name="출력 5 3 4 3" xfId="8488"/>
    <cellStyle name="출력 5 3 4 3 2" xfId="21716"/>
    <cellStyle name="출력 5 3 4 3 3" xfId="35406"/>
    <cellStyle name="출력 5 3 4 3 4" xfId="41298"/>
    <cellStyle name="출력 5 3 4 3 5" xfId="48109"/>
    <cellStyle name="출력 5 3 4 4" xfId="14111"/>
    <cellStyle name="출력 5 3 4 4 2" xfId="27339"/>
    <cellStyle name="출력 5 3 4 4 3" xfId="31152"/>
    <cellStyle name="출력 5 3 4 4 4" xfId="17078"/>
    <cellStyle name="출력 5 3 4 4 5" xfId="46632"/>
    <cellStyle name="출력 5 3 4 5" xfId="23021"/>
    <cellStyle name="출력 5 3 4 5 2" xfId="30738"/>
    <cellStyle name="출력 5 3 4 5 3" xfId="16917"/>
    <cellStyle name="출력 5 3 4 5 4" xfId="34493"/>
    <cellStyle name="출력 5 3 4 6" xfId="37407"/>
    <cellStyle name="출력 5 3 4 6 2" xfId="43327"/>
    <cellStyle name="출력 5 3 4 6 3" xfId="50161"/>
    <cellStyle name="출력 5 3 4 7" xfId="30851"/>
    <cellStyle name="출력 5 3 4 7 2" xfId="16964"/>
    <cellStyle name="출력 5 3 4 7 3" xfId="38702"/>
    <cellStyle name="출력 5 3 4 7 4" xfId="51508"/>
    <cellStyle name="출력 5 3 4 8" xfId="28599"/>
    <cellStyle name="출력 5 3 4 9" xfId="38456"/>
    <cellStyle name="출력 5 3 5" xfId="8443"/>
    <cellStyle name="출력 5 3 5 2" xfId="21671"/>
    <cellStyle name="출력 5 3 6" xfId="33045"/>
    <cellStyle name="출력 5_사업부문" xfId="54544"/>
    <cellStyle name="출력 6" xfId="313"/>
    <cellStyle name="출력 6 2" xfId="3660"/>
    <cellStyle name="출력 6 2 2" xfId="51124"/>
    <cellStyle name="출력 6 3" xfId="3659"/>
    <cellStyle name="출력 6 3 2" xfId="6572"/>
    <cellStyle name="출력 6 3 2 10" xfId="33004"/>
    <cellStyle name="출력 6 3 2 2" xfId="11306"/>
    <cellStyle name="출력 6 3 2 2 2" xfId="24534"/>
    <cellStyle name="출력 6 3 2 2 3" xfId="33936"/>
    <cellStyle name="출력 6 3 2 2 4" xfId="39993"/>
    <cellStyle name="출력 6 3 2 2 5" xfId="41248"/>
    <cellStyle name="출력 6 3 2 3" xfId="8258"/>
    <cellStyle name="출력 6 3 2 3 2" xfId="21486"/>
    <cellStyle name="출력 6 3 2 3 3" xfId="36362"/>
    <cellStyle name="출력 6 3 2 3 4" xfId="42255"/>
    <cellStyle name="출력 6 3 2 3 5" xfId="49089"/>
    <cellStyle name="출력 6 3 2 4" xfId="19800"/>
    <cellStyle name="출력 6 3 2 4 2" xfId="31566"/>
    <cellStyle name="출력 6 3 2 4 3" xfId="15137"/>
    <cellStyle name="출력 6 3 2 4 4" xfId="15325"/>
    <cellStyle name="출력 6 3 2 5" xfId="31553"/>
    <cellStyle name="출력 6 3 2 5 2" xfId="17300"/>
    <cellStyle name="출력 6 3 2 5 3" xfId="15565"/>
    <cellStyle name="출력 6 3 2 6" xfId="37268"/>
    <cellStyle name="출력 6 3 2 6 2" xfId="43188"/>
    <cellStyle name="출력 6 3 2 6 3" xfId="50022"/>
    <cellStyle name="출력 6 3 2 6 4" xfId="51509"/>
    <cellStyle name="출력 6 3 2 7" xfId="29764"/>
    <cellStyle name="출력 6 3 2 7 2" xfId="36841"/>
    <cellStyle name="출력 6 3 2 7 3" xfId="45527"/>
    <cellStyle name="출력 6 3 2 7 4" xfId="51510"/>
    <cellStyle name="출력 6 3 2 8" xfId="29624"/>
    <cellStyle name="출력 6 3 2 9" xfId="16241"/>
    <cellStyle name="출력 6 3 3" xfId="5790"/>
    <cellStyle name="출력 6 3 3 10" xfId="45321"/>
    <cellStyle name="출력 6 3 3 2" xfId="10524"/>
    <cellStyle name="출력 6 3 3 2 2" xfId="23752"/>
    <cellStyle name="출력 6 3 3 2 3" xfId="33304"/>
    <cellStyle name="출력 6 3 3 2 4" xfId="39518"/>
    <cellStyle name="출력 6 3 3 2 5" xfId="33330"/>
    <cellStyle name="출력 6 3 3 3" xfId="7977"/>
    <cellStyle name="출력 6 3 3 3 2" xfId="21205"/>
    <cellStyle name="출력 6 3 3 3 3" xfId="35785"/>
    <cellStyle name="출력 6 3 3 3 4" xfId="41669"/>
    <cellStyle name="출력 6 3 3 3 5" xfId="48503"/>
    <cellStyle name="출력 6 3 3 4" xfId="19029"/>
    <cellStyle name="출력 6 3 3 4 2" xfId="31350"/>
    <cellStyle name="출력 6 3 3 4 3" xfId="15236"/>
    <cellStyle name="출력 6 3 3 4 4" xfId="34302"/>
    <cellStyle name="출력 6 3 3 5" xfId="31737"/>
    <cellStyle name="출력 6 3 3 5 2" xfId="37958"/>
    <cellStyle name="출력 6 3 3 5 3" xfId="46610"/>
    <cellStyle name="출력 6 3 3 6" xfId="36668"/>
    <cellStyle name="출력 6 3 3 6 2" xfId="42571"/>
    <cellStyle name="출력 6 3 3 6 3" xfId="49405"/>
    <cellStyle name="출력 6 3 3 6 4" xfId="51511"/>
    <cellStyle name="출력 6 3 3 7" xfId="35805"/>
    <cellStyle name="출력 6 3 3 7 2" xfId="41689"/>
    <cellStyle name="출력 6 3 3 7 3" xfId="48523"/>
    <cellStyle name="출력 6 3 3 7 4" xfId="51512"/>
    <cellStyle name="출력 6 3 3 8" xfId="29001"/>
    <cellStyle name="출력 6 3 3 9" xfId="34701"/>
    <cellStyle name="출력 6 3 4" xfId="9794"/>
    <cellStyle name="출력 6 3 4 10" xfId="45489"/>
    <cellStyle name="출력 6 3 4 2" xfId="13431"/>
    <cellStyle name="출력 6 3 4 2 2" xfId="26659"/>
    <cellStyle name="출력 6 3 4 2 3" xfId="32911"/>
    <cellStyle name="출력 6 3 4 2 4" xfId="39131"/>
    <cellStyle name="출력 6 3 4 2 5" xfId="46883"/>
    <cellStyle name="출력 6 3 4 3" xfId="8663"/>
    <cellStyle name="출력 6 3 4 3 2" xfId="21891"/>
    <cellStyle name="출력 6 3 4 3 3" xfId="35407"/>
    <cellStyle name="출력 6 3 4 3 4" xfId="41299"/>
    <cellStyle name="출력 6 3 4 3 5" xfId="48110"/>
    <cellStyle name="출력 6 3 4 4" xfId="8545"/>
    <cellStyle name="출력 6 3 4 4 2" xfId="21773"/>
    <cellStyle name="출력 6 3 4 4 3" xfId="31153"/>
    <cellStyle name="출력 6 3 4 4 4" xfId="17758"/>
    <cellStyle name="출력 6 3 4 4 5" xfId="39852"/>
    <cellStyle name="출력 6 3 4 5" xfId="23022"/>
    <cellStyle name="출력 6 3 4 5 2" xfId="30183"/>
    <cellStyle name="출력 6 3 4 5 3" xfId="17721"/>
    <cellStyle name="출력 6 3 4 5 4" xfId="15819"/>
    <cellStyle name="출력 6 3 4 6" xfId="30082"/>
    <cellStyle name="출력 6 3 4 6 2" xfId="16562"/>
    <cellStyle name="출력 6 3 4 6 3" xfId="45121"/>
    <cellStyle name="출력 6 3 4 7" xfId="31602"/>
    <cellStyle name="출력 6 3 4 7 2" xfId="17327"/>
    <cellStyle name="출력 6 3 4 7 3" xfId="33047"/>
    <cellStyle name="출력 6 3 4 7 4" xfId="51513"/>
    <cellStyle name="출력 6 3 4 8" xfId="28600"/>
    <cellStyle name="출력 6 3 4 9" xfId="40316"/>
    <cellStyle name="출력 6 3 5" xfId="8444"/>
    <cellStyle name="출력 6 3 5 2" xfId="21672"/>
    <cellStyle name="출력 6 3 6" xfId="46660"/>
    <cellStyle name="출력 6_사업부문" xfId="54545"/>
    <cellStyle name="출력 7" xfId="314"/>
    <cellStyle name="출력 7 2" xfId="5384"/>
    <cellStyle name="출력 7 2 10" xfId="18627"/>
    <cellStyle name="출력 7 2 11" xfId="28118"/>
    <cellStyle name="출력 7 2 12" xfId="28760"/>
    <cellStyle name="출력 7 2 13" xfId="38489"/>
    <cellStyle name="출력 7 2 2" xfId="6661"/>
    <cellStyle name="출력 7 2 2 10" xfId="38511"/>
    <cellStyle name="출력 7 2 2 2" xfId="11395"/>
    <cellStyle name="출력 7 2 2 2 2" xfId="24623"/>
    <cellStyle name="출력 7 2 2 2 3" xfId="34025"/>
    <cellStyle name="출력 7 2 2 2 4" xfId="40058"/>
    <cellStyle name="출력 7 2 2 2 5" xfId="34150"/>
    <cellStyle name="출력 7 2 2 3" xfId="9120"/>
    <cellStyle name="출력 7 2 2 3 2" xfId="22348"/>
    <cellStyle name="출력 7 2 2 3 3" xfId="36450"/>
    <cellStyle name="출력 7 2 2 3 4" xfId="42343"/>
    <cellStyle name="출력 7 2 2 3 5" xfId="49177"/>
    <cellStyle name="출력 7 2 2 4" xfId="19889"/>
    <cellStyle name="출력 7 2 2 4 2" xfId="31956"/>
    <cellStyle name="출력 7 2 2 4 3" xfId="38179"/>
    <cellStyle name="출력 7 2 2 4 4" xfId="41175"/>
    <cellStyle name="출력 7 2 2 5" xfId="30128"/>
    <cellStyle name="출력 7 2 2 5 2" xfId="16594"/>
    <cellStyle name="출력 7 2 2 5 3" xfId="45170"/>
    <cellStyle name="출력 7 2 2 6" xfId="30383"/>
    <cellStyle name="출력 7 2 2 6 2" xfId="14658"/>
    <cellStyle name="출력 7 2 2 6 3" xfId="28879"/>
    <cellStyle name="출력 7 2 2 6 4" xfId="51514"/>
    <cellStyle name="출력 7 2 2 7" xfId="37650"/>
    <cellStyle name="출력 7 2 2 7 2" xfId="43573"/>
    <cellStyle name="출력 7 2 2 7 3" xfId="50407"/>
    <cellStyle name="출력 7 2 2 7 4" xfId="51515"/>
    <cellStyle name="출력 7 2 2 8" xfId="29713"/>
    <cellStyle name="출력 7 2 2 9" xfId="37383"/>
    <cellStyle name="출력 7 2 3" xfId="6687"/>
    <cellStyle name="출력 7 2 3 10" xfId="44447"/>
    <cellStyle name="출력 7 2 3 2" xfId="11421"/>
    <cellStyle name="출력 7 2 3 2 2" xfId="24649"/>
    <cellStyle name="출력 7 2 3 2 3" xfId="34051"/>
    <cellStyle name="출력 7 2 3 2 4" xfId="40076"/>
    <cellStyle name="출력 7 2 3 2 5" xfId="40061"/>
    <cellStyle name="출력 7 2 3 3" xfId="9142"/>
    <cellStyle name="출력 7 2 3 3 2" xfId="22370"/>
    <cellStyle name="출력 7 2 3 3 3" xfId="36476"/>
    <cellStyle name="출력 7 2 3 3 4" xfId="42369"/>
    <cellStyle name="출력 7 2 3 3 5" xfId="49203"/>
    <cellStyle name="출력 7 2 3 4" xfId="19915"/>
    <cellStyle name="출력 7 2 3 4 2" xfId="32082"/>
    <cellStyle name="출력 7 2 3 4 3" xfId="38305"/>
    <cellStyle name="출력 7 2 3 4 4" xfId="47440"/>
    <cellStyle name="출력 7 2 3 5" xfId="36939"/>
    <cellStyle name="출력 7 2 3 5 2" xfId="42855"/>
    <cellStyle name="출력 7 2 3 5 3" xfId="49689"/>
    <cellStyle name="출력 7 2 3 6" xfId="36924"/>
    <cellStyle name="출력 7 2 3 6 2" xfId="42839"/>
    <cellStyle name="출력 7 2 3 6 3" xfId="49673"/>
    <cellStyle name="출력 7 2 3 6 4" xfId="51516"/>
    <cellStyle name="출력 7 2 3 7" xfId="31188"/>
    <cellStyle name="출력 7 2 3 7 2" xfId="17099"/>
    <cellStyle name="출력 7 2 3 7 3" xfId="47082"/>
    <cellStyle name="출력 7 2 3 7 4" xfId="51517"/>
    <cellStyle name="출력 7 2 3 8" xfId="29739"/>
    <cellStyle name="출력 7 2 3 9" xfId="34736"/>
    <cellStyle name="출력 7 2 4" xfId="6688"/>
    <cellStyle name="출력 7 2 4 10" xfId="45433"/>
    <cellStyle name="출력 7 2 4 2" xfId="11422"/>
    <cellStyle name="출력 7 2 4 2 2" xfId="24650"/>
    <cellStyle name="출력 7 2 4 2 3" xfId="34052"/>
    <cellStyle name="출력 7 2 4 2 4" xfId="40077"/>
    <cellStyle name="출력 7 2 4 2 5" xfId="35698"/>
    <cellStyle name="출력 7 2 4 3" xfId="9143"/>
    <cellStyle name="출력 7 2 4 3 2" xfId="22371"/>
    <cellStyle name="출력 7 2 4 3 3" xfId="36477"/>
    <cellStyle name="출력 7 2 4 3 4" xfId="42370"/>
    <cellStyle name="출력 7 2 4 3 5" xfId="49204"/>
    <cellStyle name="출력 7 2 4 4" xfId="19916"/>
    <cellStyle name="출력 7 2 4 4 2" xfId="32026"/>
    <cellStyle name="출력 7 2 4 4 3" xfId="38249"/>
    <cellStyle name="출력 7 2 4 4 4" xfId="47016"/>
    <cellStyle name="출력 7 2 4 5" xfId="35869"/>
    <cellStyle name="출력 7 2 4 5 2" xfId="41759"/>
    <cellStyle name="출력 7 2 4 5 3" xfId="48593"/>
    <cellStyle name="출력 7 2 4 6" xfId="37692"/>
    <cellStyle name="출력 7 2 4 6 2" xfId="43615"/>
    <cellStyle name="출력 7 2 4 6 3" xfId="50449"/>
    <cellStyle name="출력 7 2 4 6 4" xfId="51518"/>
    <cellStyle name="출력 7 2 4 7" xfId="34693"/>
    <cellStyle name="출력 7 2 4 7 2" xfId="40683"/>
    <cellStyle name="출력 7 2 4 7 3" xfId="28744"/>
    <cellStyle name="출력 7 2 4 7 4" xfId="51519"/>
    <cellStyle name="출력 7 2 4 8" xfId="29740"/>
    <cellStyle name="출력 7 2 4 9" xfId="34931"/>
    <cellStyle name="출력 7 2 5" xfId="10151"/>
    <cellStyle name="출력 7 2 5 10" xfId="45150"/>
    <cellStyle name="출력 7 2 5 2" xfId="7753"/>
    <cellStyle name="출력 7 2 5 2 2" xfId="20981"/>
    <cellStyle name="출력 7 2 5 2 3" xfId="33097"/>
    <cellStyle name="출력 7 2 5 2 4" xfId="39314"/>
    <cellStyle name="출력 7 2 5 2 5" xfId="39266"/>
    <cellStyle name="출력 7 2 5 3" xfId="23379"/>
    <cellStyle name="출력 7 2 5 3 2" xfId="35583"/>
    <cellStyle name="출력 7 2 5 3 3" xfId="41459"/>
    <cellStyle name="출력 7 2 5 3 4" xfId="48293"/>
    <cellStyle name="출력 7 2 5 4" xfId="31279"/>
    <cellStyle name="출력 7 2 5 4 2" xfId="17169"/>
    <cellStyle name="출력 7 2 5 4 3" xfId="46688"/>
    <cellStyle name="출력 7 2 5 5" xfId="37294"/>
    <cellStyle name="출력 7 2 5 5 2" xfId="43214"/>
    <cellStyle name="출력 7 2 5 5 3" xfId="50048"/>
    <cellStyle name="출력 7 2 5 6" xfId="36864"/>
    <cellStyle name="출력 7 2 5 6 2" xfId="42776"/>
    <cellStyle name="출력 7 2 5 6 3" xfId="49610"/>
    <cellStyle name="출력 7 2 5 6 4" xfId="51520"/>
    <cellStyle name="출력 7 2 5 7" xfId="30151"/>
    <cellStyle name="출력 7 2 5 7 2" xfId="16613"/>
    <cellStyle name="출력 7 2 5 7 3" xfId="44389"/>
    <cellStyle name="출력 7 2 5 7 4" xfId="51521"/>
    <cellStyle name="출력 7 2 5 8" xfId="28794"/>
    <cellStyle name="출력 7 2 5 9" xfId="15769"/>
    <cellStyle name="출력 7 2 6" xfId="9147"/>
    <cellStyle name="출력 7 2 6 2" xfId="22375"/>
    <cellStyle name="출력 7 2 6 3" xfId="30792"/>
    <cellStyle name="출력 7 2 6 4" xfId="14699"/>
    <cellStyle name="출력 7 2 6 5" xfId="39420"/>
    <cellStyle name="출력 7 2 7" xfId="13011"/>
    <cellStyle name="출력 7 2 7 2" xfId="26239"/>
    <cellStyle name="출력 7 2 7 3" xfId="32421"/>
    <cellStyle name="출력 7 2 7 4" xfId="38639"/>
    <cellStyle name="출력 7 2 7 5" xfId="40109"/>
    <cellStyle name="출력 7 2 8" xfId="8503"/>
    <cellStyle name="출력 7 2 8 2" xfId="21731"/>
    <cellStyle name="출력 7 2 8 3" xfId="32161"/>
    <cellStyle name="출력 7 2 8 4" xfId="38386"/>
    <cellStyle name="출력 7 2 8 5" xfId="46968"/>
    <cellStyle name="출력 7 2 9" xfId="14309"/>
    <cellStyle name="출력 7 2 9 2" xfId="27537"/>
    <cellStyle name="출력 7 2 9 3" xfId="31809"/>
    <cellStyle name="출력 7 2 9 4" xfId="38030"/>
    <cellStyle name="출력 7 2 9 5" xfId="28653"/>
    <cellStyle name="출력 7 3" xfId="51125"/>
    <cellStyle name="출력 7_사업부문" xfId="54546"/>
    <cellStyle name="출력 8" xfId="3661"/>
    <cellStyle name="출력 8 2" xfId="6573"/>
    <cellStyle name="출력 8 2 10" xfId="45132"/>
    <cellStyle name="출력 8 2 2" xfId="11307"/>
    <cellStyle name="출력 8 2 2 2" xfId="24535"/>
    <cellStyle name="출력 8 2 2 3" xfId="33937"/>
    <cellStyle name="출력 8 2 2 4" xfId="39994"/>
    <cellStyle name="출력 8 2 2 5" xfId="34591"/>
    <cellStyle name="출력 8 2 3" xfId="8259"/>
    <cellStyle name="출력 8 2 3 2" xfId="21487"/>
    <cellStyle name="출력 8 2 3 3" xfId="36363"/>
    <cellStyle name="출력 8 2 3 4" xfId="42256"/>
    <cellStyle name="출력 8 2 3 5" xfId="49090"/>
    <cellStyle name="출력 8 2 4" xfId="19801"/>
    <cellStyle name="출력 8 2 4 2" xfId="31567"/>
    <cellStyle name="출력 8 2 4 3" xfId="17861"/>
    <cellStyle name="출력 8 2 4 4" xfId="28847"/>
    <cellStyle name="출력 8 2 5" xfId="36763"/>
    <cellStyle name="출력 8 2 5 2" xfId="42670"/>
    <cellStyle name="출력 8 2 5 3" xfId="49504"/>
    <cellStyle name="출력 8 2 6" xfId="30508"/>
    <cellStyle name="출력 8 2 6 2" xfId="17949"/>
    <cellStyle name="출력 8 2 6 3" xfId="44490"/>
    <cellStyle name="출력 8 2 6 4" xfId="51522"/>
    <cellStyle name="출력 8 2 7" xfId="30253"/>
    <cellStyle name="출력 8 2 7 2" xfId="16700"/>
    <cellStyle name="출력 8 2 7 3" xfId="38665"/>
    <cellStyle name="출력 8 2 7 4" xfId="51523"/>
    <cellStyle name="출력 8 2 8" xfId="29625"/>
    <cellStyle name="출력 8 2 9" xfId="16242"/>
    <cellStyle name="출력 8 3" xfId="5791"/>
    <cellStyle name="출력 8 3 10" xfId="44315"/>
    <cellStyle name="출력 8 3 2" xfId="10525"/>
    <cellStyle name="출력 8 3 2 2" xfId="23753"/>
    <cellStyle name="출력 8 3 2 3" xfId="33305"/>
    <cellStyle name="출력 8 3 2 4" xfId="39519"/>
    <cellStyle name="출력 8 3 2 5" xfId="31408"/>
    <cellStyle name="출력 8 3 3" xfId="6843"/>
    <cellStyle name="출력 8 3 3 2" xfId="20071"/>
    <cellStyle name="출력 8 3 3 3" xfId="35786"/>
    <cellStyle name="출력 8 3 3 4" xfId="41670"/>
    <cellStyle name="출력 8 3 3 5" xfId="48504"/>
    <cellStyle name="출력 8 3 4" xfId="19030"/>
    <cellStyle name="출력 8 3 4 2" xfId="30116"/>
    <cellStyle name="출력 8 3 4 3" xfId="17717"/>
    <cellStyle name="출력 8 3 4 4" xfId="44390"/>
    <cellStyle name="출력 8 3 5" xfId="31545"/>
    <cellStyle name="출력 8 3 5 2" xfId="15261"/>
    <cellStyle name="출력 8 3 5 3" xfId="32197"/>
    <cellStyle name="출력 8 3 6" xfId="37365"/>
    <cellStyle name="출력 8 3 6 2" xfId="43285"/>
    <cellStyle name="출력 8 3 6 3" xfId="50119"/>
    <cellStyle name="출력 8 3 6 4" xfId="51524"/>
    <cellStyle name="출력 8 3 7" xfId="30250"/>
    <cellStyle name="출력 8 3 7 2" xfId="28025"/>
    <cellStyle name="출력 8 3 7 3" xfId="28824"/>
    <cellStyle name="출력 8 3 7 4" xfId="51525"/>
    <cellStyle name="출력 8 3 8" xfId="29002"/>
    <cellStyle name="출력 8 3 9" xfId="32426"/>
    <cellStyle name="출력 8 4" xfId="9795"/>
    <cellStyle name="출력 8 4 10" xfId="15359"/>
    <cellStyle name="출력 8 4 2" xfId="13432"/>
    <cellStyle name="출력 8 4 2 2" xfId="26660"/>
    <cellStyle name="출력 8 4 2 3" xfId="32912"/>
    <cellStyle name="출력 8 4 2 4" xfId="39132"/>
    <cellStyle name="출력 8 4 2 5" xfId="32181"/>
    <cellStyle name="출력 8 4 3" xfId="8458"/>
    <cellStyle name="출력 8 4 3 2" xfId="21686"/>
    <cellStyle name="출력 8 4 3 3" xfId="35408"/>
    <cellStyle name="출력 8 4 3 4" xfId="41300"/>
    <cellStyle name="출력 8 4 3 5" xfId="48111"/>
    <cellStyle name="출력 8 4 4" xfId="7765"/>
    <cellStyle name="출력 8 4 4 2" xfId="20993"/>
    <cellStyle name="출력 8 4 4 3" xfId="31154"/>
    <cellStyle name="출력 8 4 4 4" xfId="17130"/>
    <cellStyle name="출력 8 4 4 5" xfId="28810"/>
    <cellStyle name="출력 8 4 5" xfId="23023"/>
    <cellStyle name="출력 8 4 5 2" xfId="36724"/>
    <cellStyle name="출력 8 4 5 3" xfId="42629"/>
    <cellStyle name="출력 8 4 5 4" xfId="49463"/>
    <cellStyle name="출력 8 4 6" xfId="31229"/>
    <cellStyle name="출력 8 4 6 2" xfId="17766"/>
    <cellStyle name="출력 8 4 6 3" xfId="46731"/>
    <cellStyle name="출력 8 4 7" xfId="37046"/>
    <cellStyle name="출력 8 4 7 2" xfId="42965"/>
    <cellStyle name="출력 8 4 7 3" xfId="49799"/>
    <cellStyle name="출력 8 4 7 4" xfId="51526"/>
    <cellStyle name="출력 8 4 8" xfId="28601"/>
    <cellStyle name="출력 8 4 9" xfId="39233"/>
    <cellStyle name="출력 8 5" xfId="8445"/>
    <cellStyle name="출력 8 5 2" xfId="21673"/>
    <cellStyle name="출력 8 6" xfId="39845"/>
    <cellStyle name="출력 9" xfId="3623"/>
    <cellStyle name="출력 9 2" xfId="6542"/>
    <cellStyle name="출력 9 2 10" xfId="45437"/>
    <cellStyle name="출력 9 2 2" xfId="11276"/>
    <cellStyle name="출력 9 2 2 2" xfId="24504"/>
    <cellStyle name="출력 9 2 2 3" xfId="33906"/>
    <cellStyle name="출력 9 2 2 4" xfId="39963"/>
    <cellStyle name="출력 9 2 2 5" xfId="28217"/>
    <cellStyle name="출력 9 2 3" xfId="8239"/>
    <cellStyle name="출력 9 2 3 2" xfId="21467"/>
    <cellStyle name="출력 9 2 3 3" xfId="36332"/>
    <cellStyle name="출력 9 2 3 4" xfId="42225"/>
    <cellStyle name="출력 9 2 3 5" xfId="49059"/>
    <cellStyle name="출력 9 2 4" xfId="19770"/>
    <cellStyle name="출력 9 2 4 2" xfId="32087"/>
    <cellStyle name="출력 9 2 4 3" xfId="38310"/>
    <cellStyle name="출력 9 2 4 4" xfId="40333"/>
    <cellStyle name="출력 9 2 5" xfId="30229"/>
    <cellStyle name="출력 9 2 5 2" xfId="16679"/>
    <cellStyle name="출력 9 2 5 3" xfId="45296"/>
    <cellStyle name="출력 9 2 6" xfId="31275"/>
    <cellStyle name="출력 9 2 6 2" xfId="17166"/>
    <cellStyle name="출력 9 2 6 3" xfId="47079"/>
    <cellStyle name="출력 9 2 6 4" xfId="51527"/>
    <cellStyle name="출력 9 2 7" xfId="37553"/>
    <cellStyle name="출력 9 2 7 2" xfId="43474"/>
    <cellStyle name="출력 9 2 7 3" xfId="50308"/>
    <cellStyle name="출력 9 2 7 4" xfId="51528"/>
    <cellStyle name="출력 9 2 8" xfId="29594"/>
    <cellStyle name="출력 9 2 9" xfId="14588"/>
    <cellStyle name="출력 9 3" xfId="5760"/>
    <cellStyle name="출력 9 3 10" xfId="33065"/>
    <cellStyle name="출력 9 3 2" xfId="10494"/>
    <cellStyle name="출력 9 3 2 2" xfId="23722"/>
    <cellStyle name="출력 9 3 2 3" xfId="33274"/>
    <cellStyle name="출력 9 3 2 4" xfId="39488"/>
    <cellStyle name="출력 9 3 2 5" xfId="33423"/>
    <cellStyle name="출력 9 3 3" xfId="7953"/>
    <cellStyle name="출력 9 3 3 2" xfId="21181"/>
    <cellStyle name="출력 9 3 3 3" xfId="35755"/>
    <cellStyle name="출력 9 3 3 4" xfId="41639"/>
    <cellStyle name="출력 9 3 3 5" xfId="48473"/>
    <cellStyle name="출력 9 3 4" xfId="18999"/>
    <cellStyle name="출력 9 3 4 2" xfId="30113"/>
    <cellStyle name="출력 9 3 4 3" xfId="14633"/>
    <cellStyle name="출력 9 3 4 4" xfId="45120"/>
    <cellStyle name="출력 9 3 5" xfId="31540"/>
    <cellStyle name="출력 9 3 5 2" xfId="17294"/>
    <cellStyle name="출력 9 3 5 3" xfId="46191"/>
    <cellStyle name="출력 9 3 6" xfId="31195"/>
    <cellStyle name="출력 9 3 6 2" xfId="17106"/>
    <cellStyle name="출력 9 3 6 3" xfId="17576"/>
    <cellStyle name="출력 9 3 6 4" xfId="51529"/>
    <cellStyle name="출력 9 3 7" xfId="37674"/>
    <cellStyle name="출력 9 3 7 2" xfId="43597"/>
    <cellStyle name="출력 9 3 7 3" xfId="50431"/>
    <cellStyle name="출력 9 3 7 4" xfId="51530"/>
    <cellStyle name="출력 9 3 8" xfId="28971"/>
    <cellStyle name="출력 9 3 9" xfId="31297"/>
    <cellStyle name="출력 9 4" xfId="9764"/>
    <cellStyle name="출력 9 4 10" xfId="39214"/>
    <cellStyle name="출력 9 4 2" xfId="13401"/>
    <cellStyle name="출력 9 4 2 2" xfId="26629"/>
    <cellStyle name="출력 9 4 2 3" xfId="32881"/>
    <cellStyle name="출력 9 4 2 4" xfId="39101"/>
    <cellStyle name="출력 9 4 2 5" xfId="16522"/>
    <cellStyle name="출력 9 4 3" xfId="12926"/>
    <cellStyle name="출력 9 4 3 2" xfId="26154"/>
    <cellStyle name="출력 9 4 3 3" xfId="35377"/>
    <cellStyle name="출력 9 4 3 4" xfId="41269"/>
    <cellStyle name="출력 9 4 3 5" xfId="48080"/>
    <cellStyle name="출력 9 4 4" xfId="7230"/>
    <cellStyle name="출력 9 4 4 2" xfId="20458"/>
    <cellStyle name="출력 9 4 4 3" xfId="31123"/>
    <cellStyle name="출력 9 4 4 4" xfId="18108"/>
    <cellStyle name="출력 9 4 4 5" xfId="27881"/>
    <cellStyle name="출력 9 4 5" xfId="22992"/>
    <cellStyle name="출력 9 4 5 2" xfId="30187"/>
    <cellStyle name="출력 9 4 5 3" xfId="17720"/>
    <cellStyle name="출력 9 4 5 4" xfId="39321"/>
    <cellStyle name="출력 9 4 6" xfId="31794"/>
    <cellStyle name="출력 9 4 6 2" xfId="38015"/>
    <cellStyle name="출력 9 4 6 3" xfId="39861"/>
    <cellStyle name="출력 9 4 7" xfId="37754"/>
    <cellStyle name="출력 9 4 7 2" xfId="43678"/>
    <cellStyle name="출력 9 4 7 3" xfId="50512"/>
    <cellStyle name="출력 9 4 7 4" xfId="51531"/>
    <cellStyle name="출력 9 4 8" xfId="28570"/>
    <cellStyle name="출력 9 4 9" xfId="39253"/>
    <cellStyle name="출력 9 5" xfId="8414"/>
    <cellStyle name="출력 9 5 2" xfId="21642"/>
    <cellStyle name="출력 9 6" xfId="45830"/>
    <cellStyle name="콤? [0]" xfId="54547"/>
    <cellStyle name="콤릈_laroux_2" xfId="54548"/>
    <cellStyle name="콤마 [0]" xfId="54549"/>
    <cellStyle name="콤마_ " xfId="54550"/>
    <cellStyle name="콤마숫자" xfId="54551"/>
    <cellStyle name="通貨 [0.00]_PERSONAL" xfId="54552"/>
    <cellStyle name="통화 [0] 2" xfId="315"/>
    <cellStyle name="통화 [0] 2 2" xfId="3663"/>
    <cellStyle name="통화 [0] 2 3" xfId="4889"/>
    <cellStyle name="통화 [0] 2 4" xfId="3662"/>
    <cellStyle name="통화 [0] 2 5" xfId="51532"/>
    <cellStyle name="통화 [0] 3" xfId="54553"/>
    <cellStyle name="통화 2" xfId="54554"/>
    <cellStyle name="通貨_PERSONAL" xfId="54555"/>
    <cellStyle name="퍼센트" xfId="316"/>
    <cellStyle name="퍼센트 2" xfId="54556"/>
    <cellStyle name="퍼센트 2 2" xfId="54557"/>
    <cellStyle name="표서식" xfId="54558"/>
    <cellStyle name="标题" xfId="3664"/>
    <cellStyle name="标题 1" xfId="3665"/>
    <cellStyle name="标题 1 2" xfId="3666"/>
    <cellStyle name="标题 1 2 2" xfId="3667"/>
    <cellStyle name="标题 1 2 2 2" xfId="3668"/>
    <cellStyle name="标题 1 2 3" xfId="3669"/>
    <cellStyle name="标题 1 3" xfId="3670"/>
    <cellStyle name="标题 1 3 2" xfId="3671"/>
    <cellStyle name="标题 1 3 2 2" xfId="3672"/>
    <cellStyle name="标题 1 3 3" xfId="3673"/>
    <cellStyle name="标题 1 4" xfId="3674"/>
    <cellStyle name="标题 1 4 2" xfId="3675"/>
    <cellStyle name="标题 2" xfId="3676"/>
    <cellStyle name="标题 2 2" xfId="3677"/>
    <cellStyle name="标题 2 2 2" xfId="3678"/>
    <cellStyle name="标题 2 2 2 2" xfId="3679"/>
    <cellStyle name="标题 2 2 3" xfId="3680"/>
    <cellStyle name="标题 2 3" xfId="3681"/>
    <cellStyle name="标题 2 3 2" xfId="3682"/>
    <cellStyle name="标题 2 3 2 2" xfId="3683"/>
    <cellStyle name="标题 2 3 3" xfId="3684"/>
    <cellStyle name="标题 2 4" xfId="3685"/>
    <cellStyle name="标题 2 4 2" xfId="3686"/>
    <cellStyle name="标题 3" xfId="3687"/>
    <cellStyle name="标题 3 2" xfId="3688"/>
    <cellStyle name="标题 3 2 2" xfId="3689"/>
    <cellStyle name="标题 3 2 2 2" xfId="3690"/>
    <cellStyle name="标题 3 2 3" xfId="3691"/>
    <cellStyle name="标题 3 3" xfId="3692"/>
    <cellStyle name="标题 3 3 2" xfId="3693"/>
    <cellStyle name="标题 3 3 2 2" xfId="3694"/>
    <cellStyle name="标题 3 3 3" xfId="3695"/>
    <cellStyle name="标题 3 4" xfId="3696"/>
    <cellStyle name="标题 3 4 2" xfId="3697"/>
    <cellStyle name="标题 4" xfId="3698"/>
    <cellStyle name="标题 4 2" xfId="3699"/>
    <cellStyle name="标题 4 2 2" xfId="3700"/>
    <cellStyle name="标题 4 2 2 2" xfId="3701"/>
    <cellStyle name="标题 4 2 3" xfId="3702"/>
    <cellStyle name="标题 4 3" xfId="3703"/>
    <cellStyle name="标题 4 3 2" xfId="3704"/>
    <cellStyle name="标题 4 3 2 2" xfId="3705"/>
    <cellStyle name="标题 4 3 3" xfId="3706"/>
    <cellStyle name="标题 4 4" xfId="3707"/>
    <cellStyle name="标题 4 4 2" xfId="3708"/>
    <cellStyle name="标题 5" xfId="3709"/>
    <cellStyle name="标题 5 2" xfId="3710"/>
    <cellStyle name="标题 5 2 2" xfId="3711"/>
    <cellStyle name="标题 5 3" xfId="3712"/>
    <cellStyle name="标题 6" xfId="3713"/>
    <cellStyle name="标题 6 2" xfId="3714"/>
    <cellStyle name="标题 6 2 2" xfId="3715"/>
    <cellStyle name="标题 6 3" xfId="3716"/>
    <cellStyle name="标题 7" xfId="3717"/>
    <cellStyle name="标题 7 2" xfId="3718"/>
    <cellStyle name="标题_2011년 고객만족센터 일보고_0701(구)" xfId="3719"/>
    <cellStyle name="표준" xfId="0" builtinId="0"/>
    <cellStyle name="표준 10" xfId="317"/>
    <cellStyle name="표준 10 10" xfId="54559"/>
    <cellStyle name="표준 10 2" xfId="318"/>
    <cellStyle name="표준 10 2 2" xfId="3721"/>
    <cellStyle name="표준 10 2 2 2" xfId="50698"/>
    <cellStyle name="표준 10 2 3" xfId="3720"/>
    <cellStyle name="표준 10 2 3 2" xfId="51126"/>
    <cellStyle name="표준 10 2 4" xfId="5385"/>
    <cellStyle name="표준 10 2 5" xfId="51127"/>
    <cellStyle name="표준 10 3" xfId="3722"/>
    <cellStyle name="표준 10 3 2" xfId="5386"/>
    <cellStyle name="표준 10 3 3" xfId="5387"/>
    <cellStyle name="표준 10 3 4" xfId="5388"/>
    <cellStyle name="표준 10 3 5" xfId="51128"/>
    <cellStyle name="표준 10 4" xfId="3723"/>
    <cellStyle name="표준 10 5" xfId="54560"/>
    <cellStyle name="표준 100" xfId="54561"/>
    <cellStyle name="표준 101" xfId="54562"/>
    <cellStyle name="표준 102" xfId="54563"/>
    <cellStyle name="표준 103" xfId="54564"/>
    <cellStyle name="표준 104" xfId="54565"/>
    <cellStyle name="표준 104 2" xfId="54566"/>
    <cellStyle name="표준 105" xfId="54567"/>
    <cellStyle name="표준 105 2" xfId="54568"/>
    <cellStyle name="표준 105 2 2" xfId="54569"/>
    <cellStyle name="표준 105 3" xfId="54570"/>
    <cellStyle name="표준 106" xfId="54571"/>
    <cellStyle name="표준 106 2" xfId="54572"/>
    <cellStyle name="표준 107" xfId="54573"/>
    <cellStyle name="표준 107 2" xfId="54574"/>
    <cellStyle name="표준 108" xfId="54575"/>
    <cellStyle name="표준 109" xfId="54576"/>
    <cellStyle name="표준 11" xfId="319"/>
    <cellStyle name="표준 11 10" xfId="3725"/>
    <cellStyle name="표준 11 10 2" xfId="3726"/>
    <cellStyle name="표준 11 11" xfId="3727"/>
    <cellStyle name="표준 11 11 2" xfId="3728"/>
    <cellStyle name="표준 11 12" xfId="3729"/>
    <cellStyle name="표준 11 12 2" xfId="3730"/>
    <cellStyle name="표준 11 13" xfId="3731"/>
    <cellStyle name="표준 11 13 2" xfId="3732"/>
    <cellStyle name="표준 11 14" xfId="3733"/>
    <cellStyle name="표준 11 14 2" xfId="3734"/>
    <cellStyle name="표준 11 15" xfId="3735"/>
    <cellStyle name="표준 11 15 2" xfId="3736"/>
    <cellStyle name="표준 11 16" xfId="3737"/>
    <cellStyle name="표준 11 16 2" xfId="3738"/>
    <cellStyle name="표준 11 17" xfId="3739"/>
    <cellStyle name="표준 11 17 2" xfId="3740"/>
    <cellStyle name="표준 11 18" xfId="3741"/>
    <cellStyle name="표준 11 18 2" xfId="3742"/>
    <cellStyle name="표준 11 19" xfId="3743"/>
    <cellStyle name="표준 11 19 2" xfId="3744"/>
    <cellStyle name="표준 11 2" xfId="3745"/>
    <cellStyle name="표준 11 2 2" xfId="3746"/>
    <cellStyle name="표준 11 20" xfId="3747"/>
    <cellStyle name="표준 11 20 2" xfId="3748"/>
    <cellStyle name="표준 11 21" xfId="3749"/>
    <cellStyle name="표준 11 21 2" xfId="3750"/>
    <cellStyle name="표준 11 22" xfId="3751"/>
    <cellStyle name="표준 11 22 2" xfId="3752"/>
    <cellStyle name="표준 11 23" xfId="3753"/>
    <cellStyle name="표준 11 23 2" xfId="3754"/>
    <cellStyle name="표준 11 24" xfId="3755"/>
    <cellStyle name="표준 11 24 2" xfId="3756"/>
    <cellStyle name="표준 11 25" xfId="3757"/>
    <cellStyle name="표준 11 25 2" xfId="3758"/>
    <cellStyle name="표준 11 26" xfId="3759"/>
    <cellStyle name="표준 11 26 2" xfId="3760"/>
    <cellStyle name="표준 11 27" xfId="3761"/>
    <cellStyle name="표준 11 27 2" xfId="3762"/>
    <cellStyle name="표준 11 28" xfId="3763"/>
    <cellStyle name="표준 11 28 2" xfId="3764"/>
    <cellStyle name="표준 11 29" xfId="3765"/>
    <cellStyle name="표준 11 29 2" xfId="3766"/>
    <cellStyle name="표준 11 3" xfId="3767"/>
    <cellStyle name="표준 11 3 2" xfId="3768"/>
    <cellStyle name="표준 11 30" xfId="3769"/>
    <cellStyle name="표준 11 30 2" xfId="3770"/>
    <cellStyle name="표준 11 31" xfId="3771"/>
    <cellStyle name="표준 11 31 2" xfId="3772"/>
    <cellStyle name="표준 11 32" xfId="3773"/>
    <cellStyle name="표준 11 32 2" xfId="3774"/>
    <cellStyle name="표준 11 33" xfId="3775"/>
    <cellStyle name="표준 11 33 2" xfId="3776"/>
    <cellStyle name="표준 11 34" xfId="3777"/>
    <cellStyle name="표준 11 35" xfId="3724"/>
    <cellStyle name="표준 11 4" xfId="3778"/>
    <cellStyle name="표준 11 4 2" xfId="3779"/>
    <cellStyle name="표준 11 5" xfId="3780"/>
    <cellStyle name="표준 11 5 2" xfId="3781"/>
    <cellStyle name="표준 11 6" xfId="3782"/>
    <cellStyle name="표준 11 6 2" xfId="3783"/>
    <cellStyle name="표준 11 7" xfId="3784"/>
    <cellStyle name="표준 11 7 2" xfId="3785"/>
    <cellStyle name="표준 11 8" xfId="3786"/>
    <cellStyle name="표준 11 8 2" xfId="3787"/>
    <cellStyle name="표준 11 9" xfId="3788"/>
    <cellStyle name="표준 11 9 2" xfId="3789"/>
    <cellStyle name="표준 11_CRM 일일보고_(DB클린징_20110704)" xfId="3790"/>
    <cellStyle name="표준 110" xfId="54577"/>
    <cellStyle name="표준 111" xfId="54578"/>
    <cellStyle name="표준 112" xfId="54579"/>
    <cellStyle name="표준 113" xfId="54580"/>
    <cellStyle name="표준 114" xfId="54581"/>
    <cellStyle name="표준 115" xfId="54582"/>
    <cellStyle name="표준 116" xfId="54583"/>
    <cellStyle name="표준 117" xfId="54584"/>
    <cellStyle name="표준 118" xfId="54585"/>
    <cellStyle name="표준 119" xfId="54586"/>
    <cellStyle name="표준 12" xfId="320"/>
    <cellStyle name="표준 12 2" xfId="3792"/>
    <cellStyle name="표준 12 2 2" xfId="3793"/>
    <cellStyle name="표준 12 3" xfId="3794"/>
    <cellStyle name="표준 12 3 2" xfId="51129"/>
    <cellStyle name="표준 12 4" xfId="3791"/>
    <cellStyle name="표준 12 4 2" xfId="51130"/>
    <cellStyle name="표준 120" xfId="54587"/>
    <cellStyle name="표준 121" xfId="54588"/>
    <cellStyle name="표준 122" xfId="54589"/>
    <cellStyle name="표준 123" xfId="54590"/>
    <cellStyle name="표준 124" xfId="54591"/>
    <cellStyle name="표준 125" xfId="54728"/>
    <cellStyle name="표준 126" xfId="54729"/>
    <cellStyle name="표준 127" xfId="54730"/>
    <cellStyle name="표준 128" xfId="54731"/>
    <cellStyle name="표준 129" xfId="54732"/>
    <cellStyle name="표준 13" xfId="321"/>
    <cellStyle name="표준 13 2" xfId="3796"/>
    <cellStyle name="표준 13 2 2" xfId="51131"/>
    <cellStyle name="표준 13 3" xfId="3797"/>
    <cellStyle name="표준 13 3 2" xfId="51132"/>
    <cellStyle name="표준 13 4" xfId="3798"/>
    <cellStyle name="표준 13 4 2" xfId="51133"/>
    <cellStyle name="표준 13 5" xfId="3799"/>
    <cellStyle name="표준 13 6" xfId="3800"/>
    <cellStyle name="표준 13 7" xfId="3801"/>
    <cellStyle name="표준 13 8" xfId="3802"/>
    <cellStyle name="표준 13 9" xfId="3795"/>
    <cellStyle name="표준 13 9 2" xfId="51134"/>
    <cellStyle name="표준 130" xfId="54733"/>
    <cellStyle name="표준 131" xfId="54734"/>
    <cellStyle name="표준 132" xfId="54735"/>
    <cellStyle name="표준 133" xfId="54736"/>
    <cellStyle name="표준 134" xfId="54737"/>
    <cellStyle name="표준 135" xfId="54738"/>
    <cellStyle name="표준 136" xfId="54739"/>
    <cellStyle name="표준 137" xfId="54740"/>
    <cellStyle name="표준 138" xfId="54741"/>
    <cellStyle name="표준 139" xfId="54742"/>
    <cellStyle name="표준 14" xfId="322"/>
    <cellStyle name="표준 14 10" xfId="3804"/>
    <cellStyle name="표준 14 10 2" xfId="3805"/>
    <cellStyle name="표준 14 11" xfId="3806"/>
    <cellStyle name="표준 14 11 2" xfId="3807"/>
    <cellStyle name="표준 14 12" xfId="3808"/>
    <cellStyle name="표준 14 12 2" xfId="3809"/>
    <cellStyle name="표준 14 13" xfId="3810"/>
    <cellStyle name="표준 14 13 2" xfId="3811"/>
    <cellStyle name="표준 14 14" xfId="3812"/>
    <cellStyle name="표준 14 14 2" xfId="3813"/>
    <cellStyle name="표준 14 15" xfId="3814"/>
    <cellStyle name="표준 14 15 2" xfId="3815"/>
    <cellStyle name="표준 14 16" xfId="3816"/>
    <cellStyle name="표준 14 16 2" xfId="3817"/>
    <cellStyle name="표준 14 17" xfId="3818"/>
    <cellStyle name="표준 14 17 2" xfId="3819"/>
    <cellStyle name="표준 14 18" xfId="3820"/>
    <cellStyle name="표준 14 18 2" xfId="3821"/>
    <cellStyle name="표준 14 19" xfId="3822"/>
    <cellStyle name="표준 14 19 2" xfId="3823"/>
    <cellStyle name="표준 14 2" xfId="3824"/>
    <cellStyle name="표준 14 2 2" xfId="51135"/>
    <cellStyle name="표준 14 20" xfId="3825"/>
    <cellStyle name="표준 14 20 2" xfId="3826"/>
    <cellStyle name="표준 14 21" xfId="3827"/>
    <cellStyle name="표준 14 21 2" xfId="3828"/>
    <cellStyle name="표준 14 22" xfId="3829"/>
    <cellStyle name="표준 14 22 2" xfId="3830"/>
    <cellStyle name="표준 14 23" xfId="3831"/>
    <cellStyle name="표준 14 23 2" xfId="3832"/>
    <cellStyle name="표준 14 24" xfId="3833"/>
    <cellStyle name="표준 14 24 2" xfId="3834"/>
    <cellStyle name="표준 14 25" xfId="3835"/>
    <cellStyle name="표준 14 25 2" xfId="3836"/>
    <cellStyle name="표준 14 26" xfId="3837"/>
    <cellStyle name="표준 14 26 2" xfId="3838"/>
    <cellStyle name="표준 14 27" xfId="3839"/>
    <cellStyle name="표준 14 27 2" xfId="3840"/>
    <cellStyle name="표준 14 28" xfId="3841"/>
    <cellStyle name="표준 14 28 2" xfId="3842"/>
    <cellStyle name="표준 14 29" xfId="3843"/>
    <cellStyle name="표준 14 29 2" xfId="3844"/>
    <cellStyle name="표준 14 3" xfId="3845"/>
    <cellStyle name="표준 14 3 2" xfId="3846"/>
    <cellStyle name="표준 14 30" xfId="3847"/>
    <cellStyle name="표준 14 30 2" xfId="3848"/>
    <cellStyle name="표준 14 31" xfId="3849"/>
    <cellStyle name="표준 14 31 2" xfId="3850"/>
    <cellStyle name="표준 14 32" xfId="3851"/>
    <cellStyle name="표준 14 33" xfId="3803"/>
    <cellStyle name="표준 14 4" xfId="3852"/>
    <cellStyle name="표준 14 4 2" xfId="3853"/>
    <cellStyle name="표준 14 5" xfId="3854"/>
    <cellStyle name="표준 14 5 2" xfId="3855"/>
    <cellStyle name="표준 14 6" xfId="3856"/>
    <cellStyle name="표준 14 6 2" xfId="3857"/>
    <cellStyle name="표준 14 7" xfId="3858"/>
    <cellStyle name="표준 14 7 2" xfId="3859"/>
    <cellStyle name="표준 14 8" xfId="3860"/>
    <cellStyle name="표준 14 8 2" xfId="3861"/>
    <cellStyle name="표준 14 9" xfId="3862"/>
    <cellStyle name="표준 14 9 2" xfId="3863"/>
    <cellStyle name="표준 14_CRM 일일보고_(DB클린징_20110704)" xfId="3864"/>
    <cellStyle name="표준 140" xfId="54743"/>
    <cellStyle name="표준 141" xfId="54744"/>
    <cellStyle name="표준 142" xfId="54745"/>
    <cellStyle name="표준 143" xfId="54746"/>
    <cellStyle name="표준 144" xfId="54747"/>
    <cellStyle name="표준 145" xfId="54748"/>
    <cellStyle name="표준 146" xfId="54749"/>
    <cellStyle name="표준 147" xfId="54750"/>
    <cellStyle name="표준 148" xfId="54751"/>
    <cellStyle name="표준 149" xfId="54752"/>
    <cellStyle name="표준 15" xfId="323"/>
    <cellStyle name="표준 15 10" xfId="3866"/>
    <cellStyle name="표준 15 10 2" xfId="3867"/>
    <cellStyle name="표준 15 11" xfId="3868"/>
    <cellStyle name="표준 15 11 2" xfId="3869"/>
    <cellStyle name="표준 15 12" xfId="3870"/>
    <cellStyle name="표준 15 12 2" xfId="3871"/>
    <cellStyle name="표준 15 13" xfId="3872"/>
    <cellStyle name="표준 15 13 2" xfId="3873"/>
    <cellStyle name="표준 15 14" xfId="3874"/>
    <cellStyle name="표준 15 14 2" xfId="3875"/>
    <cellStyle name="표준 15 15" xfId="3876"/>
    <cellStyle name="표준 15 15 2" xfId="3877"/>
    <cellStyle name="표준 15 16" xfId="3878"/>
    <cellStyle name="표준 15 16 2" xfId="3879"/>
    <cellStyle name="표준 15 17" xfId="3880"/>
    <cellStyle name="표준 15 17 2" xfId="3881"/>
    <cellStyle name="표준 15 18" xfId="3882"/>
    <cellStyle name="표준 15 18 2" xfId="3883"/>
    <cellStyle name="표준 15 19" xfId="3884"/>
    <cellStyle name="표준 15 19 2" xfId="3885"/>
    <cellStyle name="표준 15 2" xfId="3886"/>
    <cellStyle name="표준 15 2 2" xfId="3887"/>
    <cellStyle name="표준 15 20" xfId="3888"/>
    <cellStyle name="표준 15 20 2" xfId="3889"/>
    <cellStyle name="표준 15 21" xfId="3890"/>
    <cellStyle name="표준 15 21 2" xfId="3891"/>
    <cellStyle name="표준 15 22" xfId="3892"/>
    <cellStyle name="표준 15 22 2" xfId="3893"/>
    <cellStyle name="표준 15 23" xfId="3894"/>
    <cellStyle name="표준 15 23 2" xfId="3895"/>
    <cellStyle name="표준 15 24" xfId="3896"/>
    <cellStyle name="표준 15 24 2" xfId="3897"/>
    <cellStyle name="표준 15 25" xfId="3898"/>
    <cellStyle name="표준 15 25 2" xfId="3899"/>
    <cellStyle name="표준 15 26" xfId="3900"/>
    <cellStyle name="표준 15 26 2" xfId="3901"/>
    <cellStyle name="표준 15 27" xfId="3902"/>
    <cellStyle name="표준 15 27 2" xfId="3903"/>
    <cellStyle name="표준 15 28" xfId="3904"/>
    <cellStyle name="표준 15 28 2" xfId="3905"/>
    <cellStyle name="표준 15 29" xfId="3906"/>
    <cellStyle name="표준 15 29 2" xfId="3907"/>
    <cellStyle name="표준 15 3" xfId="3908"/>
    <cellStyle name="표준 15 3 2" xfId="3909"/>
    <cellStyle name="표준 15 30" xfId="3910"/>
    <cellStyle name="표준 15 30 2" xfId="3911"/>
    <cellStyle name="표준 15 31" xfId="3912"/>
    <cellStyle name="표준 15 31 2" xfId="3913"/>
    <cellStyle name="표준 15 32" xfId="3914"/>
    <cellStyle name="표준 15 32 2" xfId="3915"/>
    <cellStyle name="표준 15 33" xfId="3916"/>
    <cellStyle name="표준 15 34" xfId="3865"/>
    <cellStyle name="표준 15 4" xfId="3917"/>
    <cellStyle name="표준 15 4 2" xfId="3918"/>
    <cellStyle name="표준 15 5" xfId="3919"/>
    <cellStyle name="표준 15 5 2" xfId="3920"/>
    <cellStyle name="표준 15 6" xfId="3921"/>
    <cellStyle name="표준 15 6 2" xfId="3922"/>
    <cellStyle name="표준 15 7" xfId="3923"/>
    <cellStyle name="표준 15 7 2" xfId="3924"/>
    <cellStyle name="표준 15 8" xfId="3925"/>
    <cellStyle name="표준 15 8 2" xfId="3926"/>
    <cellStyle name="표준 15 9" xfId="3927"/>
    <cellStyle name="표준 15 9 2" xfId="3928"/>
    <cellStyle name="표준 15_CRM 일일보고_(DB클린징_20110704)" xfId="3929"/>
    <cellStyle name="표준 150" xfId="54753"/>
    <cellStyle name="표준 151" xfId="54754"/>
    <cellStyle name="표준 152" xfId="54755"/>
    <cellStyle name="표준 153" xfId="54756"/>
    <cellStyle name="표준 154" xfId="54757"/>
    <cellStyle name="표준 155" xfId="54758"/>
    <cellStyle name="표준 156" xfId="54759"/>
    <cellStyle name="표준 157" xfId="54760"/>
    <cellStyle name="표준 158" xfId="54761"/>
    <cellStyle name="표준 159" xfId="54762"/>
    <cellStyle name="표준 16" xfId="324"/>
    <cellStyle name="표준 16 2" xfId="3931"/>
    <cellStyle name="표준 16 2 2" xfId="3932"/>
    <cellStyle name="표준 16 3" xfId="4890"/>
    <cellStyle name="표준 16 3 2" xfId="51136"/>
    <cellStyle name="표준 16 4" xfId="3930"/>
    <cellStyle name="표준 16 4 2" xfId="51137"/>
    <cellStyle name="표준 16 5" xfId="51533"/>
    <cellStyle name="표준 160" xfId="54763"/>
    <cellStyle name="표준 161" xfId="54764"/>
    <cellStyle name="표준 162" xfId="54765"/>
    <cellStyle name="표준 163" xfId="54766"/>
    <cellStyle name="표준 164" xfId="54767"/>
    <cellStyle name="표준 165" xfId="54768"/>
    <cellStyle name="표준 166" xfId="54769"/>
    <cellStyle name="표준 167" xfId="54770"/>
    <cellStyle name="표준 168" xfId="54771"/>
    <cellStyle name="표준 169" xfId="54772"/>
    <cellStyle name="표준 17" xfId="552"/>
    <cellStyle name="표준 17 2" xfId="698"/>
    <cellStyle name="표준 17 2 2" xfId="3935"/>
    <cellStyle name="표준 17 2 3" xfId="5037"/>
    <cellStyle name="표준 17 2 3 2" xfId="5943"/>
    <cellStyle name="표준 17 2 3 2 2" xfId="12496"/>
    <cellStyle name="표준 17 2 3 2 2 2" xfId="25724"/>
    <cellStyle name="표준 17 2 3 2 3" xfId="10677"/>
    <cellStyle name="표준 17 2 3 2 3 2" xfId="23905"/>
    <cellStyle name="표준 17 2 3 2 4" xfId="19182"/>
    <cellStyle name="표준 17 2 3 3" xfId="9976"/>
    <cellStyle name="표준 17 2 3 3 2" xfId="23204"/>
    <cellStyle name="표준 17 2 3 4" xfId="11912"/>
    <cellStyle name="표준 17 2 3 4 2" xfId="25140"/>
    <cellStyle name="표준 17 2 3 5" xfId="8909"/>
    <cellStyle name="표준 17 2 3 5 2" xfId="22137"/>
    <cellStyle name="표준 17 2 3 6" xfId="18304"/>
    <cellStyle name="표준 17 2 4" xfId="3934"/>
    <cellStyle name="표준 17 2 5" xfId="5706"/>
    <cellStyle name="표준 17 2 5 2" xfId="12349"/>
    <cellStyle name="표준 17 2 5 2 2" xfId="25577"/>
    <cellStyle name="표준 17 2 5 3" xfId="10440"/>
    <cellStyle name="표준 17 2 5 3 2" xfId="23668"/>
    <cellStyle name="표준 17 2 5 4" xfId="18945"/>
    <cellStyle name="표준 17 2 6" xfId="9439"/>
    <cellStyle name="표준 17 2 6 2" xfId="22667"/>
    <cellStyle name="표준 17 2 7" xfId="11707"/>
    <cellStyle name="표준 17 2 7 2" xfId="24935"/>
    <cellStyle name="표준 17 2 8" xfId="7172"/>
    <cellStyle name="표준 17 2 8 2" xfId="20400"/>
    <cellStyle name="표준 17 2 9" xfId="15112"/>
    <cellStyle name="표준 17 3" xfId="5168"/>
    <cellStyle name="표준 17 3 2" xfId="6068"/>
    <cellStyle name="표준 17 3 2 2" xfId="12621"/>
    <cellStyle name="표준 17 3 2 2 2" xfId="25849"/>
    <cellStyle name="표준 17 3 2 3" xfId="10802"/>
    <cellStyle name="표준 17 3 2 3 2" xfId="24030"/>
    <cellStyle name="표준 17 3 2 4" xfId="19307"/>
    <cellStyle name="표준 17 3 3" xfId="10103"/>
    <cellStyle name="표준 17 3 3 2" xfId="23331"/>
    <cellStyle name="표준 17 3 4" xfId="12037"/>
    <cellStyle name="표준 17 3 4 2" xfId="25265"/>
    <cellStyle name="표준 17 3 5" xfId="9036"/>
    <cellStyle name="표준 17 3 5 2" xfId="22264"/>
    <cellStyle name="표준 17 3 6" xfId="18434"/>
    <cellStyle name="표준 17 3 7" xfId="51138"/>
    <cellStyle name="표준 17 4" xfId="3933"/>
    <cellStyle name="표준 17 4 2" xfId="51139"/>
    <cellStyle name="표준 17 5" xfId="5563"/>
    <cellStyle name="표준 17 5 2" xfId="12206"/>
    <cellStyle name="표준 17 5 2 2" xfId="25434"/>
    <cellStyle name="표준 17 5 3" xfId="10297"/>
    <cellStyle name="표준 17 5 3 2" xfId="23525"/>
    <cellStyle name="표준 17 5 4" xfId="18802"/>
    <cellStyle name="표준 17 6" xfId="9296"/>
    <cellStyle name="표준 17 6 2" xfId="22524"/>
    <cellStyle name="표준 17 7" xfId="11564"/>
    <cellStyle name="표준 17 7 2" xfId="24792"/>
    <cellStyle name="표준 17 8" xfId="7028"/>
    <cellStyle name="표준 17 8 2" xfId="20256"/>
    <cellStyle name="표준 17 9" xfId="14966"/>
    <cellStyle name="표준 170" xfId="54773"/>
    <cellStyle name="표준 171" xfId="54774"/>
    <cellStyle name="표준 172" xfId="54775"/>
    <cellStyle name="표준 173" xfId="54776"/>
    <cellStyle name="표준 174" xfId="54777"/>
    <cellStyle name="표준 175" xfId="54778"/>
    <cellStyle name="표준 176" xfId="54779"/>
    <cellStyle name="표준 177" xfId="54780"/>
    <cellStyle name="표준 178" xfId="54781"/>
    <cellStyle name="표준 179" xfId="54782"/>
    <cellStyle name="표준 18" xfId="554"/>
    <cellStyle name="표준 18 10" xfId="3937"/>
    <cellStyle name="표준 18 10 2" xfId="3938"/>
    <cellStyle name="표준 18 11" xfId="3939"/>
    <cellStyle name="표준 18 11 2" xfId="3940"/>
    <cellStyle name="표준 18 12" xfId="3941"/>
    <cellStyle name="표준 18 12 2" xfId="3942"/>
    <cellStyle name="표준 18 13" xfId="3943"/>
    <cellStyle name="표준 18 13 2" xfId="3944"/>
    <cellStyle name="표준 18 14" xfId="3945"/>
    <cellStyle name="표준 18 14 2" xfId="3946"/>
    <cellStyle name="표준 18 15" xfId="3947"/>
    <cellStyle name="표준 18 15 2" xfId="3948"/>
    <cellStyle name="표준 18 16" xfId="3949"/>
    <cellStyle name="표준 18 16 2" xfId="3950"/>
    <cellStyle name="표준 18 17" xfId="3951"/>
    <cellStyle name="표준 18 17 2" xfId="3952"/>
    <cellStyle name="표준 18 18" xfId="3953"/>
    <cellStyle name="표준 18 18 2" xfId="3954"/>
    <cellStyle name="표준 18 19" xfId="3955"/>
    <cellStyle name="표준 18 19 2" xfId="3956"/>
    <cellStyle name="표준 18 2" xfId="3957"/>
    <cellStyle name="표준 18 2 2" xfId="3958"/>
    <cellStyle name="표준 18 20" xfId="3959"/>
    <cellStyle name="표준 18 20 2" xfId="3960"/>
    <cellStyle name="표준 18 21" xfId="3961"/>
    <cellStyle name="표준 18 21 2" xfId="3962"/>
    <cellStyle name="표준 18 22" xfId="3963"/>
    <cellStyle name="표준 18 22 2" xfId="3964"/>
    <cellStyle name="표준 18 23" xfId="3965"/>
    <cellStyle name="표준 18 23 2" xfId="3966"/>
    <cellStyle name="표준 18 24" xfId="3967"/>
    <cellStyle name="표준 18 24 2" xfId="3968"/>
    <cellStyle name="표준 18 25" xfId="3969"/>
    <cellStyle name="표준 18 25 2" xfId="3970"/>
    <cellStyle name="표준 18 26" xfId="3971"/>
    <cellStyle name="표준 18 26 2" xfId="3972"/>
    <cellStyle name="표준 18 27" xfId="3973"/>
    <cellStyle name="표준 18 27 2" xfId="3974"/>
    <cellStyle name="표준 18 28" xfId="3975"/>
    <cellStyle name="표준 18 28 2" xfId="3976"/>
    <cellStyle name="표준 18 29" xfId="3977"/>
    <cellStyle name="표준 18 29 2" xfId="3978"/>
    <cellStyle name="표준 18 3" xfId="3979"/>
    <cellStyle name="표준 18 3 2" xfId="3980"/>
    <cellStyle name="표준 18 30" xfId="3981"/>
    <cellStyle name="표준 18 30 2" xfId="3982"/>
    <cellStyle name="표준 18 31" xfId="3983"/>
    <cellStyle name="표준 18 31 2" xfId="3984"/>
    <cellStyle name="표준 18 32" xfId="4965"/>
    <cellStyle name="표준 18 33" xfId="3936"/>
    <cellStyle name="표준 18 34" xfId="51534"/>
    <cellStyle name="표준 18 4" xfId="3985"/>
    <cellStyle name="표준 18 4 2" xfId="3986"/>
    <cellStyle name="표준 18 5" xfId="3987"/>
    <cellStyle name="표준 18 5 2" xfId="3988"/>
    <cellStyle name="표준 18 6" xfId="3989"/>
    <cellStyle name="표준 18 6 2" xfId="3990"/>
    <cellStyle name="표준 18 7" xfId="3991"/>
    <cellStyle name="표준 18 7 2" xfId="3992"/>
    <cellStyle name="표준 18 8" xfId="3993"/>
    <cellStyle name="표준 18 8 2" xfId="3994"/>
    <cellStyle name="표준 18 9" xfId="3995"/>
    <cellStyle name="표준 18 9 2" xfId="3996"/>
    <cellStyle name="표준 18_CRM 일일보고_(DB클린징_20110704)" xfId="3997"/>
    <cellStyle name="표준 180" xfId="54783"/>
    <cellStyle name="표준 181" xfId="54784"/>
    <cellStyle name="표준 182" xfId="54785"/>
    <cellStyle name="표준 183" xfId="54786"/>
    <cellStyle name="표준 184" xfId="54787"/>
    <cellStyle name="표준 185" xfId="54788"/>
    <cellStyle name="표준 186" xfId="54789"/>
    <cellStyle name="표준 187" xfId="54790"/>
    <cellStyle name="표준 188" xfId="54791"/>
    <cellStyle name="표준 189" xfId="54792"/>
    <cellStyle name="표준 19" xfId="553"/>
    <cellStyle name="표준 19 2" xfId="3999"/>
    <cellStyle name="표준 19 2 2" xfId="4000"/>
    <cellStyle name="표준 19 3" xfId="5092"/>
    <cellStyle name="표준 19 3 2" xfId="5994"/>
    <cellStyle name="표준 19 3 2 2" xfId="12547"/>
    <cellStyle name="표준 19 3 2 2 2" xfId="25775"/>
    <cellStyle name="표준 19 3 2 3" xfId="10728"/>
    <cellStyle name="표준 19 3 2 3 2" xfId="23956"/>
    <cellStyle name="표준 19 3 2 4" xfId="19233"/>
    <cellStyle name="표준 19 3 3" xfId="10029"/>
    <cellStyle name="표준 19 3 3 2" xfId="23257"/>
    <cellStyle name="표준 19 3 4" xfId="11963"/>
    <cellStyle name="표준 19 3 4 2" xfId="25191"/>
    <cellStyle name="표준 19 3 5" xfId="8962"/>
    <cellStyle name="표준 19 3 5 2" xfId="22190"/>
    <cellStyle name="표준 19 3 6" xfId="18359"/>
    <cellStyle name="표준 19 3 7" xfId="51140"/>
    <cellStyle name="표준 19 4" xfId="3998"/>
    <cellStyle name="표준 19 4 2" xfId="51141"/>
    <cellStyle name="표준 19 5" xfId="5564"/>
    <cellStyle name="표준 19 5 2" xfId="12207"/>
    <cellStyle name="표준 19 5 2 2" xfId="25435"/>
    <cellStyle name="표준 19 5 3" xfId="10298"/>
    <cellStyle name="표준 19 5 3 2" xfId="23526"/>
    <cellStyle name="표준 19 5 4" xfId="18803"/>
    <cellStyle name="표준 19 6" xfId="9297"/>
    <cellStyle name="표준 19 6 2" xfId="22525"/>
    <cellStyle name="표준 19 7" xfId="11565"/>
    <cellStyle name="표준 19 7 2" xfId="24793"/>
    <cellStyle name="표준 19 8" xfId="7029"/>
    <cellStyle name="표준 19 8 2" xfId="20257"/>
    <cellStyle name="표준 19 9" xfId="14967"/>
    <cellStyle name="표준 190" xfId="54793"/>
    <cellStyle name="표준 191" xfId="54794"/>
    <cellStyle name="표준 192" xfId="54795"/>
    <cellStyle name="표준 193" xfId="54796"/>
    <cellStyle name="표준 194" xfId="54797"/>
    <cellStyle name="표준 195" xfId="54798"/>
    <cellStyle name="표준 196" xfId="54799"/>
    <cellStyle name="표준 197" xfId="54800"/>
    <cellStyle name="표준 198" xfId="54801"/>
    <cellStyle name="표준 199" xfId="54802"/>
    <cellStyle name="표준 2" xfId="2"/>
    <cellStyle name="표준 2 10" xfId="4001"/>
    <cellStyle name="표준 2 11" xfId="4002"/>
    <cellStyle name="표준 2 12" xfId="4003"/>
    <cellStyle name="표준 2 13" xfId="4004"/>
    <cellStyle name="표준 2 14" xfId="4005"/>
    <cellStyle name="표준 2 15" xfId="4006"/>
    <cellStyle name="표준 2 16" xfId="4007"/>
    <cellStyle name="표준 2 17" xfId="4008"/>
    <cellStyle name="표준 2 18" xfId="4009"/>
    <cellStyle name="표준 2 19" xfId="4010"/>
    <cellStyle name="표준 2 2" xfId="325"/>
    <cellStyle name="표준 2 2 10" xfId="54592"/>
    <cellStyle name="표준 2 2 11" xfId="54593"/>
    <cellStyle name="표준 2 2 12" xfId="54594"/>
    <cellStyle name="표준 2 2 13" xfId="54595"/>
    <cellStyle name="표준 2 2 14" xfId="54596"/>
    <cellStyle name="표준 2 2 15" xfId="54597"/>
    <cellStyle name="표준 2 2 16" xfId="54598"/>
    <cellStyle name="표준 2 2 17" xfId="54599"/>
    <cellStyle name="표준 2 2 18" xfId="54600"/>
    <cellStyle name="표준 2 2 19" xfId="54601"/>
    <cellStyle name="표준 2 2 2" xfId="326"/>
    <cellStyle name="표준 2 2 2 2" xfId="54602"/>
    <cellStyle name="표준 2 2 20" xfId="54603"/>
    <cellStyle name="표준 2 2 21" xfId="54604"/>
    <cellStyle name="표준 2 2 22" xfId="54605"/>
    <cellStyle name="표준 2 2 3" xfId="4012"/>
    <cellStyle name="표준 2 2 4" xfId="4011"/>
    <cellStyle name="표준 2 2 5" xfId="54606"/>
    <cellStyle name="표준 2 2 6" xfId="54607"/>
    <cellStyle name="표준 2 2 7" xfId="54608"/>
    <cellStyle name="표준 2 2 8" xfId="54609"/>
    <cellStyle name="표준 2 2 9" xfId="54610"/>
    <cellStyle name="표준 2 2_20071105_발주의뢰서_신영_EKP발주의 건" xfId="54611"/>
    <cellStyle name="표준 2 20" xfId="4013"/>
    <cellStyle name="표준 2 21" xfId="4014"/>
    <cellStyle name="표준 2 22" xfId="4015"/>
    <cellStyle name="표준 2 23" xfId="4016"/>
    <cellStyle name="표준 2 24" xfId="4017"/>
    <cellStyle name="표준 2 25" xfId="4018"/>
    <cellStyle name="표준 2 25 2" xfId="5389"/>
    <cellStyle name="표준 2 25 3" xfId="5390"/>
    <cellStyle name="표준 2 25 4" xfId="5391"/>
    <cellStyle name="표준 2 25 5" xfId="51142"/>
    <cellStyle name="표준 2 26" xfId="4019"/>
    <cellStyle name="표준 2 26 2" xfId="5392"/>
    <cellStyle name="표준 2 26 3" xfId="5393"/>
    <cellStyle name="표준 2 26 4" xfId="5394"/>
    <cellStyle name="표준 2 26 5" xfId="51143"/>
    <cellStyle name="표준 2 27" xfId="4020"/>
    <cellStyle name="표준 2 28" xfId="4021"/>
    <cellStyle name="표준 2 29" xfId="4022"/>
    <cellStyle name="표준 2 3" xfId="327"/>
    <cellStyle name="표준 2 3 2" xfId="4024"/>
    <cellStyle name="표준 2 3 3" xfId="4023"/>
    <cellStyle name="표준 2 30" xfId="4025"/>
    <cellStyle name="표준 2 31" xfId="4026"/>
    <cellStyle name="표준 2 32" xfId="4027"/>
    <cellStyle name="표준 2 33" xfId="4028"/>
    <cellStyle name="표준 2 34" xfId="4029"/>
    <cellStyle name="표준 2 35" xfId="4030"/>
    <cellStyle name="표준 2 36" xfId="4031"/>
    <cellStyle name="표준 2 37" xfId="4032"/>
    <cellStyle name="표준 2 38" xfId="51144"/>
    <cellStyle name="표준 2 38 2" xfId="51535"/>
    <cellStyle name="표준 2 39" xfId="54612"/>
    <cellStyle name="표준 2 4" xfId="328"/>
    <cellStyle name="표준 2 4 2" xfId="4034"/>
    <cellStyle name="표준 2 4 3" xfId="4033"/>
    <cellStyle name="표준 2 5" xfId="329"/>
    <cellStyle name="표준 2 5 2" xfId="4036"/>
    <cellStyle name="표준 2 5 3" xfId="4035"/>
    <cellStyle name="표준 2 6" xfId="371"/>
    <cellStyle name="표준 2 6 2" xfId="4893"/>
    <cellStyle name="표준 2 6 3" xfId="4037"/>
    <cellStyle name="표준 2 6 3 2" xfId="51145"/>
    <cellStyle name="표준 2 63" xfId="330"/>
    <cellStyle name="표준 2 7" xfId="4038"/>
    <cellStyle name="표준 2 8" xfId="4039"/>
    <cellStyle name="표준 2 9" xfId="4040"/>
    <cellStyle name="표준 2_20071105_발주의뢰서_신영_EKP발주의 건" xfId="54613"/>
    <cellStyle name="표준 20" xfId="699"/>
    <cellStyle name="표준 20 2" xfId="4042"/>
    <cellStyle name="표준 20 2 2" xfId="4043"/>
    <cellStyle name="표준 20 3" xfId="5038"/>
    <cellStyle name="표준 20 3 2" xfId="5944"/>
    <cellStyle name="표준 20 3 2 2" xfId="12497"/>
    <cellStyle name="표준 20 3 2 2 2" xfId="25725"/>
    <cellStyle name="표준 20 3 2 3" xfId="10678"/>
    <cellStyle name="표준 20 3 2 3 2" xfId="23906"/>
    <cellStyle name="표준 20 3 2 4" xfId="19183"/>
    <cellStyle name="표준 20 3 3" xfId="9977"/>
    <cellStyle name="표준 20 3 3 2" xfId="23205"/>
    <cellStyle name="표준 20 3 4" xfId="11913"/>
    <cellStyle name="표준 20 3 4 2" xfId="25141"/>
    <cellStyle name="표준 20 3 5" xfId="8910"/>
    <cellStyle name="표준 20 3 5 2" xfId="22138"/>
    <cellStyle name="표준 20 3 6" xfId="18305"/>
    <cellStyle name="표준 20 3 7" xfId="51146"/>
    <cellStyle name="표준 20 4" xfId="4041"/>
    <cellStyle name="표준 20 4 2" xfId="51147"/>
    <cellStyle name="표준 20 5" xfId="5707"/>
    <cellStyle name="표준 20 5 2" xfId="12350"/>
    <cellStyle name="표준 20 5 2 2" xfId="25578"/>
    <cellStyle name="표준 20 5 3" xfId="10441"/>
    <cellStyle name="표준 20 5 3 2" xfId="23669"/>
    <cellStyle name="표준 20 5 4" xfId="18946"/>
    <cellStyle name="표준 20 6" xfId="9440"/>
    <cellStyle name="표준 20 6 2" xfId="22668"/>
    <cellStyle name="표준 20 7" xfId="11708"/>
    <cellStyle name="표준 20 7 2" xfId="24936"/>
    <cellStyle name="표준 20 8" xfId="7173"/>
    <cellStyle name="표준 20 8 2" xfId="20401"/>
    <cellStyle name="표준 20 9" xfId="15113"/>
    <cellStyle name="표준 200" xfId="54803"/>
    <cellStyle name="표준 201" xfId="54804"/>
    <cellStyle name="표준 202" xfId="54805"/>
    <cellStyle name="표준 203" xfId="54806"/>
    <cellStyle name="표준 204" xfId="54807"/>
    <cellStyle name="표준 205" xfId="54808"/>
    <cellStyle name="표준 206" xfId="54809"/>
    <cellStyle name="표준 207" xfId="54810"/>
    <cellStyle name="표준 208" xfId="54811"/>
    <cellStyle name="표준 209" xfId="54812"/>
    <cellStyle name="표준 21" xfId="700"/>
    <cellStyle name="표준 21 2" xfId="5127"/>
    <cellStyle name="표준 21 2 2" xfId="6029"/>
    <cellStyle name="표준 21 2 2 2" xfId="12582"/>
    <cellStyle name="표준 21 2 2 2 2" xfId="25810"/>
    <cellStyle name="표준 21 2 2 3" xfId="10763"/>
    <cellStyle name="표준 21 2 2 3 2" xfId="23991"/>
    <cellStyle name="표준 21 2 2 4" xfId="19268"/>
    <cellStyle name="표준 21 2 3" xfId="10064"/>
    <cellStyle name="표준 21 2 3 2" xfId="23292"/>
    <cellStyle name="표준 21 2 4" xfId="11998"/>
    <cellStyle name="표준 21 2 4 2" xfId="25226"/>
    <cellStyle name="표준 21 2 5" xfId="8997"/>
    <cellStyle name="표준 21 2 5 2" xfId="22225"/>
    <cellStyle name="표준 21 2 6" xfId="18394"/>
    <cellStyle name="표준 21 2 7" xfId="51148"/>
    <cellStyle name="표준 21 3" xfId="4044"/>
    <cellStyle name="표준 21 4" xfId="5708"/>
    <cellStyle name="표준 21 4 2" xfId="12351"/>
    <cellStyle name="표준 21 4 2 2" xfId="25579"/>
    <cellStyle name="표준 21 4 3" xfId="10442"/>
    <cellStyle name="표준 21 4 3 2" xfId="23670"/>
    <cellStyle name="표준 21 4 4" xfId="18947"/>
    <cellStyle name="표준 21 5" xfId="9441"/>
    <cellStyle name="표준 21 5 2" xfId="22669"/>
    <cellStyle name="표준 21 6" xfId="11709"/>
    <cellStyle name="표준 21 6 2" xfId="24937"/>
    <cellStyle name="표준 21 7" xfId="7174"/>
    <cellStyle name="표준 21 7 2" xfId="20402"/>
    <cellStyle name="표준 21 8" xfId="15114"/>
    <cellStyle name="표준 210" xfId="54813"/>
    <cellStyle name="표준 211" xfId="54814"/>
    <cellStyle name="표준 212" xfId="54815"/>
    <cellStyle name="표준 213" xfId="54816"/>
    <cellStyle name="표준 214" xfId="54817"/>
    <cellStyle name="표준 215" xfId="54818"/>
    <cellStyle name="표준 216" xfId="54819"/>
    <cellStyle name="표준 217" xfId="54820"/>
    <cellStyle name="표준 218" xfId="54821"/>
    <cellStyle name="표준 219" xfId="54822"/>
    <cellStyle name="표준 22" xfId="701"/>
    <cellStyle name="표준 22 2" xfId="4046"/>
    <cellStyle name="표준 22 2 2" xfId="4047"/>
    <cellStyle name="표준 22 3" xfId="5192"/>
    <cellStyle name="표준 22 3 2" xfId="6092"/>
    <cellStyle name="표준 22 3 2 2" xfId="12645"/>
    <cellStyle name="표준 22 3 2 2 2" xfId="25873"/>
    <cellStyle name="표준 22 3 2 3" xfId="10826"/>
    <cellStyle name="표준 22 3 2 3 2" xfId="24054"/>
    <cellStyle name="표준 22 3 2 4" xfId="19331"/>
    <cellStyle name="표준 22 3 3" xfId="10127"/>
    <cellStyle name="표준 22 3 3 2" xfId="23355"/>
    <cellStyle name="표준 22 3 4" xfId="12061"/>
    <cellStyle name="표준 22 3 4 2" xfId="25289"/>
    <cellStyle name="표준 22 3 5" xfId="9060"/>
    <cellStyle name="표준 22 3 5 2" xfId="22288"/>
    <cellStyle name="표준 22 3 6" xfId="18458"/>
    <cellStyle name="표준 22 4" xfId="4045"/>
    <cellStyle name="표준 22 5" xfId="5709"/>
    <cellStyle name="표준 22 5 2" xfId="12352"/>
    <cellStyle name="표준 22 5 2 2" xfId="25580"/>
    <cellStyle name="표준 22 5 3" xfId="10443"/>
    <cellStyle name="표준 22 5 3 2" xfId="23671"/>
    <cellStyle name="표준 22 5 4" xfId="18948"/>
    <cellStyle name="표준 22 6" xfId="9442"/>
    <cellStyle name="표준 22 6 2" xfId="22670"/>
    <cellStyle name="표준 22 7" xfId="11710"/>
    <cellStyle name="표준 22 7 2" xfId="24938"/>
    <cellStyle name="표준 22 8" xfId="7175"/>
    <cellStyle name="표준 22 8 2" xfId="20403"/>
    <cellStyle name="표준 22 9" xfId="15115"/>
    <cellStyle name="표준 220" xfId="54823"/>
    <cellStyle name="표준 221" xfId="54824"/>
    <cellStyle name="표준 222" xfId="54825"/>
    <cellStyle name="표준 223" xfId="54826"/>
    <cellStyle name="표준 224" xfId="54827"/>
    <cellStyle name="표준 225" xfId="54828"/>
    <cellStyle name="표준 226" xfId="54829"/>
    <cellStyle name="표준 227" xfId="54830"/>
    <cellStyle name="표준 228" xfId="54831"/>
    <cellStyle name="표준 229" xfId="54832"/>
    <cellStyle name="표준 23" xfId="702"/>
    <cellStyle name="표준 23 10" xfId="7176"/>
    <cellStyle name="표준 23 10 2" xfId="20404"/>
    <cellStyle name="표준 23 11" xfId="15116"/>
    <cellStyle name="표준 23 2" xfId="4049"/>
    <cellStyle name="표준 23 2 2" xfId="4050"/>
    <cellStyle name="표준 23 3" xfId="4051"/>
    <cellStyle name="표준 23 3 2" xfId="4052"/>
    <cellStyle name="표준 23 4" xfId="4053"/>
    <cellStyle name="표준 23 4 2" xfId="4054"/>
    <cellStyle name="표준 23 5" xfId="5126"/>
    <cellStyle name="표준 23 5 2" xfId="6028"/>
    <cellStyle name="표준 23 5 2 2" xfId="12581"/>
    <cellStyle name="표준 23 5 2 2 2" xfId="25809"/>
    <cellStyle name="표준 23 5 2 3" xfId="10762"/>
    <cellStyle name="표준 23 5 2 3 2" xfId="23990"/>
    <cellStyle name="표준 23 5 2 4" xfId="19267"/>
    <cellStyle name="표준 23 5 3" xfId="10063"/>
    <cellStyle name="표준 23 5 3 2" xfId="23291"/>
    <cellStyle name="표준 23 5 4" xfId="11997"/>
    <cellStyle name="표준 23 5 4 2" xfId="25225"/>
    <cellStyle name="표준 23 5 5" xfId="8996"/>
    <cellStyle name="표준 23 5 5 2" xfId="22224"/>
    <cellStyle name="표준 23 5 6" xfId="18393"/>
    <cellStyle name="표준 23 5 7" xfId="51149"/>
    <cellStyle name="표준 23 6" xfId="4048"/>
    <cellStyle name="표준 23 7" xfId="5710"/>
    <cellStyle name="표준 23 7 2" xfId="12353"/>
    <cellStyle name="표준 23 7 2 2" xfId="25581"/>
    <cellStyle name="표준 23 7 3" xfId="10444"/>
    <cellStyle name="표준 23 7 3 2" xfId="23672"/>
    <cellStyle name="표준 23 7 4" xfId="18949"/>
    <cellStyle name="표준 23 8" xfId="9443"/>
    <cellStyle name="표준 23 8 2" xfId="22671"/>
    <cellStyle name="표준 23 9" xfId="11711"/>
    <cellStyle name="표준 23 9 2" xfId="24939"/>
    <cellStyle name="표준 230" xfId="54833"/>
    <cellStyle name="표준 231" xfId="54834"/>
    <cellStyle name="표준 232" xfId="54835"/>
    <cellStyle name="표준 233" xfId="54836"/>
    <cellStyle name="표준 234" xfId="54837"/>
    <cellStyle name="표준 235" xfId="54838"/>
    <cellStyle name="표준 236" xfId="54839"/>
    <cellStyle name="표준 237" xfId="54840"/>
    <cellStyle name="표준 238" xfId="54841"/>
    <cellStyle name="표준 239" xfId="54842"/>
    <cellStyle name="표준 24" xfId="703"/>
    <cellStyle name="표준 24 2" xfId="4056"/>
    <cellStyle name="표준 24 2 2" xfId="4057"/>
    <cellStyle name="표준 24 3" xfId="5039"/>
    <cellStyle name="표준 24 3 2" xfId="5945"/>
    <cellStyle name="표준 24 3 2 2" xfId="12498"/>
    <cellStyle name="표준 24 3 2 2 2" xfId="25726"/>
    <cellStyle name="표준 24 3 2 3" xfId="10679"/>
    <cellStyle name="표준 24 3 2 3 2" xfId="23907"/>
    <cellStyle name="표준 24 3 2 4" xfId="19184"/>
    <cellStyle name="표준 24 3 3" xfId="9978"/>
    <cellStyle name="표준 24 3 3 2" xfId="23206"/>
    <cellStyle name="표준 24 3 4" xfId="11914"/>
    <cellStyle name="표준 24 3 4 2" xfId="25142"/>
    <cellStyle name="표준 24 3 5" xfId="8911"/>
    <cellStyle name="표준 24 3 5 2" xfId="22139"/>
    <cellStyle name="표준 24 3 6" xfId="18306"/>
    <cellStyle name="표준 24 3 7" xfId="51150"/>
    <cellStyle name="표준 24 4" xfId="4055"/>
    <cellStyle name="표준 24 5" xfId="5711"/>
    <cellStyle name="표준 24 5 2" xfId="12354"/>
    <cellStyle name="표준 24 5 2 2" xfId="25582"/>
    <cellStyle name="표준 24 5 3" xfId="10445"/>
    <cellStyle name="표준 24 5 3 2" xfId="23673"/>
    <cellStyle name="표준 24 5 4" xfId="18950"/>
    <cellStyle name="표준 24 6" xfId="9444"/>
    <cellStyle name="표준 24 6 2" xfId="22672"/>
    <cellStyle name="표준 24 7" xfId="11712"/>
    <cellStyle name="표준 24 7 2" xfId="24940"/>
    <cellStyle name="표준 24 8" xfId="7177"/>
    <cellStyle name="표준 24 8 2" xfId="20405"/>
    <cellStyle name="표준 24 9" xfId="15117"/>
    <cellStyle name="표준 240" xfId="54843"/>
    <cellStyle name="표준 241" xfId="54844"/>
    <cellStyle name="표준 242" xfId="54845"/>
    <cellStyle name="표준 243" xfId="54846"/>
    <cellStyle name="표준 244" xfId="54847"/>
    <cellStyle name="표준 245" xfId="54848"/>
    <cellStyle name="표준 246" xfId="54849"/>
    <cellStyle name="표준 247" xfId="54850"/>
    <cellStyle name="표준 248" xfId="54851"/>
    <cellStyle name="표준 249" xfId="54852"/>
    <cellStyle name="표준 25" xfId="4058"/>
    <cellStyle name="표준 25 2" xfId="4059"/>
    <cellStyle name="표준 25 2 2" xfId="4060"/>
    <cellStyle name="표준 25 3" xfId="51151"/>
    <cellStyle name="표준 250" xfId="54853"/>
    <cellStyle name="표준 251" xfId="54854"/>
    <cellStyle name="표준 252" xfId="54855"/>
    <cellStyle name="표준 253" xfId="54856"/>
    <cellStyle name="표준 254" xfId="54857"/>
    <cellStyle name="표준 26" xfId="4061"/>
    <cellStyle name="표준 26 2" xfId="4062"/>
    <cellStyle name="표준 26 2 2" xfId="4063"/>
    <cellStyle name="표준 26 3" xfId="4064"/>
    <cellStyle name="표준 26 3 2" xfId="4065"/>
    <cellStyle name="표준 26 4" xfId="4066"/>
    <cellStyle name="표준 26 4 2" xfId="4067"/>
    <cellStyle name="표준 26 5" xfId="51152"/>
    <cellStyle name="표준 27" xfId="4068"/>
    <cellStyle name="표준 27 2" xfId="4069"/>
    <cellStyle name="표준 27 2 2" xfId="4070"/>
    <cellStyle name="표준 27 3" xfId="51153"/>
    <cellStyle name="표준 277" xfId="331"/>
    <cellStyle name="표준 28" xfId="4071"/>
    <cellStyle name="표준 28 2" xfId="4072"/>
    <cellStyle name="표준 28 2 2" xfId="4073"/>
    <cellStyle name="표준 28 3" xfId="51154"/>
    <cellStyle name="표준 29" xfId="4074"/>
    <cellStyle name="표준 29 2" xfId="51155"/>
    <cellStyle name="표준 3" xfId="332"/>
    <cellStyle name="표준 3 10" xfId="54614"/>
    <cellStyle name="표준 3 11" xfId="54615"/>
    <cellStyle name="표준 3 2" xfId="333"/>
    <cellStyle name="표준 3 2 2" xfId="334"/>
    <cellStyle name="표준 3 2 3" xfId="51157"/>
    <cellStyle name="표준 3 3" xfId="335"/>
    <cellStyle name="표준 3 3 2" xfId="4076"/>
    <cellStyle name="표준 3 3 3" xfId="4075"/>
    <cellStyle name="표준 3 4" xfId="4077"/>
    <cellStyle name="표준 3 5" xfId="4078"/>
    <cellStyle name="표준 3 6" xfId="51158"/>
    <cellStyle name="표준 3 6 2" xfId="51536"/>
    <cellStyle name="표준 3 7" xfId="51156"/>
    <cellStyle name="표준 3 7 2" xfId="54616"/>
    <cellStyle name="표준 3 8" xfId="54617"/>
    <cellStyle name="표준 3 9" xfId="54618"/>
    <cellStyle name="표준 3_1+2차개인별" xfId="4079"/>
    <cellStyle name="표준 30" xfId="4080"/>
    <cellStyle name="표준 30 2" xfId="4081"/>
    <cellStyle name="표준 30 2 2" xfId="4082"/>
    <cellStyle name="표준 30 3" xfId="51159"/>
    <cellStyle name="표준 31" xfId="4083"/>
    <cellStyle name="표준 31 10" xfId="4084"/>
    <cellStyle name="표준 31 10 2" xfId="4085"/>
    <cellStyle name="표준 31 11" xfId="4086"/>
    <cellStyle name="표준 31 11 2" xfId="4087"/>
    <cellStyle name="표준 31 12" xfId="4088"/>
    <cellStyle name="표준 31 12 2" xfId="4089"/>
    <cellStyle name="표준 31 13" xfId="4090"/>
    <cellStyle name="표준 31 13 2" xfId="4091"/>
    <cellStyle name="표준 31 14" xfId="4092"/>
    <cellStyle name="표준 31 14 2" xfId="4093"/>
    <cellStyle name="표준 31 15" xfId="4094"/>
    <cellStyle name="표준 31 15 2" xfId="4095"/>
    <cellStyle name="표준 31 16" xfId="4096"/>
    <cellStyle name="표준 31 16 2" xfId="4097"/>
    <cellStyle name="표준 31 17" xfId="4098"/>
    <cellStyle name="표준 31 17 2" xfId="4099"/>
    <cellStyle name="표준 31 18" xfId="4100"/>
    <cellStyle name="표준 31 18 2" xfId="4101"/>
    <cellStyle name="표준 31 19" xfId="4102"/>
    <cellStyle name="표준 31 19 2" xfId="4103"/>
    <cellStyle name="표준 31 2" xfId="4104"/>
    <cellStyle name="표준 31 2 2" xfId="4105"/>
    <cellStyle name="표준 31 20" xfId="4106"/>
    <cellStyle name="표준 31 20 2" xfId="4107"/>
    <cellStyle name="표준 31 21" xfId="4108"/>
    <cellStyle name="표준 31 21 2" xfId="4109"/>
    <cellStyle name="표준 31 22" xfId="4110"/>
    <cellStyle name="표준 31 22 2" xfId="4111"/>
    <cellStyle name="표준 31 23" xfId="4112"/>
    <cellStyle name="표준 31 23 2" xfId="4113"/>
    <cellStyle name="표준 31 24" xfId="51160"/>
    <cellStyle name="표준 31 3" xfId="4114"/>
    <cellStyle name="표준 31 3 2" xfId="4115"/>
    <cellStyle name="표준 31 4" xfId="4116"/>
    <cellStyle name="표준 31 4 2" xfId="4117"/>
    <cellStyle name="표준 31 5" xfId="4118"/>
    <cellStyle name="표준 31 5 2" xfId="4119"/>
    <cellStyle name="표준 31 6" xfId="4120"/>
    <cellStyle name="표준 31 6 2" xfId="4121"/>
    <cellStyle name="표준 31 7" xfId="4122"/>
    <cellStyle name="표준 31 7 2" xfId="4123"/>
    <cellStyle name="표준 31 8" xfId="4124"/>
    <cellStyle name="표준 31 8 2" xfId="4125"/>
    <cellStyle name="표준 31 9" xfId="4126"/>
    <cellStyle name="표준 31 9 2" xfId="4127"/>
    <cellStyle name="표준 31_CRM 일일보고_(DB클린징_20110704)" xfId="4128"/>
    <cellStyle name="표준 32" xfId="4129"/>
    <cellStyle name="표준 32 2" xfId="51161"/>
    <cellStyle name="표준 33" xfId="4130"/>
    <cellStyle name="표준 33 2" xfId="51162"/>
    <cellStyle name="표준 34" xfId="4131"/>
    <cellStyle name="표준 34 2" xfId="51163"/>
    <cellStyle name="표준 35" xfId="4132"/>
    <cellStyle name="표준 35 2" xfId="51164"/>
    <cellStyle name="표준 35 3" xfId="54619"/>
    <cellStyle name="표준 36" xfId="4133"/>
    <cellStyle name="표준 36 2" xfId="51165"/>
    <cellStyle name="표준 37" xfId="4134"/>
    <cellStyle name="표준 37 2" xfId="51166"/>
    <cellStyle name="표준 38" xfId="4135"/>
    <cellStyle name="표준 38 2" xfId="51167"/>
    <cellStyle name="표준 39" xfId="4136"/>
    <cellStyle name="표준 39 2" xfId="51168"/>
    <cellStyle name="표준 39 2 2" xfId="54620"/>
    <cellStyle name="표준 39 3" xfId="54621"/>
    <cellStyle name="표준 4" xfId="336"/>
    <cellStyle name="표준 4 10" xfId="4138"/>
    <cellStyle name="표준 4 11" xfId="4139"/>
    <cellStyle name="표준 4 12" xfId="4140"/>
    <cellStyle name="표준 4 13" xfId="4141"/>
    <cellStyle name="표준 4 14" xfId="4137"/>
    <cellStyle name="표준 4 15" xfId="51169"/>
    <cellStyle name="표준 4 2" xfId="337"/>
    <cellStyle name="표준 4 2 10" xfId="51170"/>
    <cellStyle name="표준 4 2 2" xfId="338"/>
    <cellStyle name="표준 4 2 2 10" xfId="4142"/>
    <cellStyle name="표준 4 2 2 11" xfId="51537"/>
    <cellStyle name="표준 4 2 2 2" xfId="4143"/>
    <cellStyle name="표준 4 2 2 2 2" xfId="4144"/>
    <cellStyle name="표준 4 2 2 2 2 2" xfId="4145"/>
    <cellStyle name="표준 4 2 2 2 2 3" xfId="4146"/>
    <cellStyle name="표준 4 2 2 2 2 4" xfId="4147"/>
    <cellStyle name="표준 4 2 2 2 2 5" xfId="4148"/>
    <cellStyle name="표준 4 2 2 2 2 6" xfId="4149"/>
    <cellStyle name="표준 4 2 2 2 3" xfId="4150"/>
    <cellStyle name="표준 4 2 2 2 4" xfId="4151"/>
    <cellStyle name="표준 4 2 2 2 5" xfId="4152"/>
    <cellStyle name="표준 4 2 2 2 6" xfId="4153"/>
    <cellStyle name="표준 4 2 2 2_2011년 고객만족센터 일보고_0701(구)" xfId="4154"/>
    <cellStyle name="표준 4 2 2 3" xfId="4155"/>
    <cellStyle name="표준 4 2 2 4" xfId="4156"/>
    <cellStyle name="표준 4 2 2 5" xfId="4157"/>
    <cellStyle name="표준 4 2 2 6" xfId="4158"/>
    <cellStyle name="표준 4 2 2 7" xfId="4159"/>
    <cellStyle name="표준 4 2 2 8" xfId="4160"/>
    <cellStyle name="표준 4 2 2 9" xfId="4891"/>
    <cellStyle name="표준 4 2 3" xfId="4161"/>
    <cellStyle name="표준 4 2 4" xfId="4162"/>
    <cellStyle name="표준 4 2 4 2" xfId="4163"/>
    <cellStyle name="표준 4 2 4 3" xfId="4164"/>
    <cellStyle name="표준 4 2 4 4" xfId="4165"/>
    <cellStyle name="표준 4 2 4 5" xfId="4166"/>
    <cellStyle name="표준 4 2 4 6" xfId="4167"/>
    <cellStyle name="표준 4 2 5" xfId="4168"/>
    <cellStyle name="표준 4 2 6" xfId="4169"/>
    <cellStyle name="표준 4 2 7" xfId="4170"/>
    <cellStyle name="표준 4 2 8" xfId="4171"/>
    <cellStyle name="표준 4 2 9" xfId="51171"/>
    <cellStyle name="표준 4 2_2011년 고객만족센터 일보고_0701(구)" xfId="4172"/>
    <cellStyle name="표준 4 3" xfId="339"/>
    <cellStyle name="표준 4 3 2" xfId="5395"/>
    <cellStyle name="표준 4 3 3" xfId="5396"/>
    <cellStyle name="표준 4 3 4" xfId="5397"/>
    <cellStyle name="표준 4 4" xfId="340"/>
    <cellStyle name="표준 4 4 2" xfId="4174"/>
    <cellStyle name="표준 4 4 2 2" xfId="51172"/>
    <cellStyle name="표준 4 4 3" xfId="4173"/>
    <cellStyle name="표준 4 4 4" xfId="5398"/>
    <cellStyle name="표준 4 5" xfId="341"/>
    <cellStyle name="표준 4 5 2" xfId="4176"/>
    <cellStyle name="표준 4 5 3" xfId="4175"/>
    <cellStyle name="표준 4 5 9" xfId="4177"/>
    <cellStyle name="표준 4 5_2011년 고객만족센터 일보고_0701(구)" xfId="4178"/>
    <cellStyle name="표준 4 6" xfId="342"/>
    <cellStyle name="표준 4 6 10" xfId="4179"/>
    <cellStyle name="표준 4 6 11" xfId="51538"/>
    <cellStyle name="표준 4 6 2" xfId="4180"/>
    <cellStyle name="표준 4 6 2 2" xfId="4181"/>
    <cellStyle name="표준 4 6 2 2 2" xfId="4182"/>
    <cellStyle name="표준 4 6 2 2 3" xfId="4183"/>
    <cellStyle name="표준 4 6 2 2 4" xfId="4184"/>
    <cellStyle name="표준 4 6 2 2 5" xfId="4185"/>
    <cellStyle name="표준 4 6 2 2 6" xfId="4186"/>
    <cellStyle name="표준 4 6 2 2_2011년 고객만족센터 일보고_0701(구)" xfId="4187"/>
    <cellStyle name="표준 4 6 2 3" xfId="4188"/>
    <cellStyle name="표준 4 6 2 4" xfId="4189"/>
    <cellStyle name="표준 4 6 2 5" xfId="4190"/>
    <cellStyle name="표준 4 6 2 6" xfId="4191"/>
    <cellStyle name="표준 4 6 3" xfId="4192"/>
    <cellStyle name="표준 4 6 4" xfId="4193"/>
    <cellStyle name="표준 4 6 5" xfId="4194"/>
    <cellStyle name="표준 4 6 6" xfId="4195"/>
    <cellStyle name="표준 4 6 7" xfId="4196"/>
    <cellStyle name="표준 4 6 8" xfId="4197"/>
    <cellStyle name="표준 4 6 9" xfId="4892"/>
    <cellStyle name="표준 4 6_2011년 고객만족센터 일보고_0701(구)" xfId="4198"/>
    <cellStyle name="표준 4 7" xfId="343"/>
    <cellStyle name="표준 4 7 2" xfId="4200"/>
    <cellStyle name="표준 4 7 3" xfId="4201"/>
    <cellStyle name="표준 4 7 4" xfId="4202"/>
    <cellStyle name="표준 4 7 5" xfId="4203"/>
    <cellStyle name="표준 4 7 6" xfId="4204"/>
    <cellStyle name="표준 4 7 7" xfId="4205"/>
    <cellStyle name="표준 4 7 8" xfId="4199"/>
    <cellStyle name="표준 4 7_2011년 고객만족센터 일보고_0701(구)" xfId="4206"/>
    <cellStyle name="표준 4 8" xfId="4207"/>
    <cellStyle name="표준 4 9" xfId="4208"/>
    <cellStyle name="표준 4_20071105_발주의뢰서_신영_EKP발주의 건" xfId="54622"/>
    <cellStyle name="표준 40" xfId="4209"/>
    <cellStyle name="표준 40 2" xfId="51173"/>
    <cellStyle name="표준 402" xfId="344"/>
    <cellStyle name="표준 41" xfId="4210"/>
    <cellStyle name="표준 41 2" xfId="51174"/>
    <cellStyle name="표준 42" xfId="4211"/>
    <cellStyle name="표준 42 2" xfId="51175"/>
    <cellStyle name="표준 43" xfId="4212"/>
    <cellStyle name="표준 43 2" xfId="51176"/>
    <cellStyle name="표준 43 2 2" xfId="54623"/>
    <cellStyle name="표준 43 3" xfId="54624"/>
    <cellStyle name="표준 43 4" xfId="54625"/>
    <cellStyle name="표준 43 5" xfId="54626"/>
    <cellStyle name="표준 44" xfId="4213"/>
    <cellStyle name="표준 44 2" xfId="51177"/>
    <cellStyle name="표준 45" xfId="4214"/>
    <cellStyle name="표준 45 2" xfId="51178"/>
    <cellStyle name="표준 46" xfId="4215"/>
    <cellStyle name="표준 46 2" xfId="51179"/>
    <cellStyle name="표준 47" xfId="4216"/>
    <cellStyle name="표준 47 2" xfId="51180"/>
    <cellStyle name="표준 48" xfId="4217"/>
    <cellStyle name="표준 48 2" xfId="51181"/>
    <cellStyle name="표준 49" xfId="4218"/>
    <cellStyle name="표준 49 2" xfId="54627"/>
    <cellStyle name="표준 5" xfId="345"/>
    <cellStyle name="표준 5 10" xfId="54628"/>
    <cellStyle name="표준 5 11" xfId="54629"/>
    <cellStyle name="표준 5 2" xfId="346"/>
    <cellStyle name="표준 5 2 2" xfId="4221"/>
    <cellStyle name="표준 5 2 2 2" xfId="51184"/>
    <cellStyle name="표준 5 2 2 3" xfId="51183"/>
    <cellStyle name="표준 5 2 3" xfId="4220"/>
    <cellStyle name="표준 5 2 3 2" xfId="51185"/>
    <cellStyle name="표준 5 2 4" xfId="51186"/>
    <cellStyle name="표준 5 3" xfId="4222"/>
    <cellStyle name="표준 5 3 2" xfId="5399"/>
    <cellStyle name="표준 5 3 3" xfId="5400"/>
    <cellStyle name="표준 5 3 4" xfId="5401"/>
    <cellStyle name="표준 5 3 5" xfId="51188"/>
    <cellStyle name="표준 5 3 6" xfId="51187"/>
    <cellStyle name="표준 5 4" xfId="4223"/>
    <cellStyle name="표준 5 4 2" xfId="5402"/>
    <cellStyle name="표준 5 4 3" xfId="5403"/>
    <cellStyle name="표준 5 4 4" xfId="5404"/>
    <cellStyle name="표준 5 5" xfId="4224"/>
    <cellStyle name="표준 5 6" xfId="4219"/>
    <cellStyle name="표준 5 6 2" xfId="51189"/>
    <cellStyle name="표준 5 7" xfId="51190"/>
    <cellStyle name="표준 5 8" xfId="51182"/>
    <cellStyle name="표준 5 9" xfId="54630"/>
    <cellStyle name="표준 5_20071105_발주의뢰서_신영_EKP발주의 건" xfId="54631"/>
    <cellStyle name="표준 50" xfId="4225"/>
    <cellStyle name="표준 50 2" xfId="51191"/>
    <cellStyle name="표준 51" xfId="705"/>
    <cellStyle name="표준 51 2" xfId="51192"/>
    <cellStyle name="표준 52" xfId="704"/>
    <cellStyle name="표준 52 2" xfId="5712"/>
    <cellStyle name="표준 52 2 2" xfId="12355"/>
    <cellStyle name="표준 52 2 2 2" xfId="25583"/>
    <cellStyle name="표준 52 2 3" xfId="10446"/>
    <cellStyle name="표준 52 2 3 2" xfId="23674"/>
    <cellStyle name="표준 52 2 4" xfId="18951"/>
    <cellStyle name="표준 52 3" xfId="9445"/>
    <cellStyle name="표준 52 3 2" xfId="22673"/>
    <cellStyle name="표준 52 4" xfId="11713"/>
    <cellStyle name="표준 52 4 2" xfId="24941"/>
    <cellStyle name="표준 52 5" xfId="7178"/>
    <cellStyle name="표준 52 5 2" xfId="20406"/>
    <cellStyle name="표준 52 6" xfId="15118"/>
    <cellStyle name="표준 52 7" xfId="51193"/>
    <cellStyle name="표준 53" xfId="5193"/>
    <cellStyle name="표준 53 2" xfId="6093"/>
    <cellStyle name="표준 53 2 2" xfId="12646"/>
    <cellStyle name="표준 53 2 2 2" xfId="25874"/>
    <cellStyle name="표준 53 2 3" xfId="10827"/>
    <cellStyle name="표준 53 2 3 2" xfId="24055"/>
    <cellStyle name="표준 53 2 4" xfId="19332"/>
    <cellStyle name="표준 53 3" xfId="10128"/>
    <cellStyle name="표준 53 3 2" xfId="23356"/>
    <cellStyle name="표준 53 4" xfId="12062"/>
    <cellStyle name="표준 53 4 2" xfId="25290"/>
    <cellStyle name="표준 53 5" xfId="9061"/>
    <cellStyle name="표준 53 5 2" xfId="22289"/>
    <cellStyle name="표준 53 6" xfId="18459"/>
    <cellStyle name="표준 53 7" xfId="51194"/>
    <cellStyle name="표준 54" xfId="5194"/>
    <cellStyle name="표준 54 2" xfId="51195"/>
    <cellStyle name="표준 55" xfId="5195"/>
    <cellStyle name="표준 55 2" xfId="51196"/>
    <cellStyle name="표준 56" xfId="5196"/>
    <cellStyle name="표준 56 2" xfId="6094"/>
    <cellStyle name="표준 56 2 2" xfId="12647"/>
    <cellStyle name="표준 56 2 2 2" xfId="25875"/>
    <cellStyle name="표준 56 2 3" xfId="10828"/>
    <cellStyle name="표준 56 2 3 2" xfId="24056"/>
    <cellStyle name="표준 56 2 4" xfId="19333"/>
    <cellStyle name="표준 56 3" xfId="10129"/>
    <cellStyle name="표준 56 3 2" xfId="23357"/>
    <cellStyle name="표준 56 4" xfId="12063"/>
    <cellStyle name="표준 56 4 2" xfId="25291"/>
    <cellStyle name="표준 56 5" xfId="9062"/>
    <cellStyle name="표준 56 5 2" xfId="22290"/>
    <cellStyle name="표준 56 6" xfId="18461"/>
    <cellStyle name="표준 56 7" xfId="51197"/>
    <cellStyle name="표준 57" xfId="5418"/>
    <cellStyle name="표준 57 2" xfId="54632"/>
    <cellStyle name="표준 58" xfId="5417"/>
    <cellStyle name="표준 58 2" xfId="12064"/>
    <cellStyle name="표준 58 2 2" xfId="25292"/>
    <cellStyle name="표준 58 3" xfId="10152"/>
    <cellStyle name="표준 58 3 2" xfId="23380"/>
    <cellStyle name="표준 58 4" xfId="18656"/>
    <cellStyle name="표준 58 5" xfId="51198"/>
    <cellStyle name="표준 59" xfId="14480"/>
    <cellStyle name="표준 59 2" xfId="51199"/>
    <cellStyle name="표준 59 3" xfId="54633"/>
    <cellStyle name="표준 6" xfId="347"/>
    <cellStyle name="표준 6 10" xfId="54634"/>
    <cellStyle name="표준 6 11" xfId="54635"/>
    <cellStyle name="표준 6 2" xfId="348"/>
    <cellStyle name="표준 6 2 2" xfId="4228"/>
    <cellStyle name="표준 6 2 3" xfId="4227"/>
    <cellStyle name="표준 6 2 3 2" xfId="51201"/>
    <cellStyle name="표준 6 3" xfId="4229"/>
    <cellStyle name="표준 6 3 2" xfId="5405"/>
    <cellStyle name="표준 6 3 3" xfId="5406"/>
    <cellStyle name="표준 6 3 4" xfId="5407"/>
    <cellStyle name="표준 6 4" xfId="4230"/>
    <cellStyle name="표준 6 4 2" xfId="5408"/>
    <cellStyle name="표준 6 4 3" xfId="5409"/>
    <cellStyle name="표준 6 4 4" xfId="5410"/>
    <cellStyle name="표준 6 5" xfId="4231"/>
    <cellStyle name="표준 6 6" xfId="4226"/>
    <cellStyle name="표준 6 6 2" xfId="51202"/>
    <cellStyle name="표준 6 7" xfId="51203"/>
    <cellStyle name="표준 6 8" xfId="51200"/>
    <cellStyle name="표준 6 9" xfId="54636"/>
    <cellStyle name="표준 6_0 매니저평가201009_보고" xfId="54637"/>
    <cellStyle name="표준 60" xfId="50694"/>
    <cellStyle name="표준 60 2" xfId="51204"/>
    <cellStyle name="표준 60 3" xfId="54638"/>
    <cellStyle name="표준 61" xfId="51205"/>
    <cellStyle name="표준 61 2" xfId="54639"/>
    <cellStyle name="표준 61 3" xfId="54640"/>
    <cellStyle name="표준 62" xfId="51206"/>
    <cellStyle name="표준 62 2" xfId="54641"/>
    <cellStyle name="표준 62 3" xfId="54642"/>
    <cellStyle name="표준 63" xfId="51207"/>
    <cellStyle name="표준 63 2" xfId="54643"/>
    <cellStyle name="표준 63 3" xfId="54644"/>
    <cellStyle name="표준 64" xfId="51208"/>
    <cellStyle name="표준 64 2" xfId="54645"/>
    <cellStyle name="표준 64 3" xfId="54646"/>
    <cellStyle name="표준 65" xfId="51209"/>
    <cellStyle name="표준 65 2" xfId="54647"/>
    <cellStyle name="표준 65 3" xfId="54648"/>
    <cellStyle name="표준 66" xfId="51210"/>
    <cellStyle name="표준 66 2" xfId="54649"/>
    <cellStyle name="표준 67" xfId="51211"/>
    <cellStyle name="표준 68" xfId="51212"/>
    <cellStyle name="표준 69" xfId="51213"/>
    <cellStyle name="표준 7" xfId="349"/>
    <cellStyle name="표준 7 10" xfId="4233"/>
    <cellStyle name="표준 7 10 2" xfId="51214"/>
    <cellStyle name="표준 7 11" xfId="4234"/>
    <cellStyle name="표준 7 11 2" xfId="51215"/>
    <cellStyle name="표준 7 12" xfId="4235"/>
    <cellStyle name="표준 7 12 2" xfId="51216"/>
    <cellStyle name="표준 7 13" xfId="4236"/>
    <cellStyle name="표준 7 14" xfId="4237"/>
    <cellStyle name="표준 7 15" xfId="4238"/>
    <cellStyle name="표준 7 16" xfId="4239"/>
    <cellStyle name="표준 7 17" xfId="4240"/>
    <cellStyle name="표준 7 18" xfId="4241"/>
    <cellStyle name="표준 7 19" xfId="4242"/>
    <cellStyle name="표준 7 2" xfId="350"/>
    <cellStyle name="표준 7 2 2" xfId="4244"/>
    <cellStyle name="표준 7 2 3" xfId="4243"/>
    <cellStyle name="표준 7 20" xfId="4245"/>
    <cellStyle name="표준 7 21" xfId="4246"/>
    <cellStyle name="표준 7 22" xfId="4247"/>
    <cellStyle name="표준 7 23" xfId="4248"/>
    <cellStyle name="표준 7 24" xfId="4249"/>
    <cellStyle name="표준 7 25" xfId="4250"/>
    <cellStyle name="표준 7 26" xfId="4251"/>
    <cellStyle name="표준 7 27" xfId="4232"/>
    <cellStyle name="표준 7 3" xfId="351"/>
    <cellStyle name="표준 7 3 2" xfId="4253"/>
    <cellStyle name="표준 7 3 2 2" xfId="51217"/>
    <cellStyle name="표준 7 3 3" xfId="4252"/>
    <cellStyle name="표준 7 3 3 2" xfId="51218"/>
    <cellStyle name="표준 7 3 4" xfId="5411"/>
    <cellStyle name="표준 7 3 5" xfId="51219"/>
    <cellStyle name="표준 7 4" xfId="4254"/>
    <cellStyle name="표준 7 4 2" xfId="5412"/>
    <cellStyle name="표준 7 4 3" xfId="51220"/>
    <cellStyle name="표준 7 5" xfId="4255"/>
    <cellStyle name="표준 7 5 2" xfId="5413"/>
    <cellStyle name="표준 7 5 3" xfId="51221"/>
    <cellStyle name="표준 7 6" xfId="4256"/>
    <cellStyle name="표준 7 6 2" xfId="5414"/>
    <cellStyle name="표준 7 6 3" xfId="51222"/>
    <cellStyle name="표준 7 7" xfId="4257"/>
    <cellStyle name="표준 7 7 2" xfId="5415"/>
    <cellStyle name="표준 7 7 3" xfId="51223"/>
    <cellStyle name="표준 7 8" xfId="4258"/>
    <cellStyle name="표준 7 8 2" xfId="5416"/>
    <cellStyle name="표준 7 8 3" xfId="51224"/>
    <cellStyle name="표준 7 9" xfId="4259"/>
    <cellStyle name="표준 7 9 2" xfId="51225"/>
    <cellStyle name="표준 7_20071105_발주의뢰서_신영_EKP발주의 건" xfId="54650"/>
    <cellStyle name="표준 70" xfId="51226"/>
    <cellStyle name="표준 71" xfId="51227"/>
    <cellStyle name="표준 71 2" xfId="54651"/>
    <cellStyle name="표준 72" xfId="51228"/>
    <cellStyle name="표준 72 2" xfId="54652"/>
    <cellStyle name="표준 73" xfId="51237"/>
    <cellStyle name="표준 73 2" xfId="54653"/>
    <cellStyle name="표준 74" xfId="51238"/>
    <cellStyle name="표준 75" xfId="51539"/>
    <cellStyle name="표준 75 2" xfId="54654"/>
    <cellStyle name="표준 76" xfId="51540"/>
    <cellStyle name="표준 76 2" xfId="54655"/>
    <cellStyle name="표준 77" xfId="51541"/>
    <cellStyle name="표준 77 2" xfId="54656"/>
    <cellStyle name="표준 78" xfId="51542"/>
    <cellStyle name="표준 78 2" xfId="54657"/>
    <cellStyle name="표준 79" xfId="54658"/>
    <cellStyle name="표준 79 2" xfId="54659"/>
    <cellStyle name="표준 8" xfId="352"/>
    <cellStyle name="표준 8 10" xfId="4261"/>
    <cellStyle name="표준 8 11" xfId="4262"/>
    <cellStyle name="표준 8 12" xfId="4263"/>
    <cellStyle name="표준 8 13" xfId="4264"/>
    <cellStyle name="표준 8 14" xfId="4265"/>
    <cellStyle name="표준 8 15" xfId="4266"/>
    <cellStyle name="표준 8 16" xfId="4267"/>
    <cellStyle name="표준 8 17" xfId="4268"/>
    <cellStyle name="표준 8 18" xfId="4269"/>
    <cellStyle name="표준 8 19" xfId="4270"/>
    <cellStyle name="표준 8 2" xfId="353"/>
    <cellStyle name="표준 8 2 10" xfId="54660"/>
    <cellStyle name="표준 8 2 11" xfId="54661"/>
    <cellStyle name="표준 8 2 2" xfId="4272"/>
    <cellStyle name="표준 8 2 3" xfId="4271"/>
    <cellStyle name="표준 8 2 4" xfId="54662"/>
    <cellStyle name="표준 8 2 5" xfId="54663"/>
    <cellStyle name="표준 8 2 6" xfId="54664"/>
    <cellStyle name="표준 8 2 7" xfId="54665"/>
    <cellStyle name="표준 8 2 8" xfId="54666"/>
    <cellStyle name="표준 8 2 9" xfId="54667"/>
    <cellStyle name="표준 8 20" xfId="4273"/>
    <cellStyle name="표준 8 21" xfId="4274"/>
    <cellStyle name="표준 8 22" xfId="4275"/>
    <cellStyle name="표준 8 23" xfId="4276"/>
    <cellStyle name="표준 8 24" xfId="4277"/>
    <cellStyle name="표준 8 25" xfId="4278"/>
    <cellStyle name="표준 8 26" xfId="4279"/>
    <cellStyle name="표준 8 27" xfId="4260"/>
    <cellStyle name="표준 8 27 2" xfId="51229"/>
    <cellStyle name="표준 8 3" xfId="354"/>
    <cellStyle name="표준 8 3 2" xfId="4281"/>
    <cellStyle name="표준 8 3 3" xfId="4280"/>
    <cellStyle name="표준 8 3 3 2" xfId="51230"/>
    <cellStyle name="표준 8 4" xfId="4282"/>
    <cellStyle name="표준 8 4 2" xfId="51231"/>
    <cellStyle name="표준 8 5" xfId="4283"/>
    <cellStyle name="표준 8 5 2" xfId="51232"/>
    <cellStyle name="표준 8 6" xfId="4284"/>
    <cellStyle name="표준 8 7" xfId="4285"/>
    <cellStyle name="표준 8 8" xfId="4286"/>
    <cellStyle name="표준 8 9" xfId="4287"/>
    <cellStyle name="표준 8_0 매니저평가201009_보고" xfId="54668"/>
    <cellStyle name="표준 80" xfId="54669"/>
    <cellStyle name="표준 80 2" xfId="54670"/>
    <cellStyle name="표준 81" xfId="54671"/>
    <cellStyle name="표준 81 2" xfId="54672"/>
    <cellStyle name="표준 82" xfId="54673"/>
    <cellStyle name="표준 82 2" xfId="54674"/>
    <cellStyle name="표준 83" xfId="54675"/>
    <cellStyle name="표준 83 2" xfId="54676"/>
    <cellStyle name="표준 84" xfId="54677"/>
    <cellStyle name="표준 84 2" xfId="54678"/>
    <cellStyle name="표준 85" xfId="54679"/>
    <cellStyle name="표준 85 2" xfId="54680"/>
    <cellStyle name="표준 86" xfId="54681"/>
    <cellStyle name="표준 86 2" xfId="54682"/>
    <cellStyle name="표준 87" xfId="54683"/>
    <cellStyle name="표준 87 2" xfId="54684"/>
    <cellStyle name="표준 88" xfId="54685"/>
    <cellStyle name="표준 88 2" xfId="54686"/>
    <cellStyle name="표준 89" xfId="54687"/>
    <cellStyle name="표준 89 2" xfId="54688"/>
    <cellStyle name="표준 9" xfId="355"/>
    <cellStyle name="표준 9 10" xfId="4289"/>
    <cellStyle name="표준 9 11" xfId="4290"/>
    <cellStyle name="표준 9 12" xfId="4291"/>
    <cellStyle name="표준 9 13" xfId="4292"/>
    <cellStyle name="표준 9 14" xfId="4293"/>
    <cellStyle name="표준 9 15" xfId="4294"/>
    <cellStyle name="표준 9 16" xfId="4295"/>
    <cellStyle name="표준 9 17" xfId="4296"/>
    <cellStyle name="표준 9 18" xfId="4297"/>
    <cellStyle name="표준 9 19" xfId="4298"/>
    <cellStyle name="표준 9 2" xfId="356"/>
    <cellStyle name="표준 9 2 2" xfId="4300"/>
    <cellStyle name="표준 9 2 3" xfId="4299"/>
    <cellStyle name="표준 9 2 3 2" xfId="51233"/>
    <cellStyle name="표준 9 20" xfId="4301"/>
    <cellStyle name="표준 9 21" xfId="4302"/>
    <cellStyle name="표준 9 22" xfId="4303"/>
    <cellStyle name="표준 9 23" xfId="4304"/>
    <cellStyle name="표준 9 24" xfId="4305"/>
    <cellStyle name="표준 9 25" xfId="4306"/>
    <cellStyle name="표준 9 26" xfId="4307"/>
    <cellStyle name="표준 9 27" xfId="4288"/>
    <cellStyle name="표준 9 27 2" xfId="51234"/>
    <cellStyle name="표준 9 3" xfId="357"/>
    <cellStyle name="표준 9 3 2" xfId="4309"/>
    <cellStyle name="표준 9 3 3" xfId="4308"/>
    <cellStyle name="표준 9 3 3 2" xfId="51235"/>
    <cellStyle name="표준 9 4" xfId="358"/>
    <cellStyle name="표준 9 4 2" xfId="4311"/>
    <cellStyle name="표준 9 4 3" xfId="4310"/>
    <cellStyle name="표준 9 4 3 2" xfId="51236"/>
    <cellStyle name="표준 9 5" xfId="359"/>
    <cellStyle name="표준 9 5 2" xfId="4313"/>
    <cellStyle name="표준 9 5 3" xfId="4312"/>
    <cellStyle name="표준 9 6" xfId="360"/>
    <cellStyle name="표준 9 6 2" xfId="4315"/>
    <cellStyle name="표준 9 6 3" xfId="4314"/>
    <cellStyle name="표준 9 7" xfId="361"/>
    <cellStyle name="표준 9 7 2" xfId="4317"/>
    <cellStyle name="표준 9 7 3" xfId="4316"/>
    <cellStyle name="표준 9 8" xfId="362"/>
    <cellStyle name="표준 9 8 2" xfId="4319"/>
    <cellStyle name="표준 9 8 3" xfId="4318"/>
    <cellStyle name="표준 9 9" xfId="363"/>
    <cellStyle name="표준 9 9 2" xfId="4321"/>
    <cellStyle name="표준 9 9 3" xfId="4320"/>
    <cellStyle name="표준 9_0 매니저평가201009_보고" xfId="54689"/>
    <cellStyle name="표준 90" xfId="54690"/>
    <cellStyle name="표준 90 2" xfId="54691"/>
    <cellStyle name="표준 91" xfId="54692"/>
    <cellStyle name="표준 91 2" xfId="54693"/>
    <cellStyle name="표준 92" xfId="54694"/>
    <cellStyle name="표준 92 2" xfId="54695"/>
    <cellStyle name="표준 93" xfId="54696"/>
    <cellStyle name="표준 93 2" xfId="54697"/>
    <cellStyle name="표준 94" xfId="54698"/>
    <cellStyle name="표준 94 2" xfId="54699"/>
    <cellStyle name="표준 95" xfId="54700"/>
    <cellStyle name="표준 95 2" xfId="54701"/>
    <cellStyle name="표준 96" xfId="54702"/>
    <cellStyle name="표준 96 2" xfId="54703"/>
    <cellStyle name="표준 97" xfId="54704"/>
    <cellStyle name="표준 98" xfId="54705"/>
    <cellStyle name="표준 99" xfId="54706"/>
    <cellStyle name="標準_071202大日本住友製薬様試算" xfId="54707"/>
    <cellStyle name="표준_10월 일별연계실적(20091013)" xfId="370"/>
    <cellStyle name="표준123" xfId="54708"/>
    <cellStyle name="표준123 1" xfId="54709"/>
    <cellStyle name="표준체" xfId="54710"/>
    <cellStyle name="하이퍼링크" xfId="4322" builtinId="8" customBuiltin="1"/>
    <cellStyle name="하이퍼링크 2" xfId="364"/>
    <cellStyle name="하이퍼링크 2 2" xfId="54711"/>
    <cellStyle name="하이퍼링크 3" xfId="365"/>
    <cellStyle name="하이퍼링크 4" xfId="54712"/>
    <cellStyle name="하이퍼링크 5" xfId="54713"/>
    <cellStyle name="합산" xfId="366"/>
    <cellStyle name="합산 2" xfId="54714"/>
    <cellStyle name="합산 2 2" xfId="54715"/>
    <cellStyle name="桁?切り [0.00]_PLDT" xfId="54716"/>
    <cellStyle name="桁?切り_PLDT" xfId="54717"/>
    <cellStyle name="桁区切り [0.00]_PERSONAL" xfId="54718"/>
    <cellStyle name="桁区切り_CAPS_COST" xfId="54719"/>
    <cellStyle name="解释性文本" xfId="4323"/>
    <cellStyle name="解释性文本 2" xfId="4324"/>
    <cellStyle name="解释性文本 2 2" xfId="4325"/>
    <cellStyle name="解释性文本 2 2 2" xfId="4326"/>
    <cellStyle name="解释性文本 2 3" xfId="4327"/>
    <cellStyle name="解释性文本 3" xfId="4328"/>
    <cellStyle name="解释性文本 3 2" xfId="4329"/>
    <cellStyle name="解释性文本 3 2 2" xfId="4330"/>
    <cellStyle name="解释性文本 3 3" xfId="4331"/>
    <cellStyle name="解释性文本 4" xfId="4332"/>
    <cellStyle name="解释性文本 4 2" xfId="4333"/>
    <cellStyle name="好" xfId="4334"/>
    <cellStyle name="好 2" xfId="4335"/>
    <cellStyle name="好 2 2" xfId="4336"/>
    <cellStyle name="好 2 2 2" xfId="4337"/>
    <cellStyle name="好 2 3" xfId="4338"/>
    <cellStyle name="好 3" xfId="4339"/>
    <cellStyle name="好 3 2" xfId="4340"/>
    <cellStyle name="好 3 2 2" xfId="4341"/>
    <cellStyle name="好 3 3" xfId="4342"/>
    <cellStyle name="好 4" xfId="4343"/>
    <cellStyle name="好 4 2" xfId="4344"/>
    <cellStyle name="好_2011년 고객만족센터 일보고_0701(구)" xfId="4345"/>
    <cellStyle name="好_2011년 고객만족센터 일보고_0701(구) 2" xfId="4346"/>
    <cellStyle name="好_2011년 고객만족센터 일보고_0701(구) 2 2" xfId="4347"/>
    <cellStyle name="好_2011년 고객만족센터 일보고_0701(구) 2 2 2" xfId="4348"/>
    <cellStyle name="好_2011년 고객만족센터 일보고_0701(구) 2 3" xfId="4349"/>
    <cellStyle name="好_2011년 고객만족센터 일보고_0701(구) 3" xfId="4350"/>
    <cellStyle name="好_2011년 고객만족센터 일보고_0701(구) 3 2" xfId="4351"/>
    <cellStyle name="好_2011년 고객만족센터 일보고_0701(구) 3 2 2" xfId="4352"/>
    <cellStyle name="好_2011년 고객만족센터 일보고_0701(구) 4" xfId="4353"/>
    <cellStyle name="好_2011년 고객만족센터 일보고_0701(구) 4 2" xfId="4354"/>
    <cellStyle name="好_2011년 고객만족센터 일보고_0701(구) 4 2 2" xfId="4355"/>
    <cellStyle name="好_2011년 고객만족센터 일보고_0701(구) 4 3" xfId="4356"/>
    <cellStyle name="好_2011년 고객만족센터 일보고_0701(구) 5" xfId="4357"/>
    <cellStyle name="好_2011년 고객만족센터 일보고_0701(구) 5 2" xfId="4358"/>
    <cellStyle name="貨幣 [0]_CFB617" xfId="54720"/>
    <cellStyle name="貨幣[0]_Dialog2" xfId="54721"/>
    <cellStyle name="貨幣_CFB617" xfId="54722"/>
    <cellStyle name="화폐기호" xfId="367"/>
    <cellStyle name="화폐기호 2" xfId="54723"/>
    <cellStyle name="화폐기호 2 2" xfId="54724"/>
    <cellStyle name="화폐기호0" xfId="368"/>
    <cellStyle name="화폐기호0 2" xfId="54725"/>
    <cellStyle name="화폐기호0 2 2" xfId="54726"/>
    <cellStyle name="珝?xls]W 공장-품경" xfId="54727"/>
    <cellStyle name="汇总" xfId="4359"/>
    <cellStyle name="汇总 2" xfId="4360"/>
    <cellStyle name="汇总 2 2" xfId="4361"/>
    <cellStyle name="汇总 2 2 2" xfId="4362"/>
    <cellStyle name="汇总 2 2 2 2" xfId="6584"/>
    <cellStyle name="汇总 2 2 2 2 2" xfId="11318"/>
    <cellStyle name="汇总 2 2 2 2 2 2" xfId="24546"/>
    <cellStyle name="汇总 2 2 2 2 2 3" xfId="33948"/>
    <cellStyle name="汇总 2 2 2 2 2 4" xfId="41250"/>
    <cellStyle name="汇总 2 2 2 2 3" xfId="8267"/>
    <cellStyle name="汇总 2 2 2 2 3 2" xfId="21495"/>
    <cellStyle name="汇总 2 2 2 2 3 3" xfId="36373"/>
    <cellStyle name="汇总 2 2 2 2 3 4" xfId="42266"/>
    <cellStyle name="汇总 2 2 2 2 3 5" xfId="49100"/>
    <cellStyle name="汇总 2 2 2 2 4" xfId="19812"/>
    <cellStyle name="汇总 2 2 2 2 4 2" xfId="30379"/>
    <cellStyle name="汇总 2 2 2 2 4 3" xfId="18233"/>
    <cellStyle name="汇总 2 2 2 2 4 4" xfId="29082"/>
    <cellStyle name="汇总 2 2 2 2 5" xfId="30689"/>
    <cellStyle name="汇总 2 2 2 2 5 2" xfId="16893"/>
    <cellStyle name="汇总 2 2 2 2 5 3" xfId="28765"/>
    <cellStyle name="汇总 2 2 2 2 6" xfId="29636"/>
    <cellStyle name="汇总 2 2 2 2 7" xfId="16252"/>
    <cellStyle name="汇总 2 2 2 2 8" xfId="45478"/>
    <cellStyle name="汇总 2 2 2 3" xfId="5795"/>
    <cellStyle name="汇总 2 2 2 3 2" xfId="10529"/>
    <cellStyle name="汇总 2 2 2 3 2 2" xfId="23757"/>
    <cellStyle name="汇总 2 2 2 3 2 3" xfId="33309"/>
    <cellStyle name="汇总 2 2 2 3 2 4" xfId="15626"/>
    <cellStyle name="汇总 2 2 2 3 3" xfId="7980"/>
    <cellStyle name="汇总 2 2 2 3 3 2" xfId="21208"/>
    <cellStyle name="汇总 2 2 2 3 3 3" xfId="35790"/>
    <cellStyle name="汇总 2 2 2 3 3 4" xfId="41674"/>
    <cellStyle name="汇总 2 2 2 3 3 5" xfId="48508"/>
    <cellStyle name="汇总 2 2 2 3 4" xfId="19034"/>
    <cellStyle name="汇总 2 2 2 3 4 2" xfId="30664"/>
    <cellStyle name="汇总 2 2 2 3 4 3" xfId="15207"/>
    <cellStyle name="汇总 2 2 2 3 4 4" xfId="44214"/>
    <cellStyle name="汇总 2 2 2 3 5" xfId="31204"/>
    <cellStyle name="汇总 2 2 2 3 5 2" xfId="17114"/>
    <cellStyle name="汇总 2 2 2 3 5 3" xfId="45696"/>
    <cellStyle name="汇总 2 2 2 3 6" xfId="29006"/>
    <cellStyle name="汇总 2 2 2 3 7" xfId="36688"/>
    <cellStyle name="汇总 2 2 2 3 8" xfId="33140"/>
    <cellStyle name="汇总 2 2 2 4" xfId="9799"/>
    <cellStyle name="汇总 2 2 2 4 10" xfId="44069"/>
    <cellStyle name="汇总 2 2 2 4 2" xfId="13436"/>
    <cellStyle name="汇总 2 2 2 4 2 2" xfId="26664"/>
    <cellStyle name="汇总 2 2 2 4 2 3" xfId="32916"/>
    <cellStyle name="汇总 2 2 2 4 2 4" xfId="39136"/>
    <cellStyle name="汇总 2 2 2 4 2 5" xfId="46700"/>
    <cellStyle name="汇总 2 2 2 4 3" xfId="13905"/>
    <cellStyle name="汇总 2 2 2 4 3 2" xfId="27133"/>
    <cellStyle name="汇总 2 2 2 4 3 3" xfId="35412"/>
    <cellStyle name="汇总 2 2 2 4 3 4" xfId="48115"/>
    <cellStyle name="汇总 2 2 2 4 4" xfId="12921"/>
    <cellStyle name="汇总 2 2 2 4 4 2" xfId="26149"/>
    <cellStyle name="汇总 2 2 2 4 4 3" xfId="31158"/>
    <cellStyle name="汇总 2 2 2 4 4 4" xfId="17083"/>
    <cellStyle name="汇总 2 2 2 4 4 5" xfId="15393"/>
    <cellStyle name="汇总 2 2 2 4 5" xfId="14087"/>
    <cellStyle name="汇总 2 2 2 4 5 2" xfId="27315"/>
    <cellStyle name="汇总 2 2 2 4 5 3" xfId="14676"/>
    <cellStyle name="汇总 2 2 2 4 5 4" xfId="39726"/>
    <cellStyle name="汇总 2 2 2 4 6" xfId="23027"/>
    <cellStyle name="汇总 2 2 2 4 6 2" xfId="31320"/>
    <cellStyle name="汇总 2 2 2 4 6 3" xfId="17195"/>
    <cellStyle name="汇总 2 2 2 4 6 4" xfId="46887"/>
    <cellStyle name="汇总 2 2 2 4 7" xfId="37727"/>
    <cellStyle name="汇总 2 2 2 4 7 2" xfId="43650"/>
    <cellStyle name="汇总 2 2 2 4 7 3" xfId="50484"/>
    <cellStyle name="汇总 2 2 2 4 8" xfId="28605"/>
    <cellStyle name="汇总 2 2 2 4 9" xfId="27820"/>
    <cellStyle name="汇总 2 2 2 5" xfId="8630"/>
    <cellStyle name="汇总 2 2 2 5 2" xfId="21858"/>
    <cellStyle name="汇总 2 2 2 6" xfId="27841"/>
    <cellStyle name="汇总 2 2 3" xfId="6583"/>
    <cellStyle name="汇总 2 2 3 2" xfId="11317"/>
    <cellStyle name="汇总 2 2 3 2 2" xfId="24545"/>
    <cellStyle name="汇总 2 2 3 2 3" xfId="33947"/>
    <cellStyle name="汇总 2 2 3 2 4" xfId="28195"/>
    <cellStyle name="汇总 2 2 3 3" xfId="8266"/>
    <cellStyle name="汇总 2 2 3 3 2" xfId="21494"/>
    <cellStyle name="汇总 2 2 3 3 3" xfId="36372"/>
    <cellStyle name="汇总 2 2 3 3 4" xfId="42265"/>
    <cellStyle name="汇总 2 2 3 3 5" xfId="49099"/>
    <cellStyle name="汇总 2 2 3 4" xfId="19811"/>
    <cellStyle name="汇总 2 2 3 4 2" xfId="31604"/>
    <cellStyle name="汇总 2 2 3 4 3" xfId="18061"/>
    <cellStyle name="汇总 2 2 3 4 4" xfId="46970"/>
    <cellStyle name="汇总 2 2 3 5" xfId="35818"/>
    <cellStyle name="汇总 2 2 3 5 2" xfId="41705"/>
    <cellStyle name="汇总 2 2 3 5 3" xfId="48539"/>
    <cellStyle name="汇总 2 2 3 6" xfId="29635"/>
    <cellStyle name="汇总 2 2 3 7" xfId="16251"/>
    <cellStyle name="汇总 2 2 3 8" xfId="44509"/>
    <cellStyle name="汇总 2 2 4" xfId="5794"/>
    <cellStyle name="汇总 2 2 4 2" xfId="10528"/>
    <cellStyle name="汇总 2 2 4 2 2" xfId="23756"/>
    <cellStyle name="汇总 2 2 4 2 3" xfId="33308"/>
    <cellStyle name="汇总 2 2 4 2 4" xfId="34061"/>
    <cellStyle name="汇总 2 2 4 3" xfId="8600"/>
    <cellStyle name="汇总 2 2 4 3 2" xfId="21828"/>
    <cellStyle name="汇总 2 2 4 3 3" xfId="35789"/>
    <cellStyle name="汇总 2 2 4 3 4" xfId="41673"/>
    <cellStyle name="汇总 2 2 4 3 5" xfId="48507"/>
    <cellStyle name="汇总 2 2 4 4" xfId="19033"/>
    <cellStyle name="汇总 2 2 4 4 2" xfId="31306"/>
    <cellStyle name="汇总 2 2 4 4 3" xfId="17189"/>
    <cellStyle name="汇总 2 2 4 4 4" xfId="46906"/>
    <cellStyle name="汇总 2 2 4 5" xfId="36799"/>
    <cellStyle name="汇总 2 2 4 5 2" xfId="42710"/>
    <cellStyle name="汇总 2 2 4 5 3" xfId="49544"/>
    <cellStyle name="汇总 2 2 4 6" xfId="29005"/>
    <cellStyle name="汇总 2 2 4 7" xfId="35047"/>
    <cellStyle name="汇总 2 2 4 8" xfId="45524"/>
    <cellStyle name="汇总 2 2 5" xfId="9798"/>
    <cellStyle name="汇总 2 2 5 10" xfId="45202"/>
    <cellStyle name="汇总 2 2 5 2" xfId="13435"/>
    <cellStyle name="汇总 2 2 5 2 2" xfId="26663"/>
    <cellStyle name="汇总 2 2 5 2 3" xfId="32915"/>
    <cellStyle name="汇总 2 2 5 2 4" xfId="39135"/>
    <cellStyle name="汇总 2 2 5 2 5" xfId="32290"/>
    <cellStyle name="汇总 2 2 5 3" xfId="14297"/>
    <cellStyle name="汇总 2 2 5 3 2" xfId="27525"/>
    <cellStyle name="汇总 2 2 5 3 3" xfId="35411"/>
    <cellStyle name="汇总 2 2 5 3 4" xfId="48114"/>
    <cellStyle name="汇总 2 2 5 4" xfId="13690"/>
    <cellStyle name="汇总 2 2 5 4 2" xfId="26918"/>
    <cellStyle name="汇总 2 2 5 4 3" xfId="31157"/>
    <cellStyle name="汇总 2 2 5 4 4" xfId="17759"/>
    <cellStyle name="汇总 2 2 5 4 5" xfId="39363"/>
    <cellStyle name="汇总 2 2 5 5" xfId="7271"/>
    <cellStyle name="汇总 2 2 5 5 2" xfId="20499"/>
    <cellStyle name="汇总 2 2 5 5 3" xfId="41510"/>
    <cellStyle name="汇总 2 2 5 5 4" xfId="48344"/>
    <cellStyle name="汇总 2 2 5 6" xfId="23026"/>
    <cellStyle name="汇总 2 2 5 6 2" xfId="30532"/>
    <cellStyle name="汇总 2 2 5 6 3" xfId="17779"/>
    <cellStyle name="汇总 2 2 5 6 4" xfId="15606"/>
    <cellStyle name="汇总 2 2 5 7" xfId="31719"/>
    <cellStyle name="汇总 2 2 5 7 2" xfId="37940"/>
    <cellStyle name="汇总 2 2 5 7 3" xfId="28082"/>
    <cellStyle name="汇总 2 2 5 8" xfId="28604"/>
    <cellStyle name="汇总 2 2 5 9" xfId="40564"/>
    <cellStyle name="汇总 2 2 6" xfId="8629"/>
    <cellStyle name="汇总 2 2 6 2" xfId="21857"/>
    <cellStyle name="汇总 2 2 7" xfId="45469"/>
    <cellStyle name="汇总 2 3" xfId="4363"/>
    <cellStyle name="汇总 2 3 2" xfId="6585"/>
    <cellStyle name="汇总 2 3 2 2" xfId="11319"/>
    <cellStyle name="汇总 2 3 2 2 2" xfId="24547"/>
    <cellStyle name="汇总 2 3 2 2 3" xfId="33949"/>
    <cellStyle name="汇总 2 3 2 2 4" xfId="17396"/>
    <cellStyle name="汇总 2 3 2 3" xfId="8268"/>
    <cellStyle name="汇总 2 3 2 3 2" xfId="21496"/>
    <cellStyle name="汇总 2 3 2 3 3" xfId="36374"/>
    <cellStyle name="汇总 2 3 2 3 4" xfId="42267"/>
    <cellStyle name="汇总 2 3 2 3 5" xfId="49101"/>
    <cellStyle name="汇总 2 3 2 4" xfId="19813"/>
    <cellStyle name="汇总 2 3 2 4 2" xfId="29770"/>
    <cellStyle name="汇总 2 3 2 4 3" xfId="36728"/>
    <cellStyle name="汇总 2 3 2 4 4" xfId="34066"/>
    <cellStyle name="汇总 2 3 2 5" xfId="36925"/>
    <cellStyle name="汇总 2 3 2 5 2" xfId="42840"/>
    <cellStyle name="汇总 2 3 2 5 3" xfId="49674"/>
    <cellStyle name="汇总 2 3 2 6" xfId="29637"/>
    <cellStyle name="汇总 2 3 2 7" xfId="16253"/>
    <cellStyle name="汇总 2 3 2 8" xfId="27893"/>
    <cellStyle name="汇总 2 3 3" xfId="5796"/>
    <cellStyle name="汇总 2 3 3 2" xfId="10530"/>
    <cellStyle name="汇总 2 3 3 2 2" xfId="23758"/>
    <cellStyle name="汇总 2 3 3 2 3" xfId="33310"/>
    <cellStyle name="汇总 2 3 3 2 4" xfId="34556"/>
    <cellStyle name="汇总 2 3 3 3" xfId="7981"/>
    <cellStyle name="汇总 2 3 3 3 2" xfId="21209"/>
    <cellStyle name="汇总 2 3 3 3 3" xfId="35791"/>
    <cellStyle name="汇总 2 3 3 3 4" xfId="41675"/>
    <cellStyle name="汇总 2 3 3 3 5" xfId="48509"/>
    <cellStyle name="汇总 2 3 3 4" xfId="19035"/>
    <cellStyle name="汇总 2 3 3 4 2" xfId="35901"/>
    <cellStyle name="汇总 2 3 3 4 3" xfId="41794"/>
    <cellStyle name="汇总 2 3 3 4 4" xfId="48628"/>
    <cellStyle name="汇总 2 3 3 5" xfId="37567"/>
    <cellStyle name="汇总 2 3 3 5 2" xfId="43488"/>
    <cellStyle name="汇总 2 3 3 5 3" xfId="50322"/>
    <cellStyle name="汇总 2 3 3 6" xfId="29007"/>
    <cellStyle name="汇总 2 3 3 7" xfId="15905"/>
    <cellStyle name="汇总 2 3 3 8" xfId="28201"/>
    <cellStyle name="汇总 2 3 4" xfId="9800"/>
    <cellStyle name="汇总 2 3 4 10" xfId="40399"/>
    <cellStyle name="汇总 2 3 4 2" xfId="13437"/>
    <cellStyle name="汇总 2 3 4 2 2" xfId="26665"/>
    <cellStyle name="汇总 2 3 4 2 3" xfId="32917"/>
    <cellStyle name="汇总 2 3 4 2 4" xfId="39137"/>
    <cellStyle name="汇总 2 3 4 2 5" xfId="47345"/>
    <cellStyle name="汇总 2 3 4 3" xfId="14009"/>
    <cellStyle name="汇总 2 3 4 3 2" xfId="27237"/>
    <cellStyle name="汇总 2 3 4 3 3" xfId="35413"/>
    <cellStyle name="汇总 2 3 4 3 4" xfId="48116"/>
    <cellStyle name="汇总 2 3 4 4" xfId="13020"/>
    <cellStyle name="汇总 2 3 4 4 2" xfId="26248"/>
    <cellStyle name="汇总 2 3 4 4 3" xfId="31159"/>
    <cellStyle name="汇总 2 3 4 4 4" xfId="17082"/>
    <cellStyle name="汇总 2 3 4 4 5" xfId="46410"/>
    <cellStyle name="汇总 2 3 4 5" xfId="7272"/>
    <cellStyle name="汇总 2 3 4 5 2" xfId="20500"/>
    <cellStyle name="汇总 2 3 4 5 3" xfId="31630"/>
    <cellStyle name="汇总 2 3 4 5 4" xfId="43889"/>
    <cellStyle name="汇总 2 3 4 6" xfId="23028"/>
    <cellStyle name="汇总 2 3 4 6 2" xfId="30613"/>
    <cellStyle name="汇总 2 3 4 6 3" xfId="16860"/>
    <cellStyle name="汇总 2 3 4 6 4" xfId="32966"/>
    <cellStyle name="汇总 2 3 4 7" xfId="35483"/>
    <cellStyle name="汇总 2 3 4 7 2" xfId="41354"/>
    <cellStyle name="汇总 2 3 4 7 3" xfId="48188"/>
    <cellStyle name="汇总 2 3 4 8" xfId="28606"/>
    <cellStyle name="汇总 2 3 4 9" xfId="32213"/>
    <cellStyle name="汇总 2 3 5" xfId="8631"/>
    <cellStyle name="汇总 2 3 5 2" xfId="21859"/>
    <cellStyle name="汇总 2 3 6" xfId="43875"/>
    <cellStyle name="汇总 2 4" xfId="6582"/>
    <cellStyle name="汇总 2 4 2" xfId="11316"/>
    <cellStyle name="汇总 2 4 2 2" xfId="24544"/>
    <cellStyle name="汇总 2 4 2 3" xfId="33946"/>
    <cellStyle name="汇总 2 4 2 4" xfId="39940"/>
    <cellStyle name="汇总 2 4 3" xfId="8265"/>
    <cellStyle name="汇总 2 4 3 2" xfId="21493"/>
    <cellStyle name="汇总 2 4 3 3" xfId="36371"/>
    <cellStyle name="汇总 2 4 3 4" xfId="42264"/>
    <cellStyle name="汇总 2 4 3 5" xfId="49098"/>
    <cellStyle name="汇总 2 4 4" xfId="19810"/>
    <cellStyle name="汇总 2 4 4 2" xfId="30486"/>
    <cellStyle name="汇总 2 4 4 3" xfId="15157"/>
    <cellStyle name="汇总 2 4 4 4" xfId="46345"/>
    <cellStyle name="汇总 2 4 5" xfId="37552"/>
    <cellStyle name="汇总 2 4 5 2" xfId="43473"/>
    <cellStyle name="汇总 2 4 5 3" xfId="50307"/>
    <cellStyle name="汇总 2 4 6" xfId="29634"/>
    <cellStyle name="汇总 2 4 7" xfId="16250"/>
    <cellStyle name="汇总 2 4 8" xfId="14554"/>
    <cellStyle name="汇总 2 5" xfId="5793"/>
    <cellStyle name="汇总 2 5 2" xfId="10527"/>
    <cellStyle name="汇总 2 5 2 2" xfId="23755"/>
    <cellStyle name="汇总 2 5 2 3" xfId="33307"/>
    <cellStyle name="汇总 2 5 2 4" xfId="46458"/>
    <cellStyle name="汇总 2 5 3" xfId="7978"/>
    <cellStyle name="汇总 2 5 3 2" xfId="21206"/>
    <cellStyle name="汇总 2 5 3 3" xfId="35788"/>
    <cellStyle name="汇总 2 5 3 4" xfId="41672"/>
    <cellStyle name="汇总 2 5 3 5" xfId="48506"/>
    <cellStyle name="汇总 2 5 4" xfId="19032"/>
    <cellStyle name="汇总 2 5 4 2" xfId="35649"/>
    <cellStyle name="汇总 2 5 4 3" xfId="41529"/>
    <cellStyle name="汇总 2 5 4 4" xfId="48363"/>
    <cellStyle name="汇总 2 5 5" xfId="32077"/>
    <cellStyle name="汇总 2 5 5 2" xfId="38300"/>
    <cellStyle name="汇总 2 5 5 3" xfId="33445"/>
    <cellStyle name="汇总 2 5 6" xfId="29004"/>
    <cellStyle name="汇总 2 5 7" xfId="36497"/>
    <cellStyle name="汇总 2 5 8" xfId="44554"/>
    <cellStyle name="汇总 2 6" xfId="9797"/>
    <cellStyle name="汇总 2 6 10" xfId="33214"/>
    <cellStyle name="汇总 2 6 2" xfId="13434"/>
    <cellStyle name="汇总 2 6 2 2" xfId="26662"/>
    <cellStyle name="汇总 2 6 2 3" xfId="32914"/>
    <cellStyle name="汇总 2 6 2 4" xfId="39134"/>
    <cellStyle name="汇总 2 6 2 5" xfId="47197"/>
    <cellStyle name="汇总 2 6 3" xfId="13544"/>
    <cellStyle name="汇总 2 6 3 2" xfId="26772"/>
    <cellStyle name="汇总 2 6 3 3" xfId="35410"/>
    <cellStyle name="汇总 2 6 3 4" xfId="48113"/>
    <cellStyle name="汇总 2 6 4" xfId="8523"/>
    <cellStyle name="汇总 2 6 4 2" xfId="21751"/>
    <cellStyle name="汇总 2 6 4 3" xfId="31156"/>
    <cellStyle name="汇总 2 6 4 4" xfId="28000"/>
    <cellStyle name="汇总 2 6 4 5" xfId="40424"/>
    <cellStyle name="汇总 2 6 5" xfId="14325"/>
    <cellStyle name="汇总 2 6 5 2" xfId="27553"/>
    <cellStyle name="汇总 2 6 5 3" xfId="16698"/>
    <cellStyle name="汇总 2 6 5 4" xfId="43881"/>
    <cellStyle name="汇总 2 6 6" xfId="23025"/>
    <cellStyle name="汇总 2 6 6 2" xfId="37171"/>
    <cellStyle name="汇总 2 6 6 3" xfId="43090"/>
    <cellStyle name="汇总 2 6 6 4" xfId="49924"/>
    <cellStyle name="汇总 2 6 7" xfId="35654"/>
    <cellStyle name="汇总 2 6 7 2" xfId="41534"/>
    <cellStyle name="汇总 2 6 7 3" xfId="48368"/>
    <cellStyle name="汇总 2 6 8" xfId="28603"/>
    <cellStyle name="汇总 2 6 9" xfId="39582"/>
    <cellStyle name="汇总 2 7" xfId="8628"/>
    <cellStyle name="汇总 2 7 2" xfId="21856"/>
    <cellStyle name="汇总 2 8" xfId="44483"/>
    <cellStyle name="汇总 3" xfId="4364"/>
    <cellStyle name="汇总 3 2" xfId="4365"/>
    <cellStyle name="汇总 3 2 2" xfId="4366"/>
    <cellStyle name="汇总 3 2 2 2" xfId="6588"/>
    <cellStyle name="汇总 3 2 2 2 2" xfId="11322"/>
    <cellStyle name="汇总 3 2 2 2 2 2" xfId="24550"/>
    <cellStyle name="汇总 3 2 2 2 2 3" xfId="33952"/>
    <cellStyle name="汇总 3 2 2 2 2 4" xfId="34427"/>
    <cellStyle name="汇总 3 2 2 2 3" xfId="12864"/>
    <cellStyle name="汇总 3 2 2 2 3 2" xfId="26092"/>
    <cellStyle name="汇总 3 2 2 2 3 3" xfId="36377"/>
    <cellStyle name="汇总 3 2 2 2 3 4" xfId="42270"/>
    <cellStyle name="汇总 3 2 2 2 3 5" xfId="49104"/>
    <cellStyle name="汇总 3 2 2 2 4" xfId="19816"/>
    <cellStyle name="汇总 3 2 2 2 4 2" xfId="30167"/>
    <cellStyle name="汇总 3 2 2 2 4 3" xfId="16628"/>
    <cellStyle name="汇总 3 2 2 2 4 4" xfId="45423"/>
    <cellStyle name="汇总 3 2 2 2 5" xfId="34982"/>
    <cellStyle name="汇总 3 2 2 2 5 2" xfId="40986"/>
    <cellStyle name="汇总 3 2 2 2 5 3" xfId="47682"/>
    <cellStyle name="汇总 3 2 2 2 6" xfId="29640"/>
    <cellStyle name="汇总 3 2 2 2 7" xfId="16256"/>
    <cellStyle name="汇总 3 2 2 2 8" xfId="45182"/>
    <cellStyle name="汇总 3 2 2 3" xfId="5799"/>
    <cellStyle name="汇总 3 2 2 3 2" xfId="10533"/>
    <cellStyle name="汇总 3 2 2 3 2 2" xfId="23761"/>
    <cellStyle name="汇总 3 2 2 3 2 3" xfId="33313"/>
    <cellStyle name="汇总 3 2 2 3 2 4" xfId="44243"/>
    <cellStyle name="汇总 3 2 2 3 3" xfId="6768"/>
    <cellStyle name="汇总 3 2 2 3 3 2" xfId="19996"/>
    <cellStyle name="汇总 3 2 2 3 3 3" xfId="35794"/>
    <cellStyle name="汇总 3 2 2 3 3 4" xfId="41678"/>
    <cellStyle name="汇总 3 2 2 3 3 5" xfId="48512"/>
    <cellStyle name="汇总 3 2 2 3 4" xfId="19038"/>
    <cellStyle name="汇总 3 2 2 3 4 2" xfId="35678"/>
    <cellStyle name="汇总 3 2 2 3 4 3" xfId="41558"/>
    <cellStyle name="汇总 3 2 2 3 4 4" xfId="48392"/>
    <cellStyle name="汇总 3 2 2 3 5" xfId="30301"/>
    <cellStyle name="汇总 3 2 2 3 5 2" xfId="16735"/>
    <cellStyle name="汇总 3 2 2 3 5 3" xfId="44313"/>
    <cellStyle name="汇总 3 2 2 3 6" xfId="29010"/>
    <cellStyle name="汇总 3 2 2 3 7" xfId="15904"/>
    <cellStyle name="汇总 3 2 2 3 8" xfId="28181"/>
    <cellStyle name="汇总 3 2 2 4" xfId="9803"/>
    <cellStyle name="汇总 3 2 2 4 10" xfId="30007"/>
    <cellStyle name="汇总 3 2 2 4 2" xfId="13440"/>
    <cellStyle name="汇总 3 2 2 4 2 2" xfId="26668"/>
    <cellStyle name="汇总 3 2 2 4 2 3" xfId="32920"/>
    <cellStyle name="汇总 3 2 2 4 2 4" xfId="39140"/>
    <cellStyle name="汇总 3 2 2 4 2 5" xfId="45843"/>
    <cellStyle name="汇总 3 2 2 4 3" xfId="14296"/>
    <cellStyle name="汇总 3 2 2 4 3 2" xfId="27524"/>
    <cellStyle name="汇总 3 2 2 4 3 3" xfId="35416"/>
    <cellStyle name="汇总 3 2 2 4 3 4" xfId="48119"/>
    <cellStyle name="汇总 3 2 2 4 4" xfId="7188"/>
    <cellStyle name="汇总 3 2 2 4 4 2" xfId="20416"/>
    <cellStyle name="汇总 3 2 2 4 4 3" xfId="31162"/>
    <cellStyle name="汇总 3 2 2 4 4 4" xfId="17084"/>
    <cellStyle name="汇总 3 2 2 4 4 5" xfId="46333"/>
    <cellStyle name="汇总 3 2 2 4 5" xfId="8714"/>
    <cellStyle name="汇总 3 2 2 4 5 2" xfId="21942"/>
    <cellStyle name="汇总 3 2 2 4 5 3" xfId="16644"/>
    <cellStyle name="汇总 3 2 2 4 5 4" xfId="44388"/>
    <cellStyle name="汇总 3 2 2 4 6" xfId="23031"/>
    <cellStyle name="汇总 3 2 2 4 6 2" xfId="34858"/>
    <cellStyle name="汇总 3 2 2 4 6 3" xfId="40857"/>
    <cellStyle name="汇总 3 2 2 4 6 4" xfId="27942"/>
    <cellStyle name="汇总 3 2 2 4 7" xfId="34958"/>
    <cellStyle name="汇总 3 2 2 4 7 2" xfId="40956"/>
    <cellStyle name="汇总 3 2 2 4 7 3" xfId="47652"/>
    <cellStyle name="汇总 3 2 2 4 8" xfId="28609"/>
    <cellStyle name="汇总 3 2 2 4 9" xfId="16461"/>
    <cellStyle name="汇总 3 2 2 5" xfId="8634"/>
    <cellStyle name="汇总 3 2 2 5 2" xfId="21862"/>
    <cellStyle name="汇总 3 2 2 6" xfId="19339"/>
    <cellStyle name="汇总 3 2 3" xfId="6587"/>
    <cellStyle name="汇总 3 2 3 2" xfId="11321"/>
    <cellStyle name="汇总 3 2 3 2 2" xfId="24549"/>
    <cellStyle name="汇总 3 2 3 2 3" xfId="33951"/>
    <cellStyle name="汇总 3 2 3 2 4" xfId="39942"/>
    <cellStyle name="汇总 3 2 3 3" xfId="8288"/>
    <cellStyle name="汇总 3 2 3 3 2" xfId="21516"/>
    <cellStyle name="汇总 3 2 3 3 3" xfId="36376"/>
    <cellStyle name="汇总 3 2 3 3 4" xfId="42269"/>
    <cellStyle name="汇总 3 2 3 3 5" xfId="49103"/>
    <cellStyle name="汇总 3 2 3 4" xfId="19815"/>
    <cellStyle name="汇总 3 2 3 4 2" xfId="30378"/>
    <cellStyle name="汇总 3 2 3 4 3" xfId="14969"/>
    <cellStyle name="汇总 3 2 3 4 4" xfId="14496"/>
    <cellStyle name="汇总 3 2 3 5" xfId="37503"/>
    <cellStyle name="汇总 3 2 3 5 2" xfId="43423"/>
    <cellStyle name="汇总 3 2 3 5 3" xfId="50257"/>
    <cellStyle name="汇总 3 2 3 6" xfId="29639"/>
    <cellStyle name="汇总 3 2 3 7" xfId="16255"/>
    <cellStyle name="汇总 3 2 3 8" xfId="33395"/>
    <cellStyle name="汇总 3 2 4" xfId="5798"/>
    <cellStyle name="汇总 3 2 4 2" xfId="10532"/>
    <cellStyle name="汇总 3 2 4 2 2" xfId="23760"/>
    <cellStyle name="汇总 3 2 4 2 3" xfId="33312"/>
    <cellStyle name="汇总 3 2 4 2 4" xfId="28214"/>
    <cellStyle name="汇总 3 2 4 3" xfId="7983"/>
    <cellStyle name="汇总 3 2 4 3 2" xfId="21211"/>
    <cellStyle name="汇总 3 2 4 3 3" xfId="35793"/>
    <cellStyle name="汇总 3 2 4 3 4" xfId="41677"/>
    <cellStyle name="汇总 3 2 4 3 5" xfId="48511"/>
    <cellStyle name="汇总 3 2 4 4" xfId="19037"/>
    <cellStyle name="汇总 3 2 4 4 2" xfId="36809"/>
    <cellStyle name="汇总 3 2 4 4 3" xfId="42720"/>
    <cellStyle name="汇总 3 2 4 4 4" xfId="49554"/>
    <cellStyle name="汇总 3 2 4 5" xfId="37236"/>
    <cellStyle name="汇总 3 2 4 5 2" xfId="43155"/>
    <cellStyle name="汇总 3 2 4 5 3" xfId="49989"/>
    <cellStyle name="汇总 3 2 4 6" xfId="29009"/>
    <cellStyle name="汇总 3 2 4 7" xfId="15903"/>
    <cellStyle name="汇总 3 2 4 8" xfId="34505"/>
    <cellStyle name="汇总 3 2 5" xfId="9802"/>
    <cellStyle name="汇总 3 2 5 10" xfId="45456"/>
    <cellStyle name="汇总 3 2 5 2" xfId="13439"/>
    <cellStyle name="汇总 3 2 5 2 2" xfId="26667"/>
    <cellStyle name="汇总 3 2 5 2 3" xfId="32919"/>
    <cellStyle name="汇总 3 2 5 2 4" xfId="39139"/>
    <cellStyle name="汇总 3 2 5 2 5" xfId="46894"/>
    <cellStyle name="汇总 3 2 5 3" xfId="13543"/>
    <cellStyle name="汇总 3 2 5 3 2" xfId="26771"/>
    <cellStyle name="汇总 3 2 5 3 3" xfId="35415"/>
    <cellStyle name="汇总 3 2 5 3 4" xfId="48118"/>
    <cellStyle name="汇总 3 2 5 4" xfId="14263"/>
    <cellStyle name="汇总 3 2 5 4 2" xfId="27491"/>
    <cellStyle name="汇总 3 2 5 4 3" xfId="31161"/>
    <cellStyle name="汇总 3 2 5 4 4" xfId="17085"/>
    <cellStyle name="汇总 3 2 5 4 5" xfId="47246"/>
    <cellStyle name="汇总 3 2 5 5" xfId="7273"/>
    <cellStyle name="汇总 3 2 5 5 2" xfId="20501"/>
    <cellStyle name="汇总 3 2 5 5 3" xfId="42701"/>
    <cellStyle name="汇总 3 2 5 5 4" xfId="49535"/>
    <cellStyle name="汇总 3 2 5 6" xfId="23030"/>
    <cellStyle name="汇总 3 2 5 6 2" xfId="30531"/>
    <cellStyle name="汇总 3 2 5 6 3" xfId="27772"/>
    <cellStyle name="汇总 3 2 5 6 4" xfId="39714"/>
    <cellStyle name="汇总 3 2 5 7" xfId="37775"/>
    <cellStyle name="汇总 3 2 5 7 2" xfId="43699"/>
    <cellStyle name="汇总 3 2 5 7 3" xfId="50533"/>
    <cellStyle name="汇总 3 2 5 8" xfId="28608"/>
    <cellStyle name="汇总 3 2 5 9" xfId="15414"/>
    <cellStyle name="汇总 3 2 6" xfId="8633"/>
    <cellStyle name="汇总 3 2 6 2" xfId="21861"/>
    <cellStyle name="汇总 3 2 7" xfId="44340"/>
    <cellStyle name="汇总 3 3" xfId="4367"/>
    <cellStyle name="汇总 3 3 2" xfId="6589"/>
    <cellStyle name="汇总 3 3 2 2" xfId="11323"/>
    <cellStyle name="汇总 3 3 2 2 2" xfId="24551"/>
    <cellStyle name="汇总 3 3 2 2 3" xfId="33953"/>
    <cellStyle name="汇总 3 3 2 2 4" xfId="41252"/>
    <cellStyle name="汇总 3 3 2 3" xfId="8270"/>
    <cellStyle name="汇总 3 3 2 3 2" xfId="21498"/>
    <cellStyle name="汇总 3 3 2 3 3" xfId="36378"/>
    <cellStyle name="汇总 3 3 2 3 4" xfId="42271"/>
    <cellStyle name="汇总 3 3 2 3 5" xfId="49105"/>
    <cellStyle name="汇总 3 3 2 4" xfId="19817"/>
    <cellStyle name="汇总 3 3 2 4 2" xfId="37253"/>
    <cellStyle name="汇总 3 3 2 4 3" xfId="43173"/>
    <cellStyle name="汇总 3 3 2 4 4" xfId="50007"/>
    <cellStyle name="汇总 3 3 2 5" xfId="29847"/>
    <cellStyle name="汇总 3 3 2 5 2" xfId="16357"/>
    <cellStyle name="汇总 3 3 2 5 3" xfId="28828"/>
    <cellStyle name="汇总 3 3 2 6" xfId="29641"/>
    <cellStyle name="汇总 3 3 2 7" xfId="14593"/>
    <cellStyle name="汇总 3 3 2 8" xfId="44049"/>
    <cellStyle name="汇总 3 3 3" xfId="5800"/>
    <cellStyle name="汇总 3 3 3 2" xfId="10534"/>
    <cellStyle name="汇总 3 3 3 2 2" xfId="23762"/>
    <cellStyle name="汇总 3 3 3 2 3" xfId="33314"/>
    <cellStyle name="汇总 3 3 3 2 4" xfId="15321"/>
    <cellStyle name="汇总 3 3 3 3" xfId="7985"/>
    <cellStyle name="汇总 3 3 3 3 2" xfId="21213"/>
    <cellStyle name="汇总 3 3 3 3 3" xfId="35795"/>
    <cellStyle name="汇总 3 3 3 3 4" xfId="41679"/>
    <cellStyle name="汇总 3 3 3 3 5" xfId="48513"/>
    <cellStyle name="汇总 3 3 3 4" xfId="19039"/>
    <cellStyle name="汇总 3 3 3 4 2" xfId="37041"/>
    <cellStyle name="汇总 3 3 3 4 3" xfId="42960"/>
    <cellStyle name="汇总 3 3 3 4 4" xfId="49794"/>
    <cellStyle name="汇总 3 3 3 5" xfId="36852"/>
    <cellStyle name="汇总 3 3 3 5 2" xfId="42764"/>
    <cellStyle name="汇总 3 3 3 5 3" xfId="49598"/>
    <cellStyle name="汇总 3 3 3 6" xfId="29011"/>
    <cellStyle name="汇总 3 3 3 7" xfId="29801"/>
    <cellStyle name="汇总 3 3 3 8" xfId="45147"/>
    <cellStyle name="汇总 3 3 4" xfId="9804"/>
    <cellStyle name="汇总 3 3 4 10" xfId="43894"/>
    <cellStyle name="汇总 3 3 4 2" xfId="13441"/>
    <cellStyle name="汇总 3 3 4 2 2" xfId="26669"/>
    <cellStyle name="汇总 3 3 4 2 3" xfId="32921"/>
    <cellStyle name="汇总 3 3 4 2 4" xfId="39141"/>
    <cellStyle name="汇总 3 3 4 2 5" xfId="34608"/>
    <cellStyle name="汇总 3 3 4 3" xfId="13975"/>
    <cellStyle name="汇总 3 3 4 3 2" xfId="27203"/>
    <cellStyle name="汇总 3 3 4 3 3" xfId="35417"/>
    <cellStyle name="汇总 3 3 4 3 4" xfId="48120"/>
    <cellStyle name="汇总 3 3 4 4" xfId="13617"/>
    <cellStyle name="汇总 3 3 4 4 2" xfId="26845"/>
    <cellStyle name="汇总 3 3 4 4 3" xfId="31163"/>
    <cellStyle name="汇总 3 3 4 4 4" xfId="17761"/>
    <cellStyle name="汇总 3 3 4 4 5" xfId="17965"/>
    <cellStyle name="汇总 3 3 4 5" xfId="7274"/>
    <cellStyle name="汇总 3 3 4 5 2" xfId="20502"/>
    <cellStyle name="汇总 3 3 4 5 3" xfId="18062"/>
    <cellStyle name="汇总 3 3 4 5 4" xfId="46304"/>
    <cellStyle name="汇总 3 3 4 6" xfId="23032"/>
    <cellStyle name="汇总 3 3 4 6 2" xfId="30083"/>
    <cellStyle name="汇总 3 3 4 6 3" xfId="16563"/>
    <cellStyle name="汇总 3 3 4 6 4" xfId="43989"/>
    <cellStyle name="汇总 3 3 4 7" xfId="30713"/>
    <cellStyle name="汇总 3 3 4 7 2" xfId="17840"/>
    <cellStyle name="汇总 3 3 4 7 3" xfId="44208"/>
    <cellStyle name="汇总 3 3 4 8" xfId="28610"/>
    <cellStyle name="汇总 3 3 4 9" xfId="40086"/>
    <cellStyle name="汇总 3 3 5" xfId="8635"/>
    <cellStyle name="汇总 3 3 5 2" xfId="21863"/>
    <cellStyle name="汇总 3 3 6" xfId="44578"/>
    <cellStyle name="汇总 3 4" xfId="6586"/>
    <cellStyle name="汇总 3 4 2" xfId="11320"/>
    <cellStyle name="汇总 3 4 2 2" xfId="24548"/>
    <cellStyle name="汇总 3 4 2 3" xfId="33950"/>
    <cellStyle name="汇总 3 4 2 4" xfId="17469"/>
    <cellStyle name="汇总 3 4 3" xfId="6824"/>
    <cellStyle name="汇总 3 4 3 2" xfId="20052"/>
    <cellStyle name="汇总 3 4 3 3" xfId="36375"/>
    <cellStyle name="汇总 3 4 3 4" xfId="42268"/>
    <cellStyle name="汇总 3 4 3 5" xfId="49102"/>
    <cellStyle name="汇总 3 4 4" xfId="19814"/>
    <cellStyle name="汇总 3 4 4 2" xfId="30812"/>
    <cellStyle name="汇总 3 4 4 3" xfId="27725"/>
    <cellStyle name="汇总 3 4 4 4" xfId="38701"/>
    <cellStyle name="汇总 3 4 5" xfId="30663"/>
    <cellStyle name="汇总 3 4 5 2" xfId="16884"/>
    <cellStyle name="汇总 3 4 5 3" xfId="15655"/>
    <cellStyle name="汇总 3 4 6" xfId="29638"/>
    <cellStyle name="汇总 3 4 7" xfId="16254"/>
    <cellStyle name="汇总 3 4 8" xfId="34485"/>
    <cellStyle name="汇总 3 5" xfId="5797"/>
    <cellStyle name="汇总 3 5 2" xfId="10531"/>
    <cellStyle name="汇总 3 5 2 2" xfId="23759"/>
    <cellStyle name="汇总 3 5 2 3" xfId="33311"/>
    <cellStyle name="汇总 3 5 2 4" xfId="15576"/>
    <cellStyle name="汇总 3 5 3" xfId="7982"/>
    <cellStyle name="汇总 3 5 3 2" xfId="21210"/>
    <cellStyle name="汇总 3 5 3 3" xfId="35792"/>
    <cellStyle name="汇总 3 5 3 4" xfId="41676"/>
    <cellStyle name="汇总 3 5 3 5" xfId="48510"/>
    <cellStyle name="汇总 3 5 4" xfId="19036"/>
    <cellStyle name="汇总 3 5 4 2" xfId="29867"/>
    <cellStyle name="汇总 3 5 4 3" xfId="16411"/>
    <cellStyle name="汇总 3 5 4 4" xfId="44441"/>
    <cellStyle name="汇总 3 5 5" xfId="36856"/>
    <cellStyle name="汇总 3 5 5 2" xfId="42768"/>
    <cellStyle name="汇总 3 5 5 3" xfId="49602"/>
    <cellStyle name="汇总 3 5 6" xfId="29008"/>
    <cellStyle name="汇总 3 5 7" xfId="27821"/>
    <cellStyle name="汇总 3 5 8" xfId="28163"/>
    <cellStyle name="汇总 3 6" xfId="9801"/>
    <cellStyle name="汇总 3 6 10" xfId="44470"/>
    <cellStyle name="汇总 3 6 2" xfId="13438"/>
    <cellStyle name="汇总 3 6 2 2" xfId="26666"/>
    <cellStyle name="汇总 3 6 2 3" xfId="32918"/>
    <cellStyle name="汇总 3 6 2 4" xfId="39138"/>
    <cellStyle name="汇总 3 6 2 5" xfId="47532"/>
    <cellStyle name="汇总 3 6 3" xfId="14002"/>
    <cellStyle name="汇总 3 6 3 2" xfId="27230"/>
    <cellStyle name="汇总 3 6 3 3" xfId="35414"/>
    <cellStyle name="汇总 3 6 3 4" xfId="48117"/>
    <cellStyle name="汇总 3 6 4" xfId="13512"/>
    <cellStyle name="汇总 3 6 4 2" xfId="26740"/>
    <cellStyle name="汇总 3 6 4 3" xfId="31160"/>
    <cellStyle name="汇总 3 6 4 4" xfId="17760"/>
    <cellStyle name="汇总 3 6 4 5" xfId="47462"/>
    <cellStyle name="汇总 3 6 5" xfId="8764"/>
    <cellStyle name="汇总 3 6 5 2" xfId="21992"/>
    <cellStyle name="汇总 3 6 5 3" xfId="40983"/>
    <cellStyle name="汇总 3 6 5 4" xfId="47679"/>
    <cellStyle name="汇总 3 6 6" xfId="23029"/>
    <cellStyle name="汇总 3 6 6 2" xfId="37350"/>
    <cellStyle name="汇总 3 6 6 3" xfId="43270"/>
    <cellStyle name="汇总 3 6 6 4" xfId="50104"/>
    <cellStyle name="汇总 3 6 7" xfId="37476"/>
    <cellStyle name="汇总 3 6 7 2" xfId="43396"/>
    <cellStyle name="汇总 3 6 7 3" xfId="50230"/>
    <cellStyle name="汇总 3 6 8" xfId="28607"/>
    <cellStyle name="汇总 3 6 9" xfId="17443"/>
    <cellStyle name="汇总 3 7" xfId="8632"/>
    <cellStyle name="汇总 3 7 2" xfId="21860"/>
    <cellStyle name="汇总 3 8" xfId="45346"/>
    <cellStyle name="汇总 4" xfId="4368"/>
    <cellStyle name="汇总 4 2" xfId="4369"/>
    <cellStyle name="汇总 4 2 2" xfId="6591"/>
    <cellStyle name="汇总 4 2 2 2" xfId="11325"/>
    <cellStyle name="汇总 4 2 2 2 2" xfId="24553"/>
    <cellStyle name="汇总 4 2 2 2 3" xfId="33955"/>
    <cellStyle name="汇总 4 2 2 2 4" xfId="39943"/>
    <cellStyle name="汇总 4 2 2 3" xfId="6825"/>
    <cellStyle name="汇总 4 2 2 3 2" xfId="20053"/>
    <cellStyle name="汇总 4 2 2 3 3" xfId="36380"/>
    <cellStyle name="汇总 4 2 2 3 4" xfId="42273"/>
    <cellStyle name="汇总 4 2 2 3 5" xfId="49107"/>
    <cellStyle name="汇总 4 2 2 4" xfId="19819"/>
    <cellStyle name="汇总 4 2 2 4 2" xfId="30507"/>
    <cellStyle name="汇总 4 2 2 4 3" xfId="27776"/>
    <cellStyle name="汇总 4 2 2 4 4" xfId="46343"/>
    <cellStyle name="汇总 4 2 2 5" xfId="37673"/>
    <cellStyle name="汇总 4 2 2 5 2" xfId="43596"/>
    <cellStyle name="汇总 4 2 2 5 3" xfId="50430"/>
    <cellStyle name="汇总 4 2 2 6" xfId="29643"/>
    <cellStyle name="汇总 4 2 2 7" xfId="16257"/>
    <cellStyle name="汇总 4 2 2 8" xfId="44450"/>
    <cellStyle name="汇总 4 2 3" xfId="5802"/>
    <cellStyle name="汇总 4 2 3 2" xfId="10536"/>
    <cellStyle name="汇总 4 2 3 2 2" xfId="23764"/>
    <cellStyle name="汇总 4 2 3 2 3" xfId="33316"/>
    <cellStyle name="汇总 4 2 3 2 4" xfId="46685"/>
    <cellStyle name="汇总 4 2 3 3" xfId="7987"/>
    <cellStyle name="汇总 4 2 3 3 2" xfId="21215"/>
    <cellStyle name="汇总 4 2 3 3 3" xfId="35797"/>
    <cellStyle name="汇总 4 2 3 3 4" xfId="41681"/>
    <cellStyle name="汇总 4 2 3 3 5" xfId="48515"/>
    <cellStyle name="汇总 4 2 3 4" xfId="19041"/>
    <cellStyle name="汇总 4 2 3 4 2" xfId="34996"/>
    <cellStyle name="汇总 4 2 3 4 3" xfId="41000"/>
    <cellStyle name="汇总 4 2 3 4 4" xfId="47696"/>
    <cellStyle name="汇总 4 2 3 5" xfId="37542"/>
    <cellStyle name="汇总 4 2 3 5 2" xfId="43463"/>
    <cellStyle name="汇总 4 2 3 5 3" xfId="50297"/>
    <cellStyle name="汇总 4 2 3 6" xfId="29013"/>
    <cellStyle name="汇总 4 2 3 7" xfId="36649"/>
    <cellStyle name="汇总 4 2 3 8" xfId="34486"/>
    <cellStyle name="汇总 4 2 4" xfId="9806"/>
    <cellStyle name="汇总 4 2 4 10" xfId="44359"/>
    <cellStyle name="汇总 4 2 4 2" xfId="13443"/>
    <cellStyle name="汇总 4 2 4 2 2" xfId="26671"/>
    <cellStyle name="汇总 4 2 4 2 3" xfId="32923"/>
    <cellStyle name="汇总 4 2 4 2 4" xfId="39143"/>
    <cellStyle name="汇总 4 2 4 2 5" xfId="45644"/>
    <cellStyle name="汇总 4 2 4 3" xfId="14001"/>
    <cellStyle name="汇总 4 2 4 3 2" xfId="27229"/>
    <cellStyle name="汇总 4 2 4 3 3" xfId="35419"/>
    <cellStyle name="汇总 4 2 4 3 4" xfId="48122"/>
    <cellStyle name="汇总 4 2 4 4" xfId="8525"/>
    <cellStyle name="汇总 4 2 4 4 2" xfId="21753"/>
    <cellStyle name="汇总 4 2 4 4 3" xfId="31165"/>
    <cellStyle name="汇总 4 2 4 4 4" xfId="14719"/>
    <cellStyle name="汇总 4 2 4 4 5" xfId="45679"/>
    <cellStyle name="汇总 4 2 4 5" xfId="7275"/>
    <cellStyle name="汇总 4 2 4 5 2" xfId="20503"/>
    <cellStyle name="汇总 4 2 4 5 3" xfId="18138"/>
    <cellStyle name="汇总 4 2 4 5 4" xfId="45372"/>
    <cellStyle name="汇总 4 2 4 6" xfId="23034"/>
    <cellStyle name="汇总 4 2 4 6 2" xfId="31930"/>
    <cellStyle name="汇总 4 2 4 6 3" xfId="38152"/>
    <cellStyle name="汇总 4 2 4 6 4" xfId="15668"/>
    <cellStyle name="汇总 4 2 4 7" xfId="37209"/>
    <cellStyle name="汇总 4 2 4 7 2" xfId="43128"/>
    <cellStyle name="汇总 4 2 4 7 3" xfId="49962"/>
    <cellStyle name="汇总 4 2 4 8" xfId="28612"/>
    <cellStyle name="汇总 4 2 4 9" xfId="28144"/>
    <cellStyle name="汇总 4 2 5" xfId="8637"/>
    <cellStyle name="汇总 4 2 5 2" xfId="21865"/>
    <cellStyle name="汇总 4 2 6" xfId="28665"/>
    <cellStyle name="汇总 4 3" xfId="6590"/>
    <cellStyle name="汇总 4 3 2" xfId="11324"/>
    <cellStyle name="汇总 4 3 2 2" xfId="24552"/>
    <cellStyle name="汇总 4 3 2 3" xfId="33954"/>
    <cellStyle name="汇总 4 3 2 4" xfId="29980"/>
    <cellStyle name="汇总 4 3 3" xfId="8269"/>
    <cellStyle name="汇总 4 3 3 2" xfId="21497"/>
    <cellStyle name="汇总 4 3 3 3" xfId="36379"/>
    <cellStyle name="汇总 4 3 3 4" xfId="42272"/>
    <cellStyle name="汇总 4 3 3 5" xfId="49106"/>
    <cellStyle name="汇总 4 3 4" xfId="19818"/>
    <cellStyle name="汇总 4 3 4 2" xfId="32115"/>
    <cellStyle name="汇总 4 3 4 3" xfId="38338"/>
    <cellStyle name="汇总 4 3 4 4" xfId="39225"/>
    <cellStyle name="汇总 4 3 5" xfId="37274"/>
    <cellStyle name="汇总 4 3 5 2" xfId="43194"/>
    <cellStyle name="汇总 4 3 5 3" xfId="50028"/>
    <cellStyle name="汇总 4 3 6" xfId="29642"/>
    <cellStyle name="汇总 4 3 7" xfId="16258"/>
    <cellStyle name="汇总 4 3 8" xfId="38495"/>
    <cellStyle name="汇总 4 4" xfId="5801"/>
    <cellStyle name="汇总 4 4 2" xfId="10535"/>
    <cellStyle name="汇总 4 4 2 2" xfId="23763"/>
    <cellStyle name="汇总 4 4 2 3" xfId="33315"/>
    <cellStyle name="汇总 4 4 2 4" xfId="27949"/>
    <cellStyle name="汇总 4 4 3" xfId="7986"/>
    <cellStyle name="汇总 4 4 3 2" xfId="21214"/>
    <cellStyle name="汇总 4 4 3 3" xfId="35796"/>
    <cellStyle name="汇总 4 4 3 4" xfId="41680"/>
    <cellStyle name="汇总 4 4 3 5" xfId="48514"/>
    <cellStyle name="汇总 4 4 4" xfId="19040"/>
    <cellStyle name="汇总 4 4 4 2" xfId="37326"/>
    <cellStyle name="汇总 4 4 4 3" xfId="43246"/>
    <cellStyle name="汇总 4 4 4 4" xfId="50080"/>
    <cellStyle name="汇总 4 4 5" xfId="37736"/>
    <cellStyle name="汇总 4 4 5 2" xfId="43660"/>
    <cellStyle name="汇总 4 4 5 3" xfId="50494"/>
    <cellStyle name="汇总 4 4 6" xfId="29012"/>
    <cellStyle name="汇总 4 4 7" xfId="37688"/>
    <cellStyle name="汇总 4 4 8" xfId="44015"/>
    <cellStyle name="汇总 4 5" xfId="9805"/>
    <cellStyle name="汇总 4 5 10" xfId="45365"/>
    <cellStyle name="汇总 4 5 2" xfId="13442"/>
    <cellStyle name="汇总 4 5 2 2" xfId="26670"/>
    <cellStyle name="汇总 4 5 2 3" xfId="32922"/>
    <cellStyle name="汇总 4 5 2 4" xfId="39142"/>
    <cellStyle name="汇总 4 5 2 5" xfId="44250"/>
    <cellStyle name="汇总 4 5 3" xfId="14008"/>
    <cellStyle name="汇总 4 5 3 2" xfId="27236"/>
    <cellStyle name="汇总 4 5 3 3" xfId="35418"/>
    <cellStyle name="汇总 4 5 3 4" xfId="48121"/>
    <cellStyle name="汇总 4 5 4" xfId="14129"/>
    <cellStyle name="汇总 4 5 4 2" xfId="27357"/>
    <cellStyle name="汇总 4 5 4 3" xfId="31164"/>
    <cellStyle name="汇总 4 5 4 4" xfId="17087"/>
    <cellStyle name="汇总 4 5 4 5" xfId="44204"/>
    <cellStyle name="汇总 4 5 5" xfId="7219"/>
    <cellStyle name="汇总 4 5 5 2" xfId="20447"/>
    <cellStyle name="汇总 4 5 5 3" xfId="42418"/>
    <cellStyle name="汇总 4 5 5 4" xfId="49252"/>
    <cellStyle name="汇总 4 5 6" xfId="23033"/>
    <cellStyle name="汇总 4 5 6 2" xfId="37065"/>
    <cellStyle name="汇总 4 5 6 3" xfId="42984"/>
    <cellStyle name="汇总 4 5 6 4" xfId="49818"/>
    <cellStyle name="汇总 4 5 7" xfId="34750"/>
    <cellStyle name="汇总 4 5 7 2" xfId="40742"/>
    <cellStyle name="汇总 4 5 7 3" xfId="32475"/>
    <cellStyle name="汇总 4 5 8" xfId="28611"/>
    <cellStyle name="汇总 4 5 9" xfId="38666"/>
    <cellStyle name="汇总 4 6" xfId="8636"/>
    <cellStyle name="汇总 4 6 2" xfId="21864"/>
    <cellStyle name="汇总 4 7" xfId="45548"/>
    <cellStyle name="汇总 5" xfId="6581"/>
    <cellStyle name="汇总 5 2" xfId="11315"/>
    <cellStyle name="汇总 5 2 2" xfId="24543"/>
    <cellStyle name="汇总 5 2 3" xfId="33945"/>
    <cellStyle name="汇总 5 2 4" xfId="41251"/>
    <cellStyle name="汇总 5 3" xfId="8264"/>
    <cellStyle name="汇总 5 3 2" xfId="21492"/>
    <cellStyle name="汇总 5 3 3" xfId="36370"/>
    <cellStyle name="汇总 5 3 4" xfId="42263"/>
    <cellStyle name="汇总 5 3 5" xfId="49097"/>
    <cellStyle name="汇总 5 4" xfId="19809"/>
    <cellStyle name="汇总 5 4 2" xfId="32010"/>
    <cellStyle name="汇总 5 4 3" xfId="38233"/>
    <cellStyle name="汇总 5 4 4" xfId="47237"/>
    <cellStyle name="汇总 5 5" xfId="37778"/>
    <cellStyle name="汇总 5 5 2" xfId="43702"/>
    <cellStyle name="汇总 5 5 3" xfId="50536"/>
    <cellStyle name="汇总 5 6" xfId="29633"/>
    <cellStyle name="汇总 5 7" xfId="16249"/>
    <cellStyle name="汇总 5 8" xfId="44272"/>
    <cellStyle name="汇总 6" xfId="5792"/>
    <cellStyle name="汇总 6 2" xfId="10526"/>
    <cellStyle name="汇总 6 2 2" xfId="23754"/>
    <cellStyle name="汇总 6 2 3" xfId="33306"/>
    <cellStyle name="汇总 6 2 4" xfId="47479"/>
    <cellStyle name="汇总 6 3" xfId="7979"/>
    <cellStyle name="汇总 6 3 2" xfId="21207"/>
    <cellStyle name="汇总 6 3 3" xfId="35787"/>
    <cellStyle name="汇总 6 3 4" xfId="41671"/>
    <cellStyle name="汇总 6 3 5" xfId="48505"/>
    <cellStyle name="汇总 6 4" xfId="19031"/>
    <cellStyle name="汇总 6 4 2" xfId="31194"/>
    <cellStyle name="汇总 6 4 3" xfId="17105"/>
    <cellStyle name="汇总 6 4 4" xfId="47370"/>
    <cellStyle name="汇总 6 5" xfId="30204"/>
    <cellStyle name="汇总 6 5 2" xfId="14639"/>
    <cellStyle name="汇总 6 5 3" xfId="28649"/>
    <cellStyle name="汇总 6 6" xfId="29003"/>
    <cellStyle name="汇总 6 7" xfId="37301"/>
    <cellStyle name="汇总 6 8" xfId="15918"/>
    <cellStyle name="汇总 7" xfId="9796"/>
    <cellStyle name="汇总 7 10" xfId="40301"/>
    <cellStyle name="汇总 7 2" xfId="13433"/>
    <cellStyle name="汇总 7 2 2" xfId="26661"/>
    <cellStyle name="汇总 7 2 3" xfId="32913"/>
    <cellStyle name="汇总 7 2 4" xfId="39133"/>
    <cellStyle name="汇总 7 2 5" xfId="44256"/>
    <cellStyle name="汇总 7 3" xfId="14003"/>
    <cellStyle name="汇总 7 3 2" xfId="27231"/>
    <cellStyle name="汇总 7 3 3" xfId="35409"/>
    <cellStyle name="汇总 7 3 4" xfId="48112"/>
    <cellStyle name="汇总 7 4" xfId="13752"/>
    <cellStyle name="汇总 7 4 2" xfId="26980"/>
    <cellStyle name="汇总 7 4 3" xfId="31155"/>
    <cellStyle name="汇总 7 4 4" xfId="17081"/>
    <cellStyle name="汇总 7 4 5" xfId="38751"/>
    <cellStyle name="汇总 7 5" xfId="7270"/>
    <cellStyle name="汇总 7 5 2" xfId="20498"/>
    <cellStyle name="汇总 7 5 3" xfId="41412"/>
    <cellStyle name="汇总 7 5 4" xfId="48246"/>
    <cellStyle name="汇总 7 6" xfId="23024"/>
    <cellStyle name="汇总 7 6 2" xfId="30080"/>
    <cellStyle name="汇总 7 6 3" xfId="18137"/>
    <cellStyle name="汇总 7 6 4" xfId="33189"/>
    <cellStyle name="汇总 7 7" xfId="37300"/>
    <cellStyle name="汇总 7 7 2" xfId="43220"/>
    <cellStyle name="汇总 7 7 3" xfId="50054"/>
    <cellStyle name="汇总 7 8" xfId="28602"/>
    <cellStyle name="汇总 7 9" xfId="15752"/>
    <cellStyle name="汇总 8" xfId="8627"/>
    <cellStyle name="汇总 8 2" xfId="21855"/>
    <cellStyle name="汇总 9" xfId="39256"/>
  </cellStyles>
  <dxfs count="88">
    <dxf>
      <fill>
        <patternFill>
          <bgColor rgb="FFFFCCCC"/>
        </patternFill>
      </fill>
    </dxf>
    <dxf>
      <fill>
        <patternFill>
          <bgColor rgb="FFCCECFF"/>
        </patternFill>
      </fill>
    </dxf>
    <dxf>
      <fill>
        <patternFill>
          <bgColor rgb="FFFFFFCC"/>
        </patternFill>
      </fill>
    </dxf>
    <dxf>
      <fill>
        <patternFill>
          <bgColor rgb="FF99FFCC"/>
        </patternFill>
      </fill>
    </dxf>
    <dxf>
      <fill>
        <patternFill>
          <bgColor rgb="FFCCFF33"/>
        </patternFill>
      </fill>
    </dxf>
    <dxf>
      <fill>
        <patternFill>
          <bgColor theme="9" tint="0.79998168889431442"/>
        </patternFill>
      </fill>
    </dxf>
    <dxf>
      <fill>
        <patternFill>
          <bgColor rgb="FFCC99FF"/>
        </patternFill>
      </fill>
    </dxf>
    <dxf>
      <fill>
        <patternFill>
          <bgColor rgb="FFFAB882"/>
        </patternFill>
      </fill>
    </dxf>
    <dxf>
      <fill>
        <patternFill>
          <bgColor rgb="FFFFCCCC"/>
        </patternFill>
      </fill>
    </dxf>
    <dxf>
      <fill>
        <patternFill>
          <bgColor rgb="FFCCECFF"/>
        </patternFill>
      </fill>
    </dxf>
    <dxf>
      <fill>
        <patternFill>
          <bgColor rgb="FFFFFFCC"/>
        </patternFill>
      </fill>
    </dxf>
    <dxf>
      <fill>
        <patternFill>
          <bgColor rgb="FF99FFCC"/>
        </patternFill>
      </fill>
    </dxf>
    <dxf>
      <fill>
        <patternFill>
          <bgColor rgb="FFCCFF33"/>
        </patternFill>
      </fill>
    </dxf>
    <dxf>
      <fill>
        <patternFill>
          <bgColor theme="9" tint="0.79998168889431442"/>
        </patternFill>
      </fill>
    </dxf>
    <dxf>
      <fill>
        <patternFill>
          <bgColor rgb="FFCC99FF"/>
        </patternFill>
      </fill>
    </dxf>
    <dxf>
      <fill>
        <patternFill>
          <bgColor rgb="FFFAB882"/>
        </patternFill>
      </fill>
    </dxf>
    <dxf>
      <fill>
        <patternFill>
          <bgColor rgb="FFFFCCCC"/>
        </patternFill>
      </fill>
    </dxf>
    <dxf>
      <fill>
        <patternFill>
          <bgColor rgb="FFCCECFF"/>
        </patternFill>
      </fill>
    </dxf>
    <dxf>
      <fill>
        <patternFill>
          <bgColor rgb="FFFFFFCC"/>
        </patternFill>
      </fill>
    </dxf>
    <dxf>
      <fill>
        <patternFill>
          <bgColor rgb="FF99FFCC"/>
        </patternFill>
      </fill>
    </dxf>
    <dxf>
      <fill>
        <patternFill>
          <bgColor rgb="FFCCFF33"/>
        </patternFill>
      </fill>
    </dxf>
    <dxf>
      <fill>
        <patternFill>
          <bgColor theme="9" tint="0.79998168889431442"/>
        </patternFill>
      </fill>
    </dxf>
    <dxf>
      <fill>
        <patternFill>
          <bgColor rgb="FFCC99FF"/>
        </patternFill>
      </fill>
    </dxf>
    <dxf>
      <fill>
        <patternFill>
          <bgColor rgb="FFFAB882"/>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
      <font>
        <b/>
        <i val="0"/>
        <color theme="0"/>
      </font>
      <fill>
        <patternFill>
          <bgColor rgb="FFFF9900"/>
        </patternFill>
      </fill>
    </dxf>
    <dxf>
      <font>
        <b/>
        <i val="0"/>
        <color theme="0"/>
      </font>
      <fill>
        <patternFill>
          <bgColor rgb="FF0066FF"/>
        </patternFill>
      </fill>
    </dxf>
    <dxf>
      <font>
        <b/>
        <i val="0"/>
        <color theme="0"/>
      </font>
      <fill>
        <patternFill>
          <bgColor rgb="FFFF0000"/>
        </patternFill>
      </fill>
    </dxf>
    <dxf>
      <fill>
        <patternFill>
          <bgColor rgb="FFFF66CC"/>
        </patternFill>
      </fill>
    </dxf>
    <dxf>
      <fill>
        <patternFill>
          <bgColor rgb="FF9966FF"/>
        </patternFill>
      </fill>
    </dxf>
    <dxf>
      <fill>
        <patternFill>
          <bgColor rgb="FFCCFFCC"/>
        </patternFill>
      </fill>
    </dxf>
    <dxf>
      <fill>
        <patternFill>
          <bgColor rgb="FFCCFFCC"/>
        </patternFill>
      </fill>
    </dxf>
    <dxf>
      <fill>
        <patternFill>
          <bgColor rgb="FF00FF00"/>
        </patternFill>
      </fill>
    </dxf>
  </dxfs>
  <tableStyles count="0" defaultTableStyle="TableStyleMedium9" defaultPivotStyle="PivotStyleLight16"/>
  <colors>
    <mruColors>
      <color rgb="FF0000FF"/>
      <color rgb="FFFF33CC"/>
      <color rgb="FFCCCCFF"/>
      <color rgb="FFCED39D"/>
      <color rgb="FFFFFFCC"/>
      <color rgb="FFFF9933"/>
      <color rgb="FF66FFFF"/>
      <color rgb="FFE3E4D2"/>
      <color rgb="FFEB878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s>
</file>

<file path=xl/drawings/_rels/drawing1.xml.rels><?xml version="1.0" encoding="UTF-8" standalone="yes"?>
<Relationships xmlns="http://schemas.openxmlformats.org/package/2006/relationships"><Relationship Id="rId1" Type="http://schemas.openxmlformats.org/officeDocument/2006/relationships/hyperlink" Target="#MAIN!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xdr:twoCellAnchor>
    <xdr:from>
      <xdr:col>16</xdr:col>
      <xdr:colOff>0</xdr:colOff>
      <xdr:row>1</xdr:row>
      <xdr:rowOff>85726</xdr:rowOff>
    </xdr:from>
    <xdr:to>
      <xdr:col>16</xdr:col>
      <xdr:colOff>0</xdr:colOff>
      <xdr:row>2</xdr:row>
      <xdr:rowOff>133351</xdr:rowOff>
    </xdr:to>
    <xdr:sp macro="" textlink="">
      <xdr:nvSpPr>
        <xdr:cNvPr id="2" name="모서리가 둥근 직사각형 1">
          <a:hlinkClick xmlns:r="http://schemas.openxmlformats.org/officeDocument/2006/relationships" r:id="rId1"/>
          <a:extLst>
            <a:ext uri="{FF2B5EF4-FFF2-40B4-BE49-F238E27FC236}">
              <a16:creationId xmlns:a16="http://schemas.microsoft.com/office/drawing/2014/main" xmlns="" id="{00000000-0008-0000-0200-000002000000}"/>
            </a:ext>
          </a:extLst>
        </xdr:cNvPr>
        <xdr:cNvSpPr/>
      </xdr:nvSpPr>
      <xdr:spPr>
        <a:xfrm>
          <a:off x="12954000" y="238126"/>
          <a:ext cx="0" cy="285750"/>
        </a:xfrm>
        <a:prstGeom prst="roundRect">
          <a:avLst/>
        </a:prstGeom>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altLang="ko-KR" sz="1200" b="1">
              <a:solidFill>
                <a:schemeClr val="tx1"/>
              </a:solidFill>
            </a:rPr>
            <a:t>MAIN</a:t>
          </a:r>
          <a:endParaRPr lang="ko-KR" altLang="en-US" sz="12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85726</xdr:rowOff>
    </xdr:from>
    <xdr:to>
      <xdr:col>16</xdr:col>
      <xdr:colOff>0</xdr:colOff>
      <xdr:row>2</xdr:row>
      <xdr:rowOff>133351</xdr:rowOff>
    </xdr:to>
    <xdr:sp macro="" textlink="">
      <xdr:nvSpPr>
        <xdr:cNvPr id="2" name="모서리가 둥근 직사각형 1">
          <a:hlinkClick xmlns:r="http://schemas.openxmlformats.org/officeDocument/2006/relationships" r:id="rId1"/>
          <a:extLst>
            <a:ext uri="{FF2B5EF4-FFF2-40B4-BE49-F238E27FC236}">
              <a16:creationId xmlns:a16="http://schemas.microsoft.com/office/drawing/2014/main" xmlns="" id="{00000000-0008-0000-0200-000002000000}"/>
            </a:ext>
          </a:extLst>
        </xdr:cNvPr>
        <xdr:cNvSpPr/>
      </xdr:nvSpPr>
      <xdr:spPr>
        <a:xfrm>
          <a:off x="11334750" y="276226"/>
          <a:ext cx="581025" cy="266700"/>
        </a:xfrm>
        <a:prstGeom prst="roundRect">
          <a:avLst/>
        </a:prstGeom>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altLang="ko-KR" sz="1200" b="1">
              <a:solidFill>
                <a:schemeClr val="tx1"/>
              </a:solidFill>
            </a:rPr>
            <a:t>MAIN</a:t>
          </a:r>
          <a:endParaRPr lang="ko-KR" altLang="en-US"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134469</xdr:colOff>
      <xdr:row>0</xdr:row>
      <xdr:rowOff>73959</xdr:rowOff>
    </xdr:from>
    <xdr:to>
      <xdr:col>4</xdr:col>
      <xdr:colOff>0</xdr:colOff>
      <xdr:row>1</xdr:row>
      <xdr:rowOff>150159</xdr:rowOff>
    </xdr:to>
    <xdr:sp macro="" textlink="">
      <xdr:nvSpPr>
        <xdr:cNvPr id="3" name="모서리가 둥근 직사각형 2">
          <a:hlinkClick xmlns:r="http://schemas.openxmlformats.org/officeDocument/2006/relationships" r:id="rId1"/>
          <a:extLst>
            <a:ext uri="{FF2B5EF4-FFF2-40B4-BE49-F238E27FC236}">
              <a16:creationId xmlns:a16="http://schemas.microsoft.com/office/drawing/2014/main" xmlns="" id="{00000000-0008-0000-0400-000003000000}"/>
            </a:ext>
          </a:extLst>
        </xdr:cNvPr>
        <xdr:cNvSpPr/>
      </xdr:nvSpPr>
      <xdr:spPr>
        <a:xfrm>
          <a:off x="11268634" y="73959"/>
          <a:ext cx="683559" cy="291353"/>
        </a:xfrm>
        <a:prstGeom prst="roundRect">
          <a:avLst/>
        </a:prstGeom>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altLang="ko-KR" sz="1200" b="1">
              <a:solidFill>
                <a:schemeClr val="tx1"/>
              </a:solidFill>
            </a:rPr>
            <a:t>MAIN</a:t>
          </a:r>
          <a:endParaRPr lang="ko-KR" altLang="en-US" sz="1200" b="1">
            <a:solidFill>
              <a:schemeClr val="tx1"/>
            </a:solidFill>
          </a:endParaRPr>
        </a:p>
      </xdr:txBody>
    </xdr:sp>
    <xdr:clientData/>
  </xdr:twoCellAnchor>
  <xdr:twoCellAnchor>
    <xdr:from>
      <xdr:col>4</xdr:col>
      <xdr:colOff>0</xdr:colOff>
      <xdr:row>1</xdr:row>
      <xdr:rowOff>56029</xdr:rowOff>
    </xdr:from>
    <xdr:to>
      <xdr:col>4</xdr:col>
      <xdr:colOff>0</xdr:colOff>
      <xdr:row>1</xdr:row>
      <xdr:rowOff>347382</xdr:rowOff>
    </xdr:to>
    <xdr:sp macro="" textlink="">
      <xdr:nvSpPr>
        <xdr:cNvPr id="4" name="모서리가 둥근 직사각형 3">
          <a:hlinkClick xmlns:r="http://schemas.openxmlformats.org/officeDocument/2006/relationships" r:id="rId1"/>
          <a:extLst>
            <a:ext uri="{FF2B5EF4-FFF2-40B4-BE49-F238E27FC236}">
              <a16:creationId xmlns:a16="http://schemas.microsoft.com/office/drawing/2014/main" xmlns="" id="{00000000-0008-0000-0400-000004000000}"/>
            </a:ext>
          </a:extLst>
        </xdr:cNvPr>
        <xdr:cNvSpPr/>
      </xdr:nvSpPr>
      <xdr:spPr>
        <a:xfrm>
          <a:off x="10378888" y="269389"/>
          <a:ext cx="683559" cy="291353"/>
        </a:xfrm>
        <a:prstGeom prst="roundRect">
          <a:avLst/>
        </a:prstGeom>
        <a:ln>
          <a:no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altLang="ko-KR" sz="1200" b="1">
              <a:solidFill>
                <a:schemeClr val="tx1"/>
              </a:solidFill>
            </a:rPr>
            <a:t>MAIN</a:t>
          </a:r>
          <a:endParaRPr lang="ko-KR" altLang="en-US" sz="1200" b="1">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User003\My%20Documents\&#44553;&#50668;\2009&#45380;%201&#50900;%20&#49373;&#51068;&#51088;%20&#47749;&#45800;_&#53084;&#49468;&#53552;&#48376;&#485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ocuments%20and%20Settings\User003\My%20Documents\&#51064;&#49324;\&#44592;&#53440;%20&#51088;&#47308;\&#52488;&#44284;&#44540;&#47924;\&#52488;&#44284;&#44540;&#47924;100930_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Documents%20and%20Settings\jaylee\&#48148;&#53461;%20&#54868;&#47732;\CarPoint\Incentive\&#52852;&#54252;&#51064;&#53944;%203&#50900;%20&#51064;&#49468;&#54000;&#48652;%20&#44208;&#44284;.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Documents%20and%20Settings\M8W_User\My%20Documents\&#44592;&#54925;&#54016;\2008&#45380;\2008&#45380;%20&#49324;&#50629;&#44228;&#54925;\&#49688;&#51221;&#49324;&#50629;&#44228;&#54925;\SSC&#49552;&#51061;\SSC(&#49552;&#5106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Documents%20and%20Settings\user\My%20Documents\&#49457;&#54617;&#44400;&#51032;%20&#47928;&#49436;\&#44592;&#51312;&#49892;%20&#48372;&#44256;\&#44288;&#47532;&#49552;&#51061;%20&#51088;&#47308;\200707%20&#44288;&#47532;&#49552;&#51061;&#48372;&#44256;(200708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E:\DOCUME~1\user\LOCALS~1\Temp\&#50629;&#47924;&#50672;&#46973;(&#51312;&#51649;&#50868;&#50689;&#48708;2008&#45380;-05&#5090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3.%20&#50629;&#47924;&#48324;\KT\CIC%20Korea\&#44204;&#51201;&#49436;\&#44204;&#51201;_(&#52572;&#51333;)_100317\&#50896;&#44032;%20&#44204;&#51201;\KSC\95KSC\&#44228;&#50557;&#45236;&#5066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K:\&#45208;&#45588;&#47560;&#53011;\&#54889;&#51452;&#50672;\&#48372;&#44256;&#49436;\&#51068;&#51068;&#48372;&#44256;\11&#50900;\&#45208;&#45588;&#47560;&#53011;&#51068;&#48372;&#44256;_201411_ver01_&#48372;&#44256;&#50857;.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SK&#47116;&#53552;&#52852;/Downloads/&#50885;&#51652;_&#53084;&#49468;&#53552;%20&#51068;&#48372;&#44256;%2020.05.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동대문"/>
      <sheetName val="여의도"/>
      <sheetName val="공주"/>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원본데이터"/>
      <sheetName val="피벗"/>
      <sheetName val="9월 초과근무 최종"/>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월 인센티브 내역"/>
      <sheetName val="KPI"/>
      <sheetName val="Monthly Agent Report"/>
      <sheetName val="talk raito결과"/>
      <sheetName val="직무지식테스트"/>
      <sheetName val="3월 모니터링 결과"/>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사업본부"/>
      <sheetName val="자산관리팀"/>
      <sheetName val="IT서비스팀"/>
      <sheetName val="자산관리(매출계획)"/>
      <sheetName val="IT서비스(매출계획)"/>
    </sheetNames>
    <sheetDataSet>
      <sheetData sheetId="0"/>
      <sheetData sheetId="1" refreshError="1"/>
      <sheetData sheetId="2" refreshError="1"/>
      <sheetData sheetId="3" refreshError="1"/>
      <sheetData sheetId="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１.손익보고"/>
      <sheetName val="Ⅰ.부문별실적(확정)"/>
      <sheetName val="전사공통비"/>
      <sheetName val="고객지원본부비용"/>
      <sheetName val="지점지원비용"/>
      <sheetName val="권역지점비용"/>
      <sheetName val="콜센타비용"/>
      <sheetName val="ICC팀"/>
      <sheetName val="뷔셀지점비용"/>
      <sheetName val="전략구매"/>
      <sheetName val="자산관리"/>
      <sheetName val="홈케어본부"/>
      <sheetName val="DDL_기획팀"/>
      <sheetName val="DDL구매파트"/>
      <sheetName val="RnD팀"/>
      <sheetName val="전자파트"/>
      <sheetName val="기구파트"/>
      <sheetName val="도어락상담파트"/>
      <sheetName val="고객영업(공통)"/>
      <sheetName val="법인영업파트"/>
      <sheetName val="현장관리파트"/>
      <sheetName val="도어락B2C영업"/>
      <sheetName val="SKT영업파트"/>
      <sheetName val="총국(지국)"/>
      <sheetName val="마케팅본부"/>
      <sheetName val="영업기획팀"/>
      <sheetName val="마컴팀"/>
      <sheetName val="RnD(인스케어)파트"/>
      <sheetName val="상담원(인스케어)"/>
      <sheetName val="플랜트파트"/>
    </sheetNames>
    <sheetDataSet>
      <sheetData sheetId="0"/>
      <sheetData sheetId="1"/>
      <sheetData sheetId="2"/>
      <sheetData sheetId="3">
        <row r="2">
          <cell r="C2">
            <v>31727500</v>
          </cell>
          <cell r="D2">
            <v>53010100</v>
          </cell>
        </row>
        <row r="3">
          <cell r="C3">
            <v>343516</v>
          </cell>
          <cell r="D3">
            <v>53050100</v>
          </cell>
        </row>
        <row r="4">
          <cell r="C4">
            <v>526078</v>
          </cell>
          <cell r="D4">
            <v>53050100</v>
          </cell>
        </row>
        <row r="5">
          <cell r="C5">
            <v>1554014</v>
          </cell>
          <cell r="D5">
            <v>53050100</v>
          </cell>
        </row>
        <row r="6">
          <cell r="C6">
            <v>48000</v>
          </cell>
          <cell r="D6">
            <v>54010100</v>
          </cell>
        </row>
        <row r="7">
          <cell r="C7">
            <v>18500</v>
          </cell>
          <cell r="D7">
            <v>54010100</v>
          </cell>
        </row>
        <row r="8">
          <cell r="C8">
            <v>278000</v>
          </cell>
          <cell r="D8">
            <v>54010100</v>
          </cell>
        </row>
        <row r="9">
          <cell r="C9">
            <v>254000</v>
          </cell>
          <cell r="D9">
            <v>54010100</v>
          </cell>
        </row>
        <row r="10">
          <cell r="C10">
            <v>1152620</v>
          </cell>
          <cell r="D10">
            <v>54010100</v>
          </cell>
        </row>
        <row r="11">
          <cell r="C11">
            <v>412000</v>
          </cell>
          <cell r="D11">
            <v>54010100</v>
          </cell>
        </row>
        <row r="12">
          <cell r="C12">
            <v>230000</v>
          </cell>
          <cell r="D12">
            <v>54010100</v>
          </cell>
        </row>
        <row r="13">
          <cell r="C13">
            <v>99000</v>
          </cell>
          <cell r="D13">
            <v>54010100</v>
          </cell>
        </row>
        <row r="14">
          <cell r="C14">
            <v>299090</v>
          </cell>
          <cell r="D14">
            <v>54010100</v>
          </cell>
        </row>
        <row r="15">
          <cell r="C15">
            <v>121000</v>
          </cell>
          <cell r="D15">
            <v>54010100</v>
          </cell>
        </row>
        <row r="16">
          <cell r="C16">
            <v>21500</v>
          </cell>
          <cell r="D16">
            <v>54010100</v>
          </cell>
        </row>
        <row r="17">
          <cell r="C17">
            <v>31000</v>
          </cell>
          <cell r="D17">
            <v>54010100</v>
          </cell>
        </row>
        <row r="18">
          <cell r="C18">
            <v>7000</v>
          </cell>
          <cell r="D18">
            <v>54010100</v>
          </cell>
        </row>
        <row r="19">
          <cell r="C19">
            <v>10500</v>
          </cell>
          <cell r="D19">
            <v>54010100</v>
          </cell>
        </row>
        <row r="20">
          <cell r="C20">
            <v>22000</v>
          </cell>
          <cell r="D20">
            <v>54010100</v>
          </cell>
        </row>
        <row r="21">
          <cell r="C21">
            <v>15000</v>
          </cell>
          <cell r="D21">
            <v>54010100</v>
          </cell>
        </row>
        <row r="22">
          <cell r="C22">
            <v>29010</v>
          </cell>
          <cell r="D22">
            <v>54010100</v>
          </cell>
        </row>
        <row r="23">
          <cell r="C23">
            <v>10000</v>
          </cell>
          <cell r="D23">
            <v>54010100</v>
          </cell>
        </row>
        <row r="24">
          <cell r="C24">
            <v>12000</v>
          </cell>
          <cell r="D24">
            <v>54010100</v>
          </cell>
        </row>
        <row r="25">
          <cell r="C25">
            <v>15500</v>
          </cell>
          <cell r="D25">
            <v>54010100</v>
          </cell>
        </row>
        <row r="26">
          <cell r="C26">
            <v>44000</v>
          </cell>
          <cell r="D26">
            <v>54010100</v>
          </cell>
        </row>
        <row r="27">
          <cell r="C27">
            <v>11180</v>
          </cell>
          <cell r="D27">
            <v>54010100</v>
          </cell>
        </row>
        <row r="28">
          <cell r="C28">
            <v>186500</v>
          </cell>
          <cell r="D28">
            <v>54010100</v>
          </cell>
        </row>
        <row r="29">
          <cell r="C29">
            <v>15100</v>
          </cell>
          <cell r="D29">
            <v>54010100</v>
          </cell>
        </row>
        <row r="30">
          <cell r="C30">
            <v>13000</v>
          </cell>
          <cell r="D30">
            <v>54010100</v>
          </cell>
        </row>
        <row r="31">
          <cell r="C31">
            <v>20000</v>
          </cell>
          <cell r="D31">
            <v>54010100</v>
          </cell>
        </row>
        <row r="32">
          <cell r="C32">
            <v>50000</v>
          </cell>
          <cell r="D32">
            <v>54010100</v>
          </cell>
        </row>
        <row r="33">
          <cell r="C33">
            <v>9500</v>
          </cell>
          <cell r="D33">
            <v>54010100</v>
          </cell>
        </row>
        <row r="34">
          <cell r="C34">
            <v>30000</v>
          </cell>
          <cell r="D34">
            <v>54010100</v>
          </cell>
        </row>
        <row r="35">
          <cell r="C35">
            <v>2500</v>
          </cell>
          <cell r="D35">
            <v>54010100</v>
          </cell>
        </row>
        <row r="36">
          <cell r="C36">
            <v>8000</v>
          </cell>
          <cell r="D36">
            <v>54010100</v>
          </cell>
        </row>
        <row r="37">
          <cell r="C37">
            <v>15000</v>
          </cell>
          <cell r="D37">
            <v>54010100</v>
          </cell>
        </row>
        <row r="38">
          <cell r="C38">
            <v>15500</v>
          </cell>
          <cell r="D38">
            <v>54010100</v>
          </cell>
        </row>
        <row r="39">
          <cell r="C39">
            <v>32000</v>
          </cell>
          <cell r="D39">
            <v>54010100</v>
          </cell>
        </row>
        <row r="40">
          <cell r="C40">
            <v>11000</v>
          </cell>
          <cell r="D40">
            <v>54010100</v>
          </cell>
        </row>
        <row r="41">
          <cell r="C41">
            <v>28000</v>
          </cell>
          <cell r="D41">
            <v>54010100</v>
          </cell>
        </row>
        <row r="42">
          <cell r="C42">
            <v>35000</v>
          </cell>
          <cell r="D42">
            <v>54010100</v>
          </cell>
        </row>
        <row r="43">
          <cell r="C43">
            <v>35000</v>
          </cell>
          <cell r="D43">
            <v>54010100</v>
          </cell>
        </row>
        <row r="44">
          <cell r="C44">
            <v>230000</v>
          </cell>
          <cell r="D44">
            <v>54010100</v>
          </cell>
        </row>
        <row r="45">
          <cell r="C45">
            <v>15000</v>
          </cell>
          <cell r="D45">
            <v>54010100</v>
          </cell>
        </row>
        <row r="46">
          <cell r="C46">
            <v>6900</v>
          </cell>
          <cell r="D46">
            <v>54010100</v>
          </cell>
        </row>
        <row r="47">
          <cell r="C47">
            <v>30000</v>
          </cell>
          <cell r="D47">
            <v>54010100</v>
          </cell>
        </row>
        <row r="48">
          <cell r="C48">
            <v>6500</v>
          </cell>
          <cell r="D48">
            <v>54010100</v>
          </cell>
        </row>
        <row r="49">
          <cell r="C49">
            <v>15000</v>
          </cell>
          <cell r="D49">
            <v>54010100</v>
          </cell>
        </row>
        <row r="50">
          <cell r="C50">
            <v>123000</v>
          </cell>
          <cell r="D50">
            <v>54010130</v>
          </cell>
        </row>
        <row r="51">
          <cell r="C51">
            <v>324000</v>
          </cell>
          <cell r="D51">
            <v>54010170</v>
          </cell>
        </row>
        <row r="52">
          <cell r="C52">
            <v>842660</v>
          </cell>
          <cell r="D52">
            <v>54010180</v>
          </cell>
        </row>
        <row r="53">
          <cell r="C53">
            <v>12000</v>
          </cell>
          <cell r="D53">
            <v>54010900</v>
          </cell>
        </row>
        <row r="54">
          <cell r="C54">
            <v>11000</v>
          </cell>
          <cell r="D54">
            <v>54010900</v>
          </cell>
        </row>
        <row r="55">
          <cell r="C55">
            <v>90000</v>
          </cell>
          <cell r="D55">
            <v>54010900</v>
          </cell>
        </row>
        <row r="56">
          <cell r="C56">
            <v>73000</v>
          </cell>
          <cell r="D56">
            <v>54010900</v>
          </cell>
        </row>
        <row r="57">
          <cell r="C57">
            <v>6000</v>
          </cell>
          <cell r="D57">
            <v>54010900</v>
          </cell>
        </row>
        <row r="58">
          <cell r="C58">
            <v>74000</v>
          </cell>
          <cell r="D58">
            <v>54010900</v>
          </cell>
        </row>
        <row r="59">
          <cell r="C59">
            <v>50000</v>
          </cell>
          <cell r="D59">
            <v>54010900</v>
          </cell>
        </row>
        <row r="60">
          <cell r="C60">
            <v>3700</v>
          </cell>
          <cell r="D60">
            <v>54010900</v>
          </cell>
        </row>
        <row r="61">
          <cell r="C61">
            <v>56000</v>
          </cell>
          <cell r="D61">
            <v>54010900</v>
          </cell>
        </row>
        <row r="62">
          <cell r="C62">
            <v>5000</v>
          </cell>
          <cell r="D62">
            <v>54010900</v>
          </cell>
        </row>
        <row r="63">
          <cell r="C63">
            <v>1000000</v>
          </cell>
          <cell r="D63">
            <v>54010900</v>
          </cell>
        </row>
        <row r="64">
          <cell r="C64">
            <v>178000</v>
          </cell>
          <cell r="D64">
            <v>54010900</v>
          </cell>
        </row>
        <row r="65">
          <cell r="C65">
            <v>951620</v>
          </cell>
          <cell r="D65">
            <v>54010900</v>
          </cell>
        </row>
        <row r="66">
          <cell r="C66">
            <v>320000</v>
          </cell>
          <cell r="D66">
            <v>54010900</v>
          </cell>
        </row>
        <row r="67">
          <cell r="C67">
            <v>26000</v>
          </cell>
          <cell r="D67">
            <v>54010900</v>
          </cell>
        </row>
        <row r="68">
          <cell r="C68">
            <v>112000</v>
          </cell>
          <cell r="D68">
            <v>54010900</v>
          </cell>
        </row>
        <row r="69">
          <cell r="C69">
            <v>60000</v>
          </cell>
          <cell r="D69">
            <v>54010900</v>
          </cell>
        </row>
        <row r="70">
          <cell r="C70">
            <v>7000</v>
          </cell>
          <cell r="D70">
            <v>54010900</v>
          </cell>
        </row>
        <row r="71">
          <cell r="C71">
            <v>32000</v>
          </cell>
          <cell r="D71">
            <v>54010900</v>
          </cell>
        </row>
        <row r="72">
          <cell r="C72">
            <v>110000</v>
          </cell>
          <cell r="D72">
            <v>54010900</v>
          </cell>
        </row>
        <row r="73">
          <cell r="C73">
            <v>54000</v>
          </cell>
          <cell r="D73">
            <v>54010900</v>
          </cell>
        </row>
        <row r="74">
          <cell r="C74">
            <v>7000</v>
          </cell>
          <cell r="D74">
            <v>54010900</v>
          </cell>
        </row>
        <row r="75">
          <cell r="C75">
            <v>15500</v>
          </cell>
          <cell r="D75">
            <v>54010900</v>
          </cell>
        </row>
        <row r="76">
          <cell r="C76">
            <v>29000</v>
          </cell>
          <cell r="D76">
            <v>54010900</v>
          </cell>
        </row>
        <row r="77">
          <cell r="C77">
            <v>-124000</v>
          </cell>
          <cell r="D77">
            <v>54030120</v>
          </cell>
        </row>
        <row r="78">
          <cell r="C78">
            <v>100000</v>
          </cell>
          <cell r="D78">
            <v>54030120</v>
          </cell>
        </row>
        <row r="79">
          <cell r="C79">
            <v>200000</v>
          </cell>
          <cell r="D79">
            <v>54030120</v>
          </cell>
        </row>
        <row r="80">
          <cell r="C80">
            <v>105000</v>
          </cell>
          <cell r="D80">
            <v>54030120</v>
          </cell>
        </row>
        <row r="81">
          <cell r="C81">
            <v>108000</v>
          </cell>
          <cell r="D81">
            <v>54030120</v>
          </cell>
        </row>
        <row r="82">
          <cell r="C82">
            <v>105000</v>
          </cell>
          <cell r="D82">
            <v>54030120</v>
          </cell>
        </row>
        <row r="83">
          <cell r="C83">
            <v>2640</v>
          </cell>
          <cell r="D83">
            <v>54030120</v>
          </cell>
        </row>
        <row r="84">
          <cell r="C84">
            <v>120000</v>
          </cell>
          <cell r="D84">
            <v>54030120</v>
          </cell>
        </row>
        <row r="85">
          <cell r="C85">
            <v>93000</v>
          </cell>
          <cell r="D85">
            <v>54030120</v>
          </cell>
        </row>
        <row r="86">
          <cell r="C86">
            <v>4700</v>
          </cell>
          <cell r="D86">
            <v>54030120</v>
          </cell>
        </row>
        <row r="87">
          <cell r="C87">
            <v>5000</v>
          </cell>
          <cell r="D87">
            <v>54030120</v>
          </cell>
        </row>
        <row r="88">
          <cell r="C88">
            <v>10000</v>
          </cell>
          <cell r="D88">
            <v>54030120</v>
          </cell>
        </row>
        <row r="89">
          <cell r="C89">
            <v>10000</v>
          </cell>
          <cell r="D89">
            <v>54030120</v>
          </cell>
        </row>
        <row r="90">
          <cell r="C90">
            <v>104000</v>
          </cell>
          <cell r="D90">
            <v>54030120</v>
          </cell>
        </row>
        <row r="91">
          <cell r="C91">
            <v>89000</v>
          </cell>
          <cell r="D91">
            <v>54030120</v>
          </cell>
        </row>
        <row r="92">
          <cell r="C92">
            <v>104000</v>
          </cell>
          <cell r="D92">
            <v>54030120</v>
          </cell>
        </row>
        <row r="93">
          <cell r="C93">
            <v>110000</v>
          </cell>
          <cell r="D93">
            <v>54030120</v>
          </cell>
        </row>
        <row r="94">
          <cell r="C94">
            <v>118000</v>
          </cell>
          <cell r="D94">
            <v>54030120</v>
          </cell>
        </row>
        <row r="95">
          <cell r="C95">
            <v>96000</v>
          </cell>
          <cell r="D95">
            <v>54030120</v>
          </cell>
        </row>
        <row r="96">
          <cell r="C96">
            <v>115000</v>
          </cell>
          <cell r="D96">
            <v>54030120</v>
          </cell>
        </row>
        <row r="97">
          <cell r="C97">
            <v>100000</v>
          </cell>
          <cell r="D97">
            <v>54030120</v>
          </cell>
        </row>
        <row r="98">
          <cell r="C98">
            <v>95000</v>
          </cell>
          <cell r="D98">
            <v>54030120</v>
          </cell>
        </row>
        <row r="99">
          <cell r="C99">
            <v>110000</v>
          </cell>
          <cell r="D99">
            <v>54030120</v>
          </cell>
        </row>
        <row r="100">
          <cell r="C100">
            <v>110000</v>
          </cell>
          <cell r="D100">
            <v>54030120</v>
          </cell>
        </row>
        <row r="101">
          <cell r="C101">
            <v>113000</v>
          </cell>
          <cell r="D101">
            <v>54030120</v>
          </cell>
        </row>
        <row r="102">
          <cell r="C102">
            <v>111000</v>
          </cell>
          <cell r="D102">
            <v>54030120</v>
          </cell>
        </row>
        <row r="103">
          <cell r="C103">
            <v>196000</v>
          </cell>
          <cell r="D103">
            <v>54030120</v>
          </cell>
        </row>
        <row r="104">
          <cell r="C104">
            <v>-62589</v>
          </cell>
          <cell r="D104">
            <v>54070110</v>
          </cell>
        </row>
        <row r="105">
          <cell r="C105">
            <v>39635</v>
          </cell>
          <cell r="D105">
            <v>54070110</v>
          </cell>
        </row>
        <row r="106">
          <cell r="C106">
            <v>22954</v>
          </cell>
          <cell r="D106">
            <v>54070110</v>
          </cell>
        </row>
        <row r="107">
          <cell r="C107">
            <v>62589</v>
          </cell>
          <cell r="D107">
            <v>54070110</v>
          </cell>
        </row>
        <row r="108">
          <cell r="C108">
            <v>20500</v>
          </cell>
          <cell r="D108">
            <v>54090120</v>
          </cell>
        </row>
        <row r="109">
          <cell r="C109">
            <v>32000</v>
          </cell>
          <cell r="D109">
            <v>54090120</v>
          </cell>
        </row>
        <row r="110">
          <cell r="C110">
            <v>27830</v>
          </cell>
          <cell r="D110">
            <v>54090120</v>
          </cell>
        </row>
        <row r="111">
          <cell r="C111">
            <v>500000</v>
          </cell>
          <cell r="D111">
            <v>54110100</v>
          </cell>
        </row>
        <row r="112">
          <cell r="C112">
            <v>650000</v>
          </cell>
          <cell r="D112">
            <v>54150900</v>
          </cell>
        </row>
        <row r="113">
          <cell r="C113">
            <v>800000</v>
          </cell>
          <cell r="D113">
            <v>54150900</v>
          </cell>
        </row>
        <row r="114">
          <cell r="C114">
            <v>33000</v>
          </cell>
          <cell r="D114">
            <v>54150900</v>
          </cell>
        </row>
        <row r="115">
          <cell r="C115">
            <v>103950</v>
          </cell>
          <cell r="D115">
            <v>54170130</v>
          </cell>
        </row>
        <row r="116">
          <cell r="C116">
            <v>405011</v>
          </cell>
          <cell r="D116">
            <v>54190100</v>
          </cell>
        </row>
        <row r="117">
          <cell r="C117">
            <v>162989</v>
          </cell>
          <cell r="D117">
            <v>54190110</v>
          </cell>
        </row>
        <row r="118">
          <cell r="C118">
            <v>2198</v>
          </cell>
          <cell r="D118">
            <v>54190110</v>
          </cell>
        </row>
        <row r="119">
          <cell r="C119">
            <v>81</v>
          </cell>
          <cell r="D119">
            <v>54190110</v>
          </cell>
        </row>
        <row r="120">
          <cell r="C120">
            <v>20000</v>
          </cell>
          <cell r="D120">
            <v>54310100</v>
          </cell>
        </row>
        <row r="121">
          <cell r="C121">
            <v>50000</v>
          </cell>
          <cell r="D121">
            <v>54310100</v>
          </cell>
        </row>
        <row r="122">
          <cell r="C122">
            <v>50000</v>
          </cell>
          <cell r="D122">
            <v>54310100</v>
          </cell>
        </row>
        <row r="123">
          <cell r="C123">
            <v>40000</v>
          </cell>
          <cell r="D123">
            <v>54310100</v>
          </cell>
        </row>
        <row r="124">
          <cell r="C124">
            <v>50000</v>
          </cell>
          <cell r="D124">
            <v>54310100</v>
          </cell>
        </row>
        <row r="125">
          <cell r="C125">
            <v>10000</v>
          </cell>
          <cell r="D125">
            <v>54310100</v>
          </cell>
        </row>
        <row r="126">
          <cell r="C126">
            <v>36000</v>
          </cell>
          <cell r="D126">
            <v>54310100</v>
          </cell>
        </row>
        <row r="127">
          <cell r="C127">
            <v>15000</v>
          </cell>
          <cell r="D127">
            <v>54310100</v>
          </cell>
        </row>
        <row r="128">
          <cell r="C128">
            <v>18000</v>
          </cell>
          <cell r="D128">
            <v>54310100</v>
          </cell>
        </row>
        <row r="129">
          <cell r="C129">
            <v>18000</v>
          </cell>
          <cell r="D129">
            <v>54310100</v>
          </cell>
        </row>
        <row r="130">
          <cell r="C130">
            <v>281576</v>
          </cell>
          <cell r="D130">
            <v>54330110</v>
          </cell>
        </row>
        <row r="131">
          <cell r="C131">
            <v>280924</v>
          </cell>
          <cell r="D131">
            <v>54330120</v>
          </cell>
        </row>
        <row r="132">
          <cell r="C132">
            <v>100000</v>
          </cell>
          <cell r="D132">
            <v>54410140</v>
          </cell>
        </row>
        <row r="133">
          <cell r="C133">
            <v>8000</v>
          </cell>
          <cell r="D133">
            <v>54550900</v>
          </cell>
        </row>
        <row r="134">
          <cell r="C134">
            <v>188497</v>
          </cell>
          <cell r="D134">
            <v>54590500</v>
          </cell>
        </row>
        <row r="135">
          <cell r="C135">
            <v>17516667</v>
          </cell>
          <cell r="D135">
            <v>54610400</v>
          </cell>
        </row>
        <row r="136">
          <cell r="C136">
            <v>72000</v>
          </cell>
          <cell r="D136">
            <v>54090110</v>
          </cell>
        </row>
        <row r="137">
          <cell r="C137">
            <v>359000</v>
          </cell>
          <cell r="D137">
            <v>54170110</v>
          </cell>
        </row>
        <row r="138">
          <cell r="C138">
            <v>81728</v>
          </cell>
          <cell r="D138">
            <v>54170110</v>
          </cell>
        </row>
        <row r="139">
          <cell r="C139">
            <v>54688</v>
          </cell>
          <cell r="D139">
            <v>54170130</v>
          </cell>
        </row>
        <row r="140">
          <cell r="C140">
            <v>454800</v>
          </cell>
          <cell r="D140">
            <v>54190100</v>
          </cell>
        </row>
        <row r="141">
          <cell r="C141">
            <v>176569</v>
          </cell>
          <cell r="D141">
            <v>54190110</v>
          </cell>
        </row>
        <row r="142">
          <cell r="C142">
            <v>400000</v>
          </cell>
          <cell r="D142">
            <v>54190110</v>
          </cell>
        </row>
        <row r="143">
          <cell r="C143">
            <v>7672910</v>
          </cell>
          <cell r="D143">
            <v>53010100</v>
          </cell>
        </row>
        <row r="144">
          <cell r="C144">
            <v>-745474</v>
          </cell>
          <cell r="D144">
            <v>53050100</v>
          </cell>
        </row>
        <row r="145">
          <cell r="C145">
            <v>840000</v>
          </cell>
          <cell r="D145">
            <v>53070100</v>
          </cell>
        </row>
        <row r="146">
          <cell r="C146">
            <v>135000</v>
          </cell>
          <cell r="D146">
            <v>54010110</v>
          </cell>
        </row>
        <row r="147">
          <cell r="C147">
            <v>140000</v>
          </cell>
          <cell r="D147">
            <v>54010120</v>
          </cell>
        </row>
        <row r="148">
          <cell r="C148">
            <v>18040</v>
          </cell>
          <cell r="D148">
            <v>54010120</v>
          </cell>
        </row>
        <row r="149">
          <cell r="C149">
            <v>209000</v>
          </cell>
          <cell r="D149">
            <v>54010120</v>
          </cell>
        </row>
        <row r="150">
          <cell r="C150">
            <v>6700</v>
          </cell>
          <cell r="D150">
            <v>54010160</v>
          </cell>
        </row>
        <row r="151">
          <cell r="C151">
            <v>16000</v>
          </cell>
          <cell r="D151">
            <v>54010160</v>
          </cell>
        </row>
        <row r="152">
          <cell r="C152">
            <v>17500</v>
          </cell>
          <cell r="D152">
            <v>54010160</v>
          </cell>
        </row>
        <row r="153">
          <cell r="C153">
            <v>30000</v>
          </cell>
          <cell r="D153">
            <v>54010160</v>
          </cell>
        </row>
        <row r="154">
          <cell r="C154">
            <v>30000</v>
          </cell>
          <cell r="D154">
            <v>54010160</v>
          </cell>
        </row>
        <row r="155">
          <cell r="C155">
            <v>50000</v>
          </cell>
          <cell r="D155">
            <v>54010160</v>
          </cell>
        </row>
        <row r="156">
          <cell r="C156">
            <v>16000</v>
          </cell>
          <cell r="D156">
            <v>54010160</v>
          </cell>
        </row>
        <row r="157">
          <cell r="C157">
            <v>7550</v>
          </cell>
          <cell r="D157">
            <v>54010160</v>
          </cell>
        </row>
        <row r="158">
          <cell r="C158">
            <v>13800</v>
          </cell>
          <cell r="D158">
            <v>54010160</v>
          </cell>
        </row>
        <row r="159">
          <cell r="C159">
            <v>57600</v>
          </cell>
          <cell r="D159">
            <v>54010160</v>
          </cell>
        </row>
        <row r="160">
          <cell r="C160">
            <v>28000</v>
          </cell>
          <cell r="D160">
            <v>54010160</v>
          </cell>
        </row>
        <row r="161">
          <cell r="C161">
            <v>6400</v>
          </cell>
          <cell r="D161">
            <v>54010160</v>
          </cell>
        </row>
        <row r="162">
          <cell r="C162">
            <v>20000</v>
          </cell>
          <cell r="D162">
            <v>54010160</v>
          </cell>
        </row>
        <row r="163">
          <cell r="C163">
            <v>162000</v>
          </cell>
          <cell r="D163">
            <v>54010170</v>
          </cell>
        </row>
        <row r="164">
          <cell r="C164">
            <v>216630</v>
          </cell>
          <cell r="D164">
            <v>54010180</v>
          </cell>
        </row>
        <row r="165">
          <cell r="C165">
            <v>147</v>
          </cell>
          <cell r="D165">
            <v>54070100</v>
          </cell>
        </row>
        <row r="166">
          <cell r="C166">
            <v>1670</v>
          </cell>
          <cell r="D166">
            <v>54070100</v>
          </cell>
        </row>
        <row r="167">
          <cell r="C167">
            <v>111738</v>
          </cell>
          <cell r="D167">
            <v>54070100</v>
          </cell>
        </row>
        <row r="168">
          <cell r="C168">
            <v>64350</v>
          </cell>
          <cell r="D168">
            <v>54070100</v>
          </cell>
        </row>
        <row r="169">
          <cell r="C169">
            <v>593754</v>
          </cell>
          <cell r="D169">
            <v>54070100</v>
          </cell>
        </row>
        <row r="170">
          <cell r="C170">
            <v>84136</v>
          </cell>
          <cell r="D170">
            <v>54070100</v>
          </cell>
        </row>
        <row r="171">
          <cell r="C171">
            <v>11846</v>
          </cell>
          <cell r="D171">
            <v>54070100</v>
          </cell>
        </row>
        <row r="172">
          <cell r="C172">
            <v>1763784</v>
          </cell>
          <cell r="D172">
            <v>54070100</v>
          </cell>
        </row>
        <row r="173">
          <cell r="C173">
            <v>3477086</v>
          </cell>
          <cell r="D173">
            <v>54070100</v>
          </cell>
        </row>
        <row r="174">
          <cell r="C174">
            <v>16536</v>
          </cell>
          <cell r="D174">
            <v>54070110</v>
          </cell>
        </row>
        <row r="175">
          <cell r="C175">
            <v>37827</v>
          </cell>
          <cell r="D175">
            <v>54070110</v>
          </cell>
        </row>
        <row r="176">
          <cell r="C176">
            <v>22000</v>
          </cell>
          <cell r="D176">
            <v>54070130</v>
          </cell>
        </row>
        <row r="177">
          <cell r="C177">
            <v>11000</v>
          </cell>
          <cell r="D177">
            <v>54070130</v>
          </cell>
        </row>
        <row r="178">
          <cell r="C178">
            <v>42000</v>
          </cell>
          <cell r="D178">
            <v>54070130</v>
          </cell>
        </row>
        <row r="179">
          <cell r="C179">
            <v>-36000</v>
          </cell>
          <cell r="D179">
            <v>54070140</v>
          </cell>
        </row>
        <row r="180">
          <cell r="C180">
            <v>36000</v>
          </cell>
          <cell r="D180">
            <v>54070140</v>
          </cell>
        </row>
        <row r="181">
          <cell r="C181">
            <v>36000</v>
          </cell>
          <cell r="D181">
            <v>54070140</v>
          </cell>
        </row>
        <row r="182">
          <cell r="C182">
            <v>-67500</v>
          </cell>
          <cell r="D182">
            <v>54070150</v>
          </cell>
        </row>
        <row r="183">
          <cell r="C183">
            <v>67500</v>
          </cell>
          <cell r="D183">
            <v>54070150</v>
          </cell>
        </row>
        <row r="184">
          <cell r="C184">
            <v>62500</v>
          </cell>
          <cell r="D184">
            <v>54070150</v>
          </cell>
        </row>
        <row r="185">
          <cell r="C185">
            <v>48000</v>
          </cell>
          <cell r="D185">
            <v>54090110</v>
          </cell>
        </row>
        <row r="186">
          <cell r="C186">
            <v>2028750</v>
          </cell>
          <cell r="D186">
            <v>54110100</v>
          </cell>
        </row>
        <row r="187">
          <cell r="C187">
            <v>27208</v>
          </cell>
          <cell r="D187">
            <v>54130100</v>
          </cell>
        </row>
        <row r="188">
          <cell r="C188">
            <v>709038</v>
          </cell>
          <cell r="D188">
            <v>54130100</v>
          </cell>
        </row>
        <row r="189">
          <cell r="C189">
            <v>500000</v>
          </cell>
          <cell r="D189">
            <v>54150170</v>
          </cell>
        </row>
        <row r="190">
          <cell r="C190">
            <v>31300</v>
          </cell>
          <cell r="D190">
            <v>54170110</v>
          </cell>
        </row>
        <row r="191">
          <cell r="C191">
            <v>1562070</v>
          </cell>
          <cell r="D191">
            <v>54170110</v>
          </cell>
        </row>
        <row r="192">
          <cell r="C192">
            <v>476750</v>
          </cell>
          <cell r="D192">
            <v>54170110</v>
          </cell>
        </row>
        <row r="193">
          <cell r="C193">
            <v>38365</v>
          </cell>
          <cell r="D193">
            <v>54170130</v>
          </cell>
        </row>
        <row r="194">
          <cell r="C194">
            <v>-40000</v>
          </cell>
          <cell r="D194">
            <v>54170260</v>
          </cell>
        </row>
        <row r="195">
          <cell r="C195">
            <v>40000</v>
          </cell>
          <cell r="D195">
            <v>54170260</v>
          </cell>
        </row>
        <row r="196">
          <cell r="C196">
            <v>40000</v>
          </cell>
          <cell r="D196">
            <v>54170260</v>
          </cell>
        </row>
        <row r="197">
          <cell r="C197">
            <v>3909500</v>
          </cell>
          <cell r="D197">
            <v>54190100</v>
          </cell>
        </row>
        <row r="198">
          <cell r="C198">
            <v>405011</v>
          </cell>
          <cell r="D198">
            <v>54190100</v>
          </cell>
        </row>
        <row r="199">
          <cell r="C199">
            <v>33790</v>
          </cell>
          <cell r="D199">
            <v>54190110</v>
          </cell>
        </row>
        <row r="200">
          <cell r="C200">
            <v>3336</v>
          </cell>
          <cell r="D200">
            <v>54190110</v>
          </cell>
        </row>
        <row r="201">
          <cell r="C201">
            <v>147300</v>
          </cell>
          <cell r="D201">
            <v>54190110</v>
          </cell>
        </row>
        <row r="202">
          <cell r="C202">
            <v>1573300</v>
          </cell>
          <cell r="D202">
            <v>54190110</v>
          </cell>
        </row>
        <row r="203">
          <cell r="C203">
            <v>200000</v>
          </cell>
          <cell r="D203">
            <v>54190110</v>
          </cell>
        </row>
        <row r="204">
          <cell r="C204">
            <v>14550</v>
          </cell>
          <cell r="D204">
            <v>54190110</v>
          </cell>
        </row>
        <row r="205">
          <cell r="C205">
            <v>162989</v>
          </cell>
          <cell r="D205">
            <v>54190110</v>
          </cell>
        </row>
        <row r="206">
          <cell r="C206">
            <v>2198</v>
          </cell>
          <cell r="D206">
            <v>54190110</v>
          </cell>
        </row>
        <row r="207">
          <cell r="C207">
            <v>38260</v>
          </cell>
          <cell r="D207">
            <v>54190110</v>
          </cell>
        </row>
        <row r="208">
          <cell r="C208">
            <v>81</v>
          </cell>
          <cell r="D208">
            <v>54190110</v>
          </cell>
        </row>
        <row r="209">
          <cell r="C209">
            <v>1420</v>
          </cell>
          <cell r="D209">
            <v>54190110</v>
          </cell>
        </row>
        <row r="210">
          <cell r="C210">
            <v>575000</v>
          </cell>
          <cell r="D210">
            <v>54190120</v>
          </cell>
        </row>
        <row r="211">
          <cell r="C211">
            <v>230000</v>
          </cell>
          <cell r="D211">
            <v>54190120</v>
          </cell>
        </row>
        <row r="212">
          <cell r="C212">
            <v>39400</v>
          </cell>
          <cell r="D212">
            <v>54190120</v>
          </cell>
        </row>
        <row r="213">
          <cell r="C213">
            <v>-2500000</v>
          </cell>
          <cell r="D213">
            <v>54230110</v>
          </cell>
        </row>
        <row r="214">
          <cell r="C214">
            <v>19850000</v>
          </cell>
          <cell r="D214">
            <v>54230110</v>
          </cell>
        </row>
        <row r="215">
          <cell r="C215">
            <v>2500000</v>
          </cell>
          <cell r="D215">
            <v>54230110</v>
          </cell>
        </row>
        <row r="216">
          <cell r="C216">
            <v>19524104</v>
          </cell>
          <cell r="D216">
            <v>54230110</v>
          </cell>
        </row>
        <row r="217">
          <cell r="C217">
            <v>6970201</v>
          </cell>
          <cell r="D217">
            <v>54230110</v>
          </cell>
        </row>
        <row r="218">
          <cell r="C218">
            <v>-17900</v>
          </cell>
          <cell r="D218">
            <v>54230160</v>
          </cell>
        </row>
        <row r="219">
          <cell r="C219">
            <v>372000</v>
          </cell>
          <cell r="D219">
            <v>54230160</v>
          </cell>
        </row>
        <row r="220">
          <cell r="C220">
            <v>40000</v>
          </cell>
          <cell r="D220">
            <v>54230160</v>
          </cell>
        </row>
        <row r="221">
          <cell r="C221">
            <v>17900</v>
          </cell>
          <cell r="D221">
            <v>54230160</v>
          </cell>
        </row>
        <row r="222">
          <cell r="C222">
            <v>17900</v>
          </cell>
          <cell r="D222">
            <v>54230160</v>
          </cell>
        </row>
        <row r="223">
          <cell r="C223">
            <v>121900</v>
          </cell>
          <cell r="D223">
            <v>54230170</v>
          </cell>
        </row>
        <row r="224">
          <cell r="C224">
            <v>455870</v>
          </cell>
          <cell r="D224">
            <v>54230170</v>
          </cell>
        </row>
        <row r="225">
          <cell r="C225">
            <v>677500</v>
          </cell>
          <cell r="D225">
            <v>54230170</v>
          </cell>
        </row>
        <row r="226">
          <cell r="C226">
            <v>455870</v>
          </cell>
          <cell r="D226">
            <v>54230170</v>
          </cell>
        </row>
        <row r="227">
          <cell r="C227">
            <v>38073858</v>
          </cell>
          <cell r="D227">
            <v>54230170</v>
          </cell>
        </row>
        <row r="228">
          <cell r="C228">
            <v>3630000</v>
          </cell>
          <cell r="D228">
            <v>54310100</v>
          </cell>
        </row>
        <row r="229">
          <cell r="C229">
            <v>990000</v>
          </cell>
          <cell r="D229">
            <v>54310100</v>
          </cell>
        </row>
        <row r="230">
          <cell r="C230">
            <v>68096</v>
          </cell>
          <cell r="D230">
            <v>54330110</v>
          </cell>
        </row>
        <row r="231">
          <cell r="C231">
            <v>67938</v>
          </cell>
          <cell r="D231">
            <v>54330120</v>
          </cell>
        </row>
        <row r="232">
          <cell r="C232">
            <v>4717397</v>
          </cell>
          <cell r="D232">
            <v>54590500</v>
          </cell>
        </row>
        <row r="233">
          <cell r="C233">
            <v>1543296</v>
          </cell>
          <cell r="D233">
            <v>54610300</v>
          </cell>
        </row>
        <row r="234">
          <cell r="C234">
            <v>40038290</v>
          </cell>
          <cell r="D234">
            <v>53010200</v>
          </cell>
        </row>
        <row r="235">
          <cell r="C235">
            <v>50000</v>
          </cell>
          <cell r="D235">
            <v>53010500</v>
          </cell>
        </row>
        <row r="236">
          <cell r="C236">
            <v>383868</v>
          </cell>
          <cell r="D236">
            <v>53050100</v>
          </cell>
        </row>
        <row r="237">
          <cell r="C237">
            <v>467640</v>
          </cell>
          <cell r="D237">
            <v>53050100</v>
          </cell>
        </row>
        <row r="238">
          <cell r="C238">
            <v>392490</v>
          </cell>
          <cell r="D238">
            <v>53050100</v>
          </cell>
        </row>
        <row r="239">
          <cell r="C239">
            <v>344436</v>
          </cell>
          <cell r="D239">
            <v>53050100</v>
          </cell>
        </row>
        <row r="240">
          <cell r="C240">
            <v>343933</v>
          </cell>
          <cell r="D240">
            <v>53050100</v>
          </cell>
        </row>
        <row r="241">
          <cell r="C241">
            <v>342809</v>
          </cell>
          <cell r="D241">
            <v>53050100</v>
          </cell>
        </row>
        <row r="242">
          <cell r="C242">
            <v>382920</v>
          </cell>
          <cell r="D242">
            <v>53050100</v>
          </cell>
        </row>
        <row r="243">
          <cell r="C243">
            <v>277070</v>
          </cell>
          <cell r="D243">
            <v>53050100</v>
          </cell>
        </row>
        <row r="244">
          <cell r="C244">
            <v>326239</v>
          </cell>
          <cell r="D244">
            <v>53050100</v>
          </cell>
        </row>
        <row r="245">
          <cell r="C245">
            <v>380000</v>
          </cell>
          <cell r="D245">
            <v>54010100</v>
          </cell>
        </row>
        <row r="246">
          <cell r="C246">
            <v>25000</v>
          </cell>
          <cell r="D246">
            <v>54010100</v>
          </cell>
        </row>
        <row r="247">
          <cell r="C247">
            <v>29000</v>
          </cell>
          <cell r="D247">
            <v>54010110</v>
          </cell>
        </row>
        <row r="248">
          <cell r="C248">
            <v>44000</v>
          </cell>
          <cell r="D248">
            <v>54010110</v>
          </cell>
        </row>
        <row r="249">
          <cell r="C249">
            <v>47000</v>
          </cell>
          <cell r="D249">
            <v>54010110</v>
          </cell>
        </row>
        <row r="250">
          <cell r="C250">
            <v>40000</v>
          </cell>
          <cell r="D250">
            <v>54010110</v>
          </cell>
        </row>
        <row r="251">
          <cell r="C251">
            <v>15000</v>
          </cell>
          <cell r="D251">
            <v>54010110</v>
          </cell>
        </row>
        <row r="252">
          <cell r="C252">
            <v>18600</v>
          </cell>
          <cell r="D252">
            <v>54010110</v>
          </cell>
        </row>
        <row r="253">
          <cell r="C253">
            <v>28000</v>
          </cell>
          <cell r="D253">
            <v>54010110</v>
          </cell>
        </row>
        <row r="254">
          <cell r="C254">
            <v>22900</v>
          </cell>
          <cell r="D254">
            <v>54010110</v>
          </cell>
        </row>
        <row r="255">
          <cell r="C255">
            <v>70000</v>
          </cell>
          <cell r="D255">
            <v>54010140</v>
          </cell>
        </row>
        <row r="256">
          <cell r="C256">
            <v>18600</v>
          </cell>
          <cell r="D256">
            <v>54010150</v>
          </cell>
        </row>
        <row r="257">
          <cell r="C257">
            <v>1570500</v>
          </cell>
          <cell r="D257">
            <v>54010170</v>
          </cell>
        </row>
        <row r="258">
          <cell r="C258">
            <v>820590</v>
          </cell>
          <cell r="D258">
            <v>54010180</v>
          </cell>
        </row>
        <row r="259">
          <cell r="C259">
            <v>39000</v>
          </cell>
          <cell r="D259">
            <v>54050120</v>
          </cell>
        </row>
        <row r="260">
          <cell r="C260">
            <v>30000</v>
          </cell>
          <cell r="D260">
            <v>54050120</v>
          </cell>
        </row>
        <row r="261">
          <cell r="C261">
            <v>12700000</v>
          </cell>
          <cell r="D261">
            <v>54090100</v>
          </cell>
        </row>
        <row r="262">
          <cell r="C262">
            <v>30000</v>
          </cell>
          <cell r="D262">
            <v>54090100</v>
          </cell>
        </row>
        <row r="263">
          <cell r="C263">
            <v>7900</v>
          </cell>
          <cell r="D263">
            <v>54090100</v>
          </cell>
        </row>
        <row r="264">
          <cell r="C264">
            <v>100000</v>
          </cell>
          <cell r="D264">
            <v>54090100</v>
          </cell>
        </row>
        <row r="265">
          <cell r="C265">
            <v>12000</v>
          </cell>
          <cell r="D265">
            <v>54090110</v>
          </cell>
        </row>
        <row r="266">
          <cell r="C266">
            <v>4455125</v>
          </cell>
          <cell r="D266">
            <v>54190100</v>
          </cell>
        </row>
        <row r="267">
          <cell r="C267">
            <v>1792875</v>
          </cell>
          <cell r="D267">
            <v>54190110</v>
          </cell>
        </row>
        <row r="268">
          <cell r="C268">
            <v>24175</v>
          </cell>
          <cell r="D268">
            <v>54190110</v>
          </cell>
        </row>
        <row r="269">
          <cell r="C269">
            <v>888</v>
          </cell>
          <cell r="D269">
            <v>54190110</v>
          </cell>
        </row>
        <row r="270">
          <cell r="C270">
            <v>2000000</v>
          </cell>
          <cell r="D270">
            <v>54230170</v>
          </cell>
        </row>
        <row r="271">
          <cell r="C271">
            <v>283600</v>
          </cell>
          <cell r="D271">
            <v>54230170</v>
          </cell>
        </row>
        <row r="272">
          <cell r="C272">
            <v>175532</v>
          </cell>
          <cell r="D272">
            <v>54330110</v>
          </cell>
        </row>
        <row r="273">
          <cell r="C273">
            <v>355777</v>
          </cell>
          <cell r="D273">
            <v>54330110</v>
          </cell>
        </row>
        <row r="274">
          <cell r="C274">
            <v>354952</v>
          </cell>
          <cell r="D274">
            <v>54330120</v>
          </cell>
        </row>
        <row r="275">
          <cell r="C275">
            <v>8000</v>
          </cell>
          <cell r="D275">
            <v>54550900</v>
          </cell>
        </row>
        <row r="276">
          <cell r="C276">
            <v>278225</v>
          </cell>
          <cell r="D276">
            <v>54590500</v>
          </cell>
        </row>
        <row r="277">
          <cell r="C277">
            <v>910783</v>
          </cell>
          <cell r="D277">
            <v>54610400</v>
          </cell>
        </row>
        <row r="278">
          <cell r="C278">
            <v>-535557</v>
          </cell>
          <cell r="D278">
            <v>53010200</v>
          </cell>
        </row>
        <row r="279">
          <cell r="C279">
            <v>20378430</v>
          </cell>
          <cell r="D279">
            <v>53010200</v>
          </cell>
        </row>
        <row r="280">
          <cell r="C280">
            <v>527657</v>
          </cell>
          <cell r="D280">
            <v>53050100</v>
          </cell>
        </row>
        <row r="281">
          <cell r="C281">
            <v>474072</v>
          </cell>
          <cell r="D281">
            <v>53050100</v>
          </cell>
        </row>
        <row r="282">
          <cell r="C282">
            <v>362196</v>
          </cell>
          <cell r="D282">
            <v>53050100</v>
          </cell>
        </row>
        <row r="283">
          <cell r="C283">
            <v>393298</v>
          </cell>
          <cell r="D283">
            <v>53050100</v>
          </cell>
        </row>
        <row r="284">
          <cell r="C284">
            <v>371888</v>
          </cell>
          <cell r="D284">
            <v>53050100</v>
          </cell>
        </row>
        <row r="285">
          <cell r="C285">
            <v>2800</v>
          </cell>
          <cell r="D285">
            <v>54010100</v>
          </cell>
        </row>
        <row r="286">
          <cell r="C286">
            <v>21340</v>
          </cell>
          <cell r="D286">
            <v>54010100</v>
          </cell>
        </row>
        <row r="287">
          <cell r="C287">
            <v>18500</v>
          </cell>
          <cell r="D287">
            <v>54010100</v>
          </cell>
        </row>
        <row r="288">
          <cell r="C288">
            <v>81050</v>
          </cell>
          <cell r="D288">
            <v>54010100</v>
          </cell>
        </row>
        <row r="289">
          <cell r="C289">
            <v>55100</v>
          </cell>
          <cell r="D289">
            <v>54010100</v>
          </cell>
        </row>
        <row r="290">
          <cell r="C290">
            <v>8970</v>
          </cell>
          <cell r="D290">
            <v>54010100</v>
          </cell>
        </row>
        <row r="291">
          <cell r="C291">
            <v>9740</v>
          </cell>
          <cell r="D291">
            <v>54010100</v>
          </cell>
        </row>
        <row r="292">
          <cell r="C292">
            <v>9400</v>
          </cell>
          <cell r="D292">
            <v>54010100</v>
          </cell>
        </row>
        <row r="293">
          <cell r="C293">
            <v>16400</v>
          </cell>
          <cell r="D293">
            <v>54010100</v>
          </cell>
        </row>
        <row r="294">
          <cell r="C294">
            <v>40000</v>
          </cell>
          <cell r="D294">
            <v>54010100</v>
          </cell>
        </row>
        <row r="295">
          <cell r="C295">
            <v>67500</v>
          </cell>
          <cell r="D295">
            <v>54010100</v>
          </cell>
        </row>
        <row r="296">
          <cell r="C296">
            <v>76100</v>
          </cell>
          <cell r="D296">
            <v>54010100</v>
          </cell>
        </row>
        <row r="297">
          <cell r="C297">
            <v>7500</v>
          </cell>
          <cell r="D297">
            <v>54010100</v>
          </cell>
        </row>
        <row r="298">
          <cell r="C298">
            <v>18600</v>
          </cell>
          <cell r="D298">
            <v>54010150</v>
          </cell>
        </row>
        <row r="299">
          <cell r="C299">
            <v>810000</v>
          </cell>
          <cell r="D299">
            <v>54010170</v>
          </cell>
        </row>
        <row r="300">
          <cell r="C300">
            <v>-108890</v>
          </cell>
          <cell r="D300">
            <v>54010180</v>
          </cell>
        </row>
        <row r="301">
          <cell r="C301">
            <v>429760</v>
          </cell>
          <cell r="D301">
            <v>54010180</v>
          </cell>
        </row>
        <row r="302">
          <cell r="C302">
            <v>16120</v>
          </cell>
          <cell r="D302">
            <v>54030120</v>
          </cell>
        </row>
        <row r="303">
          <cell r="C303">
            <v>99492</v>
          </cell>
          <cell r="D303">
            <v>54170130</v>
          </cell>
        </row>
        <row r="304">
          <cell r="C304">
            <v>4050000</v>
          </cell>
          <cell r="D304">
            <v>54190100</v>
          </cell>
        </row>
        <row r="305">
          <cell r="C305">
            <v>2250000</v>
          </cell>
          <cell r="D305">
            <v>54190110</v>
          </cell>
        </row>
        <row r="306">
          <cell r="C306">
            <v>80000</v>
          </cell>
          <cell r="D306">
            <v>54190120</v>
          </cell>
        </row>
        <row r="307">
          <cell r="C307">
            <v>-2350</v>
          </cell>
          <cell r="D307">
            <v>54330110</v>
          </cell>
        </row>
        <row r="308">
          <cell r="C308">
            <v>89541</v>
          </cell>
          <cell r="D308">
            <v>54330110</v>
          </cell>
        </row>
        <row r="309">
          <cell r="C309">
            <v>176102</v>
          </cell>
          <cell r="D309">
            <v>54330110</v>
          </cell>
        </row>
        <row r="310">
          <cell r="C310">
            <v>175694</v>
          </cell>
          <cell r="D310">
            <v>54330120</v>
          </cell>
        </row>
        <row r="311">
          <cell r="C311">
            <v>110000</v>
          </cell>
          <cell r="D311">
            <v>54410100</v>
          </cell>
        </row>
        <row r="312">
          <cell r="C312">
            <v>90000</v>
          </cell>
          <cell r="D312">
            <v>54410100</v>
          </cell>
        </row>
        <row r="313">
          <cell r="C313">
            <v>29000</v>
          </cell>
          <cell r="D313">
            <v>54410110</v>
          </cell>
        </row>
        <row r="314">
          <cell r="C314">
            <v>5405690</v>
          </cell>
          <cell r="D314">
            <v>53010200</v>
          </cell>
        </row>
        <row r="315">
          <cell r="C315">
            <v>110000</v>
          </cell>
          <cell r="D315">
            <v>54010100</v>
          </cell>
        </row>
        <row r="316">
          <cell r="C316">
            <v>48000</v>
          </cell>
          <cell r="D316">
            <v>54010100</v>
          </cell>
        </row>
        <row r="317">
          <cell r="C317">
            <v>20000</v>
          </cell>
          <cell r="D317">
            <v>54010100</v>
          </cell>
        </row>
        <row r="318">
          <cell r="C318">
            <v>36500</v>
          </cell>
          <cell r="D318">
            <v>54010110</v>
          </cell>
        </row>
        <row r="319">
          <cell r="C319">
            <v>20000</v>
          </cell>
          <cell r="D319">
            <v>54010110</v>
          </cell>
        </row>
        <row r="320">
          <cell r="C320">
            <v>15000</v>
          </cell>
          <cell r="D320">
            <v>54010110</v>
          </cell>
        </row>
        <row r="321">
          <cell r="C321">
            <v>21000</v>
          </cell>
          <cell r="D321">
            <v>54010110</v>
          </cell>
        </row>
        <row r="322">
          <cell r="C322">
            <v>20000</v>
          </cell>
          <cell r="D322">
            <v>54010110</v>
          </cell>
        </row>
        <row r="323">
          <cell r="C323">
            <v>162000</v>
          </cell>
          <cell r="D323">
            <v>54010170</v>
          </cell>
        </row>
        <row r="324">
          <cell r="C324">
            <v>105420</v>
          </cell>
          <cell r="D324">
            <v>54010180</v>
          </cell>
        </row>
        <row r="325">
          <cell r="C325">
            <v>180000</v>
          </cell>
          <cell r="D325">
            <v>54010210</v>
          </cell>
        </row>
        <row r="326">
          <cell r="C326">
            <v>50000</v>
          </cell>
          <cell r="D326">
            <v>54070110</v>
          </cell>
        </row>
        <row r="327">
          <cell r="C327">
            <v>-52500</v>
          </cell>
          <cell r="D327">
            <v>54070150</v>
          </cell>
        </row>
        <row r="328">
          <cell r="C328">
            <v>52500</v>
          </cell>
          <cell r="D328">
            <v>54070150</v>
          </cell>
        </row>
        <row r="329">
          <cell r="C329">
            <v>10000</v>
          </cell>
          <cell r="D329">
            <v>54070150</v>
          </cell>
        </row>
        <row r="330">
          <cell r="C330">
            <v>114000</v>
          </cell>
          <cell r="D330">
            <v>54090110</v>
          </cell>
        </row>
        <row r="331">
          <cell r="C331">
            <v>-180393</v>
          </cell>
          <cell r="D331">
            <v>54110160</v>
          </cell>
        </row>
        <row r="332">
          <cell r="C332">
            <v>60131</v>
          </cell>
          <cell r="D332">
            <v>54110160</v>
          </cell>
        </row>
        <row r="333">
          <cell r="C333">
            <v>180393</v>
          </cell>
          <cell r="D333">
            <v>54110160</v>
          </cell>
        </row>
        <row r="334">
          <cell r="C334">
            <v>180393</v>
          </cell>
          <cell r="D334">
            <v>54110160</v>
          </cell>
        </row>
        <row r="335">
          <cell r="C335">
            <v>322327</v>
          </cell>
          <cell r="D335">
            <v>54170130</v>
          </cell>
        </row>
        <row r="336">
          <cell r="C336">
            <v>405011</v>
          </cell>
          <cell r="D336">
            <v>54190100</v>
          </cell>
        </row>
        <row r="337">
          <cell r="C337">
            <v>200000</v>
          </cell>
          <cell r="D337">
            <v>54190110</v>
          </cell>
        </row>
        <row r="338">
          <cell r="C338">
            <v>162989</v>
          </cell>
          <cell r="D338">
            <v>54190110</v>
          </cell>
        </row>
        <row r="339">
          <cell r="C339">
            <v>2198</v>
          </cell>
          <cell r="D339">
            <v>54190110</v>
          </cell>
        </row>
        <row r="340">
          <cell r="C340">
            <v>81</v>
          </cell>
          <cell r="D340">
            <v>54190110</v>
          </cell>
        </row>
        <row r="341">
          <cell r="C341">
            <v>23875</v>
          </cell>
          <cell r="D341">
            <v>54330110</v>
          </cell>
        </row>
        <row r="342">
          <cell r="C342">
            <v>47975</v>
          </cell>
          <cell r="D342">
            <v>54330110</v>
          </cell>
        </row>
        <row r="343">
          <cell r="C343">
            <v>47863</v>
          </cell>
          <cell r="D343">
            <v>54330120</v>
          </cell>
        </row>
        <row r="344">
          <cell r="C344">
            <v>6440</v>
          </cell>
          <cell r="D344">
            <v>54610300</v>
          </cell>
        </row>
        <row r="345">
          <cell r="C345">
            <v>18804890</v>
          </cell>
          <cell r="D345">
            <v>53010200</v>
          </cell>
        </row>
        <row r="346">
          <cell r="C346">
            <v>489176</v>
          </cell>
          <cell r="D346">
            <v>53050100</v>
          </cell>
        </row>
        <row r="347">
          <cell r="C347">
            <v>294263</v>
          </cell>
          <cell r="D347">
            <v>53050100</v>
          </cell>
        </row>
        <row r="348">
          <cell r="C348">
            <v>262380</v>
          </cell>
          <cell r="D348">
            <v>53050100</v>
          </cell>
        </row>
        <row r="349">
          <cell r="C349">
            <v>461239</v>
          </cell>
          <cell r="D349">
            <v>53050100</v>
          </cell>
        </row>
        <row r="350">
          <cell r="C350">
            <v>23000</v>
          </cell>
          <cell r="D350">
            <v>54010100</v>
          </cell>
        </row>
        <row r="351">
          <cell r="C351">
            <v>15000</v>
          </cell>
          <cell r="D351">
            <v>54010100</v>
          </cell>
        </row>
        <row r="352">
          <cell r="C352">
            <v>9000</v>
          </cell>
          <cell r="D352">
            <v>54010100</v>
          </cell>
        </row>
        <row r="353">
          <cell r="C353">
            <v>30000</v>
          </cell>
          <cell r="D353">
            <v>54010100</v>
          </cell>
        </row>
        <row r="354">
          <cell r="C354">
            <v>10000</v>
          </cell>
          <cell r="D354">
            <v>54010100</v>
          </cell>
        </row>
        <row r="355">
          <cell r="C355">
            <v>11000</v>
          </cell>
          <cell r="D355">
            <v>54010100</v>
          </cell>
        </row>
        <row r="356">
          <cell r="C356">
            <v>12000</v>
          </cell>
          <cell r="D356">
            <v>54010100</v>
          </cell>
        </row>
        <row r="357">
          <cell r="C357">
            <v>35000</v>
          </cell>
          <cell r="D357">
            <v>54010100</v>
          </cell>
        </row>
        <row r="358">
          <cell r="C358">
            <v>10000</v>
          </cell>
          <cell r="D358">
            <v>54010100</v>
          </cell>
        </row>
        <row r="359">
          <cell r="C359">
            <v>18500</v>
          </cell>
          <cell r="D359">
            <v>54010100</v>
          </cell>
        </row>
        <row r="360">
          <cell r="C360">
            <v>29000</v>
          </cell>
          <cell r="D360">
            <v>54010100</v>
          </cell>
        </row>
        <row r="361">
          <cell r="C361">
            <v>21000</v>
          </cell>
          <cell r="D361">
            <v>54010100</v>
          </cell>
        </row>
        <row r="362">
          <cell r="C362">
            <v>13000</v>
          </cell>
          <cell r="D362">
            <v>54010100</v>
          </cell>
        </row>
        <row r="363">
          <cell r="C363">
            <v>24400</v>
          </cell>
          <cell r="D363">
            <v>54010100</v>
          </cell>
        </row>
        <row r="364">
          <cell r="C364">
            <v>11500</v>
          </cell>
          <cell r="D364">
            <v>54010100</v>
          </cell>
        </row>
        <row r="365">
          <cell r="C365">
            <v>20000</v>
          </cell>
          <cell r="D365">
            <v>54010100</v>
          </cell>
        </row>
        <row r="366">
          <cell r="C366">
            <v>35000</v>
          </cell>
          <cell r="D366">
            <v>54010100</v>
          </cell>
        </row>
        <row r="367">
          <cell r="C367">
            <v>16000</v>
          </cell>
          <cell r="D367">
            <v>54010100</v>
          </cell>
        </row>
        <row r="368">
          <cell r="C368">
            <v>19000</v>
          </cell>
          <cell r="D368">
            <v>54010100</v>
          </cell>
        </row>
        <row r="369">
          <cell r="C369">
            <v>32500</v>
          </cell>
          <cell r="D369">
            <v>54010100</v>
          </cell>
        </row>
        <row r="370">
          <cell r="C370">
            <v>18000</v>
          </cell>
          <cell r="D370">
            <v>54010100</v>
          </cell>
        </row>
        <row r="371">
          <cell r="C371">
            <v>24000</v>
          </cell>
          <cell r="D371">
            <v>54010100</v>
          </cell>
        </row>
        <row r="372">
          <cell r="C372">
            <v>10000</v>
          </cell>
          <cell r="D372">
            <v>54010100</v>
          </cell>
        </row>
        <row r="373">
          <cell r="C373">
            <v>11300</v>
          </cell>
          <cell r="D373">
            <v>54010100</v>
          </cell>
        </row>
        <row r="374">
          <cell r="C374">
            <v>28500</v>
          </cell>
          <cell r="D374">
            <v>54010100</v>
          </cell>
        </row>
        <row r="375">
          <cell r="C375">
            <v>10000</v>
          </cell>
          <cell r="D375">
            <v>54010100</v>
          </cell>
        </row>
        <row r="376">
          <cell r="C376">
            <v>20000</v>
          </cell>
          <cell r="D376">
            <v>54010100</v>
          </cell>
        </row>
        <row r="377">
          <cell r="C377">
            <v>11000</v>
          </cell>
          <cell r="D377">
            <v>54010100</v>
          </cell>
        </row>
        <row r="378">
          <cell r="C378">
            <v>10000</v>
          </cell>
          <cell r="D378">
            <v>54010100</v>
          </cell>
        </row>
        <row r="379">
          <cell r="C379">
            <v>11800</v>
          </cell>
          <cell r="D379">
            <v>54010100</v>
          </cell>
        </row>
        <row r="380">
          <cell r="C380">
            <v>18000</v>
          </cell>
          <cell r="D380">
            <v>54010100</v>
          </cell>
        </row>
        <row r="381">
          <cell r="C381">
            <v>13000</v>
          </cell>
          <cell r="D381">
            <v>54010100</v>
          </cell>
        </row>
        <row r="382">
          <cell r="C382">
            <v>25000</v>
          </cell>
          <cell r="D382">
            <v>54010100</v>
          </cell>
        </row>
        <row r="383">
          <cell r="C383">
            <v>27200</v>
          </cell>
          <cell r="D383">
            <v>54010110</v>
          </cell>
        </row>
        <row r="384">
          <cell r="C384">
            <v>10000</v>
          </cell>
          <cell r="D384">
            <v>54010110</v>
          </cell>
        </row>
        <row r="385">
          <cell r="C385">
            <v>9500</v>
          </cell>
          <cell r="D385">
            <v>54010110</v>
          </cell>
        </row>
        <row r="386">
          <cell r="C386">
            <v>5000</v>
          </cell>
          <cell r="D386">
            <v>54010110</v>
          </cell>
        </row>
        <row r="387">
          <cell r="C387">
            <v>10000</v>
          </cell>
          <cell r="D387">
            <v>54010110</v>
          </cell>
        </row>
        <row r="388">
          <cell r="C388">
            <v>60000</v>
          </cell>
          <cell r="D388">
            <v>54010110</v>
          </cell>
        </row>
        <row r="389">
          <cell r="C389">
            <v>49500</v>
          </cell>
          <cell r="D389">
            <v>54010110</v>
          </cell>
        </row>
        <row r="390">
          <cell r="C390">
            <v>61000</v>
          </cell>
          <cell r="D390">
            <v>54010110</v>
          </cell>
        </row>
        <row r="391">
          <cell r="C391">
            <v>7500</v>
          </cell>
          <cell r="D391">
            <v>54010110</v>
          </cell>
        </row>
        <row r="392">
          <cell r="C392">
            <v>12000</v>
          </cell>
          <cell r="D392">
            <v>54010110</v>
          </cell>
        </row>
        <row r="393">
          <cell r="C393">
            <v>15000</v>
          </cell>
          <cell r="D393">
            <v>54010110</v>
          </cell>
        </row>
        <row r="394">
          <cell r="C394">
            <v>52000</v>
          </cell>
          <cell r="D394">
            <v>54010110</v>
          </cell>
        </row>
        <row r="395">
          <cell r="C395">
            <v>72000</v>
          </cell>
          <cell r="D395">
            <v>54010110</v>
          </cell>
        </row>
        <row r="396">
          <cell r="C396">
            <v>40000</v>
          </cell>
          <cell r="D396">
            <v>54010110</v>
          </cell>
        </row>
        <row r="397">
          <cell r="C397">
            <v>22700</v>
          </cell>
          <cell r="D397">
            <v>54010120</v>
          </cell>
        </row>
        <row r="398">
          <cell r="C398">
            <v>30000</v>
          </cell>
          <cell r="D398">
            <v>54010120</v>
          </cell>
        </row>
        <row r="399">
          <cell r="C399">
            <v>21000</v>
          </cell>
          <cell r="D399">
            <v>54010120</v>
          </cell>
        </row>
        <row r="400">
          <cell r="C400">
            <v>82000</v>
          </cell>
          <cell r="D400">
            <v>54010120</v>
          </cell>
        </row>
        <row r="401">
          <cell r="C401">
            <v>500000</v>
          </cell>
          <cell r="D401">
            <v>54010130</v>
          </cell>
        </row>
        <row r="402">
          <cell r="C402">
            <v>687150</v>
          </cell>
          <cell r="D402">
            <v>54010170</v>
          </cell>
        </row>
        <row r="403">
          <cell r="C403">
            <v>317330</v>
          </cell>
          <cell r="D403">
            <v>54010180</v>
          </cell>
        </row>
        <row r="404">
          <cell r="C404">
            <v>180000</v>
          </cell>
          <cell r="D404">
            <v>54010210</v>
          </cell>
        </row>
        <row r="405">
          <cell r="C405">
            <v>887500</v>
          </cell>
          <cell r="D405">
            <v>54010900</v>
          </cell>
        </row>
        <row r="406">
          <cell r="C406">
            <v>140000</v>
          </cell>
          <cell r="D406">
            <v>54010900</v>
          </cell>
        </row>
        <row r="407">
          <cell r="C407">
            <v>484000</v>
          </cell>
          <cell r="D407">
            <v>54010900</v>
          </cell>
        </row>
        <row r="408">
          <cell r="C408">
            <v>1900</v>
          </cell>
          <cell r="D408">
            <v>54030120</v>
          </cell>
        </row>
        <row r="409">
          <cell r="C409">
            <v>50000</v>
          </cell>
          <cell r="D409">
            <v>54030120</v>
          </cell>
        </row>
        <row r="410">
          <cell r="C410">
            <v>77880</v>
          </cell>
          <cell r="D410">
            <v>54030130</v>
          </cell>
        </row>
        <row r="411">
          <cell r="C411">
            <v>31590</v>
          </cell>
          <cell r="D411">
            <v>54070110</v>
          </cell>
        </row>
        <row r="412">
          <cell r="C412">
            <v>5430</v>
          </cell>
          <cell r="D412">
            <v>54070120</v>
          </cell>
        </row>
        <row r="413">
          <cell r="C413">
            <v>7780</v>
          </cell>
          <cell r="D413">
            <v>54070120</v>
          </cell>
        </row>
        <row r="414">
          <cell r="C414">
            <v>12000</v>
          </cell>
          <cell r="D414">
            <v>54090110</v>
          </cell>
        </row>
        <row r="415">
          <cell r="C415">
            <v>7125</v>
          </cell>
          <cell r="D415">
            <v>54150120</v>
          </cell>
        </row>
        <row r="416">
          <cell r="C416">
            <v>23500</v>
          </cell>
          <cell r="D416">
            <v>54150140</v>
          </cell>
        </row>
        <row r="417">
          <cell r="C417">
            <v>26020</v>
          </cell>
          <cell r="D417">
            <v>54150140</v>
          </cell>
        </row>
        <row r="418">
          <cell r="C418">
            <v>18000</v>
          </cell>
          <cell r="D418">
            <v>54150140</v>
          </cell>
        </row>
        <row r="419">
          <cell r="C419">
            <v>1890</v>
          </cell>
          <cell r="D419">
            <v>54150160</v>
          </cell>
        </row>
        <row r="420">
          <cell r="C420">
            <v>1600</v>
          </cell>
          <cell r="D420">
            <v>54150160</v>
          </cell>
        </row>
        <row r="421">
          <cell r="C421">
            <v>5480</v>
          </cell>
          <cell r="D421">
            <v>54150160</v>
          </cell>
        </row>
        <row r="422">
          <cell r="C422">
            <v>890</v>
          </cell>
          <cell r="D422">
            <v>54150160</v>
          </cell>
        </row>
        <row r="423">
          <cell r="C423">
            <v>540</v>
          </cell>
          <cell r="D423">
            <v>54150160</v>
          </cell>
        </row>
        <row r="424">
          <cell r="C424">
            <v>502</v>
          </cell>
          <cell r="D424">
            <v>54150160</v>
          </cell>
        </row>
        <row r="425">
          <cell r="C425">
            <v>3000</v>
          </cell>
          <cell r="D425">
            <v>54150160</v>
          </cell>
        </row>
        <row r="426">
          <cell r="C426">
            <v>5000</v>
          </cell>
          <cell r="D426">
            <v>54150160</v>
          </cell>
        </row>
        <row r="427">
          <cell r="C427">
            <v>91534</v>
          </cell>
          <cell r="D427">
            <v>54170130</v>
          </cell>
        </row>
        <row r="428">
          <cell r="C428">
            <v>2025057</v>
          </cell>
          <cell r="D428">
            <v>54190100</v>
          </cell>
        </row>
        <row r="429">
          <cell r="C429">
            <v>814943</v>
          </cell>
          <cell r="D429">
            <v>54190110</v>
          </cell>
        </row>
        <row r="430">
          <cell r="C430">
            <v>10989</v>
          </cell>
          <cell r="D430">
            <v>54190110</v>
          </cell>
        </row>
        <row r="431">
          <cell r="C431">
            <v>403</v>
          </cell>
          <cell r="D431">
            <v>54190110</v>
          </cell>
        </row>
        <row r="432">
          <cell r="C432">
            <v>500</v>
          </cell>
          <cell r="D432">
            <v>54230100</v>
          </cell>
        </row>
        <row r="433">
          <cell r="C433">
            <v>500</v>
          </cell>
          <cell r="D433">
            <v>54230100</v>
          </cell>
        </row>
        <row r="434">
          <cell r="C434">
            <v>500</v>
          </cell>
          <cell r="D434">
            <v>54230100</v>
          </cell>
        </row>
        <row r="435">
          <cell r="C435">
            <v>1090900</v>
          </cell>
          <cell r="D435">
            <v>54230100</v>
          </cell>
        </row>
        <row r="436">
          <cell r="C436">
            <v>191130</v>
          </cell>
          <cell r="D436">
            <v>54230100</v>
          </cell>
        </row>
        <row r="437">
          <cell r="C437">
            <v>11340</v>
          </cell>
          <cell r="D437">
            <v>54230100</v>
          </cell>
        </row>
        <row r="438">
          <cell r="C438">
            <v>500</v>
          </cell>
          <cell r="D438">
            <v>54230100</v>
          </cell>
        </row>
        <row r="439">
          <cell r="C439">
            <v>500</v>
          </cell>
          <cell r="D439">
            <v>54230100</v>
          </cell>
        </row>
        <row r="440">
          <cell r="C440">
            <v>500</v>
          </cell>
          <cell r="D440">
            <v>54230100</v>
          </cell>
        </row>
        <row r="441">
          <cell r="C441">
            <v>500</v>
          </cell>
          <cell r="D441">
            <v>54230100</v>
          </cell>
        </row>
        <row r="442">
          <cell r="C442">
            <v>500</v>
          </cell>
          <cell r="D442">
            <v>54230100</v>
          </cell>
        </row>
        <row r="443">
          <cell r="C443">
            <v>500</v>
          </cell>
          <cell r="D443">
            <v>54230100</v>
          </cell>
        </row>
        <row r="444">
          <cell r="C444">
            <v>500</v>
          </cell>
          <cell r="D444">
            <v>54230100</v>
          </cell>
        </row>
        <row r="445">
          <cell r="C445">
            <v>500</v>
          </cell>
          <cell r="D445">
            <v>54230100</v>
          </cell>
        </row>
        <row r="446">
          <cell r="C446">
            <v>500</v>
          </cell>
          <cell r="D446">
            <v>54230100</v>
          </cell>
        </row>
        <row r="447">
          <cell r="C447">
            <v>500</v>
          </cell>
          <cell r="D447">
            <v>54230100</v>
          </cell>
        </row>
        <row r="448">
          <cell r="C448">
            <v>500</v>
          </cell>
          <cell r="D448">
            <v>54230100</v>
          </cell>
        </row>
        <row r="449">
          <cell r="C449">
            <v>500</v>
          </cell>
          <cell r="D449">
            <v>54230100</v>
          </cell>
        </row>
        <row r="450">
          <cell r="C450">
            <v>600</v>
          </cell>
          <cell r="D450">
            <v>54230100</v>
          </cell>
        </row>
        <row r="451">
          <cell r="C451">
            <v>500</v>
          </cell>
          <cell r="D451">
            <v>54230100</v>
          </cell>
        </row>
        <row r="452">
          <cell r="C452">
            <v>500</v>
          </cell>
          <cell r="D452">
            <v>54230100</v>
          </cell>
        </row>
        <row r="453">
          <cell r="C453">
            <v>500</v>
          </cell>
          <cell r="D453">
            <v>54230100</v>
          </cell>
        </row>
        <row r="454">
          <cell r="C454">
            <v>500</v>
          </cell>
          <cell r="D454">
            <v>54230100</v>
          </cell>
        </row>
        <row r="455">
          <cell r="C455">
            <v>500</v>
          </cell>
          <cell r="D455">
            <v>54230100</v>
          </cell>
        </row>
        <row r="456">
          <cell r="C456">
            <v>500</v>
          </cell>
          <cell r="D456">
            <v>54230100</v>
          </cell>
        </row>
        <row r="457">
          <cell r="C457">
            <v>500</v>
          </cell>
          <cell r="D457">
            <v>54230100</v>
          </cell>
        </row>
        <row r="458">
          <cell r="C458">
            <v>500</v>
          </cell>
          <cell r="D458">
            <v>54230100</v>
          </cell>
        </row>
        <row r="459">
          <cell r="C459">
            <v>500</v>
          </cell>
          <cell r="D459">
            <v>54230100</v>
          </cell>
        </row>
        <row r="460">
          <cell r="C460">
            <v>4000</v>
          </cell>
          <cell r="D460">
            <v>54230100</v>
          </cell>
        </row>
        <row r="461">
          <cell r="C461">
            <v>21000</v>
          </cell>
          <cell r="D461">
            <v>54230100</v>
          </cell>
        </row>
        <row r="462">
          <cell r="C462">
            <v>17064</v>
          </cell>
          <cell r="D462">
            <v>54230100</v>
          </cell>
        </row>
        <row r="463">
          <cell r="C463">
            <v>7000</v>
          </cell>
          <cell r="D463">
            <v>54230100</v>
          </cell>
        </row>
        <row r="464">
          <cell r="C464">
            <v>260618</v>
          </cell>
          <cell r="D464">
            <v>54230100</v>
          </cell>
        </row>
        <row r="465">
          <cell r="C465">
            <v>148978</v>
          </cell>
          <cell r="D465">
            <v>54230100</v>
          </cell>
        </row>
        <row r="466">
          <cell r="C466">
            <v>158454</v>
          </cell>
          <cell r="D466">
            <v>54230100</v>
          </cell>
        </row>
        <row r="467">
          <cell r="C467">
            <v>77220</v>
          </cell>
          <cell r="D467">
            <v>54230100</v>
          </cell>
        </row>
        <row r="468">
          <cell r="C468">
            <v>37652</v>
          </cell>
          <cell r="D468">
            <v>54230100</v>
          </cell>
        </row>
        <row r="469">
          <cell r="C469">
            <v>25848</v>
          </cell>
          <cell r="D469">
            <v>54230100</v>
          </cell>
        </row>
        <row r="470">
          <cell r="C470">
            <v>535392</v>
          </cell>
          <cell r="D470">
            <v>54230100</v>
          </cell>
        </row>
        <row r="471">
          <cell r="C471">
            <v>72432</v>
          </cell>
          <cell r="D471">
            <v>54230100</v>
          </cell>
        </row>
        <row r="472">
          <cell r="C472">
            <v>38016</v>
          </cell>
          <cell r="D472">
            <v>54230100</v>
          </cell>
        </row>
        <row r="473">
          <cell r="C473">
            <v>34164</v>
          </cell>
          <cell r="D473">
            <v>54230100</v>
          </cell>
        </row>
        <row r="474">
          <cell r="C474">
            <v>6084</v>
          </cell>
          <cell r="D474">
            <v>54230100</v>
          </cell>
        </row>
        <row r="475">
          <cell r="C475">
            <v>145584</v>
          </cell>
          <cell r="D475">
            <v>54230100</v>
          </cell>
        </row>
        <row r="476">
          <cell r="C476">
            <v>140348</v>
          </cell>
          <cell r="D476">
            <v>54230100</v>
          </cell>
        </row>
        <row r="477">
          <cell r="C477">
            <v>58140</v>
          </cell>
          <cell r="D477">
            <v>54230100</v>
          </cell>
        </row>
        <row r="478">
          <cell r="C478">
            <v>91764</v>
          </cell>
          <cell r="D478">
            <v>54230100</v>
          </cell>
        </row>
        <row r="479">
          <cell r="C479">
            <v>31068</v>
          </cell>
          <cell r="D479">
            <v>54230100</v>
          </cell>
        </row>
        <row r="480">
          <cell r="C480">
            <v>242272</v>
          </cell>
          <cell r="D480">
            <v>54230100</v>
          </cell>
        </row>
        <row r="481">
          <cell r="C481">
            <v>213210</v>
          </cell>
          <cell r="D481">
            <v>54230100</v>
          </cell>
        </row>
        <row r="482">
          <cell r="C482">
            <v>55296</v>
          </cell>
          <cell r="D482">
            <v>54230100</v>
          </cell>
        </row>
        <row r="483">
          <cell r="C483">
            <v>176400</v>
          </cell>
          <cell r="D483">
            <v>54230100</v>
          </cell>
        </row>
        <row r="484">
          <cell r="C484">
            <v>48816</v>
          </cell>
          <cell r="D484">
            <v>54230100</v>
          </cell>
        </row>
        <row r="485">
          <cell r="C485">
            <v>77688</v>
          </cell>
          <cell r="D485">
            <v>54230100</v>
          </cell>
        </row>
        <row r="486">
          <cell r="C486">
            <v>79164</v>
          </cell>
          <cell r="D486">
            <v>54230100</v>
          </cell>
        </row>
        <row r="487">
          <cell r="C487">
            <v>124488</v>
          </cell>
          <cell r="D487">
            <v>54230100</v>
          </cell>
        </row>
        <row r="488">
          <cell r="C488">
            <v>33040</v>
          </cell>
          <cell r="D488">
            <v>54230100</v>
          </cell>
        </row>
        <row r="489">
          <cell r="C489">
            <v>109389</v>
          </cell>
          <cell r="D489">
            <v>54230100</v>
          </cell>
        </row>
        <row r="490">
          <cell r="C490">
            <v>53208</v>
          </cell>
          <cell r="D490">
            <v>54230100</v>
          </cell>
        </row>
        <row r="491">
          <cell r="C491">
            <v>33264</v>
          </cell>
          <cell r="D491">
            <v>54230100</v>
          </cell>
        </row>
        <row r="492">
          <cell r="C492">
            <v>84492</v>
          </cell>
          <cell r="D492">
            <v>54230100</v>
          </cell>
        </row>
        <row r="493">
          <cell r="C493">
            <v>214932</v>
          </cell>
          <cell r="D493">
            <v>54230100</v>
          </cell>
        </row>
        <row r="494">
          <cell r="C494">
            <v>78142</v>
          </cell>
          <cell r="D494">
            <v>54230100</v>
          </cell>
        </row>
        <row r="495">
          <cell r="C495">
            <v>168124</v>
          </cell>
          <cell r="D495">
            <v>54230100</v>
          </cell>
        </row>
        <row r="496">
          <cell r="C496">
            <v>57290</v>
          </cell>
          <cell r="D496">
            <v>54230100</v>
          </cell>
        </row>
        <row r="497">
          <cell r="C497">
            <v>118336</v>
          </cell>
          <cell r="D497">
            <v>54230100</v>
          </cell>
        </row>
        <row r="498">
          <cell r="C498">
            <v>68616</v>
          </cell>
          <cell r="D498">
            <v>54230100</v>
          </cell>
        </row>
        <row r="499">
          <cell r="C499">
            <v>211377</v>
          </cell>
          <cell r="D499">
            <v>54230100</v>
          </cell>
        </row>
        <row r="500">
          <cell r="C500">
            <v>103428</v>
          </cell>
          <cell r="D500">
            <v>54230100</v>
          </cell>
        </row>
        <row r="501">
          <cell r="C501">
            <v>59364</v>
          </cell>
          <cell r="D501">
            <v>54230100</v>
          </cell>
        </row>
        <row r="502">
          <cell r="C502">
            <v>142668</v>
          </cell>
          <cell r="D502">
            <v>54230100</v>
          </cell>
        </row>
        <row r="503">
          <cell r="C503">
            <v>29988</v>
          </cell>
          <cell r="D503">
            <v>54230100</v>
          </cell>
        </row>
        <row r="504">
          <cell r="C504">
            <v>91605</v>
          </cell>
          <cell r="D504">
            <v>54230100</v>
          </cell>
        </row>
        <row r="505">
          <cell r="C505">
            <v>45936</v>
          </cell>
          <cell r="D505">
            <v>54230100</v>
          </cell>
        </row>
        <row r="506">
          <cell r="C506">
            <v>44784</v>
          </cell>
          <cell r="D506">
            <v>54230100</v>
          </cell>
        </row>
        <row r="507">
          <cell r="C507">
            <v>38340</v>
          </cell>
          <cell r="D507">
            <v>54230100</v>
          </cell>
        </row>
        <row r="508">
          <cell r="C508">
            <v>810741</v>
          </cell>
          <cell r="D508">
            <v>54230100</v>
          </cell>
        </row>
        <row r="509">
          <cell r="C509">
            <v>48780</v>
          </cell>
          <cell r="D509">
            <v>54230100</v>
          </cell>
        </row>
        <row r="510">
          <cell r="C510">
            <v>121500</v>
          </cell>
          <cell r="D510">
            <v>54230100</v>
          </cell>
        </row>
        <row r="511">
          <cell r="C511">
            <v>145220</v>
          </cell>
          <cell r="D511">
            <v>54230100</v>
          </cell>
        </row>
        <row r="512">
          <cell r="C512">
            <v>135215</v>
          </cell>
          <cell r="D512">
            <v>54230100</v>
          </cell>
        </row>
        <row r="513">
          <cell r="C513">
            <v>78768</v>
          </cell>
          <cell r="D513">
            <v>54230100</v>
          </cell>
        </row>
        <row r="514">
          <cell r="C514">
            <v>25506</v>
          </cell>
          <cell r="D514">
            <v>54230100</v>
          </cell>
        </row>
        <row r="515">
          <cell r="C515">
            <v>43740</v>
          </cell>
          <cell r="D515">
            <v>54230100</v>
          </cell>
        </row>
        <row r="516">
          <cell r="C516">
            <v>132300</v>
          </cell>
          <cell r="D516">
            <v>54230100</v>
          </cell>
        </row>
        <row r="517">
          <cell r="C517">
            <v>64134</v>
          </cell>
          <cell r="D517">
            <v>54230100</v>
          </cell>
        </row>
        <row r="518">
          <cell r="C518">
            <v>55440</v>
          </cell>
          <cell r="D518">
            <v>54230100</v>
          </cell>
        </row>
        <row r="519">
          <cell r="C519">
            <v>133488</v>
          </cell>
          <cell r="D519">
            <v>54230100</v>
          </cell>
        </row>
        <row r="520">
          <cell r="C520">
            <v>56981</v>
          </cell>
          <cell r="D520">
            <v>54230100</v>
          </cell>
        </row>
        <row r="521">
          <cell r="C521">
            <v>1238162</v>
          </cell>
          <cell r="D521">
            <v>54230100</v>
          </cell>
        </row>
        <row r="522">
          <cell r="C522">
            <v>25380</v>
          </cell>
          <cell r="D522">
            <v>54230100</v>
          </cell>
        </row>
        <row r="523">
          <cell r="C523">
            <v>6000</v>
          </cell>
          <cell r="D523">
            <v>54230100</v>
          </cell>
        </row>
        <row r="524">
          <cell r="C524">
            <v>23652</v>
          </cell>
          <cell r="D524">
            <v>54230100</v>
          </cell>
        </row>
        <row r="525">
          <cell r="C525">
            <v>12400</v>
          </cell>
          <cell r="D525">
            <v>54230100</v>
          </cell>
        </row>
        <row r="526">
          <cell r="C526">
            <v>257176</v>
          </cell>
          <cell r="D526">
            <v>54230100</v>
          </cell>
        </row>
        <row r="527">
          <cell r="C527">
            <v>27972</v>
          </cell>
          <cell r="D527">
            <v>54230100</v>
          </cell>
        </row>
        <row r="528">
          <cell r="C528">
            <v>16720</v>
          </cell>
          <cell r="D528">
            <v>54230100</v>
          </cell>
        </row>
        <row r="529">
          <cell r="C529">
            <v>60588</v>
          </cell>
          <cell r="D529">
            <v>54230100</v>
          </cell>
        </row>
        <row r="530">
          <cell r="C530">
            <v>279575</v>
          </cell>
          <cell r="D530">
            <v>54230100</v>
          </cell>
        </row>
        <row r="531">
          <cell r="C531">
            <v>73980</v>
          </cell>
          <cell r="D531">
            <v>54230100</v>
          </cell>
        </row>
        <row r="532">
          <cell r="C532">
            <v>75838</v>
          </cell>
          <cell r="D532">
            <v>54230100</v>
          </cell>
        </row>
        <row r="533">
          <cell r="C533">
            <v>117390</v>
          </cell>
          <cell r="D533">
            <v>54230100</v>
          </cell>
        </row>
        <row r="534">
          <cell r="C534">
            <v>104350</v>
          </cell>
          <cell r="D534">
            <v>54230100</v>
          </cell>
        </row>
        <row r="535">
          <cell r="C535">
            <v>100357</v>
          </cell>
          <cell r="D535">
            <v>54230100</v>
          </cell>
        </row>
        <row r="536">
          <cell r="C536">
            <v>121162</v>
          </cell>
          <cell r="D536">
            <v>54230100</v>
          </cell>
        </row>
        <row r="537">
          <cell r="C537">
            <v>12320</v>
          </cell>
          <cell r="D537">
            <v>54230100</v>
          </cell>
        </row>
        <row r="538">
          <cell r="C538">
            <v>32148</v>
          </cell>
          <cell r="D538">
            <v>54230100</v>
          </cell>
        </row>
        <row r="539">
          <cell r="C539">
            <v>32720</v>
          </cell>
          <cell r="D539">
            <v>54230100</v>
          </cell>
        </row>
        <row r="540">
          <cell r="C540">
            <v>72396</v>
          </cell>
          <cell r="D540">
            <v>54230100</v>
          </cell>
        </row>
        <row r="541">
          <cell r="C541">
            <v>113506</v>
          </cell>
          <cell r="D541">
            <v>54230100</v>
          </cell>
        </row>
        <row r="542">
          <cell r="C542">
            <v>209624</v>
          </cell>
          <cell r="D542">
            <v>54230100</v>
          </cell>
        </row>
        <row r="543">
          <cell r="C543">
            <v>45216</v>
          </cell>
          <cell r="D543">
            <v>54230100</v>
          </cell>
        </row>
        <row r="544">
          <cell r="C544">
            <v>12960</v>
          </cell>
          <cell r="D544">
            <v>54230100</v>
          </cell>
        </row>
        <row r="545">
          <cell r="C545">
            <v>23760</v>
          </cell>
          <cell r="D545">
            <v>54230100</v>
          </cell>
        </row>
        <row r="546">
          <cell r="C546">
            <v>28519</v>
          </cell>
          <cell r="D546">
            <v>54230100</v>
          </cell>
        </row>
        <row r="547">
          <cell r="C547">
            <v>22608</v>
          </cell>
          <cell r="D547">
            <v>54230100</v>
          </cell>
        </row>
        <row r="548">
          <cell r="C548">
            <v>30240</v>
          </cell>
          <cell r="D548">
            <v>54230100</v>
          </cell>
        </row>
        <row r="549">
          <cell r="C549">
            <v>29480</v>
          </cell>
          <cell r="D549">
            <v>54230100</v>
          </cell>
        </row>
        <row r="550">
          <cell r="C550">
            <v>20988</v>
          </cell>
          <cell r="D550">
            <v>54230100</v>
          </cell>
        </row>
        <row r="551">
          <cell r="C551">
            <v>10560</v>
          </cell>
          <cell r="D551">
            <v>54230100</v>
          </cell>
        </row>
        <row r="552">
          <cell r="C552">
            <v>30186</v>
          </cell>
          <cell r="D552">
            <v>54230100</v>
          </cell>
        </row>
        <row r="553">
          <cell r="C553">
            <v>13520</v>
          </cell>
          <cell r="D553">
            <v>54230100</v>
          </cell>
        </row>
        <row r="554">
          <cell r="C554">
            <v>6000</v>
          </cell>
          <cell r="D554">
            <v>54230100</v>
          </cell>
        </row>
        <row r="555">
          <cell r="C555">
            <v>17964</v>
          </cell>
          <cell r="D555">
            <v>54230100</v>
          </cell>
        </row>
        <row r="556">
          <cell r="C556">
            <v>115560</v>
          </cell>
          <cell r="D556">
            <v>54230100</v>
          </cell>
        </row>
        <row r="557">
          <cell r="C557">
            <v>38772</v>
          </cell>
          <cell r="D557">
            <v>54230100</v>
          </cell>
        </row>
        <row r="558">
          <cell r="C558">
            <v>13500</v>
          </cell>
          <cell r="D558">
            <v>54230100</v>
          </cell>
        </row>
        <row r="559">
          <cell r="C559">
            <v>77868</v>
          </cell>
          <cell r="D559">
            <v>54230100</v>
          </cell>
        </row>
        <row r="560">
          <cell r="C560">
            <v>34272</v>
          </cell>
          <cell r="D560">
            <v>54230100</v>
          </cell>
        </row>
        <row r="561">
          <cell r="C561">
            <v>28591</v>
          </cell>
          <cell r="D561">
            <v>54230100</v>
          </cell>
        </row>
        <row r="562">
          <cell r="C562">
            <v>25452</v>
          </cell>
          <cell r="D562">
            <v>54230100</v>
          </cell>
        </row>
        <row r="563">
          <cell r="C563">
            <v>20280</v>
          </cell>
          <cell r="D563">
            <v>54230100</v>
          </cell>
        </row>
        <row r="564">
          <cell r="C564">
            <v>58860</v>
          </cell>
          <cell r="D564">
            <v>54230100</v>
          </cell>
        </row>
        <row r="565">
          <cell r="C565">
            <v>101088</v>
          </cell>
          <cell r="D565">
            <v>54230100</v>
          </cell>
        </row>
        <row r="566">
          <cell r="C566">
            <v>32256</v>
          </cell>
          <cell r="D566">
            <v>54230100</v>
          </cell>
        </row>
        <row r="567">
          <cell r="C567">
            <v>7308</v>
          </cell>
          <cell r="D567">
            <v>54230100</v>
          </cell>
        </row>
        <row r="568">
          <cell r="C568">
            <v>19656</v>
          </cell>
          <cell r="D568">
            <v>54230100</v>
          </cell>
        </row>
        <row r="569">
          <cell r="C569">
            <v>101214</v>
          </cell>
          <cell r="D569">
            <v>54230100</v>
          </cell>
        </row>
        <row r="570">
          <cell r="C570">
            <v>51696</v>
          </cell>
          <cell r="D570">
            <v>54230100</v>
          </cell>
        </row>
        <row r="571">
          <cell r="C571">
            <v>13176</v>
          </cell>
          <cell r="D571">
            <v>54230100</v>
          </cell>
        </row>
        <row r="572">
          <cell r="C572">
            <v>114138</v>
          </cell>
          <cell r="D572">
            <v>54230100</v>
          </cell>
        </row>
        <row r="573">
          <cell r="C573">
            <v>160307</v>
          </cell>
          <cell r="D573">
            <v>54230100</v>
          </cell>
        </row>
        <row r="574">
          <cell r="C574">
            <v>12168</v>
          </cell>
          <cell r="D574">
            <v>54230100</v>
          </cell>
        </row>
        <row r="575">
          <cell r="C575">
            <v>6760</v>
          </cell>
          <cell r="D575">
            <v>54230100</v>
          </cell>
        </row>
        <row r="576">
          <cell r="C576">
            <v>29484</v>
          </cell>
          <cell r="D576">
            <v>54230100</v>
          </cell>
        </row>
        <row r="577">
          <cell r="C577">
            <v>92635</v>
          </cell>
          <cell r="D577">
            <v>54230100</v>
          </cell>
        </row>
        <row r="578">
          <cell r="C578">
            <v>130176</v>
          </cell>
          <cell r="D578">
            <v>54230100</v>
          </cell>
        </row>
        <row r="579">
          <cell r="C579">
            <v>29052</v>
          </cell>
          <cell r="D579">
            <v>54230100</v>
          </cell>
        </row>
        <row r="580">
          <cell r="C580">
            <v>118080</v>
          </cell>
          <cell r="D580">
            <v>54230100</v>
          </cell>
        </row>
        <row r="581">
          <cell r="C581">
            <v>83023</v>
          </cell>
          <cell r="D581">
            <v>54230100</v>
          </cell>
        </row>
        <row r="582">
          <cell r="C582">
            <v>132688</v>
          </cell>
          <cell r="D582">
            <v>54230100</v>
          </cell>
        </row>
        <row r="583">
          <cell r="C583">
            <v>149436</v>
          </cell>
          <cell r="D583">
            <v>54230100</v>
          </cell>
        </row>
        <row r="584">
          <cell r="C584">
            <v>73490</v>
          </cell>
          <cell r="D584">
            <v>54230100</v>
          </cell>
        </row>
        <row r="585">
          <cell r="C585">
            <v>88380</v>
          </cell>
          <cell r="D585">
            <v>54230100</v>
          </cell>
        </row>
        <row r="586">
          <cell r="C586">
            <v>137390</v>
          </cell>
          <cell r="D586">
            <v>54230100</v>
          </cell>
        </row>
        <row r="587">
          <cell r="C587">
            <v>861845</v>
          </cell>
          <cell r="D587">
            <v>54230100</v>
          </cell>
        </row>
        <row r="588">
          <cell r="C588">
            <v>189144</v>
          </cell>
          <cell r="D588">
            <v>54230100</v>
          </cell>
        </row>
        <row r="589">
          <cell r="C589">
            <v>83070</v>
          </cell>
          <cell r="D589">
            <v>54230100</v>
          </cell>
        </row>
        <row r="590">
          <cell r="C590">
            <v>58140</v>
          </cell>
          <cell r="D590">
            <v>54230100</v>
          </cell>
        </row>
        <row r="591">
          <cell r="C591">
            <v>64188</v>
          </cell>
          <cell r="D591">
            <v>54230100</v>
          </cell>
        </row>
        <row r="592">
          <cell r="C592">
            <v>32238</v>
          </cell>
          <cell r="D592">
            <v>54230100</v>
          </cell>
        </row>
        <row r="593">
          <cell r="C593">
            <v>98010</v>
          </cell>
          <cell r="D593">
            <v>54230100</v>
          </cell>
        </row>
        <row r="594">
          <cell r="C594">
            <v>39456</v>
          </cell>
          <cell r="D594">
            <v>54230100</v>
          </cell>
        </row>
        <row r="595">
          <cell r="C595">
            <v>255888</v>
          </cell>
          <cell r="D595">
            <v>54230100</v>
          </cell>
        </row>
        <row r="596">
          <cell r="C596">
            <v>245779</v>
          </cell>
          <cell r="D596">
            <v>54230100</v>
          </cell>
        </row>
        <row r="597">
          <cell r="C597">
            <v>356608</v>
          </cell>
          <cell r="D597">
            <v>54230100</v>
          </cell>
        </row>
        <row r="598">
          <cell r="C598">
            <v>146376</v>
          </cell>
          <cell r="D598">
            <v>54230100</v>
          </cell>
        </row>
        <row r="599">
          <cell r="C599">
            <v>288126</v>
          </cell>
          <cell r="D599">
            <v>54230100</v>
          </cell>
        </row>
        <row r="600">
          <cell r="C600">
            <v>152924</v>
          </cell>
          <cell r="D600">
            <v>54230100</v>
          </cell>
        </row>
        <row r="601">
          <cell r="C601">
            <v>137700</v>
          </cell>
          <cell r="D601">
            <v>54230100</v>
          </cell>
        </row>
        <row r="602">
          <cell r="C602">
            <v>142308</v>
          </cell>
          <cell r="D602">
            <v>54230100</v>
          </cell>
        </row>
        <row r="603">
          <cell r="C603">
            <v>272444</v>
          </cell>
          <cell r="D603">
            <v>54230100</v>
          </cell>
        </row>
        <row r="604">
          <cell r="C604">
            <v>48420</v>
          </cell>
          <cell r="D604">
            <v>54230100</v>
          </cell>
        </row>
        <row r="605">
          <cell r="C605">
            <v>7800</v>
          </cell>
          <cell r="D605">
            <v>54230100</v>
          </cell>
        </row>
        <row r="606">
          <cell r="C606">
            <v>523992</v>
          </cell>
          <cell r="D606">
            <v>54230100</v>
          </cell>
        </row>
        <row r="607">
          <cell r="C607">
            <v>30528</v>
          </cell>
          <cell r="D607">
            <v>54230100</v>
          </cell>
        </row>
        <row r="608">
          <cell r="C608">
            <v>105084</v>
          </cell>
          <cell r="D608">
            <v>54230100</v>
          </cell>
        </row>
        <row r="609">
          <cell r="C609">
            <v>40176</v>
          </cell>
          <cell r="D609">
            <v>54230100</v>
          </cell>
        </row>
        <row r="610">
          <cell r="C610">
            <v>26820</v>
          </cell>
          <cell r="D610">
            <v>54230100</v>
          </cell>
        </row>
        <row r="611">
          <cell r="C611">
            <v>213768</v>
          </cell>
          <cell r="D611">
            <v>54230100</v>
          </cell>
        </row>
        <row r="612">
          <cell r="C612">
            <v>150696</v>
          </cell>
          <cell r="D612">
            <v>54230100</v>
          </cell>
        </row>
        <row r="613">
          <cell r="C613">
            <v>127188</v>
          </cell>
          <cell r="D613">
            <v>54230100</v>
          </cell>
        </row>
        <row r="614">
          <cell r="C614">
            <v>194111</v>
          </cell>
          <cell r="D614">
            <v>54230100</v>
          </cell>
        </row>
        <row r="615">
          <cell r="C615">
            <v>120600</v>
          </cell>
          <cell r="D615">
            <v>54230100</v>
          </cell>
        </row>
        <row r="616">
          <cell r="C616">
            <v>72324</v>
          </cell>
          <cell r="D616">
            <v>54230100</v>
          </cell>
        </row>
        <row r="617">
          <cell r="C617">
            <v>195552</v>
          </cell>
          <cell r="D617">
            <v>54230100</v>
          </cell>
        </row>
        <row r="618">
          <cell r="C618">
            <v>412164</v>
          </cell>
          <cell r="D618">
            <v>54230100</v>
          </cell>
        </row>
        <row r="619">
          <cell r="C619">
            <v>121464</v>
          </cell>
          <cell r="D619">
            <v>54230100</v>
          </cell>
        </row>
        <row r="620">
          <cell r="C620">
            <v>17208</v>
          </cell>
          <cell r="D620">
            <v>54230100</v>
          </cell>
        </row>
        <row r="621">
          <cell r="C621">
            <v>50240</v>
          </cell>
          <cell r="D621">
            <v>54230100</v>
          </cell>
        </row>
        <row r="622">
          <cell r="C622">
            <v>19000</v>
          </cell>
          <cell r="D622">
            <v>54230100</v>
          </cell>
        </row>
        <row r="623">
          <cell r="C623">
            <v>50256</v>
          </cell>
          <cell r="D623">
            <v>54230100</v>
          </cell>
        </row>
        <row r="624">
          <cell r="C624">
            <v>53370</v>
          </cell>
          <cell r="D624">
            <v>54230100</v>
          </cell>
        </row>
        <row r="625">
          <cell r="C625">
            <v>20960</v>
          </cell>
          <cell r="D625">
            <v>54230100</v>
          </cell>
        </row>
        <row r="626">
          <cell r="C626">
            <v>18288</v>
          </cell>
          <cell r="D626">
            <v>54230100</v>
          </cell>
        </row>
        <row r="627">
          <cell r="C627">
            <v>20124</v>
          </cell>
          <cell r="D627">
            <v>54230100</v>
          </cell>
        </row>
        <row r="628">
          <cell r="C628">
            <v>5700000</v>
          </cell>
          <cell r="D628">
            <v>54230110</v>
          </cell>
        </row>
        <row r="629">
          <cell r="C629">
            <v>300000</v>
          </cell>
          <cell r="D629">
            <v>54230110</v>
          </cell>
        </row>
        <row r="630">
          <cell r="C630">
            <v>500</v>
          </cell>
          <cell r="D630">
            <v>54230990</v>
          </cell>
        </row>
        <row r="631">
          <cell r="C631">
            <v>8000200</v>
          </cell>
          <cell r="D631">
            <v>54290110</v>
          </cell>
        </row>
        <row r="632">
          <cell r="C632">
            <v>82385</v>
          </cell>
          <cell r="D632">
            <v>54330110</v>
          </cell>
        </row>
        <row r="633">
          <cell r="C633">
            <v>166890</v>
          </cell>
          <cell r="D633">
            <v>54330110</v>
          </cell>
        </row>
        <row r="634">
          <cell r="C634">
            <v>166504</v>
          </cell>
          <cell r="D634">
            <v>54330120</v>
          </cell>
        </row>
        <row r="635">
          <cell r="C635">
            <v>109500</v>
          </cell>
          <cell r="D635">
            <v>54410100</v>
          </cell>
        </row>
        <row r="636">
          <cell r="C636">
            <v>222000</v>
          </cell>
          <cell r="D636">
            <v>54410100</v>
          </cell>
        </row>
        <row r="637">
          <cell r="C637">
            <v>137000</v>
          </cell>
          <cell r="D637">
            <v>54410100</v>
          </cell>
        </row>
        <row r="638">
          <cell r="C638">
            <v>156000</v>
          </cell>
          <cell r="D638">
            <v>54410100</v>
          </cell>
        </row>
        <row r="639">
          <cell r="C639">
            <v>30000</v>
          </cell>
          <cell r="D639">
            <v>54410100</v>
          </cell>
        </row>
        <row r="640">
          <cell r="C640">
            <v>55000</v>
          </cell>
          <cell r="D640">
            <v>54410100</v>
          </cell>
        </row>
        <row r="641">
          <cell r="C641">
            <v>44000</v>
          </cell>
          <cell r="D641">
            <v>54410110</v>
          </cell>
        </row>
        <row r="642">
          <cell r="C642">
            <v>114600</v>
          </cell>
          <cell r="D642">
            <v>54590500</v>
          </cell>
        </row>
        <row r="643">
          <cell r="C643">
            <v>56852670</v>
          </cell>
          <cell r="D643">
            <v>53010200</v>
          </cell>
        </row>
        <row r="644">
          <cell r="C644">
            <v>405032</v>
          </cell>
          <cell r="D644">
            <v>53050100</v>
          </cell>
        </row>
        <row r="645">
          <cell r="C645">
            <v>695454</v>
          </cell>
          <cell r="D645">
            <v>53050100</v>
          </cell>
        </row>
        <row r="646">
          <cell r="C646">
            <v>434714</v>
          </cell>
          <cell r="D646">
            <v>53050100</v>
          </cell>
        </row>
        <row r="647">
          <cell r="C647">
            <v>363065</v>
          </cell>
          <cell r="D647">
            <v>53050100</v>
          </cell>
        </row>
        <row r="648">
          <cell r="C648">
            <v>365315</v>
          </cell>
          <cell r="D648">
            <v>53050100</v>
          </cell>
        </row>
        <row r="649">
          <cell r="C649">
            <v>432838</v>
          </cell>
          <cell r="D649">
            <v>53050100</v>
          </cell>
        </row>
        <row r="650">
          <cell r="C650">
            <v>405281</v>
          </cell>
          <cell r="D650">
            <v>53050100</v>
          </cell>
        </row>
        <row r="651">
          <cell r="C651">
            <v>643569</v>
          </cell>
          <cell r="D651">
            <v>53050100</v>
          </cell>
        </row>
        <row r="652">
          <cell r="C652">
            <v>247328</v>
          </cell>
          <cell r="D652">
            <v>53050100</v>
          </cell>
        </row>
        <row r="653">
          <cell r="C653">
            <v>359202</v>
          </cell>
          <cell r="D653">
            <v>53050100</v>
          </cell>
        </row>
        <row r="654">
          <cell r="C654">
            <v>265347</v>
          </cell>
          <cell r="D654">
            <v>53050100</v>
          </cell>
        </row>
        <row r="655">
          <cell r="C655">
            <v>32010</v>
          </cell>
          <cell r="D655">
            <v>54010100</v>
          </cell>
        </row>
        <row r="656">
          <cell r="C656">
            <v>18500</v>
          </cell>
          <cell r="D656">
            <v>54010100</v>
          </cell>
        </row>
        <row r="657">
          <cell r="C657">
            <v>10950</v>
          </cell>
          <cell r="D657">
            <v>54010100</v>
          </cell>
        </row>
        <row r="658">
          <cell r="C658">
            <v>11000</v>
          </cell>
          <cell r="D658">
            <v>54010100</v>
          </cell>
        </row>
        <row r="659">
          <cell r="C659">
            <v>12650</v>
          </cell>
          <cell r="D659">
            <v>54010100</v>
          </cell>
        </row>
        <row r="660">
          <cell r="C660">
            <v>7950</v>
          </cell>
          <cell r="D660">
            <v>54010100</v>
          </cell>
        </row>
        <row r="661">
          <cell r="C661">
            <v>52650</v>
          </cell>
          <cell r="D661">
            <v>54010100</v>
          </cell>
        </row>
        <row r="662">
          <cell r="C662">
            <v>18500</v>
          </cell>
          <cell r="D662">
            <v>54010100</v>
          </cell>
        </row>
        <row r="663">
          <cell r="C663">
            <v>18500</v>
          </cell>
          <cell r="D663">
            <v>54010100</v>
          </cell>
        </row>
        <row r="664">
          <cell r="C664">
            <v>86600</v>
          </cell>
          <cell r="D664">
            <v>54010100</v>
          </cell>
        </row>
        <row r="665">
          <cell r="C665">
            <v>53350</v>
          </cell>
          <cell r="D665">
            <v>54010100</v>
          </cell>
        </row>
        <row r="666">
          <cell r="C666">
            <v>12650</v>
          </cell>
          <cell r="D666">
            <v>54010100</v>
          </cell>
        </row>
        <row r="667">
          <cell r="C667">
            <v>63180</v>
          </cell>
          <cell r="D667">
            <v>54010100</v>
          </cell>
        </row>
        <row r="668">
          <cell r="C668">
            <v>11000</v>
          </cell>
          <cell r="D668">
            <v>54010100</v>
          </cell>
        </row>
        <row r="669">
          <cell r="C669">
            <v>86600</v>
          </cell>
          <cell r="D669">
            <v>54010100</v>
          </cell>
        </row>
        <row r="670">
          <cell r="C670">
            <v>105300</v>
          </cell>
          <cell r="D670">
            <v>54010100</v>
          </cell>
        </row>
        <row r="671">
          <cell r="C671">
            <v>11000</v>
          </cell>
          <cell r="D671">
            <v>54010100</v>
          </cell>
        </row>
        <row r="672">
          <cell r="C672">
            <v>11000</v>
          </cell>
          <cell r="D672">
            <v>54010100</v>
          </cell>
        </row>
        <row r="673">
          <cell r="C673">
            <v>10950</v>
          </cell>
          <cell r="D673">
            <v>54010100</v>
          </cell>
        </row>
        <row r="674">
          <cell r="C674">
            <v>14000</v>
          </cell>
          <cell r="D674">
            <v>54010100</v>
          </cell>
        </row>
        <row r="675">
          <cell r="C675">
            <v>4800</v>
          </cell>
          <cell r="D675">
            <v>54010100</v>
          </cell>
        </row>
        <row r="676">
          <cell r="C676">
            <v>14000</v>
          </cell>
          <cell r="D676">
            <v>54010100</v>
          </cell>
        </row>
        <row r="677">
          <cell r="C677">
            <v>16000</v>
          </cell>
          <cell r="D677">
            <v>54010100</v>
          </cell>
        </row>
        <row r="678">
          <cell r="C678">
            <v>96000</v>
          </cell>
          <cell r="D678">
            <v>54010100</v>
          </cell>
        </row>
        <row r="679">
          <cell r="C679">
            <v>40000</v>
          </cell>
          <cell r="D679">
            <v>54010100</v>
          </cell>
        </row>
        <row r="680">
          <cell r="C680">
            <v>28400</v>
          </cell>
          <cell r="D680">
            <v>54010100</v>
          </cell>
        </row>
        <row r="681">
          <cell r="C681">
            <v>40000</v>
          </cell>
          <cell r="D681">
            <v>54010100</v>
          </cell>
        </row>
        <row r="682">
          <cell r="C682">
            <v>100000</v>
          </cell>
          <cell r="D682">
            <v>54010100</v>
          </cell>
        </row>
        <row r="683">
          <cell r="C683">
            <v>17500</v>
          </cell>
          <cell r="D683">
            <v>54010100</v>
          </cell>
        </row>
        <row r="684">
          <cell r="C684">
            <v>18000</v>
          </cell>
          <cell r="D684">
            <v>54010100</v>
          </cell>
        </row>
        <row r="685">
          <cell r="C685">
            <v>99000</v>
          </cell>
          <cell r="D685">
            <v>54010100</v>
          </cell>
        </row>
        <row r="686">
          <cell r="C686">
            <v>14250</v>
          </cell>
          <cell r="D686">
            <v>54010100</v>
          </cell>
        </row>
        <row r="687">
          <cell r="C687">
            <v>25000</v>
          </cell>
          <cell r="D687">
            <v>54010100</v>
          </cell>
        </row>
        <row r="688">
          <cell r="C688">
            <v>34000</v>
          </cell>
          <cell r="D688">
            <v>54010100</v>
          </cell>
        </row>
        <row r="689">
          <cell r="C689">
            <v>28000</v>
          </cell>
          <cell r="D689">
            <v>54010100</v>
          </cell>
        </row>
        <row r="690">
          <cell r="C690">
            <v>56000</v>
          </cell>
          <cell r="D690">
            <v>54010100</v>
          </cell>
        </row>
        <row r="691">
          <cell r="C691">
            <v>24500</v>
          </cell>
          <cell r="D691">
            <v>54010100</v>
          </cell>
        </row>
        <row r="692">
          <cell r="C692">
            <v>25000</v>
          </cell>
          <cell r="D692">
            <v>54010100</v>
          </cell>
        </row>
        <row r="693">
          <cell r="C693">
            <v>18000</v>
          </cell>
          <cell r="D693">
            <v>54010100</v>
          </cell>
        </row>
        <row r="694">
          <cell r="C694">
            <v>24000</v>
          </cell>
          <cell r="D694">
            <v>54010100</v>
          </cell>
        </row>
        <row r="695">
          <cell r="C695">
            <v>13500</v>
          </cell>
          <cell r="D695">
            <v>54010110</v>
          </cell>
        </row>
        <row r="696">
          <cell r="C696">
            <v>12000</v>
          </cell>
          <cell r="D696">
            <v>54010110</v>
          </cell>
        </row>
        <row r="697">
          <cell r="C697">
            <v>46000</v>
          </cell>
          <cell r="D697">
            <v>54010110</v>
          </cell>
        </row>
        <row r="698">
          <cell r="C698">
            <v>11000</v>
          </cell>
          <cell r="D698">
            <v>54010110</v>
          </cell>
        </row>
        <row r="699">
          <cell r="C699">
            <v>12000</v>
          </cell>
          <cell r="D699">
            <v>54010110</v>
          </cell>
        </row>
        <row r="700">
          <cell r="C700">
            <v>15200</v>
          </cell>
          <cell r="D700">
            <v>54010110</v>
          </cell>
        </row>
        <row r="701">
          <cell r="C701">
            <v>6800</v>
          </cell>
          <cell r="D701">
            <v>54010110</v>
          </cell>
        </row>
        <row r="702">
          <cell r="C702">
            <v>30000</v>
          </cell>
          <cell r="D702">
            <v>54010110</v>
          </cell>
        </row>
        <row r="703">
          <cell r="C703">
            <v>36400</v>
          </cell>
          <cell r="D703">
            <v>54010110</v>
          </cell>
        </row>
        <row r="704">
          <cell r="C704">
            <v>80000</v>
          </cell>
          <cell r="D704">
            <v>54010110</v>
          </cell>
        </row>
        <row r="705">
          <cell r="C705">
            <v>38000</v>
          </cell>
          <cell r="D705">
            <v>54010110</v>
          </cell>
        </row>
        <row r="706">
          <cell r="C706">
            <v>10000</v>
          </cell>
          <cell r="D706">
            <v>54010110</v>
          </cell>
        </row>
        <row r="707">
          <cell r="C707">
            <v>42000</v>
          </cell>
          <cell r="D707">
            <v>54010110</v>
          </cell>
        </row>
        <row r="708">
          <cell r="C708">
            <v>36000</v>
          </cell>
          <cell r="D708">
            <v>54010110</v>
          </cell>
        </row>
        <row r="709">
          <cell r="C709">
            <v>23000</v>
          </cell>
          <cell r="D709">
            <v>54010110</v>
          </cell>
        </row>
        <row r="710">
          <cell r="C710">
            <v>205000</v>
          </cell>
          <cell r="D710">
            <v>54010130</v>
          </cell>
        </row>
        <row r="711">
          <cell r="C711">
            <v>18600</v>
          </cell>
          <cell r="D711">
            <v>54010150</v>
          </cell>
        </row>
        <row r="712">
          <cell r="C712">
            <v>27900</v>
          </cell>
          <cell r="D712">
            <v>54010150</v>
          </cell>
        </row>
        <row r="713">
          <cell r="C713">
            <v>2205000</v>
          </cell>
          <cell r="D713">
            <v>54010170</v>
          </cell>
        </row>
        <row r="714">
          <cell r="C714">
            <v>1193390</v>
          </cell>
          <cell r="D714">
            <v>54010180</v>
          </cell>
        </row>
        <row r="715">
          <cell r="C715">
            <v>180000</v>
          </cell>
          <cell r="D715">
            <v>54010210</v>
          </cell>
        </row>
        <row r="716">
          <cell r="C716">
            <v>180000</v>
          </cell>
          <cell r="D716">
            <v>54010210</v>
          </cell>
        </row>
        <row r="717">
          <cell r="C717">
            <v>20300</v>
          </cell>
          <cell r="D717">
            <v>54030120</v>
          </cell>
        </row>
        <row r="718">
          <cell r="C718">
            <v>42390</v>
          </cell>
          <cell r="D718">
            <v>54070110</v>
          </cell>
        </row>
        <row r="719">
          <cell r="C719">
            <v>9660</v>
          </cell>
          <cell r="D719">
            <v>54070120</v>
          </cell>
        </row>
        <row r="720">
          <cell r="C720">
            <v>14300</v>
          </cell>
          <cell r="D720">
            <v>54070130</v>
          </cell>
        </row>
        <row r="721">
          <cell r="C721">
            <v>-52500</v>
          </cell>
          <cell r="D721">
            <v>54070150</v>
          </cell>
        </row>
        <row r="722">
          <cell r="C722">
            <v>52500</v>
          </cell>
          <cell r="D722">
            <v>54070150</v>
          </cell>
        </row>
        <row r="723">
          <cell r="C723">
            <v>2430000</v>
          </cell>
          <cell r="D723">
            <v>54090130</v>
          </cell>
        </row>
        <row r="724">
          <cell r="C724">
            <v>180000</v>
          </cell>
          <cell r="D724">
            <v>54110100</v>
          </cell>
        </row>
        <row r="725">
          <cell r="C725">
            <v>60100</v>
          </cell>
          <cell r="D725">
            <v>54110100</v>
          </cell>
        </row>
        <row r="726">
          <cell r="C726">
            <v>220000</v>
          </cell>
          <cell r="D726">
            <v>54110100</v>
          </cell>
        </row>
        <row r="727">
          <cell r="C727">
            <v>35000</v>
          </cell>
          <cell r="D727">
            <v>54110100</v>
          </cell>
        </row>
        <row r="728">
          <cell r="C728">
            <v>200000</v>
          </cell>
          <cell r="D728">
            <v>54110100</v>
          </cell>
        </row>
        <row r="729">
          <cell r="C729">
            <v>14590000</v>
          </cell>
          <cell r="D729">
            <v>54110100</v>
          </cell>
        </row>
        <row r="730">
          <cell r="C730">
            <v>600000</v>
          </cell>
          <cell r="D730">
            <v>54110100</v>
          </cell>
        </row>
        <row r="731">
          <cell r="C731">
            <v>1320000</v>
          </cell>
          <cell r="D731">
            <v>54110100</v>
          </cell>
        </row>
        <row r="732">
          <cell r="C732">
            <v>220000</v>
          </cell>
          <cell r="D732">
            <v>54110100</v>
          </cell>
        </row>
        <row r="733">
          <cell r="C733">
            <v>200000</v>
          </cell>
          <cell r="D733">
            <v>54110100</v>
          </cell>
        </row>
        <row r="734">
          <cell r="C734">
            <v>5100000</v>
          </cell>
          <cell r="D734">
            <v>54110100</v>
          </cell>
        </row>
        <row r="735">
          <cell r="C735">
            <v>11800</v>
          </cell>
          <cell r="D735">
            <v>54110100</v>
          </cell>
        </row>
        <row r="736">
          <cell r="C736">
            <v>5354000</v>
          </cell>
          <cell r="D736">
            <v>54110100</v>
          </cell>
        </row>
        <row r="737">
          <cell r="C737">
            <v>11200</v>
          </cell>
          <cell r="D737">
            <v>54110100</v>
          </cell>
        </row>
        <row r="738">
          <cell r="C738">
            <v>12900</v>
          </cell>
          <cell r="D738">
            <v>54110100</v>
          </cell>
        </row>
        <row r="739">
          <cell r="C739">
            <v>150000</v>
          </cell>
          <cell r="D739">
            <v>54110100</v>
          </cell>
        </row>
        <row r="740">
          <cell r="C740">
            <v>2687160</v>
          </cell>
          <cell r="D740">
            <v>54110100</v>
          </cell>
        </row>
        <row r="741">
          <cell r="C741">
            <v>3407800</v>
          </cell>
          <cell r="D741">
            <v>54110100</v>
          </cell>
        </row>
        <row r="742">
          <cell r="C742">
            <v>30000</v>
          </cell>
          <cell r="D742">
            <v>54110100</v>
          </cell>
        </row>
        <row r="743">
          <cell r="C743">
            <v>10000</v>
          </cell>
          <cell r="D743">
            <v>54110100</v>
          </cell>
        </row>
        <row r="744">
          <cell r="C744">
            <v>17100</v>
          </cell>
          <cell r="D744">
            <v>54110100</v>
          </cell>
        </row>
        <row r="745">
          <cell r="C745">
            <v>3489000</v>
          </cell>
          <cell r="D745">
            <v>54110100</v>
          </cell>
        </row>
        <row r="746">
          <cell r="C746">
            <v>430000</v>
          </cell>
          <cell r="D746">
            <v>54110100</v>
          </cell>
        </row>
        <row r="747">
          <cell r="C747">
            <v>1000058</v>
          </cell>
          <cell r="D747">
            <v>54110100</v>
          </cell>
        </row>
        <row r="748">
          <cell r="C748">
            <v>587782</v>
          </cell>
          <cell r="D748">
            <v>54110100</v>
          </cell>
        </row>
        <row r="749">
          <cell r="C749">
            <v>8579640</v>
          </cell>
          <cell r="D749">
            <v>54110100</v>
          </cell>
        </row>
        <row r="750">
          <cell r="C750">
            <v>242461</v>
          </cell>
          <cell r="D750">
            <v>54110100</v>
          </cell>
        </row>
        <row r="751">
          <cell r="C751">
            <v>496490</v>
          </cell>
          <cell r="D751">
            <v>54110100</v>
          </cell>
        </row>
        <row r="752">
          <cell r="C752">
            <v>431887</v>
          </cell>
          <cell r="D752">
            <v>54110100</v>
          </cell>
        </row>
        <row r="753">
          <cell r="C753">
            <v>115000</v>
          </cell>
          <cell r="D753">
            <v>54110100</v>
          </cell>
        </row>
        <row r="754">
          <cell r="C754">
            <v>2700000</v>
          </cell>
          <cell r="D754">
            <v>54110100</v>
          </cell>
        </row>
        <row r="755">
          <cell r="C755">
            <v>3000</v>
          </cell>
          <cell r="D755">
            <v>54110100</v>
          </cell>
        </row>
        <row r="756">
          <cell r="C756">
            <v>54000</v>
          </cell>
          <cell r="D756">
            <v>54110100</v>
          </cell>
        </row>
        <row r="757">
          <cell r="C757">
            <v>107400</v>
          </cell>
          <cell r="D757">
            <v>54110100</v>
          </cell>
        </row>
        <row r="758">
          <cell r="C758">
            <v>-16204870</v>
          </cell>
          <cell r="D758">
            <v>54110110</v>
          </cell>
        </row>
        <row r="759">
          <cell r="C759">
            <v>640000</v>
          </cell>
          <cell r="D759">
            <v>54110110</v>
          </cell>
        </row>
        <row r="760">
          <cell r="C760">
            <v>88500</v>
          </cell>
          <cell r="D760">
            <v>54110110</v>
          </cell>
        </row>
        <row r="761">
          <cell r="C761">
            <v>13700</v>
          </cell>
          <cell r="D761">
            <v>54110110</v>
          </cell>
        </row>
        <row r="762">
          <cell r="C762">
            <v>95000</v>
          </cell>
          <cell r="D762">
            <v>54110110</v>
          </cell>
        </row>
        <row r="763">
          <cell r="C763">
            <v>70550</v>
          </cell>
          <cell r="D763">
            <v>54110110</v>
          </cell>
        </row>
        <row r="764">
          <cell r="C764">
            <v>1730000</v>
          </cell>
          <cell r="D764">
            <v>54110110</v>
          </cell>
        </row>
        <row r="765">
          <cell r="C765">
            <v>16000</v>
          </cell>
          <cell r="D765">
            <v>54110110</v>
          </cell>
        </row>
        <row r="766">
          <cell r="C766">
            <v>466200</v>
          </cell>
          <cell r="D766">
            <v>54110110</v>
          </cell>
        </row>
        <row r="767">
          <cell r="C767">
            <v>65100</v>
          </cell>
          <cell r="D767">
            <v>54110110</v>
          </cell>
        </row>
        <row r="768">
          <cell r="C768">
            <v>155000</v>
          </cell>
          <cell r="D768">
            <v>54110110</v>
          </cell>
        </row>
        <row r="769">
          <cell r="C769">
            <v>14800</v>
          </cell>
          <cell r="D769">
            <v>54110110</v>
          </cell>
        </row>
        <row r="770">
          <cell r="C770">
            <v>78700</v>
          </cell>
          <cell r="D770">
            <v>54110110</v>
          </cell>
        </row>
        <row r="771">
          <cell r="C771">
            <v>559000</v>
          </cell>
          <cell r="D771">
            <v>54110110</v>
          </cell>
        </row>
        <row r="772">
          <cell r="C772">
            <v>32560</v>
          </cell>
          <cell r="D772">
            <v>54110110</v>
          </cell>
        </row>
        <row r="773">
          <cell r="C773">
            <v>185000</v>
          </cell>
          <cell r="D773">
            <v>54110110</v>
          </cell>
        </row>
        <row r="774">
          <cell r="C774">
            <v>43100</v>
          </cell>
          <cell r="D774">
            <v>54110110</v>
          </cell>
        </row>
        <row r="775">
          <cell r="C775">
            <v>560000</v>
          </cell>
          <cell r="D775">
            <v>54110110</v>
          </cell>
        </row>
        <row r="776">
          <cell r="C776">
            <v>1810000</v>
          </cell>
          <cell r="D776">
            <v>54110110</v>
          </cell>
        </row>
        <row r="777">
          <cell r="C777">
            <v>-749000</v>
          </cell>
          <cell r="D777">
            <v>54110120</v>
          </cell>
        </row>
        <row r="778">
          <cell r="C778">
            <v>-354600</v>
          </cell>
          <cell r="D778">
            <v>54110120</v>
          </cell>
        </row>
        <row r="779">
          <cell r="C779">
            <v>354600</v>
          </cell>
          <cell r="D779">
            <v>54110120</v>
          </cell>
        </row>
        <row r="780">
          <cell r="C780">
            <v>749000</v>
          </cell>
          <cell r="D780">
            <v>54110120</v>
          </cell>
        </row>
        <row r="781">
          <cell r="C781">
            <v>19823030</v>
          </cell>
          <cell r="D781">
            <v>54110120</v>
          </cell>
        </row>
        <row r="782">
          <cell r="C782">
            <v>15429690</v>
          </cell>
          <cell r="D782">
            <v>54110120</v>
          </cell>
        </row>
        <row r="783">
          <cell r="C783">
            <v>2001000</v>
          </cell>
          <cell r="D783">
            <v>54110120</v>
          </cell>
        </row>
        <row r="784">
          <cell r="C784">
            <v>3800000</v>
          </cell>
          <cell r="D784">
            <v>54110120</v>
          </cell>
        </row>
        <row r="785">
          <cell r="C785">
            <v>50000</v>
          </cell>
          <cell r="D785">
            <v>54110120</v>
          </cell>
        </row>
        <row r="786">
          <cell r="C786">
            <v>297300</v>
          </cell>
          <cell r="D786">
            <v>54110120</v>
          </cell>
        </row>
        <row r="787">
          <cell r="C787">
            <v>749000</v>
          </cell>
          <cell r="D787">
            <v>54110120</v>
          </cell>
        </row>
        <row r="788">
          <cell r="C788">
            <v>354600</v>
          </cell>
          <cell r="D788">
            <v>54110120</v>
          </cell>
        </row>
        <row r="789">
          <cell r="C789">
            <v>1300000</v>
          </cell>
          <cell r="D789">
            <v>54110140</v>
          </cell>
        </row>
        <row r="790">
          <cell r="C790">
            <v>30000</v>
          </cell>
          <cell r="D790">
            <v>54110140</v>
          </cell>
        </row>
        <row r="791">
          <cell r="C791">
            <v>236300</v>
          </cell>
          <cell r="D791">
            <v>54150100</v>
          </cell>
        </row>
        <row r="792">
          <cell r="C792">
            <v>275833</v>
          </cell>
          <cell r="D792">
            <v>54170130</v>
          </cell>
        </row>
        <row r="793">
          <cell r="C793">
            <v>5670159</v>
          </cell>
          <cell r="D793">
            <v>54190100</v>
          </cell>
        </row>
        <row r="794">
          <cell r="C794">
            <v>2281841</v>
          </cell>
          <cell r="D794">
            <v>54190110</v>
          </cell>
        </row>
        <row r="795">
          <cell r="C795">
            <v>30768</v>
          </cell>
          <cell r="D795">
            <v>54190110</v>
          </cell>
        </row>
        <row r="796">
          <cell r="C796">
            <v>1130</v>
          </cell>
          <cell r="D796">
            <v>54190110</v>
          </cell>
        </row>
        <row r="797">
          <cell r="C797">
            <v>4500</v>
          </cell>
          <cell r="D797">
            <v>54230100</v>
          </cell>
        </row>
        <row r="798">
          <cell r="C798">
            <v>20000</v>
          </cell>
          <cell r="D798">
            <v>54230990</v>
          </cell>
        </row>
        <row r="799">
          <cell r="C799">
            <v>248269</v>
          </cell>
          <cell r="D799">
            <v>54330110</v>
          </cell>
        </row>
        <row r="800">
          <cell r="C800">
            <v>504557</v>
          </cell>
          <cell r="D800">
            <v>54330110</v>
          </cell>
        </row>
        <row r="801">
          <cell r="C801">
            <v>503389</v>
          </cell>
          <cell r="D801">
            <v>54330120</v>
          </cell>
        </row>
        <row r="802">
          <cell r="C802">
            <v>102300</v>
          </cell>
          <cell r="D802">
            <v>54410100</v>
          </cell>
        </row>
        <row r="803">
          <cell r="C803">
            <v>182000</v>
          </cell>
          <cell r="D803">
            <v>54410100</v>
          </cell>
        </row>
        <row r="804">
          <cell r="C804">
            <v>22800</v>
          </cell>
          <cell r="D804">
            <v>54410110</v>
          </cell>
        </row>
        <row r="805">
          <cell r="C805">
            <v>29150</v>
          </cell>
          <cell r="D805">
            <v>54410110</v>
          </cell>
        </row>
        <row r="806">
          <cell r="C806">
            <v>37500</v>
          </cell>
          <cell r="D806">
            <v>54410110</v>
          </cell>
        </row>
        <row r="807">
          <cell r="C807">
            <v>13000</v>
          </cell>
          <cell r="D807">
            <v>54410110</v>
          </cell>
        </row>
        <row r="808">
          <cell r="C808">
            <v>669333</v>
          </cell>
          <cell r="D808">
            <v>54590500</v>
          </cell>
        </row>
        <row r="809">
          <cell r="C809">
            <v>6233950</v>
          </cell>
          <cell r="D809">
            <v>53010200</v>
          </cell>
        </row>
        <row r="810">
          <cell r="C810">
            <v>647049</v>
          </cell>
          <cell r="D810">
            <v>53050100</v>
          </cell>
        </row>
        <row r="811">
          <cell r="C811">
            <v>258750</v>
          </cell>
          <cell r="D811">
            <v>54010170</v>
          </cell>
        </row>
        <row r="812">
          <cell r="C812">
            <v>136260</v>
          </cell>
          <cell r="D812">
            <v>54010180</v>
          </cell>
        </row>
        <row r="813">
          <cell r="C813">
            <v>27152</v>
          </cell>
          <cell r="D813">
            <v>54330110</v>
          </cell>
        </row>
        <row r="814">
          <cell r="C814">
            <v>55325</v>
          </cell>
          <cell r="D814">
            <v>54330110</v>
          </cell>
        </row>
        <row r="815">
          <cell r="C815">
            <v>55197</v>
          </cell>
          <cell r="D815">
            <v>54330120</v>
          </cell>
        </row>
        <row r="816">
          <cell r="C816">
            <v>1007230</v>
          </cell>
          <cell r="D816">
            <v>53010200</v>
          </cell>
        </row>
        <row r="817">
          <cell r="C817">
            <v>211180</v>
          </cell>
          <cell r="D817">
            <v>53010300</v>
          </cell>
        </row>
        <row r="818">
          <cell r="C818">
            <v>74700</v>
          </cell>
          <cell r="D818">
            <v>54010170</v>
          </cell>
        </row>
        <row r="819">
          <cell r="C819">
            <v>37250</v>
          </cell>
          <cell r="D819">
            <v>54010180</v>
          </cell>
        </row>
        <row r="820">
          <cell r="C820">
            <v>50000</v>
          </cell>
          <cell r="D820">
            <v>54070150</v>
          </cell>
        </row>
        <row r="821">
          <cell r="C821">
            <v>6161</v>
          </cell>
          <cell r="D821">
            <v>54330110</v>
          </cell>
        </row>
        <row r="822">
          <cell r="C822">
            <v>10813</v>
          </cell>
          <cell r="D822">
            <v>54330110</v>
          </cell>
        </row>
        <row r="823">
          <cell r="C823">
            <v>10788</v>
          </cell>
          <cell r="D823">
            <v>54330120</v>
          </cell>
        </row>
        <row r="824">
          <cell r="C824">
            <v>4063122</v>
          </cell>
          <cell r="D824">
            <v>54590100</v>
          </cell>
        </row>
        <row r="825">
          <cell r="C825">
            <v>1121527</v>
          </cell>
          <cell r="D825">
            <v>54590500</v>
          </cell>
        </row>
        <row r="826">
          <cell r="C826">
            <v>924966</v>
          </cell>
          <cell r="D826">
            <v>54610300</v>
          </cell>
        </row>
        <row r="827">
          <cell r="C827">
            <v>643401</v>
          </cell>
          <cell r="D827">
            <v>54610400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업무연락"/>
      <sheetName val="조직운영비배정액"/>
      <sheetName val="명단"/>
      <sheetName val="코스트센터"/>
    </sheetNames>
    <sheetDataSet>
      <sheetData sheetId="0" refreshError="1"/>
      <sheetData sheetId="1" refreshError="1"/>
      <sheetData sheetId="2" refreshError="1">
        <row r="2">
          <cell r="B2" t="str">
            <v>A1010</v>
          </cell>
          <cell r="D2" t="str">
            <v>부회장</v>
          </cell>
          <cell r="E2" t="str">
            <v>정규직</v>
          </cell>
        </row>
        <row r="3">
          <cell r="B3" t="str">
            <v>A1024</v>
          </cell>
          <cell r="D3" t="str">
            <v>상무보</v>
          </cell>
          <cell r="E3" t="str">
            <v>정규직</v>
          </cell>
        </row>
        <row r="4">
          <cell r="B4" t="str">
            <v>A1020</v>
          </cell>
          <cell r="D4" t="str">
            <v>상무</v>
          </cell>
          <cell r="E4" t="str">
            <v>정규직</v>
          </cell>
        </row>
        <row r="5">
          <cell r="B5" t="str">
            <v>A1023</v>
          </cell>
          <cell r="D5" t="str">
            <v>상무</v>
          </cell>
          <cell r="E5" t="str">
            <v>정규직</v>
          </cell>
        </row>
        <row r="6">
          <cell r="B6" t="str">
            <v>E3011</v>
          </cell>
          <cell r="D6" t="str">
            <v>4급을사원</v>
          </cell>
          <cell r="E6" t="str">
            <v>정규직</v>
          </cell>
        </row>
        <row r="7">
          <cell r="B7" t="str">
            <v>E3011</v>
          </cell>
          <cell r="D7" t="str">
            <v>대리</v>
          </cell>
          <cell r="E7" t="str">
            <v>정규직</v>
          </cell>
        </row>
        <row r="8">
          <cell r="B8" t="str">
            <v>E3011</v>
          </cell>
          <cell r="D8" t="str">
            <v>과장</v>
          </cell>
          <cell r="E8" t="str">
            <v>정규직</v>
          </cell>
        </row>
        <row r="9">
          <cell r="B9" t="str">
            <v>E3011</v>
          </cell>
          <cell r="D9" t="str">
            <v>4급을사원</v>
          </cell>
          <cell r="E9" t="str">
            <v>정규직</v>
          </cell>
        </row>
        <row r="10">
          <cell r="B10" t="str">
            <v>E3011</v>
          </cell>
          <cell r="D10" t="str">
            <v>대리</v>
          </cell>
          <cell r="E10" t="str">
            <v>정규직</v>
          </cell>
        </row>
        <row r="11">
          <cell r="B11" t="str">
            <v>E3011</v>
          </cell>
          <cell r="D11" t="str">
            <v>4급을사원</v>
          </cell>
          <cell r="E11" t="str">
            <v>정규직</v>
          </cell>
        </row>
        <row r="12">
          <cell r="B12" t="str">
            <v>A1026</v>
          </cell>
          <cell r="D12" t="str">
            <v>부장</v>
          </cell>
          <cell r="E12" t="str">
            <v>정규직</v>
          </cell>
        </row>
        <row r="13">
          <cell r="B13" t="str">
            <v>S3085</v>
          </cell>
          <cell r="D13" t="str">
            <v>대리</v>
          </cell>
          <cell r="E13" t="str">
            <v>정규직</v>
          </cell>
        </row>
        <row r="14">
          <cell r="B14" t="str">
            <v>S3085</v>
          </cell>
          <cell r="D14" t="str">
            <v>대리</v>
          </cell>
          <cell r="E14" t="str">
            <v>정규직</v>
          </cell>
        </row>
        <row r="15">
          <cell r="B15" t="str">
            <v>S3085</v>
          </cell>
          <cell r="D15" t="str">
            <v>과장</v>
          </cell>
          <cell r="E15" t="str">
            <v>정규직</v>
          </cell>
        </row>
        <row r="16">
          <cell r="B16" t="str">
            <v>S3085</v>
          </cell>
          <cell r="D16" t="str">
            <v>과장</v>
          </cell>
          <cell r="E16" t="str">
            <v>정규직</v>
          </cell>
        </row>
        <row r="17">
          <cell r="B17" t="str">
            <v>S3085</v>
          </cell>
          <cell r="D17" t="str">
            <v>4급을사원</v>
          </cell>
          <cell r="E17" t="str">
            <v>정규직</v>
          </cell>
        </row>
        <row r="18">
          <cell r="B18" t="str">
            <v>S3085</v>
          </cell>
          <cell r="D18" t="str">
            <v>대리</v>
          </cell>
          <cell r="E18" t="str">
            <v>정규직</v>
          </cell>
        </row>
        <row r="19">
          <cell r="B19" t="str">
            <v>S3084</v>
          </cell>
          <cell r="D19" t="str">
            <v>대리</v>
          </cell>
          <cell r="E19" t="str">
            <v>정규직</v>
          </cell>
        </row>
        <row r="20">
          <cell r="B20" t="str">
            <v>S3084</v>
          </cell>
          <cell r="D20" t="str">
            <v>과장</v>
          </cell>
          <cell r="E20" t="str">
            <v>정규직</v>
          </cell>
        </row>
        <row r="21">
          <cell r="B21" t="str">
            <v>S3084</v>
          </cell>
          <cell r="D21" t="str">
            <v>과장</v>
          </cell>
          <cell r="E21" t="str">
            <v>정규직</v>
          </cell>
        </row>
        <row r="22">
          <cell r="B22" t="str">
            <v>S3084</v>
          </cell>
          <cell r="D22" t="str">
            <v>4급을사원</v>
          </cell>
          <cell r="E22" t="str">
            <v>정규직</v>
          </cell>
        </row>
        <row r="23">
          <cell r="B23" t="str">
            <v>S3084</v>
          </cell>
          <cell r="D23" t="str">
            <v>대리</v>
          </cell>
          <cell r="E23" t="str">
            <v>정규직</v>
          </cell>
        </row>
        <row r="24">
          <cell r="B24" t="str">
            <v>S3084</v>
          </cell>
          <cell r="D24" t="str">
            <v>대리</v>
          </cell>
          <cell r="E24" t="str">
            <v>정규직</v>
          </cell>
        </row>
        <row r="25">
          <cell r="B25" t="str">
            <v>S3084</v>
          </cell>
          <cell r="D25" t="str">
            <v>4급을사원</v>
          </cell>
          <cell r="E25" t="str">
            <v>정규직</v>
          </cell>
        </row>
        <row r="26">
          <cell r="B26" t="str">
            <v>S3084</v>
          </cell>
          <cell r="D26" t="str">
            <v>대리</v>
          </cell>
          <cell r="E26" t="str">
            <v>정규직</v>
          </cell>
        </row>
        <row r="27">
          <cell r="B27" t="str">
            <v>S3084</v>
          </cell>
          <cell r="D27" t="str">
            <v>4급을사원</v>
          </cell>
          <cell r="E27" t="str">
            <v>정규직</v>
          </cell>
        </row>
        <row r="28">
          <cell r="B28" t="str">
            <v>A1027</v>
          </cell>
          <cell r="D28" t="str">
            <v>부장</v>
          </cell>
          <cell r="E28" t="str">
            <v>정규직</v>
          </cell>
        </row>
        <row r="29">
          <cell r="B29" t="str">
            <v>S3080</v>
          </cell>
          <cell r="D29" t="str">
            <v>차장</v>
          </cell>
          <cell r="E29" t="str">
            <v>정규직</v>
          </cell>
        </row>
        <row r="30">
          <cell r="B30" t="str">
            <v>S3080</v>
          </cell>
          <cell r="D30" t="str">
            <v>과장</v>
          </cell>
          <cell r="E30" t="str">
            <v>정규직</v>
          </cell>
        </row>
        <row r="31">
          <cell r="B31" t="str">
            <v>S3080</v>
          </cell>
          <cell r="D31" t="str">
            <v>대리</v>
          </cell>
          <cell r="E31" t="str">
            <v>정규직</v>
          </cell>
        </row>
        <row r="32">
          <cell r="B32" t="str">
            <v>S3080</v>
          </cell>
          <cell r="D32" t="str">
            <v>대리</v>
          </cell>
          <cell r="E32" t="str">
            <v>정규직</v>
          </cell>
        </row>
        <row r="33">
          <cell r="B33" t="str">
            <v>S3080</v>
          </cell>
          <cell r="D33" t="str">
            <v>4급을사원</v>
          </cell>
          <cell r="E33" t="str">
            <v>정규직</v>
          </cell>
        </row>
        <row r="34">
          <cell r="B34" t="str">
            <v>S3082</v>
          </cell>
          <cell r="D34" t="str">
            <v>과장</v>
          </cell>
          <cell r="E34" t="str">
            <v>정규직</v>
          </cell>
        </row>
        <row r="35">
          <cell r="B35" t="str">
            <v>S3082</v>
          </cell>
          <cell r="D35" t="str">
            <v>대리</v>
          </cell>
          <cell r="E35" t="str">
            <v>정규직</v>
          </cell>
        </row>
        <row r="36">
          <cell r="B36" t="str">
            <v>S3082</v>
          </cell>
          <cell r="D36" t="str">
            <v>대리</v>
          </cell>
          <cell r="E36" t="str">
            <v>정규직</v>
          </cell>
        </row>
        <row r="37">
          <cell r="B37" t="str">
            <v>S3082</v>
          </cell>
          <cell r="D37" t="str">
            <v>과장</v>
          </cell>
          <cell r="E37" t="str">
            <v>정규직</v>
          </cell>
        </row>
        <row r="38">
          <cell r="B38" t="str">
            <v>S3082</v>
          </cell>
          <cell r="D38" t="str">
            <v>대리</v>
          </cell>
          <cell r="E38" t="str">
            <v>정규직</v>
          </cell>
        </row>
        <row r="39">
          <cell r="B39" t="str">
            <v>S3082</v>
          </cell>
          <cell r="D39" t="str">
            <v>과장</v>
          </cell>
          <cell r="E39" t="str">
            <v>정규직</v>
          </cell>
        </row>
        <row r="40">
          <cell r="B40" t="str">
            <v>S3082</v>
          </cell>
          <cell r="D40" t="str">
            <v>과장</v>
          </cell>
          <cell r="E40" t="str">
            <v>정규직</v>
          </cell>
        </row>
        <row r="41">
          <cell r="B41" t="str">
            <v>S3082</v>
          </cell>
          <cell r="D41" t="str">
            <v>과장</v>
          </cell>
          <cell r="E41" t="str">
            <v>정규직</v>
          </cell>
        </row>
        <row r="42">
          <cell r="B42" t="str">
            <v>S3082</v>
          </cell>
          <cell r="D42" t="str">
            <v>과장</v>
          </cell>
          <cell r="E42" t="str">
            <v>정규직</v>
          </cell>
        </row>
        <row r="43">
          <cell r="B43" t="str">
            <v>S3082</v>
          </cell>
          <cell r="D43" t="str">
            <v>대리</v>
          </cell>
          <cell r="E43" t="str">
            <v>정규직</v>
          </cell>
        </row>
        <row r="44">
          <cell r="B44" t="str">
            <v>S3082</v>
          </cell>
          <cell r="D44" t="str">
            <v>과장</v>
          </cell>
          <cell r="E44" t="str">
            <v>정규직</v>
          </cell>
        </row>
        <row r="45">
          <cell r="B45" t="str">
            <v>S3082</v>
          </cell>
          <cell r="D45" t="str">
            <v>대리</v>
          </cell>
          <cell r="E45" t="str">
            <v>정규직</v>
          </cell>
        </row>
        <row r="46">
          <cell r="B46" t="str">
            <v>S3082</v>
          </cell>
          <cell r="D46" t="str">
            <v>부장</v>
          </cell>
          <cell r="E46" t="str">
            <v>정규직</v>
          </cell>
        </row>
        <row r="47">
          <cell r="B47" t="str">
            <v>E4010</v>
          </cell>
          <cell r="D47" t="str">
            <v>사업단장</v>
          </cell>
          <cell r="E47" t="str">
            <v>정규직</v>
          </cell>
        </row>
        <row r="48">
          <cell r="B48" t="str">
            <v>E4020</v>
          </cell>
          <cell r="D48" t="str">
            <v>사업단장</v>
          </cell>
          <cell r="E48" t="str">
            <v>정규직</v>
          </cell>
        </row>
        <row r="49">
          <cell r="B49" t="str">
            <v>E4030</v>
          </cell>
          <cell r="D49" t="str">
            <v>차장</v>
          </cell>
          <cell r="E49" t="str">
            <v>정규직</v>
          </cell>
        </row>
        <row r="50">
          <cell r="B50" t="str">
            <v>E4030</v>
          </cell>
          <cell r="D50" t="str">
            <v>과장</v>
          </cell>
          <cell r="E50" t="str">
            <v>정규직</v>
          </cell>
        </row>
        <row r="51">
          <cell r="B51" t="str">
            <v>E4030</v>
          </cell>
          <cell r="D51" t="str">
            <v>과장</v>
          </cell>
          <cell r="E51" t="str">
            <v>정규직</v>
          </cell>
        </row>
        <row r="52">
          <cell r="B52" t="str">
            <v>E4030</v>
          </cell>
          <cell r="D52" t="str">
            <v>대리</v>
          </cell>
          <cell r="E52" t="str">
            <v>정규직</v>
          </cell>
        </row>
        <row r="53">
          <cell r="B53" t="str">
            <v>E4030</v>
          </cell>
          <cell r="D53" t="str">
            <v>대리</v>
          </cell>
          <cell r="E53" t="str">
            <v>정규직</v>
          </cell>
        </row>
        <row r="54">
          <cell r="B54" t="str">
            <v>E4030</v>
          </cell>
          <cell r="D54" t="str">
            <v>대리</v>
          </cell>
          <cell r="E54" t="str">
            <v>정규직</v>
          </cell>
        </row>
        <row r="55">
          <cell r="B55" t="str">
            <v>E4030</v>
          </cell>
          <cell r="D55" t="str">
            <v>과장</v>
          </cell>
          <cell r="E55" t="str">
            <v>정규직</v>
          </cell>
        </row>
        <row r="56">
          <cell r="B56" t="str">
            <v>E4030</v>
          </cell>
          <cell r="D56" t="str">
            <v>대리</v>
          </cell>
          <cell r="E56" t="str">
            <v>정규직</v>
          </cell>
        </row>
        <row r="57">
          <cell r="B57" t="str">
            <v>E4030</v>
          </cell>
          <cell r="D57" t="str">
            <v>과장</v>
          </cell>
          <cell r="E57" t="str">
            <v>정규직</v>
          </cell>
        </row>
        <row r="58">
          <cell r="B58" t="str">
            <v>E3010</v>
          </cell>
          <cell r="D58" t="str">
            <v>4급을사원</v>
          </cell>
          <cell r="E58" t="str">
            <v>정규직</v>
          </cell>
        </row>
        <row r="59">
          <cell r="B59" t="str">
            <v>E3010</v>
          </cell>
          <cell r="D59" t="str">
            <v>과장</v>
          </cell>
          <cell r="E59" t="str">
            <v>정규직</v>
          </cell>
        </row>
        <row r="60">
          <cell r="B60" t="str">
            <v>E3010</v>
          </cell>
          <cell r="D60" t="str">
            <v>대리</v>
          </cell>
          <cell r="E60" t="str">
            <v>정규직</v>
          </cell>
        </row>
        <row r="61">
          <cell r="B61" t="str">
            <v>E3010</v>
          </cell>
          <cell r="D61" t="str">
            <v>4급을사원</v>
          </cell>
          <cell r="E61" t="str">
            <v>정규직</v>
          </cell>
        </row>
        <row r="62">
          <cell r="B62" t="str">
            <v>E3010</v>
          </cell>
          <cell r="D62" t="str">
            <v>4급을사원</v>
          </cell>
          <cell r="E62" t="str">
            <v>정규직</v>
          </cell>
        </row>
        <row r="63">
          <cell r="B63" t="str">
            <v>E3010</v>
          </cell>
          <cell r="D63" t="str">
            <v>4급을사원</v>
          </cell>
          <cell r="E63" t="str">
            <v>정규직</v>
          </cell>
        </row>
        <row r="64">
          <cell r="B64" t="str">
            <v>E3010</v>
          </cell>
          <cell r="D64" t="str">
            <v>과장</v>
          </cell>
          <cell r="E64" t="str">
            <v>정규직</v>
          </cell>
        </row>
        <row r="65">
          <cell r="B65" t="str">
            <v>E4111</v>
          </cell>
          <cell r="D65" t="str">
            <v>지국장</v>
          </cell>
          <cell r="E65" t="str">
            <v>정규직</v>
          </cell>
        </row>
        <row r="66">
          <cell r="B66" t="str">
            <v>E4118</v>
          </cell>
          <cell r="D66" t="str">
            <v>지국장</v>
          </cell>
          <cell r="E66" t="str">
            <v>정규직</v>
          </cell>
        </row>
        <row r="67">
          <cell r="B67" t="str">
            <v>A1214</v>
          </cell>
          <cell r="D67" t="str">
            <v>대리</v>
          </cell>
          <cell r="E67" t="str">
            <v>정규직</v>
          </cell>
        </row>
        <row r="68">
          <cell r="B68" t="str">
            <v>A1214</v>
          </cell>
          <cell r="D68" t="str">
            <v>4급을사원</v>
          </cell>
          <cell r="E68" t="str">
            <v>정규직</v>
          </cell>
        </row>
        <row r="69">
          <cell r="B69" t="str">
            <v>A1214</v>
          </cell>
          <cell r="D69" t="str">
            <v>4급을사원</v>
          </cell>
          <cell r="E69" t="str">
            <v>정규직</v>
          </cell>
        </row>
        <row r="70">
          <cell r="B70" t="str">
            <v>A1214</v>
          </cell>
          <cell r="D70" t="str">
            <v>4급을사원</v>
          </cell>
          <cell r="E70" t="str">
            <v>정규직</v>
          </cell>
        </row>
        <row r="71">
          <cell r="B71" t="str">
            <v>A1214</v>
          </cell>
          <cell r="D71" t="str">
            <v>차장</v>
          </cell>
          <cell r="E71" t="str">
            <v>정규직</v>
          </cell>
        </row>
        <row r="72">
          <cell r="B72" t="str">
            <v>E3012</v>
          </cell>
          <cell r="D72" t="str">
            <v>대리</v>
          </cell>
          <cell r="E72" t="str">
            <v>정규직</v>
          </cell>
        </row>
        <row r="73">
          <cell r="B73" t="str">
            <v>E3012</v>
          </cell>
          <cell r="D73" t="str">
            <v>대리</v>
          </cell>
          <cell r="E73" t="str">
            <v>정규직</v>
          </cell>
        </row>
        <row r="74">
          <cell r="B74" t="str">
            <v>E3012</v>
          </cell>
          <cell r="D74" t="str">
            <v>대리</v>
          </cell>
          <cell r="E74" t="str">
            <v>정규직</v>
          </cell>
        </row>
        <row r="75">
          <cell r="B75" t="str">
            <v>E3012</v>
          </cell>
          <cell r="D75" t="str">
            <v>차장</v>
          </cell>
          <cell r="E75" t="str">
            <v>정규직</v>
          </cell>
        </row>
        <row r="76">
          <cell r="B76" t="str">
            <v>E4120</v>
          </cell>
          <cell r="D76" t="str">
            <v>지국장</v>
          </cell>
          <cell r="E76" t="str">
            <v>정규직</v>
          </cell>
        </row>
        <row r="77">
          <cell r="B77" t="str">
            <v>E4117</v>
          </cell>
          <cell r="D77" t="str">
            <v>지국장</v>
          </cell>
          <cell r="E77" t="str">
            <v>정규직</v>
          </cell>
        </row>
        <row r="78">
          <cell r="B78" t="str">
            <v>E4116</v>
          </cell>
          <cell r="D78" t="str">
            <v>지국장</v>
          </cell>
          <cell r="E78" t="str">
            <v>정규직</v>
          </cell>
        </row>
        <row r="79">
          <cell r="B79" t="str">
            <v>E4115</v>
          </cell>
          <cell r="D79" t="str">
            <v>지국장</v>
          </cell>
          <cell r="E79" t="str">
            <v>정규직</v>
          </cell>
        </row>
        <row r="80">
          <cell r="B80" t="str">
            <v>A1113</v>
          </cell>
          <cell r="D80" t="str">
            <v>과장</v>
          </cell>
          <cell r="E80" t="str">
            <v>정규직</v>
          </cell>
        </row>
        <row r="81">
          <cell r="B81" t="str">
            <v>A1113</v>
          </cell>
          <cell r="D81" t="str">
            <v>과장</v>
          </cell>
          <cell r="E81" t="str">
            <v>정규직</v>
          </cell>
        </row>
        <row r="82">
          <cell r="B82" t="str">
            <v>A1113</v>
          </cell>
          <cell r="D82" t="str">
            <v>대리</v>
          </cell>
          <cell r="E82" t="str">
            <v>정규직</v>
          </cell>
        </row>
        <row r="83">
          <cell r="B83" t="str">
            <v>A1113</v>
          </cell>
          <cell r="D83" t="str">
            <v>대리</v>
          </cell>
          <cell r="E83" t="str">
            <v>정규직</v>
          </cell>
        </row>
        <row r="84">
          <cell r="B84" t="str">
            <v>A1113</v>
          </cell>
          <cell r="D84" t="str">
            <v>과장</v>
          </cell>
          <cell r="E84" t="str">
            <v>정규직</v>
          </cell>
        </row>
        <row r="85">
          <cell r="B85" t="str">
            <v>A1113</v>
          </cell>
          <cell r="D85" t="str">
            <v>과장</v>
          </cell>
          <cell r="E85" t="str">
            <v>정규직</v>
          </cell>
        </row>
        <row r="86">
          <cell r="B86" t="str">
            <v>A1110</v>
          </cell>
          <cell r="D86" t="str">
            <v>4급을사원</v>
          </cell>
          <cell r="E86" t="str">
            <v>정규직</v>
          </cell>
        </row>
        <row r="87">
          <cell r="B87" t="str">
            <v>A1110</v>
          </cell>
          <cell r="D87" t="str">
            <v>4급을사원</v>
          </cell>
          <cell r="E87" t="str">
            <v>정규직</v>
          </cell>
        </row>
        <row r="88">
          <cell r="B88" t="str">
            <v>A1110</v>
          </cell>
          <cell r="D88" t="str">
            <v>과장</v>
          </cell>
          <cell r="E88" t="str">
            <v>정규직</v>
          </cell>
        </row>
        <row r="89">
          <cell r="B89" t="str">
            <v>A1110</v>
          </cell>
          <cell r="D89" t="str">
            <v>대리</v>
          </cell>
          <cell r="E89" t="str">
            <v>정규직</v>
          </cell>
        </row>
        <row r="90">
          <cell r="B90" t="str">
            <v>A1110</v>
          </cell>
          <cell r="D90" t="str">
            <v>과장</v>
          </cell>
          <cell r="E90" t="str">
            <v>정규직</v>
          </cell>
        </row>
        <row r="91">
          <cell r="B91" t="str">
            <v>A1110</v>
          </cell>
          <cell r="D91" t="str">
            <v>4급을사원</v>
          </cell>
          <cell r="E91" t="str">
            <v>정규직</v>
          </cell>
        </row>
        <row r="92">
          <cell r="B92" t="str">
            <v>A1110</v>
          </cell>
          <cell r="D92" t="str">
            <v>4급을사원</v>
          </cell>
          <cell r="E92" t="str">
            <v>정규직</v>
          </cell>
        </row>
        <row r="93">
          <cell r="B93" t="str">
            <v>A1211</v>
          </cell>
          <cell r="D93" t="str">
            <v>차장</v>
          </cell>
          <cell r="E93" t="str">
            <v>정규직</v>
          </cell>
        </row>
        <row r="94">
          <cell r="B94" t="str">
            <v>A1211</v>
          </cell>
          <cell r="D94" t="str">
            <v>4급을사원</v>
          </cell>
          <cell r="E94" t="str">
            <v>정규직</v>
          </cell>
        </row>
        <row r="95">
          <cell r="B95" t="str">
            <v>A1211</v>
          </cell>
          <cell r="D95" t="str">
            <v>5급사원</v>
          </cell>
          <cell r="E95" t="str">
            <v>정규직</v>
          </cell>
        </row>
        <row r="96">
          <cell r="B96" t="str">
            <v>A1211</v>
          </cell>
          <cell r="D96" t="str">
            <v>과장</v>
          </cell>
          <cell r="E96" t="str">
            <v>정규직</v>
          </cell>
        </row>
        <row r="97">
          <cell r="B97" t="str">
            <v>A1211</v>
          </cell>
          <cell r="D97" t="str">
            <v>대리</v>
          </cell>
          <cell r="E97" t="str">
            <v>정규직</v>
          </cell>
        </row>
        <row r="98">
          <cell r="B98" t="str">
            <v>A1211</v>
          </cell>
          <cell r="D98" t="str">
            <v>4급을사원</v>
          </cell>
          <cell r="E98" t="str">
            <v>정규직</v>
          </cell>
        </row>
        <row r="99">
          <cell r="B99" t="str">
            <v>A1211</v>
          </cell>
          <cell r="D99" t="str">
            <v>4급을사원</v>
          </cell>
          <cell r="E99" t="str">
            <v>정규직</v>
          </cell>
        </row>
        <row r="100">
          <cell r="B100" t="str">
            <v>A1211</v>
          </cell>
          <cell r="D100" t="str">
            <v>4급을사원</v>
          </cell>
          <cell r="E100" t="str">
            <v>정규직</v>
          </cell>
        </row>
        <row r="101">
          <cell r="B101" t="str">
            <v>A1210</v>
          </cell>
          <cell r="D101" t="str">
            <v>4급을사원</v>
          </cell>
          <cell r="E101" t="str">
            <v>정규직</v>
          </cell>
        </row>
        <row r="102">
          <cell r="B102" t="str">
            <v>A1210</v>
          </cell>
          <cell r="D102" t="str">
            <v>과장</v>
          </cell>
          <cell r="E102" t="str">
            <v>정규직</v>
          </cell>
        </row>
        <row r="103">
          <cell r="B103" t="str">
            <v>A1210</v>
          </cell>
          <cell r="D103" t="str">
            <v>차장</v>
          </cell>
          <cell r="E103" t="str">
            <v>정규직</v>
          </cell>
        </row>
        <row r="104">
          <cell r="B104" t="str">
            <v>A1210</v>
          </cell>
          <cell r="D104" t="str">
            <v>대리</v>
          </cell>
          <cell r="E104" t="str">
            <v>정규직</v>
          </cell>
        </row>
        <row r="105">
          <cell r="B105" t="str">
            <v>A1210</v>
          </cell>
          <cell r="D105" t="str">
            <v>대리</v>
          </cell>
          <cell r="E105" t="str">
            <v>정규직</v>
          </cell>
        </row>
        <row r="106">
          <cell r="B106" t="str">
            <v>A1210</v>
          </cell>
          <cell r="D106" t="str">
            <v>과장</v>
          </cell>
          <cell r="E106" t="str">
            <v>정규직</v>
          </cell>
        </row>
        <row r="107">
          <cell r="B107" t="str">
            <v>A1210</v>
          </cell>
          <cell r="D107" t="str">
            <v>4급을사원</v>
          </cell>
          <cell r="E107" t="str">
            <v>정규직</v>
          </cell>
        </row>
        <row r="108">
          <cell r="B108" t="str">
            <v>F3030</v>
          </cell>
          <cell r="D108" t="str">
            <v>대리</v>
          </cell>
          <cell r="E108" t="str">
            <v>정규직</v>
          </cell>
        </row>
        <row r="109">
          <cell r="B109" t="str">
            <v>F3030</v>
          </cell>
          <cell r="D109" t="str">
            <v>차장</v>
          </cell>
          <cell r="E109" t="str">
            <v>정규직</v>
          </cell>
        </row>
        <row r="110">
          <cell r="B110" t="str">
            <v>F3030</v>
          </cell>
          <cell r="D110" t="str">
            <v>대리</v>
          </cell>
          <cell r="E110" t="str">
            <v>정규직</v>
          </cell>
        </row>
        <row r="111">
          <cell r="B111" t="str">
            <v>F3030</v>
          </cell>
          <cell r="D111" t="str">
            <v>대리</v>
          </cell>
          <cell r="E111" t="str">
            <v>정규직</v>
          </cell>
        </row>
        <row r="112">
          <cell r="B112" t="str">
            <v>F3030</v>
          </cell>
          <cell r="D112" t="str">
            <v>대리</v>
          </cell>
          <cell r="E112" t="str">
            <v>정규직</v>
          </cell>
        </row>
        <row r="113">
          <cell r="B113" t="str">
            <v>F3030</v>
          </cell>
          <cell r="D113" t="str">
            <v>과장</v>
          </cell>
          <cell r="E113" t="str">
            <v>정규직</v>
          </cell>
        </row>
        <row r="114">
          <cell r="B114" t="str">
            <v>F3030</v>
          </cell>
          <cell r="D114" t="str">
            <v>과장</v>
          </cell>
          <cell r="E114" t="str">
            <v>정규직</v>
          </cell>
        </row>
        <row r="115">
          <cell r="B115" t="str">
            <v>F4011</v>
          </cell>
          <cell r="D115" t="str">
            <v>대리</v>
          </cell>
          <cell r="E115" t="str">
            <v>정</v>
          </cell>
        </row>
        <row r="116">
          <cell r="B116" t="str">
            <v>F4011</v>
          </cell>
          <cell r="D116" t="str">
            <v>차장</v>
          </cell>
          <cell r="E116" t="str">
            <v>정규직</v>
          </cell>
        </row>
        <row r="117">
          <cell r="B117" t="str">
            <v>F4129</v>
          </cell>
          <cell r="D117" t="str">
            <v>과장</v>
          </cell>
          <cell r="E117" t="str">
            <v>정규직</v>
          </cell>
        </row>
        <row r="118">
          <cell r="B118" t="str">
            <v>F4011</v>
          </cell>
          <cell r="D118" t="str">
            <v>4급을사원</v>
          </cell>
          <cell r="E118" t="str">
            <v>정규직</v>
          </cell>
        </row>
        <row r="119">
          <cell r="B119" t="str">
            <v>F4114</v>
          </cell>
          <cell r="D119" t="str">
            <v>과장</v>
          </cell>
          <cell r="E119" t="str">
            <v>정규직</v>
          </cell>
        </row>
        <row r="120">
          <cell r="B120" t="str">
            <v>F4114</v>
          </cell>
          <cell r="D120" t="str">
            <v>대리</v>
          </cell>
          <cell r="E120" t="str">
            <v>정규직</v>
          </cell>
        </row>
        <row r="121">
          <cell r="B121" t="str">
            <v>F4114</v>
          </cell>
          <cell r="D121" t="str">
            <v>대리</v>
          </cell>
          <cell r="E121" t="str">
            <v>정규직</v>
          </cell>
        </row>
        <row r="122">
          <cell r="B122" t="str">
            <v>F4114</v>
          </cell>
          <cell r="D122" t="str">
            <v>4급을사원</v>
          </cell>
          <cell r="E122" t="str">
            <v>정규직</v>
          </cell>
        </row>
        <row r="123">
          <cell r="B123" t="str">
            <v>F4114</v>
          </cell>
          <cell r="D123" t="str">
            <v>대리</v>
          </cell>
          <cell r="E123" t="str">
            <v>정규직</v>
          </cell>
        </row>
        <row r="124">
          <cell r="B124" t="str">
            <v>F4118</v>
          </cell>
          <cell r="D124" t="str">
            <v>대리</v>
          </cell>
          <cell r="E124" t="str">
            <v>정규직</v>
          </cell>
        </row>
        <row r="125">
          <cell r="B125" t="str">
            <v>F4118</v>
          </cell>
          <cell r="D125" t="str">
            <v>4급을사원</v>
          </cell>
          <cell r="E125" t="str">
            <v>정규직</v>
          </cell>
        </row>
        <row r="126">
          <cell r="B126" t="str">
            <v>F4016</v>
          </cell>
          <cell r="D126" t="str">
            <v>대리</v>
          </cell>
          <cell r="E126" t="str">
            <v>정</v>
          </cell>
        </row>
        <row r="127">
          <cell r="B127" t="str">
            <v>F4016</v>
          </cell>
          <cell r="D127" t="str">
            <v>과장</v>
          </cell>
          <cell r="E127" t="str">
            <v>정규직</v>
          </cell>
        </row>
        <row r="128">
          <cell r="B128" t="str">
            <v>F4016</v>
          </cell>
          <cell r="D128" t="str">
            <v>대리</v>
          </cell>
          <cell r="E128" t="str">
            <v>정규직</v>
          </cell>
        </row>
        <row r="129">
          <cell r="B129" t="str">
            <v>F4016</v>
          </cell>
          <cell r="D129" t="str">
            <v>대리</v>
          </cell>
          <cell r="E129" t="str">
            <v>정규직</v>
          </cell>
        </row>
        <row r="130">
          <cell r="B130" t="str">
            <v>F4016</v>
          </cell>
          <cell r="D130" t="str">
            <v>4급을사원</v>
          </cell>
          <cell r="E130" t="str">
            <v>정규직</v>
          </cell>
        </row>
        <row r="131">
          <cell r="B131" t="str">
            <v>F4010</v>
          </cell>
          <cell r="D131" t="str">
            <v>과장</v>
          </cell>
          <cell r="E131" t="str">
            <v>정</v>
          </cell>
        </row>
        <row r="132">
          <cell r="B132" t="str">
            <v>F4010</v>
          </cell>
          <cell r="D132" t="str">
            <v>차장</v>
          </cell>
          <cell r="E132" t="str">
            <v>정규직</v>
          </cell>
        </row>
        <row r="133">
          <cell r="B133" t="str">
            <v>F4010</v>
          </cell>
          <cell r="D133" t="str">
            <v>대리</v>
          </cell>
          <cell r="E133" t="str">
            <v>정규직</v>
          </cell>
        </row>
        <row r="134">
          <cell r="B134" t="str">
            <v>F4010</v>
          </cell>
          <cell r="D134" t="str">
            <v>대리</v>
          </cell>
          <cell r="E134" t="str">
            <v>정규직</v>
          </cell>
        </row>
        <row r="135">
          <cell r="B135" t="str">
            <v>F4020</v>
          </cell>
          <cell r="D135" t="str">
            <v>4급을사원</v>
          </cell>
          <cell r="E135" t="str">
            <v>정</v>
          </cell>
        </row>
        <row r="136">
          <cell r="B136" t="str">
            <v>F4019</v>
          </cell>
          <cell r="D136" t="str">
            <v>대리</v>
          </cell>
          <cell r="E136" t="str">
            <v>정</v>
          </cell>
        </row>
        <row r="137">
          <cell r="B137" t="str">
            <v>F4019</v>
          </cell>
          <cell r="D137" t="str">
            <v>차장</v>
          </cell>
          <cell r="E137" t="str">
            <v>정규직</v>
          </cell>
        </row>
        <row r="138">
          <cell r="B138" t="str">
            <v>F4019</v>
          </cell>
          <cell r="D138" t="str">
            <v>대리</v>
          </cell>
          <cell r="E138" t="str">
            <v>정규직</v>
          </cell>
        </row>
        <row r="139">
          <cell r="B139" t="str">
            <v>F4019</v>
          </cell>
          <cell r="D139" t="str">
            <v>대리</v>
          </cell>
          <cell r="E139" t="str">
            <v>정규직</v>
          </cell>
        </row>
        <row r="140">
          <cell r="B140" t="str">
            <v>A1022</v>
          </cell>
          <cell r="D140" t="str">
            <v>부장</v>
          </cell>
          <cell r="E140" t="str">
            <v>정규직</v>
          </cell>
        </row>
        <row r="141">
          <cell r="B141" t="str">
            <v>F4141</v>
          </cell>
          <cell r="D141" t="str">
            <v>과장</v>
          </cell>
          <cell r="E141" t="str">
            <v>정규직</v>
          </cell>
        </row>
        <row r="142">
          <cell r="B142" t="str">
            <v>F4141</v>
          </cell>
          <cell r="D142" t="str">
            <v>4급을사원</v>
          </cell>
          <cell r="E142" t="str">
            <v>정규직</v>
          </cell>
        </row>
        <row r="143">
          <cell r="B143" t="str">
            <v>F4141</v>
          </cell>
          <cell r="D143" t="str">
            <v>대리</v>
          </cell>
          <cell r="E143" t="str">
            <v>정규직</v>
          </cell>
        </row>
        <row r="144">
          <cell r="B144" t="str">
            <v>F4149</v>
          </cell>
          <cell r="D144" t="str">
            <v>과장</v>
          </cell>
          <cell r="E144" t="str">
            <v>정규직</v>
          </cell>
        </row>
        <row r="145">
          <cell r="B145" t="str">
            <v>F4149</v>
          </cell>
          <cell r="D145" t="str">
            <v>4급을사원</v>
          </cell>
          <cell r="E145" t="str">
            <v>정규직</v>
          </cell>
        </row>
        <row r="146">
          <cell r="B146" t="str">
            <v>F4144</v>
          </cell>
          <cell r="D146" t="str">
            <v>대리</v>
          </cell>
          <cell r="E146" t="str">
            <v>정규직</v>
          </cell>
        </row>
        <row r="147">
          <cell r="B147" t="str">
            <v>F4144</v>
          </cell>
          <cell r="D147" t="str">
            <v>4급을사원</v>
          </cell>
          <cell r="E147" t="str">
            <v>정규직</v>
          </cell>
        </row>
        <row r="148">
          <cell r="B148" t="str">
            <v>F4147</v>
          </cell>
          <cell r="D148" t="str">
            <v>4급을사원</v>
          </cell>
          <cell r="E148" t="str">
            <v>정규직</v>
          </cell>
        </row>
        <row r="149">
          <cell r="B149" t="str">
            <v>F4147</v>
          </cell>
          <cell r="D149" t="str">
            <v>과장</v>
          </cell>
          <cell r="E149" t="str">
            <v>정규직</v>
          </cell>
        </row>
        <row r="150">
          <cell r="B150" t="str">
            <v>F4147</v>
          </cell>
          <cell r="D150" t="str">
            <v>4급을사원</v>
          </cell>
          <cell r="E150" t="str">
            <v>정규직</v>
          </cell>
        </row>
        <row r="151">
          <cell r="B151" t="str">
            <v>F4147</v>
          </cell>
          <cell r="D151" t="str">
            <v>대리</v>
          </cell>
          <cell r="E151" t="str">
            <v>정규직</v>
          </cell>
        </row>
        <row r="152">
          <cell r="B152" t="str">
            <v>F4147</v>
          </cell>
          <cell r="D152" t="str">
            <v>대리</v>
          </cell>
          <cell r="E152" t="str">
            <v>정규직</v>
          </cell>
        </row>
        <row r="153">
          <cell r="B153" t="str">
            <v>F4136</v>
          </cell>
          <cell r="D153" t="str">
            <v>대리</v>
          </cell>
          <cell r="E153" t="str">
            <v>정규직</v>
          </cell>
        </row>
        <row r="154">
          <cell r="B154" t="str">
            <v>F4136</v>
          </cell>
          <cell r="D154" t="str">
            <v>과장</v>
          </cell>
          <cell r="E154" t="str">
            <v>정규직</v>
          </cell>
        </row>
        <row r="155">
          <cell r="B155" t="str">
            <v>F4136</v>
          </cell>
          <cell r="D155" t="str">
            <v>대리</v>
          </cell>
          <cell r="E155" t="str">
            <v>정규직</v>
          </cell>
        </row>
        <row r="156">
          <cell r="B156" t="str">
            <v>F4136</v>
          </cell>
          <cell r="D156" t="str">
            <v>4급을사원</v>
          </cell>
          <cell r="E156" t="str">
            <v>정규직</v>
          </cell>
        </row>
        <row r="157">
          <cell r="B157" t="str">
            <v>F4136</v>
          </cell>
          <cell r="D157" t="str">
            <v>대리</v>
          </cell>
          <cell r="E157" t="str">
            <v>정규직</v>
          </cell>
        </row>
        <row r="158">
          <cell r="B158" t="str">
            <v>F4132</v>
          </cell>
          <cell r="D158" t="str">
            <v>대리</v>
          </cell>
          <cell r="E158" t="str">
            <v>정규직</v>
          </cell>
        </row>
        <row r="159">
          <cell r="B159" t="str">
            <v>F4132</v>
          </cell>
          <cell r="D159" t="str">
            <v>4급을사원</v>
          </cell>
          <cell r="E159" t="str">
            <v>정규직</v>
          </cell>
        </row>
        <row r="160">
          <cell r="B160" t="str">
            <v>F4132</v>
          </cell>
          <cell r="D160" t="str">
            <v>4급을사원</v>
          </cell>
          <cell r="E160" t="str">
            <v>정규직</v>
          </cell>
        </row>
        <row r="161">
          <cell r="B161" t="str">
            <v>F4132</v>
          </cell>
          <cell r="D161" t="str">
            <v>4급을사원</v>
          </cell>
          <cell r="E161" t="str">
            <v>정규직</v>
          </cell>
        </row>
        <row r="162">
          <cell r="B162" t="str">
            <v>F4132</v>
          </cell>
          <cell r="D162" t="str">
            <v>과장</v>
          </cell>
          <cell r="E162" t="str">
            <v>정규직</v>
          </cell>
        </row>
        <row r="163">
          <cell r="B163" t="str">
            <v>F4158</v>
          </cell>
          <cell r="D163" t="str">
            <v>과장</v>
          </cell>
          <cell r="E163" t="str">
            <v>정규직</v>
          </cell>
        </row>
        <row r="164">
          <cell r="B164" t="str">
            <v>F4158</v>
          </cell>
          <cell r="D164" t="str">
            <v>대리</v>
          </cell>
          <cell r="E164" t="str">
            <v>정규직</v>
          </cell>
        </row>
        <row r="165">
          <cell r="B165" t="str">
            <v>F4158</v>
          </cell>
          <cell r="D165" t="str">
            <v>과장</v>
          </cell>
          <cell r="E165" t="str">
            <v>정규직</v>
          </cell>
        </row>
        <row r="166">
          <cell r="B166" t="str">
            <v>F4158</v>
          </cell>
          <cell r="D166" t="str">
            <v>4급을사원</v>
          </cell>
          <cell r="E166" t="str">
            <v>정규직</v>
          </cell>
        </row>
        <row r="167">
          <cell r="B167" t="str">
            <v>F4158</v>
          </cell>
          <cell r="D167" t="str">
            <v>4급을사원</v>
          </cell>
          <cell r="E167" t="str">
            <v>정규직</v>
          </cell>
        </row>
        <row r="168">
          <cell r="B168" t="str">
            <v>F4110</v>
          </cell>
          <cell r="D168" t="str">
            <v>과장</v>
          </cell>
          <cell r="E168" t="str">
            <v>정규직</v>
          </cell>
        </row>
        <row r="169">
          <cell r="B169" t="str">
            <v>F4110</v>
          </cell>
          <cell r="D169" t="str">
            <v>4급을사원</v>
          </cell>
          <cell r="E169" t="str">
            <v>정규직</v>
          </cell>
        </row>
        <row r="170">
          <cell r="B170" t="str">
            <v>F4110</v>
          </cell>
          <cell r="D170" t="str">
            <v>5급사원</v>
          </cell>
          <cell r="E170" t="str">
            <v>정규직</v>
          </cell>
        </row>
        <row r="171">
          <cell r="B171" t="str">
            <v>F4145</v>
          </cell>
          <cell r="D171" t="str">
            <v>대리</v>
          </cell>
          <cell r="E171" t="str">
            <v>정규직</v>
          </cell>
        </row>
        <row r="172">
          <cell r="B172" t="str">
            <v>F4145</v>
          </cell>
          <cell r="D172" t="str">
            <v>4급을사원</v>
          </cell>
          <cell r="E172" t="str">
            <v>정규직</v>
          </cell>
        </row>
        <row r="173">
          <cell r="B173" t="str">
            <v>F4020</v>
          </cell>
          <cell r="D173" t="str">
            <v>대리</v>
          </cell>
          <cell r="E173" t="str">
            <v>정</v>
          </cell>
        </row>
        <row r="174">
          <cell r="B174" t="str">
            <v>F4020</v>
          </cell>
          <cell r="D174" t="str">
            <v>차장</v>
          </cell>
          <cell r="E174" t="str">
            <v>정규직</v>
          </cell>
        </row>
        <row r="175">
          <cell r="B175" t="str">
            <v>F4020</v>
          </cell>
          <cell r="D175" t="str">
            <v>4급을사원</v>
          </cell>
          <cell r="E175" t="str">
            <v>정규직</v>
          </cell>
        </row>
        <row r="176">
          <cell r="B176" t="str">
            <v>F4020</v>
          </cell>
          <cell r="D176" t="str">
            <v>대리</v>
          </cell>
          <cell r="E176" t="str">
            <v>정규직</v>
          </cell>
        </row>
        <row r="177">
          <cell r="B177" t="str">
            <v>F4152</v>
          </cell>
          <cell r="D177" t="str">
            <v>4급을사원</v>
          </cell>
          <cell r="E177" t="str">
            <v>정규직</v>
          </cell>
        </row>
        <row r="178">
          <cell r="B178" t="str">
            <v>F4152</v>
          </cell>
          <cell r="D178" t="str">
            <v>대리</v>
          </cell>
          <cell r="E178" t="str">
            <v>정규직</v>
          </cell>
        </row>
        <row r="179">
          <cell r="B179" t="str">
            <v>F4152</v>
          </cell>
          <cell r="D179" t="str">
            <v>대리</v>
          </cell>
          <cell r="E179" t="str">
            <v>정규직</v>
          </cell>
        </row>
        <row r="180">
          <cell r="B180" t="str">
            <v>F4152</v>
          </cell>
          <cell r="D180" t="str">
            <v>4급을사원</v>
          </cell>
          <cell r="E180" t="str">
            <v>정규직</v>
          </cell>
        </row>
        <row r="181">
          <cell r="B181" t="str">
            <v>F4153</v>
          </cell>
          <cell r="D181" t="str">
            <v>4급을사원</v>
          </cell>
          <cell r="E181" t="str">
            <v>정규직</v>
          </cell>
        </row>
        <row r="182">
          <cell r="B182" t="str">
            <v>F4153</v>
          </cell>
          <cell r="D182" t="str">
            <v>4급을사원</v>
          </cell>
          <cell r="E182" t="str">
            <v>정규직</v>
          </cell>
        </row>
        <row r="183">
          <cell r="B183" t="str">
            <v>F4153</v>
          </cell>
          <cell r="D183" t="str">
            <v>대리</v>
          </cell>
          <cell r="E183" t="str">
            <v>정규직</v>
          </cell>
        </row>
        <row r="184">
          <cell r="B184" t="str">
            <v>F4153</v>
          </cell>
          <cell r="D184" t="str">
            <v>과장</v>
          </cell>
          <cell r="E184" t="str">
            <v>정규직</v>
          </cell>
        </row>
        <row r="185">
          <cell r="B185" t="str">
            <v>F4127</v>
          </cell>
          <cell r="D185" t="str">
            <v>대리</v>
          </cell>
          <cell r="E185" t="str">
            <v>정규직</v>
          </cell>
        </row>
        <row r="186">
          <cell r="B186" t="str">
            <v>F4127</v>
          </cell>
          <cell r="D186" t="str">
            <v>과장</v>
          </cell>
          <cell r="E186" t="str">
            <v>정규직</v>
          </cell>
        </row>
        <row r="187">
          <cell r="B187" t="str">
            <v>F4127</v>
          </cell>
          <cell r="D187" t="str">
            <v>4급을사원</v>
          </cell>
          <cell r="E187" t="str">
            <v>정규직</v>
          </cell>
        </row>
        <row r="188">
          <cell r="B188" t="str">
            <v>F4127</v>
          </cell>
          <cell r="D188" t="str">
            <v>과장</v>
          </cell>
          <cell r="E188" t="str">
            <v>정규직</v>
          </cell>
        </row>
        <row r="189">
          <cell r="B189" t="str">
            <v>F4127</v>
          </cell>
          <cell r="D189" t="str">
            <v>4급을사원</v>
          </cell>
          <cell r="E189" t="str">
            <v>정규직</v>
          </cell>
        </row>
        <row r="190">
          <cell r="B190" t="str">
            <v>F4116</v>
          </cell>
          <cell r="D190" t="str">
            <v>대리</v>
          </cell>
          <cell r="E190" t="str">
            <v>정규직</v>
          </cell>
        </row>
        <row r="191">
          <cell r="B191" t="str">
            <v>F4116</v>
          </cell>
          <cell r="D191" t="str">
            <v>대리</v>
          </cell>
          <cell r="E191" t="str">
            <v>정규직</v>
          </cell>
        </row>
        <row r="192">
          <cell r="B192" t="str">
            <v>F4116</v>
          </cell>
          <cell r="D192" t="str">
            <v>대리</v>
          </cell>
          <cell r="E192" t="str">
            <v>정규직</v>
          </cell>
        </row>
        <row r="193">
          <cell r="B193" t="str">
            <v>F4011</v>
          </cell>
          <cell r="D193" t="str">
            <v>대리</v>
          </cell>
          <cell r="E193" t="str">
            <v>정</v>
          </cell>
        </row>
        <row r="194">
          <cell r="B194" t="str">
            <v>F4130</v>
          </cell>
          <cell r="D194" t="str">
            <v>대리</v>
          </cell>
          <cell r="E194" t="str">
            <v>정규직</v>
          </cell>
        </row>
        <row r="195">
          <cell r="B195" t="str">
            <v>F4130</v>
          </cell>
          <cell r="D195" t="str">
            <v>과장</v>
          </cell>
          <cell r="E195" t="str">
            <v>정규직</v>
          </cell>
        </row>
        <row r="196">
          <cell r="B196" t="str">
            <v>F4130</v>
          </cell>
          <cell r="D196" t="str">
            <v>대리</v>
          </cell>
          <cell r="E196" t="str">
            <v>정규직</v>
          </cell>
        </row>
        <row r="197">
          <cell r="B197" t="str">
            <v>F4130</v>
          </cell>
          <cell r="D197" t="str">
            <v>4급을사원</v>
          </cell>
          <cell r="E197" t="str">
            <v>정규직</v>
          </cell>
        </row>
        <row r="198">
          <cell r="B198" t="str">
            <v>F4130</v>
          </cell>
          <cell r="D198" t="str">
            <v>5급사원</v>
          </cell>
          <cell r="E198" t="str">
            <v>정규직</v>
          </cell>
        </row>
        <row r="199">
          <cell r="B199" t="str">
            <v>F4142</v>
          </cell>
          <cell r="D199" t="str">
            <v>대리</v>
          </cell>
          <cell r="E199" t="str">
            <v>정규직</v>
          </cell>
        </row>
        <row r="200">
          <cell r="B200" t="str">
            <v>F4142</v>
          </cell>
          <cell r="D200" t="str">
            <v>대리</v>
          </cell>
          <cell r="E200" t="str">
            <v>정규직</v>
          </cell>
        </row>
        <row r="201">
          <cell r="B201" t="str">
            <v>F4142</v>
          </cell>
          <cell r="D201" t="str">
            <v>대리</v>
          </cell>
          <cell r="E201" t="str">
            <v>정규직</v>
          </cell>
        </row>
        <row r="202">
          <cell r="B202" t="str">
            <v>F4123</v>
          </cell>
          <cell r="D202" t="str">
            <v>대리</v>
          </cell>
          <cell r="E202" t="str">
            <v>정규직</v>
          </cell>
        </row>
        <row r="203">
          <cell r="B203" t="str">
            <v>F4123</v>
          </cell>
          <cell r="D203" t="str">
            <v>대리</v>
          </cell>
          <cell r="E203" t="str">
            <v>정규직</v>
          </cell>
        </row>
        <row r="204">
          <cell r="B204" t="str">
            <v>F4123</v>
          </cell>
          <cell r="D204" t="str">
            <v>4급을사원</v>
          </cell>
          <cell r="E204" t="str">
            <v>정규직</v>
          </cell>
        </row>
        <row r="205">
          <cell r="B205" t="str">
            <v>F4150</v>
          </cell>
          <cell r="D205" t="str">
            <v>4급을사원</v>
          </cell>
          <cell r="E205" t="str">
            <v>정규직</v>
          </cell>
        </row>
        <row r="206">
          <cell r="B206" t="str">
            <v>F4150</v>
          </cell>
          <cell r="D206" t="str">
            <v>대리</v>
          </cell>
          <cell r="E206" t="str">
            <v>정규직</v>
          </cell>
        </row>
        <row r="207">
          <cell r="B207" t="str">
            <v>F4010</v>
          </cell>
          <cell r="D207" t="str">
            <v>대리</v>
          </cell>
          <cell r="E207" t="str">
            <v>정</v>
          </cell>
        </row>
        <row r="208">
          <cell r="B208" t="str">
            <v>F4124</v>
          </cell>
          <cell r="D208" t="str">
            <v>4급을사원</v>
          </cell>
          <cell r="E208" t="str">
            <v>정규직</v>
          </cell>
        </row>
        <row r="209">
          <cell r="B209" t="str">
            <v>F4124</v>
          </cell>
          <cell r="D209" t="str">
            <v>대리</v>
          </cell>
          <cell r="E209" t="str">
            <v>정규직</v>
          </cell>
        </row>
        <row r="210">
          <cell r="B210" t="str">
            <v>F4124</v>
          </cell>
          <cell r="D210" t="str">
            <v>과장</v>
          </cell>
          <cell r="E210" t="str">
            <v>정규직</v>
          </cell>
        </row>
        <row r="211">
          <cell r="B211" t="str">
            <v>F4124</v>
          </cell>
          <cell r="D211" t="str">
            <v>차장</v>
          </cell>
          <cell r="E211" t="str">
            <v>정규직</v>
          </cell>
        </row>
        <row r="212">
          <cell r="B212" t="str">
            <v>F4124</v>
          </cell>
          <cell r="D212" t="str">
            <v>대리</v>
          </cell>
          <cell r="E212" t="str">
            <v>정규직</v>
          </cell>
        </row>
        <row r="213">
          <cell r="B213" t="str">
            <v>F4111</v>
          </cell>
          <cell r="D213" t="str">
            <v>대리</v>
          </cell>
          <cell r="E213" t="str">
            <v>정규직</v>
          </cell>
        </row>
        <row r="214">
          <cell r="B214" t="str">
            <v>F4111</v>
          </cell>
          <cell r="D214" t="str">
            <v>대리</v>
          </cell>
          <cell r="E214" t="str">
            <v>정규직</v>
          </cell>
        </row>
        <row r="215">
          <cell r="B215" t="str">
            <v>F4111</v>
          </cell>
          <cell r="D215" t="str">
            <v>대리</v>
          </cell>
          <cell r="E215" t="str">
            <v>정규직</v>
          </cell>
        </row>
        <row r="216">
          <cell r="B216" t="str">
            <v>F4112</v>
          </cell>
          <cell r="D216" t="str">
            <v>대리</v>
          </cell>
          <cell r="E216" t="str">
            <v>정규직</v>
          </cell>
        </row>
        <row r="217">
          <cell r="B217" t="str">
            <v>F4112</v>
          </cell>
          <cell r="D217" t="str">
            <v>과장</v>
          </cell>
          <cell r="E217" t="str">
            <v>정규직</v>
          </cell>
        </row>
        <row r="218">
          <cell r="B218" t="str">
            <v>F4112</v>
          </cell>
          <cell r="D218" t="str">
            <v>5급사원</v>
          </cell>
          <cell r="E218" t="str">
            <v>정규직</v>
          </cell>
        </row>
        <row r="219">
          <cell r="B219" t="str">
            <v>F4112</v>
          </cell>
          <cell r="D219" t="str">
            <v>4급을사원</v>
          </cell>
          <cell r="E219" t="str">
            <v>정규직</v>
          </cell>
        </row>
        <row r="220">
          <cell r="B220" t="str">
            <v>F4112</v>
          </cell>
          <cell r="D220" t="str">
            <v>대리</v>
          </cell>
          <cell r="E220" t="str">
            <v>정규직</v>
          </cell>
        </row>
        <row r="221">
          <cell r="B221" t="str">
            <v>F4129</v>
          </cell>
          <cell r="D221" t="str">
            <v>4급을사원</v>
          </cell>
          <cell r="E221" t="str">
            <v>정규직</v>
          </cell>
        </row>
        <row r="222">
          <cell r="B222" t="str">
            <v>F4129</v>
          </cell>
          <cell r="D222" t="str">
            <v>4급을사원</v>
          </cell>
          <cell r="E222" t="str">
            <v>정규직</v>
          </cell>
        </row>
        <row r="223">
          <cell r="B223" t="str">
            <v>F4156</v>
          </cell>
          <cell r="D223" t="str">
            <v>대리</v>
          </cell>
          <cell r="E223" t="str">
            <v>정규직</v>
          </cell>
        </row>
        <row r="224">
          <cell r="B224" t="str">
            <v>F4156</v>
          </cell>
          <cell r="D224" t="str">
            <v>5급사원</v>
          </cell>
          <cell r="E224" t="str">
            <v>정규직</v>
          </cell>
        </row>
        <row r="225">
          <cell r="B225" t="str">
            <v>F4156</v>
          </cell>
          <cell r="D225" t="str">
            <v>과장</v>
          </cell>
          <cell r="E225" t="str">
            <v>정규직</v>
          </cell>
        </row>
        <row r="226">
          <cell r="B226" t="str">
            <v>F4117</v>
          </cell>
          <cell r="D226" t="str">
            <v>4급을사원</v>
          </cell>
          <cell r="E226" t="str">
            <v>정규직</v>
          </cell>
        </row>
        <row r="227">
          <cell r="B227" t="str">
            <v>F4117</v>
          </cell>
          <cell r="D227" t="str">
            <v>대리</v>
          </cell>
          <cell r="E227" t="str">
            <v>정규직</v>
          </cell>
        </row>
        <row r="228">
          <cell r="B228" t="str">
            <v>F4117</v>
          </cell>
          <cell r="D228" t="str">
            <v>4급을사원</v>
          </cell>
          <cell r="E228" t="str">
            <v>정규직</v>
          </cell>
        </row>
        <row r="229">
          <cell r="B229" t="str">
            <v>F4016</v>
          </cell>
          <cell r="D229" t="str">
            <v>대리</v>
          </cell>
          <cell r="E229" t="str">
            <v>정</v>
          </cell>
        </row>
        <row r="230">
          <cell r="B230" t="str">
            <v>F4134</v>
          </cell>
          <cell r="D230" t="str">
            <v>4급을사원</v>
          </cell>
          <cell r="E230" t="str">
            <v>정규직</v>
          </cell>
        </row>
        <row r="231">
          <cell r="B231" t="str">
            <v>F4134</v>
          </cell>
          <cell r="D231" t="str">
            <v>대리</v>
          </cell>
          <cell r="E231" t="str">
            <v>정규직</v>
          </cell>
        </row>
        <row r="232">
          <cell r="B232" t="str">
            <v>F4134</v>
          </cell>
          <cell r="D232" t="str">
            <v>4급을사원</v>
          </cell>
          <cell r="E232" t="str">
            <v>정규직</v>
          </cell>
        </row>
        <row r="233">
          <cell r="B233" t="str">
            <v>F4134</v>
          </cell>
          <cell r="D233" t="str">
            <v>대리</v>
          </cell>
          <cell r="E233" t="str">
            <v>정규직</v>
          </cell>
        </row>
        <row r="234">
          <cell r="B234" t="str">
            <v>F4134</v>
          </cell>
          <cell r="D234" t="str">
            <v>과장</v>
          </cell>
          <cell r="E234" t="str">
            <v>정규직</v>
          </cell>
        </row>
        <row r="235">
          <cell r="B235" t="str">
            <v>F4010</v>
          </cell>
          <cell r="D235" t="str">
            <v>대리</v>
          </cell>
          <cell r="E235" t="str">
            <v>정</v>
          </cell>
        </row>
        <row r="236">
          <cell r="B236" t="str">
            <v>F4125</v>
          </cell>
          <cell r="D236" t="str">
            <v>4급을사원</v>
          </cell>
          <cell r="E236" t="str">
            <v>정규직</v>
          </cell>
        </row>
        <row r="237">
          <cell r="B237" t="str">
            <v>F4125</v>
          </cell>
          <cell r="D237" t="str">
            <v>4급을사원</v>
          </cell>
          <cell r="E237" t="str">
            <v>정규직</v>
          </cell>
        </row>
        <row r="238">
          <cell r="B238" t="str">
            <v>F4125</v>
          </cell>
          <cell r="D238" t="str">
            <v>대리</v>
          </cell>
          <cell r="E238" t="str">
            <v>정규직</v>
          </cell>
        </row>
        <row r="239">
          <cell r="B239" t="str">
            <v>F4120</v>
          </cell>
          <cell r="D239" t="str">
            <v>과장</v>
          </cell>
          <cell r="E239" t="str">
            <v>정규직</v>
          </cell>
        </row>
        <row r="240">
          <cell r="B240" t="str">
            <v>F4120</v>
          </cell>
          <cell r="D240" t="str">
            <v>대리</v>
          </cell>
          <cell r="E240" t="str">
            <v>정규직</v>
          </cell>
        </row>
        <row r="241">
          <cell r="B241" t="str">
            <v>F4120</v>
          </cell>
          <cell r="D241" t="str">
            <v>4급을사원</v>
          </cell>
          <cell r="E241" t="str">
            <v>정규직</v>
          </cell>
        </row>
        <row r="242">
          <cell r="B242" t="str">
            <v>F4120</v>
          </cell>
          <cell r="D242" t="str">
            <v>4급을사원</v>
          </cell>
          <cell r="E242" t="str">
            <v>정규직</v>
          </cell>
        </row>
        <row r="243">
          <cell r="B243" t="str">
            <v>F4120</v>
          </cell>
          <cell r="D243" t="str">
            <v>4급을사원</v>
          </cell>
          <cell r="E243" t="str">
            <v>정규직</v>
          </cell>
        </row>
        <row r="244">
          <cell r="B244" t="str">
            <v>F4143</v>
          </cell>
          <cell r="D244" t="str">
            <v>대리</v>
          </cell>
          <cell r="E244" t="str">
            <v>정규직</v>
          </cell>
        </row>
        <row r="245">
          <cell r="B245" t="str">
            <v>F4143</v>
          </cell>
          <cell r="D245" t="str">
            <v>대리</v>
          </cell>
          <cell r="E245" t="str">
            <v>정규직</v>
          </cell>
        </row>
        <row r="246">
          <cell r="B246" t="str">
            <v>F4143</v>
          </cell>
          <cell r="D246" t="str">
            <v>과장</v>
          </cell>
          <cell r="E246" t="str">
            <v>정규직</v>
          </cell>
        </row>
        <row r="247">
          <cell r="B247" t="str">
            <v>F4146</v>
          </cell>
          <cell r="D247" t="str">
            <v>대리</v>
          </cell>
          <cell r="E247" t="str">
            <v>정규직</v>
          </cell>
        </row>
        <row r="248">
          <cell r="B248" t="str">
            <v>F4121</v>
          </cell>
          <cell r="D248" t="str">
            <v>4급을사원</v>
          </cell>
          <cell r="E248" t="str">
            <v>정규직</v>
          </cell>
        </row>
        <row r="249">
          <cell r="B249" t="str">
            <v>F4121</v>
          </cell>
          <cell r="D249" t="str">
            <v>대리</v>
          </cell>
          <cell r="E249" t="str">
            <v>정규직</v>
          </cell>
        </row>
        <row r="250">
          <cell r="B250" t="str">
            <v>F4121</v>
          </cell>
          <cell r="D250" t="str">
            <v>4급을사원</v>
          </cell>
          <cell r="E250" t="str">
            <v>정규직</v>
          </cell>
        </row>
        <row r="251">
          <cell r="B251" t="str">
            <v>F4017</v>
          </cell>
          <cell r="D251" t="str">
            <v>대리</v>
          </cell>
          <cell r="E251" t="str">
            <v>정</v>
          </cell>
        </row>
        <row r="252">
          <cell r="B252" t="str">
            <v>F4017</v>
          </cell>
          <cell r="D252" t="str">
            <v>차장</v>
          </cell>
          <cell r="E252" t="str">
            <v>정규직</v>
          </cell>
        </row>
        <row r="253">
          <cell r="B253" t="str">
            <v>F4017</v>
          </cell>
          <cell r="D253" t="str">
            <v>과장</v>
          </cell>
          <cell r="E253" t="str">
            <v>정규직</v>
          </cell>
        </row>
        <row r="254">
          <cell r="B254" t="str">
            <v>F4017</v>
          </cell>
          <cell r="D254" t="str">
            <v>대리</v>
          </cell>
          <cell r="E254" t="str">
            <v>정규직</v>
          </cell>
        </row>
        <row r="255">
          <cell r="B255" t="str">
            <v>F4160</v>
          </cell>
          <cell r="D255" t="str">
            <v>4급을사원</v>
          </cell>
          <cell r="E255" t="str">
            <v>정규직</v>
          </cell>
        </row>
        <row r="256">
          <cell r="B256" t="str">
            <v>F4160</v>
          </cell>
          <cell r="D256" t="str">
            <v>대리</v>
          </cell>
          <cell r="E256" t="str">
            <v>정규직</v>
          </cell>
        </row>
        <row r="257">
          <cell r="B257" t="str">
            <v>F4140</v>
          </cell>
          <cell r="D257" t="str">
            <v>4급을사원</v>
          </cell>
          <cell r="E257" t="str">
            <v>정규직</v>
          </cell>
        </row>
        <row r="258">
          <cell r="B258" t="str">
            <v>F4140</v>
          </cell>
          <cell r="D258" t="str">
            <v>대리</v>
          </cell>
          <cell r="E258" t="str">
            <v>정규직</v>
          </cell>
        </row>
        <row r="259">
          <cell r="B259" t="str">
            <v>F4140</v>
          </cell>
          <cell r="D259" t="str">
            <v>대리</v>
          </cell>
          <cell r="E259" t="str">
            <v>정규직</v>
          </cell>
        </row>
        <row r="260">
          <cell r="B260" t="str">
            <v>F4138</v>
          </cell>
          <cell r="D260" t="str">
            <v>대리</v>
          </cell>
          <cell r="E260" t="str">
            <v>정규직</v>
          </cell>
        </row>
        <row r="261">
          <cell r="B261" t="str">
            <v>F4138</v>
          </cell>
          <cell r="D261" t="str">
            <v>대리</v>
          </cell>
          <cell r="E261" t="str">
            <v>정규직</v>
          </cell>
        </row>
        <row r="262">
          <cell r="B262" t="str">
            <v>F4138</v>
          </cell>
          <cell r="D262" t="str">
            <v>과장</v>
          </cell>
          <cell r="E262" t="str">
            <v>정규직</v>
          </cell>
        </row>
        <row r="263">
          <cell r="B263" t="str">
            <v>F4159</v>
          </cell>
          <cell r="D263" t="str">
            <v>대리</v>
          </cell>
          <cell r="E263" t="str">
            <v>정규직</v>
          </cell>
        </row>
        <row r="264">
          <cell r="B264" t="str">
            <v>F4159</v>
          </cell>
          <cell r="D264" t="str">
            <v>과장</v>
          </cell>
          <cell r="E264" t="str">
            <v>정규직</v>
          </cell>
        </row>
        <row r="265">
          <cell r="B265" t="str">
            <v>F4128</v>
          </cell>
          <cell r="D265" t="str">
            <v>대리</v>
          </cell>
          <cell r="E265" t="str">
            <v>정규직</v>
          </cell>
        </row>
        <row r="266">
          <cell r="B266" t="str">
            <v>F4128</v>
          </cell>
          <cell r="D266" t="str">
            <v>대리</v>
          </cell>
          <cell r="E266" t="str">
            <v>정규직</v>
          </cell>
        </row>
        <row r="267">
          <cell r="B267" t="str">
            <v>F4151</v>
          </cell>
          <cell r="D267" t="str">
            <v>과장</v>
          </cell>
          <cell r="E267" t="str">
            <v>정규직</v>
          </cell>
        </row>
        <row r="268">
          <cell r="B268" t="str">
            <v>F4151</v>
          </cell>
          <cell r="D268" t="str">
            <v>4급을사원</v>
          </cell>
          <cell r="E268" t="str">
            <v>정규직</v>
          </cell>
        </row>
        <row r="269">
          <cell r="B269" t="str">
            <v>F4151</v>
          </cell>
          <cell r="D269" t="str">
            <v>4급을사원</v>
          </cell>
          <cell r="E269" t="str">
            <v>정규직</v>
          </cell>
        </row>
        <row r="270">
          <cell r="B270" t="str">
            <v>F4018</v>
          </cell>
          <cell r="D270" t="str">
            <v>대리</v>
          </cell>
          <cell r="E270" t="str">
            <v>정</v>
          </cell>
        </row>
        <row r="271">
          <cell r="B271" t="str">
            <v>F4018</v>
          </cell>
          <cell r="D271" t="str">
            <v>과장</v>
          </cell>
          <cell r="E271" t="str">
            <v>정규직</v>
          </cell>
        </row>
        <row r="272">
          <cell r="B272" t="str">
            <v>F4018</v>
          </cell>
          <cell r="D272" t="str">
            <v>부장</v>
          </cell>
          <cell r="E272" t="str">
            <v>정규직</v>
          </cell>
        </row>
        <row r="273">
          <cell r="B273" t="str">
            <v>F4139</v>
          </cell>
          <cell r="D273" t="str">
            <v>대리</v>
          </cell>
          <cell r="E273" t="str">
            <v>정규직</v>
          </cell>
        </row>
        <row r="274">
          <cell r="B274" t="str">
            <v>F4139</v>
          </cell>
          <cell r="D274" t="str">
            <v>대리</v>
          </cell>
          <cell r="E274" t="str">
            <v>정규직</v>
          </cell>
        </row>
        <row r="275">
          <cell r="B275" t="str">
            <v>C3210</v>
          </cell>
          <cell r="D275" t="str">
            <v>대리</v>
          </cell>
          <cell r="E275" t="str">
            <v>정규직</v>
          </cell>
        </row>
        <row r="276">
          <cell r="B276" t="str">
            <v>C3210</v>
          </cell>
          <cell r="D276" t="str">
            <v>대리</v>
          </cell>
          <cell r="E276" t="str">
            <v>정규직</v>
          </cell>
        </row>
        <row r="277">
          <cell r="B277" t="str">
            <v>C3210</v>
          </cell>
          <cell r="D277" t="str">
            <v>과장</v>
          </cell>
          <cell r="E277" t="str">
            <v>정규직</v>
          </cell>
        </row>
        <row r="278">
          <cell r="B278" t="str">
            <v>C3210</v>
          </cell>
          <cell r="D278" t="str">
            <v>대리</v>
          </cell>
          <cell r="E278" t="str">
            <v>정규직</v>
          </cell>
        </row>
        <row r="279">
          <cell r="B279" t="str">
            <v>C3010</v>
          </cell>
          <cell r="D279" t="str">
            <v>과장</v>
          </cell>
          <cell r="E279" t="str">
            <v>정규직</v>
          </cell>
        </row>
        <row r="280">
          <cell r="B280" t="str">
            <v>C3010</v>
          </cell>
          <cell r="D280" t="str">
            <v>대리</v>
          </cell>
          <cell r="E280" t="str">
            <v>정규직</v>
          </cell>
        </row>
        <row r="281">
          <cell r="B281" t="str">
            <v>C3010</v>
          </cell>
          <cell r="D281" t="str">
            <v>대리</v>
          </cell>
          <cell r="E281" t="str">
            <v>정규직</v>
          </cell>
        </row>
        <row r="282">
          <cell r="B282" t="str">
            <v>C3010</v>
          </cell>
          <cell r="D282" t="str">
            <v>5급사원</v>
          </cell>
          <cell r="E282" t="str">
            <v>정규직</v>
          </cell>
        </row>
        <row r="283">
          <cell r="B283" t="str">
            <v>C3010</v>
          </cell>
          <cell r="D283" t="str">
            <v>과장</v>
          </cell>
          <cell r="E283" t="str">
            <v>정규직</v>
          </cell>
        </row>
        <row r="284">
          <cell r="B284" t="str">
            <v>C3010</v>
          </cell>
          <cell r="D284" t="str">
            <v>대리</v>
          </cell>
          <cell r="E284" t="str">
            <v>정규직</v>
          </cell>
        </row>
        <row r="285">
          <cell r="B285" t="str">
            <v>C3010</v>
          </cell>
          <cell r="D285" t="str">
            <v>대리</v>
          </cell>
          <cell r="E285" t="str">
            <v>정규직</v>
          </cell>
        </row>
        <row r="286">
          <cell r="B286" t="str">
            <v>C3010</v>
          </cell>
          <cell r="D286" t="str">
            <v>대리</v>
          </cell>
          <cell r="E286" t="str">
            <v>정규직</v>
          </cell>
        </row>
        <row r="287">
          <cell r="B287" t="str">
            <v>C4134</v>
          </cell>
          <cell r="D287" t="str">
            <v>대리</v>
          </cell>
          <cell r="E287" t="str">
            <v>정규직</v>
          </cell>
        </row>
        <row r="288">
          <cell r="B288" t="str">
            <v>C3010</v>
          </cell>
          <cell r="D288" t="str">
            <v>4급을사원</v>
          </cell>
          <cell r="E288" t="str">
            <v>정규직</v>
          </cell>
        </row>
        <row r="289">
          <cell r="B289" t="str">
            <v>C3110</v>
          </cell>
          <cell r="D289" t="str">
            <v>4급을사원</v>
          </cell>
          <cell r="E289" t="str">
            <v>정규직</v>
          </cell>
        </row>
        <row r="290">
          <cell r="B290" t="str">
            <v>C3110</v>
          </cell>
          <cell r="D290" t="str">
            <v>대리</v>
          </cell>
          <cell r="E290" t="str">
            <v>정규직</v>
          </cell>
        </row>
        <row r="291">
          <cell r="B291" t="str">
            <v>C3110</v>
          </cell>
          <cell r="D291" t="str">
            <v>과장</v>
          </cell>
          <cell r="E291" t="str">
            <v>정규직</v>
          </cell>
        </row>
        <row r="292">
          <cell r="B292" t="str">
            <v>C3110</v>
          </cell>
          <cell r="D292" t="str">
            <v>차장</v>
          </cell>
          <cell r="E292" t="str">
            <v>정규직</v>
          </cell>
        </row>
        <row r="293">
          <cell r="B293" t="str">
            <v>C3110</v>
          </cell>
          <cell r="D293" t="str">
            <v>과장</v>
          </cell>
          <cell r="E293" t="str">
            <v>정규직</v>
          </cell>
        </row>
        <row r="294">
          <cell r="B294" t="str">
            <v>A1025</v>
          </cell>
          <cell r="D294" t="str">
            <v>부장</v>
          </cell>
          <cell r="E294" t="str">
            <v>정규직</v>
          </cell>
        </row>
        <row r="295">
          <cell r="B295" t="str">
            <v>H3070</v>
          </cell>
          <cell r="D295" t="str">
            <v>대리</v>
          </cell>
          <cell r="E295" t="str">
            <v>정규직</v>
          </cell>
        </row>
        <row r="296">
          <cell r="B296" t="str">
            <v>H3070</v>
          </cell>
          <cell r="D296" t="str">
            <v>과장</v>
          </cell>
          <cell r="E296" t="str">
            <v>정규직</v>
          </cell>
        </row>
        <row r="297">
          <cell r="B297" t="str">
            <v>H3070</v>
          </cell>
          <cell r="D297" t="str">
            <v>4급을사원</v>
          </cell>
          <cell r="E297" t="str">
            <v>정규직</v>
          </cell>
        </row>
        <row r="298">
          <cell r="B298" t="str">
            <v>D3090</v>
          </cell>
          <cell r="D298" t="str">
            <v>과장</v>
          </cell>
          <cell r="E298" t="str">
            <v>정규직</v>
          </cell>
        </row>
        <row r="299">
          <cell r="B299" t="str">
            <v>D3090</v>
          </cell>
          <cell r="D299" t="str">
            <v>대리</v>
          </cell>
          <cell r="E299" t="str">
            <v>정규직</v>
          </cell>
        </row>
        <row r="300">
          <cell r="B300" t="str">
            <v>D3090</v>
          </cell>
          <cell r="D300" t="str">
            <v>5급사원</v>
          </cell>
          <cell r="E300" t="str">
            <v>정규직</v>
          </cell>
        </row>
        <row r="301">
          <cell r="B301" t="str">
            <v>D3090</v>
          </cell>
          <cell r="D301" t="str">
            <v>대리</v>
          </cell>
          <cell r="E301" t="str">
            <v>정규직</v>
          </cell>
        </row>
        <row r="302">
          <cell r="B302" t="str">
            <v>D3090</v>
          </cell>
          <cell r="D302" t="str">
            <v>대리</v>
          </cell>
          <cell r="E302" t="str">
            <v>정규직</v>
          </cell>
        </row>
        <row r="303">
          <cell r="B303" t="str">
            <v>B5013</v>
          </cell>
          <cell r="D303" t="str">
            <v>대리</v>
          </cell>
          <cell r="E303" t="str">
            <v>정규직</v>
          </cell>
        </row>
        <row r="304">
          <cell r="B304" t="str">
            <v>B5013</v>
          </cell>
          <cell r="D304" t="str">
            <v>4급을사원</v>
          </cell>
          <cell r="E304" t="str">
            <v>정규직</v>
          </cell>
        </row>
        <row r="305">
          <cell r="B305" t="str">
            <v>B5013</v>
          </cell>
          <cell r="D305" t="str">
            <v>4급을사원</v>
          </cell>
          <cell r="E305" t="str">
            <v>정규직</v>
          </cell>
        </row>
        <row r="306">
          <cell r="B306" t="str">
            <v>B5013</v>
          </cell>
          <cell r="D306" t="str">
            <v>4급을사원</v>
          </cell>
          <cell r="E306" t="str">
            <v>정규직</v>
          </cell>
        </row>
        <row r="307">
          <cell r="B307" t="str">
            <v>B5013</v>
          </cell>
          <cell r="D307" t="str">
            <v>5급사원</v>
          </cell>
          <cell r="E307" t="str">
            <v>정규직</v>
          </cell>
        </row>
        <row r="308">
          <cell r="B308" t="str">
            <v>B5013</v>
          </cell>
          <cell r="D308" t="str">
            <v>과장</v>
          </cell>
          <cell r="E308" t="str">
            <v>정규직</v>
          </cell>
        </row>
        <row r="309">
          <cell r="B309" t="str">
            <v>B5013</v>
          </cell>
          <cell r="D309" t="str">
            <v>5급사원</v>
          </cell>
          <cell r="E309" t="str">
            <v>정규직</v>
          </cell>
        </row>
        <row r="310">
          <cell r="B310" t="str">
            <v>B2010</v>
          </cell>
          <cell r="D310" t="str">
            <v>4급연구원</v>
          </cell>
          <cell r="E310" t="str">
            <v>정규직</v>
          </cell>
        </row>
        <row r="311">
          <cell r="B311" t="str">
            <v>B2010</v>
          </cell>
          <cell r="D311" t="str">
            <v>4급연구원</v>
          </cell>
          <cell r="E311" t="str">
            <v>정규직</v>
          </cell>
        </row>
        <row r="312">
          <cell r="B312" t="str">
            <v>B2010</v>
          </cell>
          <cell r="D312" t="str">
            <v>선임연구원</v>
          </cell>
          <cell r="E312" t="str">
            <v>정규직</v>
          </cell>
        </row>
        <row r="313">
          <cell r="B313" t="str">
            <v>B2010</v>
          </cell>
          <cell r="D313" t="str">
            <v>수석연구원</v>
          </cell>
          <cell r="E313" t="str">
            <v>정규직</v>
          </cell>
        </row>
        <row r="314">
          <cell r="B314" t="str">
            <v>D3091</v>
          </cell>
          <cell r="D314" t="str">
            <v>과장</v>
          </cell>
          <cell r="E314" t="str">
            <v>정규직</v>
          </cell>
        </row>
        <row r="315">
          <cell r="B315" t="str">
            <v>D3091</v>
          </cell>
          <cell r="D315" t="str">
            <v>4급을사원</v>
          </cell>
          <cell r="E315" t="str">
            <v>정규직</v>
          </cell>
        </row>
        <row r="316">
          <cell r="B316" t="str">
            <v>D3091</v>
          </cell>
          <cell r="D316" t="str">
            <v>차장</v>
          </cell>
          <cell r="E316" t="str">
            <v>정규직</v>
          </cell>
        </row>
        <row r="317">
          <cell r="B317" t="str">
            <v>D3098</v>
          </cell>
          <cell r="D317" t="str">
            <v>차장</v>
          </cell>
          <cell r="E317" t="str">
            <v>정규직</v>
          </cell>
        </row>
        <row r="318">
          <cell r="B318" t="str">
            <v>D3098</v>
          </cell>
          <cell r="D318" t="str">
            <v>대리</v>
          </cell>
          <cell r="E318" t="str">
            <v>정규직</v>
          </cell>
        </row>
        <row r="319">
          <cell r="B319" t="str">
            <v>D3098</v>
          </cell>
          <cell r="D319" t="str">
            <v>대리</v>
          </cell>
          <cell r="E319" t="str">
            <v>정규직</v>
          </cell>
        </row>
        <row r="320">
          <cell r="B320" t="str">
            <v>B5060</v>
          </cell>
          <cell r="D320" t="str">
            <v>대리</v>
          </cell>
          <cell r="E320" t="str">
            <v>정규직</v>
          </cell>
        </row>
        <row r="321">
          <cell r="B321" t="str">
            <v>B5060</v>
          </cell>
          <cell r="D321" t="str">
            <v>대리</v>
          </cell>
          <cell r="E321" t="str">
            <v>정규직</v>
          </cell>
        </row>
        <row r="322">
          <cell r="B322" t="str">
            <v>B5060</v>
          </cell>
          <cell r="D322" t="str">
            <v>4급을사원</v>
          </cell>
          <cell r="E322" t="str">
            <v>정규직</v>
          </cell>
        </row>
        <row r="323">
          <cell r="B323" t="str">
            <v>B5060</v>
          </cell>
          <cell r="D323" t="str">
            <v>5급사원</v>
          </cell>
          <cell r="E323" t="str">
            <v>정규직</v>
          </cell>
        </row>
        <row r="324">
          <cell r="B324" t="str">
            <v>B5060</v>
          </cell>
          <cell r="D324" t="str">
            <v>5급사원</v>
          </cell>
          <cell r="E324" t="str">
            <v>정규직</v>
          </cell>
        </row>
        <row r="325">
          <cell r="B325" t="str">
            <v>B5060</v>
          </cell>
          <cell r="D325" t="str">
            <v>생산직</v>
          </cell>
          <cell r="E325" t="str">
            <v>정규직</v>
          </cell>
        </row>
        <row r="326">
          <cell r="B326" t="str">
            <v>B5060</v>
          </cell>
          <cell r="D326" t="str">
            <v>생산직</v>
          </cell>
          <cell r="E326" t="str">
            <v>정규직</v>
          </cell>
        </row>
        <row r="327">
          <cell r="B327" t="str">
            <v>B5060</v>
          </cell>
          <cell r="D327" t="str">
            <v>대리</v>
          </cell>
          <cell r="E327" t="str">
            <v>정규직</v>
          </cell>
        </row>
        <row r="328">
          <cell r="B328" t="str">
            <v>D3102</v>
          </cell>
          <cell r="D328" t="str">
            <v>대리</v>
          </cell>
          <cell r="E328" t="str">
            <v>정규직</v>
          </cell>
        </row>
        <row r="329">
          <cell r="B329" t="str">
            <v>D3102</v>
          </cell>
          <cell r="D329" t="str">
            <v>부장</v>
          </cell>
          <cell r="E329" t="str">
            <v>정규직</v>
          </cell>
        </row>
        <row r="330">
          <cell r="B330" t="str">
            <v>D3102</v>
          </cell>
          <cell r="D330" t="str">
            <v>대리</v>
          </cell>
          <cell r="E330" t="str">
            <v>정규직</v>
          </cell>
        </row>
        <row r="331">
          <cell r="B331" t="str">
            <v>B2010</v>
          </cell>
          <cell r="D331" t="str">
            <v>부장</v>
          </cell>
          <cell r="E331" t="str">
            <v>정규직</v>
          </cell>
        </row>
        <row r="332">
          <cell r="B332" t="str">
            <v>B2020</v>
          </cell>
          <cell r="D332" t="str">
            <v>부장</v>
          </cell>
          <cell r="E332" t="str">
            <v>정규직</v>
          </cell>
        </row>
        <row r="333">
          <cell r="B333" t="str">
            <v>B2010</v>
          </cell>
          <cell r="D333" t="str">
            <v>선임연구원</v>
          </cell>
          <cell r="E333" t="str">
            <v>정규직</v>
          </cell>
        </row>
        <row r="334">
          <cell r="B334" t="str">
            <v>B2010</v>
          </cell>
          <cell r="D334" t="str">
            <v>4급연구원</v>
          </cell>
          <cell r="E334" t="str">
            <v>정규직</v>
          </cell>
        </row>
        <row r="335">
          <cell r="B335" t="str">
            <v>B2010</v>
          </cell>
          <cell r="D335" t="str">
            <v>4급연구원</v>
          </cell>
          <cell r="E335" t="str">
            <v>정규직</v>
          </cell>
        </row>
        <row r="336">
          <cell r="B336" t="str">
            <v>B2010</v>
          </cell>
          <cell r="D336" t="str">
            <v>선임연구원</v>
          </cell>
          <cell r="E336" t="str">
            <v>정규직</v>
          </cell>
        </row>
        <row r="337">
          <cell r="B337" t="str">
            <v>B2010</v>
          </cell>
          <cell r="D337" t="str">
            <v>책임연구원</v>
          </cell>
          <cell r="E337" t="str">
            <v>정규직</v>
          </cell>
        </row>
        <row r="338">
          <cell r="B338" t="str">
            <v>B5010</v>
          </cell>
          <cell r="D338" t="str">
            <v>과장</v>
          </cell>
          <cell r="E338" t="str">
            <v>정규직</v>
          </cell>
        </row>
        <row r="339">
          <cell r="B339" t="str">
            <v>B5010</v>
          </cell>
          <cell r="D339" t="str">
            <v>대리</v>
          </cell>
          <cell r="E339" t="str">
            <v>정규직</v>
          </cell>
        </row>
        <row r="340">
          <cell r="B340" t="str">
            <v>B5010</v>
          </cell>
          <cell r="D340" t="str">
            <v>4급을사원</v>
          </cell>
          <cell r="E340" t="str">
            <v>정규직</v>
          </cell>
        </row>
        <row r="341">
          <cell r="B341" t="str">
            <v>B5010</v>
          </cell>
          <cell r="D341" t="str">
            <v>4급을사원</v>
          </cell>
          <cell r="E341" t="str">
            <v>정규직</v>
          </cell>
        </row>
        <row r="342">
          <cell r="B342" t="str">
            <v>B5010</v>
          </cell>
          <cell r="D342" t="str">
            <v>4급을사원</v>
          </cell>
          <cell r="E342" t="str">
            <v>정규직</v>
          </cell>
        </row>
        <row r="343">
          <cell r="B343" t="str">
            <v>D3093</v>
          </cell>
          <cell r="D343" t="str">
            <v>과장</v>
          </cell>
          <cell r="E343" t="str">
            <v>정규직</v>
          </cell>
        </row>
        <row r="344">
          <cell r="B344" t="str">
            <v>D3093</v>
          </cell>
          <cell r="D344" t="str">
            <v>대리</v>
          </cell>
          <cell r="E344" t="str">
            <v>정규직</v>
          </cell>
        </row>
        <row r="345">
          <cell r="B345" t="str">
            <v>D3093</v>
          </cell>
          <cell r="D345" t="str">
            <v>과장</v>
          </cell>
          <cell r="E345" t="str">
            <v>정규직</v>
          </cell>
        </row>
        <row r="346">
          <cell r="B346" t="str">
            <v>D3093</v>
          </cell>
          <cell r="D346" t="str">
            <v>부장</v>
          </cell>
          <cell r="E346" t="str">
            <v>정규직</v>
          </cell>
        </row>
        <row r="347">
          <cell r="B347" t="str">
            <v>D3092</v>
          </cell>
          <cell r="D347" t="str">
            <v>대리</v>
          </cell>
          <cell r="E347" t="str">
            <v>정규직</v>
          </cell>
        </row>
        <row r="348">
          <cell r="B348" t="str">
            <v>D3092</v>
          </cell>
          <cell r="D348" t="str">
            <v>과장</v>
          </cell>
          <cell r="E348" t="str">
            <v>정규직</v>
          </cell>
        </row>
        <row r="349">
          <cell r="B349" t="str">
            <v>D3092</v>
          </cell>
          <cell r="D349" t="str">
            <v>4급을사원</v>
          </cell>
          <cell r="E349" t="str">
            <v>정규직</v>
          </cell>
        </row>
        <row r="350">
          <cell r="B350" t="str">
            <v>D3092</v>
          </cell>
          <cell r="D350" t="str">
            <v>5급사원</v>
          </cell>
          <cell r="E350" t="str">
            <v>정규직</v>
          </cell>
        </row>
        <row r="351">
          <cell r="B351" t="str">
            <v>D3093</v>
          </cell>
          <cell r="D351" t="str">
            <v>대리</v>
          </cell>
          <cell r="E351" t="str">
            <v>정규직</v>
          </cell>
        </row>
        <row r="352">
          <cell r="B352" t="str">
            <v>D3093</v>
          </cell>
          <cell r="D352" t="str">
            <v>4급을사원</v>
          </cell>
          <cell r="E352" t="str">
            <v>정규직</v>
          </cell>
        </row>
        <row r="353">
          <cell r="B353" t="str">
            <v>E3011</v>
          </cell>
          <cell r="D353" t="str">
            <v>임시직</v>
          </cell>
          <cell r="E353" t="str">
            <v>임시직</v>
          </cell>
        </row>
        <row r="354">
          <cell r="B354" t="str">
            <v>S3082</v>
          </cell>
          <cell r="D354" t="str">
            <v>CS사원</v>
          </cell>
          <cell r="E354" t="str">
            <v>임시직</v>
          </cell>
        </row>
        <row r="355">
          <cell r="B355" t="str">
            <v>E4010</v>
          </cell>
          <cell r="D355" t="str">
            <v>CS사원</v>
          </cell>
          <cell r="E355" t="str">
            <v>임시직</v>
          </cell>
        </row>
        <row r="356">
          <cell r="B356" t="str">
            <v>E4010</v>
          </cell>
          <cell r="D356" t="str">
            <v>CS사원</v>
          </cell>
          <cell r="E356" t="str">
            <v>임시직</v>
          </cell>
        </row>
        <row r="357">
          <cell r="B357" t="str">
            <v>E4020</v>
          </cell>
          <cell r="D357" t="str">
            <v>CS사원(행정지원)</v>
          </cell>
          <cell r="E357" t="str">
            <v>임시직</v>
          </cell>
        </row>
        <row r="358">
          <cell r="B358" t="str">
            <v>E4030</v>
          </cell>
          <cell r="D358" t="str">
            <v>사업단장</v>
          </cell>
          <cell r="E358" t="str">
            <v>임시직</v>
          </cell>
        </row>
        <row r="359">
          <cell r="B359" t="str">
            <v>E3010</v>
          </cell>
          <cell r="D359" t="str">
            <v>CS사원(물류지원)</v>
          </cell>
          <cell r="E359" t="str">
            <v>임시직</v>
          </cell>
        </row>
        <row r="360">
          <cell r="B360" t="str">
            <v>E4111</v>
          </cell>
          <cell r="D360" t="str">
            <v>CS사원(ECO)</v>
          </cell>
          <cell r="E360" t="str">
            <v xml:space="preserve">에코 </v>
          </cell>
        </row>
        <row r="361">
          <cell r="B361" t="str">
            <v>E4111</v>
          </cell>
          <cell r="D361" t="str">
            <v>CS사원(ECO)</v>
          </cell>
          <cell r="E361" t="str">
            <v xml:space="preserve">에코 </v>
          </cell>
        </row>
        <row r="362">
          <cell r="B362" t="str">
            <v>E4111</v>
          </cell>
          <cell r="D362" t="str">
            <v>CS사원(ECO)</v>
          </cell>
          <cell r="E362" t="str">
            <v xml:space="preserve">에코 </v>
          </cell>
        </row>
        <row r="363">
          <cell r="B363" t="str">
            <v>E4111</v>
          </cell>
          <cell r="D363" t="str">
            <v>CS사원(ECO)</v>
          </cell>
          <cell r="E363" t="str">
            <v xml:space="preserve">에코 </v>
          </cell>
        </row>
        <row r="364">
          <cell r="B364" t="str">
            <v>E4111</v>
          </cell>
          <cell r="D364" t="str">
            <v>CS사원(ECO)</v>
          </cell>
          <cell r="E364" t="str">
            <v xml:space="preserve">에코 </v>
          </cell>
        </row>
        <row r="365">
          <cell r="B365" t="str">
            <v>E4111</v>
          </cell>
          <cell r="D365" t="str">
            <v>CS사원(ECO)</v>
          </cell>
          <cell r="E365" t="str">
            <v xml:space="preserve">에코 </v>
          </cell>
        </row>
        <row r="366">
          <cell r="B366" t="str">
            <v>E4111</v>
          </cell>
          <cell r="D366" t="str">
            <v>ECO팀장</v>
          </cell>
          <cell r="E366" t="str">
            <v xml:space="preserve">에코 </v>
          </cell>
        </row>
        <row r="367">
          <cell r="B367" t="str">
            <v>E4111</v>
          </cell>
          <cell r="D367" t="str">
            <v>CS사원(행정지원)</v>
          </cell>
          <cell r="E367" t="str">
            <v>임시직</v>
          </cell>
        </row>
        <row r="368">
          <cell r="B368" t="str">
            <v>E4118</v>
          </cell>
          <cell r="D368" t="str">
            <v>CS사원(ECO)</v>
          </cell>
          <cell r="E368" t="str">
            <v xml:space="preserve">에코 </v>
          </cell>
        </row>
        <row r="369">
          <cell r="B369" t="str">
            <v>E4118</v>
          </cell>
          <cell r="D369" t="str">
            <v>CS사원(ECO)</v>
          </cell>
          <cell r="E369" t="str">
            <v xml:space="preserve">에코 </v>
          </cell>
        </row>
        <row r="370">
          <cell r="B370" t="str">
            <v>E4118</v>
          </cell>
          <cell r="D370" t="str">
            <v>CS사원(ECO)</v>
          </cell>
          <cell r="E370" t="str">
            <v xml:space="preserve">에코 </v>
          </cell>
        </row>
        <row r="371">
          <cell r="B371" t="str">
            <v>E4118</v>
          </cell>
          <cell r="D371" t="str">
            <v>CS사원(행정지원)</v>
          </cell>
          <cell r="E371" t="str">
            <v>임시직</v>
          </cell>
        </row>
        <row r="372">
          <cell r="B372" t="str">
            <v>E4113</v>
          </cell>
          <cell r="D372" t="str">
            <v>CS사원(ECO)</v>
          </cell>
          <cell r="E372" t="str">
            <v xml:space="preserve">에코 </v>
          </cell>
        </row>
        <row r="373">
          <cell r="B373" t="str">
            <v>E4113</v>
          </cell>
          <cell r="D373" t="str">
            <v>CS사원(ECO)</v>
          </cell>
          <cell r="E373" t="str">
            <v xml:space="preserve">에코 </v>
          </cell>
        </row>
        <row r="374">
          <cell r="B374" t="str">
            <v>E4113</v>
          </cell>
          <cell r="D374" t="str">
            <v>CS사원(ECO)</v>
          </cell>
          <cell r="E374" t="str">
            <v xml:space="preserve">에코 </v>
          </cell>
        </row>
        <row r="375">
          <cell r="B375" t="str">
            <v>E4113</v>
          </cell>
          <cell r="D375" t="str">
            <v>CS사원(ECO)</v>
          </cell>
          <cell r="E375" t="str">
            <v xml:space="preserve">에코 </v>
          </cell>
        </row>
        <row r="376">
          <cell r="B376" t="str">
            <v>E4113</v>
          </cell>
          <cell r="D376" t="str">
            <v>CS사원(ECO)</v>
          </cell>
          <cell r="E376" t="str">
            <v xml:space="preserve">에코 </v>
          </cell>
        </row>
        <row r="377">
          <cell r="B377" t="str">
            <v>E4113</v>
          </cell>
          <cell r="D377" t="str">
            <v>CS사원(ECO)</v>
          </cell>
          <cell r="E377" t="str">
            <v xml:space="preserve">에코 </v>
          </cell>
        </row>
        <row r="378">
          <cell r="B378" t="str">
            <v>E4113</v>
          </cell>
          <cell r="D378" t="str">
            <v>CS사원(ECO)</v>
          </cell>
          <cell r="E378" t="str">
            <v xml:space="preserve">에코 </v>
          </cell>
        </row>
        <row r="379">
          <cell r="B379" t="str">
            <v>E4113</v>
          </cell>
          <cell r="D379" t="str">
            <v>CS사원(ECO)</v>
          </cell>
          <cell r="E379" t="str">
            <v xml:space="preserve">에코 </v>
          </cell>
        </row>
        <row r="380">
          <cell r="B380" t="str">
            <v>E4113</v>
          </cell>
          <cell r="D380" t="str">
            <v>CS사원(ECO)</v>
          </cell>
          <cell r="E380" t="str">
            <v xml:space="preserve">에코 </v>
          </cell>
        </row>
        <row r="381">
          <cell r="B381" t="str">
            <v>E4113</v>
          </cell>
          <cell r="D381" t="str">
            <v>CS사원(ECO)</v>
          </cell>
          <cell r="E381" t="str">
            <v xml:space="preserve">에코 </v>
          </cell>
        </row>
        <row r="382">
          <cell r="B382" t="str">
            <v>E4113</v>
          </cell>
          <cell r="D382" t="str">
            <v>CS사원</v>
          </cell>
          <cell r="E382" t="str">
            <v>임시직</v>
          </cell>
        </row>
        <row r="383">
          <cell r="B383" t="str">
            <v>A1214</v>
          </cell>
          <cell r="D383" t="str">
            <v>Eco Specialist</v>
          </cell>
          <cell r="E383" t="str">
            <v>임시직</v>
          </cell>
        </row>
        <row r="384">
          <cell r="B384" t="str">
            <v>A1214</v>
          </cell>
          <cell r="D384" t="str">
            <v>CS사원(사내강사)</v>
          </cell>
          <cell r="E384" t="str">
            <v>임시직</v>
          </cell>
        </row>
        <row r="385">
          <cell r="B385" t="str">
            <v>A1214</v>
          </cell>
          <cell r="D385" t="str">
            <v>Eco Specialist</v>
          </cell>
          <cell r="E385" t="str">
            <v>임시직</v>
          </cell>
        </row>
        <row r="386">
          <cell r="B386" t="str">
            <v>A1214</v>
          </cell>
          <cell r="D386" t="str">
            <v>Eco Specialist</v>
          </cell>
          <cell r="E386" t="str">
            <v>임시직</v>
          </cell>
        </row>
        <row r="387">
          <cell r="B387" t="str">
            <v>E4120</v>
          </cell>
          <cell r="D387" t="str">
            <v>CS사원(ECO)</v>
          </cell>
          <cell r="E387" t="str">
            <v xml:space="preserve">에코 </v>
          </cell>
        </row>
        <row r="388">
          <cell r="B388" t="str">
            <v>E4120</v>
          </cell>
          <cell r="D388" t="str">
            <v>CS사원(ECO)</v>
          </cell>
          <cell r="E388" t="str">
            <v xml:space="preserve">에코 </v>
          </cell>
        </row>
        <row r="389">
          <cell r="B389" t="str">
            <v>E4120</v>
          </cell>
          <cell r="D389" t="str">
            <v>CS사원(ECO)</v>
          </cell>
          <cell r="E389" t="str">
            <v xml:space="preserve">에코 </v>
          </cell>
        </row>
        <row r="390">
          <cell r="B390" t="str">
            <v>E4120</v>
          </cell>
          <cell r="D390" t="str">
            <v>CS사원</v>
          </cell>
          <cell r="E390" t="str">
            <v>임시직</v>
          </cell>
        </row>
        <row r="391">
          <cell r="B391" t="str">
            <v>E4120</v>
          </cell>
          <cell r="D391" t="str">
            <v>ECO팀장</v>
          </cell>
          <cell r="E391" t="str">
            <v xml:space="preserve">에코 </v>
          </cell>
        </row>
        <row r="392">
          <cell r="B392" t="str">
            <v>E4119</v>
          </cell>
          <cell r="D392" t="str">
            <v>CS사원(ECO)</v>
          </cell>
          <cell r="E392" t="str">
            <v xml:space="preserve">에코 </v>
          </cell>
        </row>
        <row r="393">
          <cell r="B393" t="str">
            <v>E4119</v>
          </cell>
          <cell r="D393" t="str">
            <v>CS사원(ECO)</v>
          </cell>
          <cell r="E393" t="str">
            <v xml:space="preserve">에코 </v>
          </cell>
        </row>
        <row r="394">
          <cell r="B394" t="str">
            <v>E4119</v>
          </cell>
          <cell r="D394" t="str">
            <v>CS사원(ECO)</v>
          </cell>
          <cell r="E394" t="str">
            <v xml:space="preserve">에코 </v>
          </cell>
        </row>
        <row r="395">
          <cell r="B395" t="str">
            <v>E4119</v>
          </cell>
          <cell r="D395" t="str">
            <v>CS사원(ECO)</v>
          </cell>
          <cell r="E395" t="str">
            <v xml:space="preserve">에코 </v>
          </cell>
        </row>
        <row r="396">
          <cell r="B396" t="str">
            <v>E4119</v>
          </cell>
          <cell r="D396" t="str">
            <v>CS사원(ECO)</v>
          </cell>
          <cell r="E396" t="str">
            <v xml:space="preserve">에코 </v>
          </cell>
        </row>
        <row r="397">
          <cell r="B397" t="str">
            <v>E4119</v>
          </cell>
          <cell r="D397" t="str">
            <v>CS사원(ECO)</v>
          </cell>
          <cell r="E397" t="str">
            <v xml:space="preserve">에코 </v>
          </cell>
        </row>
        <row r="398">
          <cell r="B398" t="str">
            <v>E4119</v>
          </cell>
          <cell r="D398" t="str">
            <v>ECO팀장</v>
          </cell>
          <cell r="E398" t="str">
            <v xml:space="preserve">에코 </v>
          </cell>
        </row>
        <row r="399">
          <cell r="B399" t="str">
            <v>E4119</v>
          </cell>
          <cell r="D399" t="str">
            <v>ECO팀장</v>
          </cell>
          <cell r="E399" t="str">
            <v xml:space="preserve">에코 </v>
          </cell>
        </row>
        <row r="400">
          <cell r="B400" t="str">
            <v>E4119</v>
          </cell>
          <cell r="D400" t="str">
            <v>CS사원</v>
          </cell>
          <cell r="E400" t="str">
            <v>임시직</v>
          </cell>
        </row>
        <row r="401">
          <cell r="B401" t="str">
            <v>E4117</v>
          </cell>
          <cell r="D401" t="str">
            <v>CS사원(ECO)</v>
          </cell>
          <cell r="E401" t="str">
            <v xml:space="preserve">에코 </v>
          </cell>
        </row>
        <row r="402">
          <cell r="B402" t="str">
            <v>E4117</v>
          </cell>
          <cell r="D402" t="str">
            <v>CS사원(ECO)</v>
          </cell>
          <cell r="E402" t="str">
            <v xml:space="preserve">에코 </v>
          </cell>
        </row>
        <row r="403">
          <cell r="B403" t="str">
            <v>E4117</v>
          </cell>
          <cell r="D403" t="str">
            <v>CS사원</v>
          </cell>
          <cell r="E403" t="str">
            <v>임시직</v>
          </cell>
        </row>
        <row r="404">
          <cell r="B404" t="str">
            <v>E4117</v>
          </cell>
          <cell r="D404" t="str">
            <v>ECO팀장</v>
          </cell>
          <cell r="E404" t="str">
            <v xml:space="preserve">에코 </v>
          </cell>
        </row>
        <row r="405">
          <cell r="B405" t="str">
            <v>E4116</v>
          </cell>
          <cell r="D405" t="str">
            <v>CS사원(ECO)</v>
          </cell>
          <cell r="E405" t="str">
            <v xml:space="preserve">에코 </v>
          </cell>
        </row>
        <row r="406">
          <cell r="B406" t="str">
            <v>E4116</v>
          </cell>
          <cell r="D406" t="str">
            <v>CS사원(ECO)</v>
          </cell>
          <cell r="E406" t="str">
            <v xml:space="preserve">에코 </v>
          </cell>
        </row>
        <row r="407">
          <cell r="B407" t="str">
            <v>E4116</v>
          </cell>
          <cell r="D407" t="str">
            <v>CS사원(ECO)</v>
          </cell>
          <cell r="E407" t="str">
            <v xml:space="preserve">에코 </v>
          </cell>
        </row>
        <row r="408">
          <cell r="B408" t="str">
            <v>E4116</v>
          </cell>
          <cell r="D408" t="str">
            <v>CS사원(ECO)</v>
          </cell>
          <cell r="E408" t="str">
            <v xml:space="preserve">에코 </v>
          </cell>
        </row>
        <row r="409">
          <cell r="B409" t="str">
            <v>E4116</v>
          </cell>
          <cell r="D409" t="str">
            <v>CS사원(ECO)</v>
          </cell>
          <cell r="E409" t="str">
            <v xml:space="preserve">에코 </v>
          </cell>
        </row>
        <row r="410">
          <cell r="B410" t="str">
            <v>E4116</v>
          </cell>
          <cell r="D410" t="str">
            <v>CS사원(ECO)</v>
          </cell>
          <cell r="E410" t="str">
            <v xml:space="preserve">에코 </v>
          </cell>
        </row>
        <row r="411">
          <cell r="B411" t="str">
            <v>E4116</v>
          </cell>
          <cell r="D411" t="str">
            <v>ECO팀장</v>
          </cell>
          <cell r="E411" t="str">
            <v xml:space="preserve">에코 </v>
          </cell>
        </row>
        <row r="412">
          <cell r="B412" t="str">
            <v>E4116</v>
          </cell>
          <cell r="D412" t="str">
            <v>CS사원</v>
          </cell>
          <cell r="E412" t="str">
            <v>임시직</v>
          </cell>
        </row>
        <row r="413">
          <cell r="B413" t="str">
            <v>E4115</v>
          </cell>
          <cell r="D413" t="str">
            <v>CS사원(ECO)</v>
          </cell>
          <cell r="E413" t="str">
            <v xml:space="preserve">에코 </v>
          </cell>
        </row>
        <row r="414">
          <cell r="B414" t="str">
            <v>E4115</v>
          </cell>
          <cell r="D414" t="str">
            <v>CS사원(ECO)</v>
          </cell>
          <cell r="E414" t="str">
            <v xml:space="preserve">에코 </v>
          </cell>
        </row>
        <row r="415">
          <cell r="B415" t="str">
            <v>E4115</v>
          </cell>
          <cell r="D415" t="str">
            <v>CS사원(ECO)</v>
          </cell>
          <cell r="E415" t="str">
            <v xml:space="preserve">에코 </v>
          </cell>
        </row>
        <row r="416">
          <cell r="B416" t="str">
            <v>E4115</v>
          </cell>
          <cell r="D416" t="str">
            <v>CS사원(ECO)</v>
          </cell>
          <cell r="E416" t="str">
            <v xml:space="preserve">에코 </v>
          </cell>
        </row>
        <row r="417">
          <cell r="B417" t="str">
            <v>E4115</v>
          </cell>
          <cell r="D417" t="str">
            <v>CS사원(ECO)</v>
          </cell>
          <cell r="E417" t="str">
            <v xml:space="preserve">에코 </v>
          </cell>
        </row>
        <row r="418">
          <cell r="B418" t="str">
            <v>E4115</v>
          </cell>
          <cell r="D418" t="str">
            <v>ECO팀장</v>
          </cell>
          <cell r="E418" t="str">
            <v xml:space="preserve">에코 </v>
          </cell>
        </row>
        <row r="419">
          <cell r="B419" t="str">
            <v>E4115</v>
          </cell>
          <cell r="D419" t="str">
            <v>CS사원</v>
          </cell>
          <cell r="E419" t="str">
            <v>임시직</v>
          </cell>
        </row>
        <row r="420">
          <cell r="B420" t="str">
            <v>A1211</v>
          </cell>
          <cell r="D420" t="str">
            <v>임시직</v>
          </cell>
          <cell r="E420" t="str">
            <v>임시직</v>
          </cell>
        </row>
        <row r="421">
          <cell r="B421" t="str">
            <v>F4011</v>
          </cell>
          <cell r="D421" t="str">
            <v>임시직</v>
          </cell>
          <cell r="E421" t="str">
            <v>임</v>
          </cell>
        </row>
        <row r="422">
          <cell r="B422" t="str">
            <v>F4011</v>
          </cell>
          <cell r="D422" t="str">
            <v>임시직</v>
          </cell>
          <cell r="E422" t="str">
            <v>임</v>
          </cell>
        </row>
        <row r="423">
          <cell r="B423" t="str">
            <v>F4016</v>
          </cell>
          <cell r="D423" t="str">
            <v>CS사원</v>
          </cell>
          <cell r="E423" t="str">
            <v>임</v>
          </cell>
        </row>
        <row r="424">
          <cell r="B424" t="str">
            <v>F4016</v>
          </cell>
          <cell r="D424" t="str">
            <v>임시직</v>
          </cell>
          <cell r="E424" t="str">
            <v>임</v>
          </cell>
        </row>
        <row r="425">
          <cell r="B425" t="str">
            <v>F4010</v>
          </cell>
          <cell r="D425" t="str">
            <v>임시직</v>
          </cell>
          <cell r="E425" t="str">
            <v>임</v>
          </cell>
        </row>
        <row r="426">
          <cell r="B426" t="str">
            <v>F4010</v>
          </cell>
          <cell r="D426" t="str">
            <v>임시직</v>
          </cell>
          <cell r="E426" t="str">
            <v>임</v>
          </cell>
        </row>
        <row r="427">
          <cell r="B427" t="str">
            <v>F4020</v>
          </cell>
          <cell r="D427" t="str">
            <v>임시직</v>
          </cell>
          <cell r="E427" t="str">
            <v>임</v>
          </cell>
        </row>
        <row r="428">
          <cell r="B428" t="str">
            <v>F4020</v>
          </cell>
          <cell r="D428" t="str">
            <v>임시직</v>
          </cell>
          <cell r="E428" t="str">
            <v>임</v>
          </cell>
        </row>
        <row r="429">
          <cell r="B429" t="str">
            <v>F4019</v>
          </cell>
          <cell r="D429" t="str">
            <v>임시직</v>
          </cell>
          <cell r="E429" t="str">
            <v>임</v>
          </cell>
        </row>
        <row r="430">
          <cell r="B430" t="str">
            <v>F4019</v>
          </cell>
          <cell r="D430" t="str">
            <v>CS사원</v>
          </cell>
          <cell r="E430" t="str">
            <v>임</v>
          </cell>
        </row>
        <row r="431">
          <cell r="B431" t="str">
            <v>F4019</v>
          </cell>
          <cell r="D431" t="str">
            <v>임시직</v>
          </cell>
          <cell r="E431" t="str">
            <v>임</v>
          </cell>
        </row>
        <row r="432">
          <cell r="B432" t="str">
            <v>F4020</v>
          </cell>
          <cell r="D432" t="str">
            <v>임시직</v>
          </cell>
          <cell r="E432" t="str">
            <v>임</v>
          </cell>
        </row>
        <row r="433">
          <cell r="B433" t="str">
            <v>F4020</v>
          </cell>
          <cell r="D433" t="str">
            <v>CS사원</v>
          </cell>
          <cell r="E433" t="str">
            <v>임</v>
          </cell>
        </row>
        <row r="434">
          <cell r="B434" t="str">
            <v>F4020</v>
          </cell>
          <cell r="D434" t="str">
            <v>임시직</v>
          </cell>
          <cell r="E434" t="str">
            <v>임</v>
          </cell>
        </row>
        <row r="435">
          <cell r="B435" t="str">
            <v>F4020</v>
          </cell>
          <cell r="D435" t="str">
            <v>임시직</v>
          </cell>
          <cell r="E435" t="str">
            <v>임</v>
          </cell>
        </row>
        <row r="436">
          <cell r="B436" t="str">
            <v>L3060</v>
          </cell>
          <cell r="D436" t="str">
            <v>임시직</v>
          </cell>
          <cell r="E436" t="str">
            <v>임시직</v>
          </cell>
        </row>
        <row r="437">
          <cell r="B437" t="str">
            <v>L3060</v>
          </cell>
          <cell r="D437" t="str">
            <v>임시직</v>
          </cell>
          <cell r="E437" t="str">
            <v>임시직</v>
          </cell>
        </row>
        <row r="438">
          <cell r="B438" t="str">
            <v>L3060</v>
          </cell>
          <cell r="D438" t="str">
            <v>임시직</v>
          </cell>
          <cell r="E438" t="str">
            <v>임시직</v>
          </cell>
        </row>
        <row r="439">
          <cell r="B439" t="str">
            <v>L3060</v>
          </cell>
          <cell r="D439" t="str">
            <v>CS사원</v>
          </cell>
          <cell r="E439" t="str">
            <v>임시직</v>
          </cell>
        </row>
        <row r="440">
          <cell r="B440" t="str">
            <v>L3060</v>
          </cell>
          <cell r="D440" t="str">
            <v>CS사원</v>
          </cell>
          <cell r="E440" t="str">
            <v>임시직</v>
          </cell>
        </row>
        <row r="441">
          <cell r="B441" t="str">
            <v>F4011</v>
          </cell>
          <cell r="D441" t="str">
            <v>임시직</v>
          </cell>
          <cell r="E441" t="str">
            <v>임</v>
          </cell>
        </row>
        <row r="442">
          <cell r="B442" t="str">
            <v>F4011</v>
          </cell>
          <cell r="D442" t="str">
            <v>임시직</v>
          </cell>
          <cell r="E442" t="str">
            <v>임</v>
          </cell>
        </row>
        <row r="443">
          <cell r="B443" t="str">
            <v>F4011</v>
          </cell>
          <cell r="D443" t="str">
            <v>임시직</v>
          </cell>
          <cell r="E443" t="str">
            <v>임</v>
          </cell>
        </row>
        <row r="444">
          <cell r="B444" t="str">
            <v>F4010</v>
          </cell>
          <cell r="D444" t="str">
            <v>임시직</v>
          </cell>
          <cell r="E444" t="str">
            <v>임</v>
          </cell>
        </row>
        <row r="445">
          <cell r="B445" t="str">
            <v>F4010</v>
          </cell>
          <cell r="D445" t="str">
            <v>임시직</v>
          </cell>
          <cell r="E445" t="str">
            <v>임</v>
          </cell>
        </row>
        <row r="446">
          <cell r="B446" t="str">
            <v>F4124</v>
          </cell>
          <cell r="D446" t="str">
            <v>CS사원</v>
          </cell>
          <cell r="E446" t="str">
            <v>임시직</v>
          </cell>
        </row>
        <row r="447">
          <cell r="B447" t="str">
            <v>F4016</v>
          </cell>
          <cell r="D447" t="str">
            <v>임시직</v>
          </cell>
          <cell r="E447" t="str">
            <v>임</v>
          </cell>
        </row>
        <row r="448">
          <cell r="B448" t="str">
            <v>F4016</v>
          </cell>
          <cell r="D448" t="str">
            <v>CS사원</v>
          </cell>
          <cell r="E448" t="str">
            <v>임</v>
          </cell>
        </row>
        <row r="449">
          <cell r="B449" t="str">
            <v>F4010</v>
          </cell>
          <cell r="D449" t="str">
            <v>임시직</v>
          </cell>
          <cell r="E449" t="str">
            <v>임</v>
          </cell>
        </row>
        <row r="450">
          <cell r="B450" t="str">
            <v>F4010</v>
          </cell>
          <cell r="D450" t="str">
            <v>임시직</v>
          </cell>
          <cell r="E450" t="str">
            <v>임</v>
          </cell>
        </row>
        <row r="451">
          <cell r="B451" t="str">
            <v>F4010</v>
          </cell>
          <cell r="D451" t="str">
            <v>임시직</v>
          </cell>
          <cell r="E451" t="str">
            <v>임</v>
          </cell>
        </row>
        <row r="452">
          <cell r="B452" t="str">
            <v>F4146</v>
          </cell>
          <cell r="D452" t="str">
            <v>임시직</v>
          </cell>
          <cell r="E452" t="str">
            <v>임시직</v>
          </cell>
        </row>
        <row r="453">
          <cell r="B453" t="str">
            <v>F4017</v>
          </cell>
          <cell r="D453" t="str">
            <v>CS사원</v>
          </cell>
          <cell r="E453" t="str">
            <v>임</v>
          </cell>
        </row>
        <row r="454">
          <cell r="B454" t="str">
            <v>F4017</v>
          </cell>
          <cell r="D454" t="str">
            <v>임시직</v>
          </cell>
          <cell r="E454" t="str">
            <v>임</v>
          </cell>
        </row>
        <row r="455">
          <cell r="B455" t="str">
            <v>F4017</v>
          </cell>
          <cell r="D455" t="str">
            <v>임시직</v>
          </cell>
          <cell r="E455" t="str">
            <v>임</v>
          </cell>
        </row>
        <row r="456">
          <cell r="B456" t="str">
            <v>F4017</v>
          </cell>
          <cell r="D456" t="str">
            <v>임시직</v>
          </cell>
          <cell r="E456" t="str">
            <v>임</v>
          </cell>
        </row>
        <row r="457">
          <cell r="B457" t="str">
            <v>F4018</v>
          </cell>
          <cell r="D457" t="str">
            <v>임시직</v>
          </cell>
          <cell r="E457" t="str">
            <v>임</v>
          </cell>
        </row>
        <row r="458">
          <cell r="B458" t="str">
            <v>F4018</v>
          </cell>
          <cell r="D458" t="str">
            <v>임시직</v>
          </cell>
          <cell r="E458" t="str">
            <v>임</v>
          </cell>
        </row>
        <row r="459">
          <cell r="B459" t="str">
            <v>F4018</v>
          </cell>
          <cell r="D459" t="str">
            <v>임시직</v>
          </cell>
          <cell r="E459" t="str">
            <v>임</v>
          </cell>
        </row>
        <row r="460">
          <cell r="B460" t="str">
            <v>C3110</v>
          </cell>
          <cell r="D460" t="str">
            <v>CS사원</v>
          </cell>
          <cell r="E460" t="str">
            <v>임시직</v>
          </cell>
        </row>
        <row r="461">
          <cell r="B461" t="str">
            <v>C4126</v>
          </cell>
          <cell r="D461" t="str">
            <v>CS사원</v>
          </cell>
          <cell r="E461" t="str">
            <v>임시직</v>
          </cell>
        </row>
        <row r="462">
          <cell r="B462" t="str">
            <v>C4025</v>
          </cell>
          <cell r="D462" t="str">
            <v>CS사원</v>
          </cell>
          <cell r="E462" t="str">
            <v>임시직</v>
          </cell>
        </row>
        <row r="463">
          <cell r="B463" t="str">
            <v>C4025</v>
          </cell>
          <cell r="D463" t="str">
            <v>CS사원</v>
          </cell>
          <cell r="E463" t="str">
            <v>임시직</v>
          </cell>
        </row>
        <row r="464">
          <cell r="B464" t="str">
            <v>C4025</v>
          </cell>
          <cell r="D464" t="str">
            <v>CS사원</v>
          </cell>
          <cell r="E464" t="str">
            <v>임시직</v>
          </cell>
        </row>
        <row r="465">
          <cell r="B465" t="str">
            <v>C4025</v>
          </cell>
          <cell r="D465" t="str">
            <v>CS사원</v>
          </cell>
          <cell r="E465" t="str">
            <v>임시직</v>
          </cell>
        </row>
        <row r="466">
          <cell r="B466" t="str">
            <v>C4025</v>
          </cell>
          <cell r="D466" t="str">
            <v>CS사원</v>
          </cell>
          <cell r="E466" t="str">
            <v>임시직</v>
          </cell>
        </row>
        <row r="467">
          <cell r="B467" t="str">
            <v>C4125</v>
          </cell>
          <cell r="D467" t="str">
            <v>CS사원</v>
          </cell>
          <cell r="E467" t="str">
            <v>임시직</v>
          </cell>
        </row>
        <row r="468">
          <cell r="B468" t="str">
            <v>C4125</v>
          </cell>
          <cell r="D468" t="str">
            <v>CS사원</v>
          </cell>
          <cell r="E468" t="str">
            <v>임시직</v>
          </cell>
        </row>
        <row r="469">
          <cell r="B469" t="str">
            <v>C4125</v>
          </cell>
          <cell r="D469" t="str">
            <v>CS사원</v>
          </cell>
          <cell r="E469" t="str">
            <v>임시직</v>
          </cell>
        </row>
        <row r="470">
          <cell r="B470" t="str">
            <v>C4125</v>
          </cell>
          <cell r="D470" t="str">
            <v>CS사원</v>
          </cell>
          <cell r="E470" t="str">
            <v>임시직</v>
          </cell>
        </row>
        <row r="471">
          <cell r="B471" t="str">
            <v>C4125</v>
          </cell>
          <cell r="D471" t="str">
            <v>CS사원</v>
          </cell>
          <cell r="E471" t="str">
            <v>임시직</v>
          </cell>
        </row>
        <row r="472">
          <cell r="B472" t="str">
            <v>C4125</v>
          </cell>
          <cell r="D472" t="str">
            <v>CS사원</v>
          </cell>
          <cell r="E472" t="str">
            <v>임시직</v>
          </cell>
        </row>
        <row r="473">
          <cell r="B473" t="str">
            <v>C4125</v>
          </cell>
          <cell r="D473" t="str">
            <v>CS사원</v>
          </cell>
          <cell r="E473" t="str">
            <v>임시직</v>
          </cell>
        </row>
        <row r="474">
          <cell r="B474" t="str">
            <v>C4125</v>
          </cell>
          <cell r="D474" t="str">
            <v>CS사원</v>
          </cell>
          <cell r="E474" t="str">
            <v>임시직</v>
          </cell>
        </row>
        <row r="475">
          <cell r="B475" t="str">
            <v>C4020</v>
          </cell>
          <cell r="D475" t="str">
            <v>CS사원</v>
          </cell>
          <cell r="E475" t="str">
            <v>임시직</v>
          </cell>
        </row>
        <row r="476">
          <cell r="B476" t="str">
            <v>C4020</v>
          </cell>
          <cell r="D476" t="str">
            <v>CS사원</v>
          </cell>
          <cell r="E476" t="str">
            <v>임시직</v>
          </cell>
        </row>
        <row r="477">
          <cell r="B477" t="str">
            <v>C4020</v>
          </cell>
          <cell r="D477" t="str">
            <v>CS사원</v>
          </cell>
          <cell r="E477" t="str">
            <v>임시직</v>
          </cell>
        </row>
        <row r="478">
          <cell r="B478" t="str">
            <v>C4020</v>
          </cell>
          <cell r="D478" t="str">
            <v>CS사원</v>
          </cell>
          <cell r="E478" t="str">
            <v>임시직</v>
          </cell>
        </row>
        <row r="479">
          <cell r="B479" t="str">
            <v>C4135</v>
          </cell>
          <cell r="D479" t="str">
            <v>CS사원</v>
          </cell>
          <cell r="E479" t="str">
            <v>임시직</v>
          </cell>
        </row>
        <row r="480">
          <cell r="B480" t="str">
            <v>C4135</v>
          </cell>
          <cell r="D480" t="str">
            <v>CS사원</v>
          </cell>
          <cell r="E480" t="str">
            <v>임시직</v>
          </cell>
        </row>
        <row r="481">
          <cell r="B481" t="str">
            <v>C4135</v>
          </cell>
          <cell r="D481" t="str">
            <v>CS사원</v>
          </cell>
          <cell r="E481" t="str">
            <v>임시직</v>
          </cell>
        </row>
        <row r="482">
          <cell r="B482" t="str">
            <v>C4135</v>
          </cell>
          <cell r="D482" t="str">
            <v>CS사원</v>
          </cell>
          <cell r="E482" t="str">
            <v>임시직</v>
          </cell>
        </row>
        <row r="483">
          <cell r="B483" t="str">
            <v>C4135</v>
          </cell>
          <cell r="D483" t="str">
            <v>CS사원</v>
          </cell>
          <cell r="E483" t="str">
            <v>임시직</v>
          </cell>
        </row>
        <row r="484">
          <cell r="B484" t="str">
            <v>C4135</v>
          </cell>
          <cell r="D484" t="str">
            <v>CS사원</v>
          </cell>
          <cell r="E484" t="str">
            <v>임시직</v>
          </cell>
        </row>
        <row r="485">
          <cell r="B485" t="str">
            <v>C4135</v>
          </cell>
          <cell r="D485" t="str">
            <v>CS사원</v>
          </cell>
          <cell r="E485" t="str">
            <v>임시직</v>
          </cell>
        </row>
        <row r="486">
          <cell r="B486" t="str">
            <v>C4135</v>
          </cell>
          <cell r="D486" t="str">
            <v>CS사원</v>
          </cell>
          <cell r="E486" t="str">
            <v>임시직</v>
          </cell>
        </row>
        <row r="487">
          <cell r="B487" t="str">
            <v>C4135</v>
          </cell>
          <cell r="D487" t="str">
            <v>CS사원</v>
          </cell>
          <cell r="E487" t="str">
            <v>임시직</v>
          </cell>
        </row>
        <row r="488">
          <cell r="B488" t="str">
            <v>C4135</v>
          </cell>
          <cell r="D488" t="str">
            <v>CS사원</v>
          </cell>
          <cell r="E488" t="str">
            <v>임시직</v>
          </cell>
        </row>
        <row r="489">
          <cell r="B489" t="str">
            <v>C4135</v>
          </cell>
          <cell r="D489" t="str">
            <v>CS사원</v>
          </cell>
          <cell r="E489" t="str">
            <v>임시직</v>
          </cell>
        </row>
        <row r="490">
          <cell r="B490" t="str">
            <v>C4135</v>
          </cell>
          <cell r="D490" t="str">
            <v>CS사원</v>
          </cell>
          <cell r="E490" t="str">
            <v>임시직</v>
          </cell>
        </row>
        <row r="491">
          <cell r="B491" t="str">
            <v>C4135</v>
          </cell>
          <cell r="D491" t="str">
            <v>CS사원</v>
          </cell>
          <cell r="E491" t="str">
            <v>임시직</v>
          </cell>
        </row>
        <row r="492">
          <cell r="B492" t="str">
            <v>C4135</v>
          </cell>
          <cell r="D492" t="str">
            <v>CS사원</v>
          </cell>
          <cell r="E492" t="str">
            <v>임시직</v>
          </cell>
        </row>
        <row r="493">
          <cell r="B493" t="str">
            <v>C4135</v>
          </cell>
          <cell r="D493" t="str">
            <v>CS사원</v>
          </cell>
          <cell r="E493" t="str">
            <v>임시직</v>
          </cell>
        </row>
        <row r="494">
          <cell r="B494" t="str">
            <v>C4135</v>
          </cell>
          <cell r="D494" t="str">
            <v>CS사원</v>
          </cell>
          <cell r="E494" t="str">
            <v>임시직</v>
          </cell>
        </row>
        <row r="495">
          <cell r="B495" t="str">
            <v>C4135</v>
          </cell>
          <cell r="D495" t="str">
            <v>CS사원</v>
          </cell>
          <cell r="E495" t="str">
            <v>임시직</v>
          </cell>
        </row>
        <row r="496">
          <cell r="B496" t="str">
            <v>C4135</v>
          </cell>
          <cell r="D496" t="str">
            <v>CS사원</v>
          </cell>
          <cell r="E496" t="str">
            <v>임시직</v>
          </cell>
        </row>
        <row r="497">
          <cell r="B497" t="str">
            <v>C4136</v>
          </cell>
          <cell r="D497" t="str">
            <v>CS사원</v>
          </cell>
          <cell r="E497" t="str">
            <v>임시직</v>
          </cell>
        </row>
        <row r="498">
          <cell r="B498" t="str">
            <v>C4136</v>
          </cell>
          <cell r="D498" t="str">
            <v>CS사원</v>
          </cell>
          <cell r="E498" t="str">
            <v>임시직</v>
          </cell>
        </row>
        <row r="499">
          <cell r="B499" t="str">
            <v>C4136</v>
          </cell>
          <cell r="D499" t="str">
            <v>CS사원</v>
          </cell>
          <cell r="E499" t="str">
            <v>임시직</v>
          </cell>
        </row>
        <row r="500">
          <cell r="B500" t="str">
            <v>C4136</v>
          </cell>
          <cell r="D500" t="str">
            <v>CS사원</v>
          </cell>
          <cell r="E500" t="str">
            <v>임시직</v>
          </cell>
        </row>
        <row r="501">
          <cell r="B501" t="str">
            <v>C4136</v>
          </cell>
          <cell r="D501" t="str">
            <v>CS사원</v>
          </cell>
          <cell r="E501" t="str">
            <v>임시직</v>
          </cell>
        </row>
        <row r="502">
          <cell r="B502" t="str">
            <v>C4136</v>
          </cell>
          <cell r="D502" t="str">
            <v>CS사원</v>
          </cell>
          <cell r="E502" t="str">
            <v>임시직</v>
          </cell>
        </row>
        <row r="503">
          <cell r="B503" t="str">
            <v>C4136</v>
          </cell>
          <cell r="D503" t="str">
            <v>CS사원</v>
          </cell>
          <cell r="E503" t="str">
            <v>임시직</v>
          </cell>
        </row>
        <row r="504">
          <cell r="B504" t="str">
            <v>C4136</v>
          </cell>
          <cell r="D504" t="str">
            <v>CS사원</v>
          </cell>
          <cell r="E504" t="str">
            <v>임시직</v>
          </cell>
        </row>
        <row r="505">
          <cell r="B505" t="str">
            <v>C4136</v>
          </cell>
          <cell r="D505" t="str">
            <v>CS사원</v>
          </cell>
          <cell r="E505" t="str">
            <v>임시직</v>
          </cell>
        </row>
        <row r="506">
          <cell r="B506" t="str">
            <v>C4136</v>
          </cell>
          <cell r="D506" t="str">
            <v>CS사원</v>
          </cell>
          <cell r="E506" t="str">
            <v>임시직</v>
          </cell>
        </row>
        <row r="507">
          <cell r="B507" t="str">
            <v>C4136</v>
          </cell>
          <cell r="D507" t="str">
            <v>CS사원</v>
          </cell>
          <cell r="E507" t="str">
            <v>임시직</v>
          </cell>
        </row>
        <row r="508">
          <cell r="B508" t="str">
            <v>C4136</v>
          </cell>
          <cell r="D508" t="str">
            <v>CS사원</v>
          </cell>
          <cell r="E508" t="str">
            <v>임시직</v>
          </cell>
        </row>
        <row r="509">
          <cell r="B509" t="str">
            <v>C4136</v>
          </cell>
          <cell r="D509" t="str">
            <v>CS사원</v>
          </cell>
          <cell r="E509" t="str">
            <v>임시직</v>
          </cell>
        </row>
        <row r="510">
          <cell r="B510" t="str">
            <v>C4136</v>
          </cell>
          <cell r="D510" t="str">
            <v>CS사원</v>
          </cell>
          <cell r="E510" t="str">
            <v>임시직</v>
          </cell>
        </row>
        <row r="511">
          <cell r="B511" t="str">
            <v>C4136</v>
          </cell>
          <cell r="D511" t="str">
            <v>CS사원</v>
          </cell>
          <cell r="E511" t="str">
            <v>임시직</v>
          </cell>
        </row>
        <row r="512">
          <cell r="B512" t="str">
            <v>C4136</v>
          </cell>
          <cell r="D512" t="str">
            <v>CS사원</v>
          </cell>
          <cell r="E512" t="str">
            <v>임시직</v>
          </cell>
        </row>
        <row r="513">
          <cell r="B513" t="str">
            <v>C4136</v>
          </cell>
          <cell r="D513" t="str">
            <v>CS사원</v>
          </cell>
          <cell r="E513" t="str">
            <v>임시직</v>
          </cell>
        </row>
        <row r="514">
          <cell r="B514" t="str">
            <v>C4136</v>
          </cell>
          <cell r="D514" t="str">
            <v>CS사원</v>
          </cell>
          <cell r="E514" t="str">
            <v>임시직</v>
          </cell>
        </row>
        <row r="515">
          <cell r="B515" t="str">
            <v>C4136</v>
          </cell>
          <cell r="D515" t="str">
            <v>CS사원</v>
          </cell>
          <cell r="E515" t="str">
            <v>임시직</v>
          </cell>
        </row>
        <row r="516">
          <cell r="B516" t="str">
            <v>C4136</v>
          </cell>
          <cell r="D516" t="str">
            <v>CS사원</v>
          </cell>
          <cell r="E516" t="str">
            <v>임시직</v>
          </cell>
        </row>
        <row r="517">
          <cell r="B517" t="str">
            <v>C4137</v>
          </cell>
          <cell r="D517" t="str">
            <v>CS사원</v>
          </cell>
          <cell r="E517" t="str">
            <v>임시직</v>
          </cell>
        </row>
        <row r="518">
          <cell r="B518" t="str">
            <v>C4137</v>
          </cell>
          <cell r="D518" t="str">
            <v>CS사원</v>
          </cell>
          <cell r="E518" t="str">
            <v>임시직</v>
          </cell>
        </row>
        <row r="519">
          <cell r="B519" t="str">
            <v>C4137</v>
          </cell>
          <cell r="D519" t="str">
            <v>CS사원</v>
          </cell>
          <cell r="E519" t="str">
            <v>임시직</v>
          </cell>
        </row>
        <row r="520">
          <cell r="B520" t="str">
            <v>C4137</v>
          </cell>
          <cell r="D520" t="str">
            <v>CS사원</v>
          </cell>
          <cell r="E520" t="str">
            <v>임시직</v>
          </cell>
        </row>
        <row r="521">
          <cell r="B521" t="str">
            <v>C4137</v>
          </cell>
          <cell r="D521" t="str">
            <v>CS사원</v>
          </cell>
          <cell r="E521" t="str">
            <v>임시직</v>
          </cell>
        </row>
        <row r="522">
          <cell r="B522" t="str">
            <v>C4137</v>
          </cell>
          <cell r="D522" t="str">
            <v>CS사원</v>
          </cell>
          <cell r="E522" t="str">
            <v>임시직</v>
          </cell>
        </row>
        <row r="523">
          <cell r="B523" t="str">
            <v>C4137</v>
          </cell>
          <cell r="D523" t="str">
            <v>CS사원</v>
          </cell>
          <cell r="E523" t="str">
            <v>임시직</v>
          </cell>
        </row>
        <row r="524">
          <cell r="B524" t="str">
            <v>C4137</v>
          </cell>
          <cell r="D524" t="str">
            <v>CS사원</v>
          </cell>
          <cell r="E524" t="str">
            <v>임시직</v>
          </cell>
        </row>
        <row r="525">
          <cell r="B525" t="str">
            <v>C4137</v>
          </cell>
          <cell r="D525" t="str">
            <v>CS사원</v>
          </cell>
          <cell r="E525" t="str">
            <v>임시직</v>
          </cell>
        </row>
        <row r="526">
          <cell r="B526" t="str">
            <v>C4137</v>
          </cell>
          <cell r="D526" t="str">
            <v>CS사원</v>
          </cell>
          <cell r="E526" t="str">
            <v>임시직</v>
          </cell>
        </row>
        <row r="527">
          <cell r="B527" t="str">
            <v>C4137</v>
          </cell>
          <cell r="D527" t="str">
            <v>CS사원</v>
          </cell>
          <cell r="E527" t="str">
            <v>임시직</v>
          </cell>
        </row>
        <row r="528">
          <cell r="B528" t="str">
            <v>C4137</v>
          </cell>
          <cell r="D528" t="str">
            <v>CS사원</v>
          </cell>
          <cell r="E528" t="str">
            <v>임시직</v>
          </cell>
        </row>
        <row r="529">
          <cell r="B529" t="str">
            <v>C4137</v>
          </cell>
          <cell r="D529" t="str">
            <v>CS사원</v>
          </cell>
          <cell r="E529" t="str">
            <v>임시직</v>
          </cell>
        </row>
        <row r="530">
          <cell r="B530" t="str">
            <v>C4137</v>
          </cell>
          <cell r="D530" t="str">
            <v>CS사원</v>
          </cell>
          <cell r="E530" t="str">
            <v>임시직</v>
          </cell>
        </row>
        <row r="531">
          <cell r="B531" t="str">
            <v>C4137</v>
          </cell>
          <cell r="D531" t="str">
            <v>CS사원</v>
          </cell>
          <cell r="E531" t="str">
            <v>임시직</v>
          </cell>
        </row>
        <row r="532">
          <cell r="B532" t="str">
            <v>C4137</v>
          </cell>
          <cell r="D532" t="str">
            <v>CS사원</v>
          </cell>
          <cell r="E532" t="str">
            <v>임시직</v>
          </cell>
        </row>
        <row r="533">
          <cell r="B533" t="str">
            <v>C4137</v>
          </cell>
          <cell r="D533" t="str">
            <v>CS사원</v>
          </cell>
          <cell r="E533" t="str">
            <v>임시직</v>
          </cell>
        </row>
        <row r="534">
          <cell r="B534" t="str">
            <v>C4137</v>
          </cell>
          <cell r="D534" t="str">
            <v>CS사원</v>
          </cell>
          <cell r="E534" t="str">
            <v>임시직</v>
          </cell>
        </row>
        <row r="535">
          <cell r="B535" t="str">
            <v>C4138</v>
          </cell>
          <cell r="D535" t="str">
            <v>CS사원</v>
          </cell>
          <cell r="E535" t="str">
            <v>임시직</v>
          </cell>
        </row>
        <row r="536">
          <cell r="B536" t="str">
            <v>C4138</v>
          </cell>
          <cell r="D536" t="str">
            <v>CS사원</v>
          </cell>
          <cell r="E536" t="str">
            <v>임시직</v>
          </cell>
        </row>
        <row r="537">
          <cell r="B537" t="str">
            <v>C4138</v>
          </cell>
          <cell r="D537" t="str">
            <v>CS사원</v>
          </cell>
          <cell r="E537" t="str">
            <v>임시직</v>
          </cell>
        </row>
        <row r="538">
          <cell r="B538" t="str">
            <v>C4138</v>
          </cell>
          <cell r="D538" t="str">
            <v>CS사원</v>
          </cell>
          <cell r="E538" t="str">
            <v>임시직</v>
          </cell>
        </row>
        <row r="539">
          <cell r="B539" t="str">
            <v>C4138</v>
          </cell>
          <cell r="D539" t="str">
            <v>CS사원</v>
          </cell>
          <cell r="E539" t="str">
            <v>임시직</v>
          </cell>
        </row>
        <row r="540">
          <cell r="B540" t="str">
            <v>C4138</v>
          </cell>
          <cell r="D540" t="str">
            <v>CS사원</v>
          </cell>
          <cell r="E540" t="str">
            <v>임시직</v>
          </cell>
        </row>
        <row r="541">
          <cell r="B541" t="str">
            <v>C4138</v>
          </cell>
          <cell r="D541" t="str">
            <v>CS사원</v>
          </cell>
          <cell r="E541" t="str">
            <v>임시직</v>
          </cell>
        </row>
        <row r="542">
          <cell r="B542" t="str">
            <v>C4138</v>
          </cell>
          <cell r="D542" t="str">
            <v>CS사원</v>
          </cell>
          <cell r="E542" t="str">
            <v>임시직</v>
          </cell>
        </row>
        <row r="543">
          <cell r="B543" t="str">
            <v>C4138</v>
          </cell>
          <cell r="D543" t="str">
            <v>CS사원</v>
          </cell>
          <cell r="E543" t="str">
            <v>임시직</v>
          </cell>
        </row>
        <row r="544">
          <cell r="B544" t="str">
            <v>C4138</v>
          </cell>
          <cell r="D544" t="str">
            <v>CS사원</v>
          </cell>
          <cell r="E544" t="str">
            <v>임시직</v>
          </cell>
        </row>
        <row r="545">
          <cell r="B545" t="str">
            <v>C4138</v>
          </cell>
          <cell r="D545" t="str">
            <v>CS사원</v>
          </cell>
          <cell r="E545" t="str">
            <v>임시직</v>
          </cell>
        </row>
        <row r="546">
          <cell r="B546" t="str">
            <v>C4138</v>
          </cell>
          <cell r="D546" t="str">
            <v>CS사원</v>
          </cell>
          <cell r="E546" t="str">
            <v>임시직</v>
          </cell>
        </row>
        <row r="547">
          <cell r="B547" t="str">
            <v>C4138</v>
          </cell>
          <cell r="D547" t="str">
            <v>CS사원</v>
          </cell>
          <cell r="E547" t="str">
            <v>임시직</v>
          </cell>
        </row>
        <row r="548">
          <cell r="B548" t="str">
            <v>C4138</v>
          </cell>
          <cell r="D548" t="str">
            <v>CS사원</v>
          </cell>
          <cell r="E548" t="str">
            <v>임시직</v>
          </cell>
        </row>
        <row r="549">
          <cell r="B549" t="str">
            <v>C4138</v>
          </cell>
          <cell r="D549" t="str">
            <v>CS사원</v>
          </cell>
          <cell r="E549" t="str">
            <v>임시직</v>
          </cell>
        </row>
        <row r="550">
          <cell r="B550" t="str">
            <v>C4138</v>
          </cell>
          <cell r="D550" t="str">
            <v>CS사원</v>
          </cell>
          <cell r="E550" t="str">
            <v>임시직</v>
          </cell>
        </row>
        <row r="551">
          <cell r="B551" t="str">
            <v>C4138</v>
          </cell>
          <cell r="D551" t="str">
            <v>CS사원</v>
          </cell>
          <cell r="E551" t="str">
            <v>임시직</v>
          </cell>
        </row>
        <row r="552">
          <cell r="B552" t="str">
            <v>C4139</v>
          </cell>
          <cell r="D552" t="str">
            <v>CS사원</v>
          </cell>
          <cell r="E552" t="str">
            <v>임시직</v>
          </cell>
        </row>
        <row r="553">
          <cell r="B553" t="str">
            <v>C4139</v>
          </cell>
          <cell r="D553" t="str">
            <v>CS사원</v>
          </cell>
          <cell r="E553" t="str">
            <v>임시직</v>
          </cell>
        </row>
        <row r="554">
          <cell r="B554" t="str">
            <v>C4139</v>
          </cell>
          <cell r="D554" t="str">
            <v>CS사원</v>
          </cell>
          <cell r="E554" t="str">
            <v>임시직</v>
          </cell>
        </row>
        <row r="555">
          <cell r="B555" t="str">
            <v>C4139</v>
          </cell>
          <cell r="D555" t="str">
            <v>CS사원</v>
          </cell>
          <cell r="E555" t="str">
            <v>임시직</v>
          </cell>
        </row>
        <row r="556">
          <cell r="B556" t="str">
            <v>C4139</v>
          </cell>
          <cell r="D556" t="str">
            <v>CS사원</v>
          </cell>
          <cell r="E556" t="str">
            <v>임시직</v>
          </cell>
        </row>
        <row r="557">
          <cell r="B557" t="str">
            <v>C4139</v>
          </cell>
          <cell r="D557" t="str">
            <v>CS사원</v>
          </cell>
          <cell r="E557" t="str">
            <v>임시직</v>
          </cell>
        </row>
        <row r="558">
          <cell r="B558" t="str">
            <v>C4139</v>
          </cell>
          <cell r="D558" t="str">
            <v>CS사원</v>
          </cell>
          <cell r="E558" t="str">
            <v>임시직</v>
          </cell>
        </row>
        <row r="559">
          <cell r="B559" t="str">
            <v>C4139</v>
          </cell>
          <cell r="D559" t="str">
            <v>CS사원</v>
          </cell>
          <cell r="E559" t="str">
            <v>임시직</v>
          </cell>
        </row>
        <row r="560">
          <cell r="B560" t="str">
            <v>C4139</v>
          </cell>
          <cell r="D560" t="str">
            <v>CS사원</v>
          </cell>
          <cell r="E560" t="str">
            <v>임시직</v>
          </cell>
        </row>
        <row r="561">
          <cell r="B561" t="str">
            <v>C4139</v>
          </cell>
          <cell r="D561" t="str">
            <v>CS사원</v>
          </cell>
          <cell r="E561" t="str">
            <v>임시직</v>
          </cell>
        </row>
        <row r="562">
          <cell r="B562" t="str">
            <v>C4139</v>
          </cell>
          <cell r="D562" t="str">
            <v>CS사원</v>
          </cell>
          <cell r="E562" t="str">
            <v>임시직</v>
          </cell>
        </row>
        <row r="563">
          <cell r="B563" t="str">
            <v>C4139</v>
          </cell>
          <cell r="D563" t="str">
            <v>CS사원</v>
          </cell>
          <cell r="E563" t="str">
            <v>임시직</v>
          </cell>
        </row>
        <row r="564">
          <cell r="B564" t="str">
            <v>C4139</v>
          </cell>
          <cell r="D564" t="str">
            <v>CS사원</v>
          </cell>
          <cell r="E564" t="str">
            <v>임시직</v>
          </cell>
        </row>
        <row r="565">
          <cell r="B565" t="str">
            <v>C4139</v>
          </cell>
          <cell r="D565" t="str">
            <v>CS사원</v>
          </cell>
          <cell r="E565" t="str">
            <v>임시직</v>
          </cell>
        </row>
        <row r="566">
          <cell r="B566" t="str">
            <v>C4139</v>
          </cell>
          <cell r="D566" t="str">
            <v>CS사원</v>
          </cell>
          <cell r="E566" t="str">
            <v>임시직</v>
          </cell>
        </row>
        <row r="567">
          <cell r="B567" t="str">
            <v>C4139</v>
          </cell>
          <cell r="D567" t="str">
            <v>CS사원</v>
          </cell>
          <cell r="E567" t="str">
            <v>임시직</v>
          </cell>
        </row>
        <row r="568">
          <cell r="B568" t="str">
            <v>C4139</v>
          </cell>
          <cell r="D568" t="str">
            <v>CS사원</v>
          </cell>
          <cell r="E568" t="str">
            <v>임시직</v>
          </cell>
        </row>
        <row r="569">
          <cell r="B569" t="str">
            <v>C4139</v>
          </cell>
          <cell r="D569" t="str">
            <v>CS사원</v>
          </cell>
          <cell r="E569" t="str">
            <v>임시직</v>
          </cell>
        </row>
        <row r="570">
          <cell r="B570" t="str">
            <v>C4139</v>
          </cell>
          <cell r="D570" t="str">
            <v>CS사원</v>
          </cell>
          <cell r="E570" t="str">
            <v>임시직</v>
          </cell>
        </row>
        <row r="571">
          <cell r="B571" t="str">
            <v>C4133</v>
          </cell>
          <cell r="D571" t="str">
            <v>CS사원</v>
          </cell>
          <cell r="E571" t="str">
            <v>임시직</v>
          </cell>
        </row>
        <row r="572">
          <cell r="B572" t="str">
            <v>C4133</v>
          </cell>
          <cell r="D572" t="str">
            <v>CS사원</v>
          </cell>
          <cell r="E572" t="str">
            <v>임시직</v>
          </cell>
        </row>
        <row r="573">
          <cell r="B573" t="str">
            <v>C4133</v>
          </cell>
          <cell r="D573" t="str">
            <v>CS사원</v>
          </cell>
          <cell r="E573" t="str">
            <v>임시직</v>
          </cell>
        </row>
        <row r="574">
          <cell r="B574" t="str">
            <v>C4027</v>
          </cell>
          <cell r="D574" t="str">
            <v>CS사원</v>
          </cell>
          <cell r="E574" t="str">
            <v>임시직</v>
          </cell>
        </row>
        <row r="575">
          <cell r="B575" t="str">
            <v>C4027</v>
          </cell>
          <cell r="D575" t="str">
            <v>CS사원</v>
          </cell>
          <cell r="E575" t="str">
            <v>임시직</v>
          </cell>
        </row>
        <row r="576">
          <cell r="B576" t="str">
            <v>C4027</v>
          </cell>
          <cell r="D576" t="str">
            <v>CS사원</v>
          </cell>
          <cell r="E576" t="str">
            <v>임시직</v>
          </cell>
        </row>
        <row r="577">
          <cell r="B577" t="str">
            <v>C4022</v>
          </cell>
          <cell r="D577" t="str">
            <v>CS사원</v>
          </cell>
          <cell r="E577" t="str">
            <v>임시직</v>
          </cell>
        </row>
        <row r="578">
          <cell r="B578" t="str">
            <v>C4021</v>
          </cell>
          <cell r="D578" t="str">
            <v>CS사원</v>
          </cell>
          <cell r="E578" t="str">
            <v>임시직</v>
          </cell>
        </row>
        <row r="579">
          <cell r="B579" t="str">
            <v>C4021</v>
          </cell>
          <cell r="D579" t="str">
            <v>CS사원</v>
          </cell>
          <cell r="E579" t="str">
            <v>임시직</v>
          </cell>
        </row>
        <row r="580">
          <cell r="B580" t="str">
            <v>C4021</v>
          </cell>
          <cell r="D580" t="str">
            <v>CS사원</v>
          </cell>
          <cell r="E580" t="str">
            <v>임시직</v>
          </cell>
        </row>
        <row r="581">
          <cell r="B581" t="str">
            <v>C4021</v>
          </cell>
          <cell r="D581" t="str">
            <v>CS사원</v>
          </cell>
          <cell r="E581" t="str">
            <v>임시직</v>
          </cell>
        </row>
        <row r="582">
          <cell r="B582" t="str">
            <v>C4021</v>
          </cell>
          <cell r="D582" t="str">
            <v>CS사원</v>
          </cell>
          <cell r="E582" t="str">
            <v>임시직</v>
          </cell>
        </row>
        <row r="583">
          <cell r="B583" t="str">
            <v>C4021</v>
          </cell>
          <cell r="D583" t="str">
            <v>CS사원</v>
          </cell>
          <cell r="E583" t="str">
            <v>임시직</v>
          </cell>
        </row>
        <row r="584">
          <cell r="B584" t="str">
            <v>C4021</v>
          </cell>
          <cell r="D584" t="str">
            <v>CS사원</v>
          </cell>
          <cell r="E584" t="str">
            <v>임시직</v>
          </cell>
        </row>
        <row r="585">
          <cell r="B585" t="str">
            <v>C4021</v>
          </cell>
          <cell r="D585" t="str">
            <v>CS사원</v>
          </cell>
          <cell r="E585" t="str">
            <v>임시직</v>
          </cell>
        </row>
        <row r="586">
          <cell r="B586" t="str">
            <v>C4118</v>
          </cell>
          <cell r="D586" t="str">
            <v>CS사원</v>
          </cell>
          <cell r="E586" t="str">
            <v>임시직</v>
          </cell>
        </row>
        <row r="587">
          <cell r="B587" t="str">
            <v>C4118</v>
          </cell>
          <cell r="D587" t="str">
            <v>CS사원</v>
          </cell>
          <cell r="E587" t="str">
            <v>임시직</v>
          </cell>
        </row>
        <row r="588">
          <cell r="B588" t="str">
            <v>C4118</v>
          </cell>
          <cell r="D588" t="str">
            <v>CS사원</v>
          </cell>
          <cell r="E588" t="str">
            <v>임시직</v>
          </cell>
        </row>
        <row r="589">
          <cell r="B589" t="str">
            <v>C4118</v>
          </cell>
          <cell r="D589" t="str">
            <v>CS사원</v>
          </cell>
          <cell r="E589" t="str">
            <v>임시직</v>
          </cell>
        </row>
        <row r="590">
          <cell r="B590" t="str">
            <v>C4118</v>
          </cell>
          <cell r="D590" t="str">
            <v>CS사원</v>
          </cell>
          <cell r="E590" t="str">
            <v>임시직</v>
          </cell>
        </row>
        <row r="591">
          <cell r="B591" t="str">
            <v>C4118</v>
          </cell>
          <cell r="D591" t="str">
            <v>CS사원</v>
          </cell>
          <cell r="E591" t="str">
            <v>임시직</v>
          </cell>
        </row>
        <row r="592">
          <cell r="B592" t="str">
            <v>C4118</v>
          </cell>
          <cell r="D592" t="str">
            <v>CS사원</v>
          </cell>
          <cell r="E592" t="str">
            <v>임시직</v>
          </cell>
        </row>
        <row r="593">
          <cell r="B593" t="str">
            <v>C4118</v>
          </cell>
          <cell r="D593" t="str">
            <v>CS사원</v>
          </cell>
          <cell r="E593" t="str">
            <v>임시직</v>
          </cell>
        </row>
        <row r="594">
          <cell r="B594" t="str">
            <v>C4118</v>
          </cell>
          <cell r="D594" t="str">
            <v>CS사원</v>
          </cell>
          <cell r="E594" t="str">
            <v>임시직</v>
          </cell>
        </row>
        <row r="595">
          <cell r="B595" t="str">
            <v>C4118</v>
          </cell>
          <cell r="D595" t="str">
            <v>CS사원</v>
          </cell>
          <cell r="E595" t="str">
            <v>임시직</v>
          </cell>
        </row>
        <row r="596">
          <cell r="B596" t="str">
            <v>C4118</v>
          </cell>
          <cell r="D596" t="str">
            <v>CS사원</v>
          </cell>
          <cell r="E596" t="str">
            <v>임시직</v>
          </cell>
        </row>
        <row r="597">
          <cell r="B597" t="str">
            <v>C4118</v>
          </cell>
          <cell r="D597" t="str">
            <v>CS사원</v>
          </cell>
          <cell r="E597" t="str">
            <v>임시직</v>
          </cell>
        </row>
        <row r="598">
          <cell r="B598" t="str">
            <v>C4118</v>
          </cell>
          <cell r="D598" t="str">
            <v>CS사원</v>
          </cell>
          <cell r="E598" t="str">
            <v>임시직</v>
          </cell>
        </row>
        <row r="599">
          <cell r="B599" t="str">
            <v>C4118</v>
          </cell>
          <cell r="D599" t="str">
            <v>CS사원</v>
          </cell>
          <cell r="E599" t="str">
            <v>임시직</v>
          </cell>
        </row>
        <row r="600">
          <cell r="B600" t="str">
            <v>C4118</v>
          </cell>
          <cell r="D600" t="str">
            <v>CS사원</v>
          </cell>
          <cell r="E600" t="str">
            <v>임시직</v>
          </cell>
        </row>
        <row r="601">
          <cell r="B601" t="str">
            <v>C4118</v>
          </cell>
          <cell r="D601" t="str">
            <v>CS사원</v>
          </cell>
          <cell r="E601" t="str">
            <v>임시직</v>
          </cell>
        </row>
        <row r="602">
          <cell r="B602" t="str">
            <v>C4118</v>
          </cell>
          <cell r="D602" t="str">
            <v>CS사원</v>
          </cell>
          <cell r="E602" t="str">
            <v>임시직</v>
          </cell>
        </row>
        <row r="603">
          <cell r="B603" t="str">
            <v>C4118</v>
          </cell>
          <cell r="D603" t="str">
            <v>CS사원</v>
          </cell>
          <cell r="E603" t="str">
            <v>임시직</v>
          </cell>
        </row>
        <row r="604">
          <cell r="B604" t="str">
            <v>C4118</v>
          </cell>
          <cell r="D604" t="str">
            <v>CS사원</v>
          </cell>
          <cell r="E604" t="str">
            <v>임시직</v>
          </cell>
        </row>
        <row r="605">
          <cell r="B605" t="str">
            <v>C4118</v>
          </cell>
          <cell r="D605" t="str">
            <v>CS사원</v>
          </cell>
          <cell r="E605" t="str">
            <v>휴직</v>
          </cell>
        </row>
        <row r="606">
          <cell r="B606" t="str">
            <v>C4118</v>
          </cell>
          <cell r="D606" t="str">
            <v>CS사원</v>
          </cell>
          <cell r="E606" t="str">
            <v>임시직</v>
          </cell>
        </row>
        <row r="607">
          <cell r="B607" t="str">
            <v>C4119</v>
          </cell>
          <cell r="D607" t="str">
            <v>CS사원</v>
          </cell>
          <cell r="E607" t="str">
            <v>임시직</v>
          </cell>
        </row>
        <row r="608">
          <cell r="B608" t="str">
            <v>C4119</v>
          </cell>
          <cell r="D608" t="str">
            <v>CS사원</v>
          </cell>
          <cell r="E608" t="str">
            <v>임시직</v>
          </cell>
        </row>
        <row r="609">
          <cell r="B609" t="str">
            <v>C4119</v>
          </cell>
          <cell r="D609" t="str">
            <v>CS사원</v>
          </cell>
          <cell r="E609" t="str">
            <v>임시직</v>
          </cell>
        </row>
        <row r="610">
          <cell r="B610" t="str">
            <v>C4119</v>
          </cell>
          <cell r="D610" t="str">
            <v>CS사원</v>
          </cell>
          <cell r="E610" t="str">
            <v>임시직</v>
          </cell>
        </row>
        <row r="611">
          <cell r="B611" t="str">
            <v>C4119</v>
          </cell>
          <cell r="D611" t="str">
            <v>CS사원</v>
          </cell>
          <cell r="E611" t="str">
            <v>임시직</v>
          </cell>
        </row>
        <row r="612">
          <cell r="B612" t="str">
            <v>C4119</v>
          </cell>
          <cell r="D612" t="str">
            <v>CS사원</v>
          </cell>
          <cell r="E612" t="str">
            <v>임시직</v>
          </cell>
        </row>
        <row r="613">
          <cell r="B613" t="str">
            <v>C4119</v>
          </cell>
          <cell r="D613" t="str">
            <v>CS사원</v>
          </cell>
          <cell r="E613" t="str">
            <v>임시직</v>
          </cell>
        </row>
        <row r="614">
          <cell r="B614" t="str">
            <v>C4119</v>
          </cell>
          <cell r="D614" t="str">
            <v>CS사원</v>
          </cell>
          <cell r="E614" t="str">
            <v>임시직</v>
          </cell>
        </row>
        <row r="615">
          <cell r="B615" t="str">
            <v>C4119</v>
          </cell>
          <cell r="D615" t="str">
            <v>CS사원</v>
          </cell>
          <cell r="E615" t="str">
            <v>임시직</v>
          </cell>
        </row>
        <row r="616">
          <cell r="B616" t="str">
            <v>C4119</v>
          </cell>
          <cell r="D616" t="str">
            <v>CS사원</v>
          </cell>
          <cell r="E616" t="str">
            <v>임시직</v>
          </cell>
        </row>
        <row r="617">
          <cell r="B617" t="str">
            <v>C4119</v>
          </cell>
          <cell r="D617" t="str">
            <v>CS사원</v>
          </cell>
          <cell r="E617" t="str">
            <v>임시직</v>
          </cell>
        </row>
        <row r="618">
          <cell r="B618" t="str">
            <v>C4122</v>
          </cell>
          <cell r="D618" t="str">
            <v>CS사원</v>
          </cell>
          <cell r="E618" t="str">
            <v>임시직</v>
          </cell>
        </row>
        <row r="619">
          <cell r="B619" t="str">
            <v>C4124</v>
          </cell>
          <cell r="D619" t="str">
            <v>CS사원</v>
          </cell>
          <cell r="E619" t="str">
            <v>임시직</v>
          </cell>
        </row>
        <row r="620">
          <cell r="B620" t="str">
            <v>C4124</v>
          </cell>
          <cell r="D620" t="str">
            <v>CS사원</v>
          </cell>
          <cell r="E620" t="str">
            <v>임시직</v>
          </cell>
        </row>
        <row r="621">
          <cell r="B621" t="str">
            <v>C4124</v>
          </cell>
          <cell r="D621" t="str">
            <v>CS사원</v>
          </cell>
          <cell r="E621" t="str">
            <v>임시직</v>
          </cell>
        </row>
        <row r="622">
          <cell r="B622" t="str">
            <v>C4124</v>
          </cell>
          <cell r="D622" t="str">
            <v>CS사원</v>
          </cell>
          <cell r="E622" t="str">
            <v>임시직</v>
          </cell>
        </row>
        <row r="623">
          <cell r="B623" t="str">
            <v>C4124</v>
          </cell>
          <cell r="D623" t="str">
            <v>CS사원</v>
          </cell>
          <cell r="E623" t="str">
            <v>임시직</v>
          </cell>
        </row>
        <row r="624">
          <cell r="B624" t="str">
            <v>C4124</v>
          </cell>
          <cell r="D624" t="str">
            <v>CS사원</v>
          </cell>
          <cell r="E624" t="str">
            <v>임시직</v>
          </cell>
        </row>
        <row r="625">
          <cell r="B625" t="str">
            <v>C4124</v>
          </cell>
          <cell r="D625" t="str">
            <v>CS사원</v>
          </cell>
          <cell r="E625" t="str">
            <v>임시직</v>
          </cell>
        </row>
        <row r="626">
          <cell r="B626" t="str">
            <v>C4124</v>
          </cell>
          <cell r="D626" t="str">
            <v>CS사원</v>
          </cell>
          <cell r="E626" t="str">
            <v>임시직</v>
          </cell>
        </row>
        <row r="627">
          <cell r="B627" t="str">
            <v>C4116</v>
          </cell>
          <cell r="D627" t="str">
            <v>CS사원</v>
          </cell>
          <cell r="E627" t="str">
            <v>임시직</v>
          </cell>
        </row>
        <row r="628">
          <cell r="B628" t="str">
            <v>C4116</v>
          </cell>
          <cell r="D628" t="str">
            <v>CS사원</v>
          </cell>
          <cell r="E628" t="str">
            <v>임시직</v>
          </cell>
        </row>
        <row r="629">
          <cell r="B629" t="str">
            <v>C4116</v>
          </cell>
          <cell r="D629" t="str">
            <v>CS사원</v>
          </cell>
          <cell r="E629" t="str">
            <v>임시직</v>
          </cell>
        </row>
        <row r="630">
          <cell r="B630" t="str">
            <v>C4116</v>
          </cell>
          <cell r="D630" t="str">
            <v>CS사원</v>
          </cell>
          <cell r="E630" t="str">
            <v>임시직</v>
          </cell>
        </row>
        <row r="631">
          <cell r="B631" t="str">
            <v>C4116</v>
          </cell>
          <cell r="D631" t="str">
            <v>CS사원</v>
          </cell>
          <cell r="E631" t="str">
            <v>임시직</v>
          </cell>
        </row>
        <row r="632">
          <cell r="B632" t="str">
            <v>C4116</v>
          </cell>
          <cell r="D632" t="str">
            <v>CS사원</v>
          </cell>
          <cell r="E632" t="str">
            <v>휴직</v>
          </cell>
        </row>
        <row r="633">
          <cell r="B633" t="str">
            <v>C4116</v>
          </cell>
          <cell r="D633" t="str">
            <v>CS사원</v>
          </cell>
          <cell r="E633" t="str">
            <v>임시직</v>
          </cell>
        </row>
        <row r="634">
          <cell r="B634" t="str">
            <v>C4116</v>
          </cell>
          <cell r="D634" t="str">
            <v>CS사원</v>
          </cell>
          <cell r="E634" t="str">
            <v>임시직</v>
          </cell>
        </row>
        <row r="635">
          <cell r="B635" t="str">
            <v>C4116</v>
          </cell>
          <cell r="D635" t="str">
            <v>CS사원</v>
          </cell>
          <cell r="E635" t="str">
            <v>임시직</v>
          </cell>
        </row>
        <row r="636">
          <cell r="B636" t="str">
            <v>C4116</v>
          </cell>
          <cell r="D636" t="str">
            <v>CS사원</v>
          </cell>
          <cell r="E636" t="str">
            <v>임시직</v>
          </cell>
        </row>
        <row r="637">
          <cell r="B637" t="str">
            <v>C4116</v>
          </cell>
          <cell r="D637" t="str">
            <v>CS사원</v>
          </cell>
          <cell r="E637" t="str">
            <v>임시직</v>
          </cell>
        </row>
        <row r="638">
          <cell r="B638" t="str">
            <v>C4116</v>
          </cell>
          <cell r="D638" t="str">
            <v>CS사원</v>
          </cell>
          <cell r="E638" t="str">
            <v>임시직</v>
          </cell>
        </row>
        <row r="639">
          <cell r="B639" t="str">
            <v>C4116</v>
          </cell>
          <cell r="D639" t="str">
            <v>CS사원</v>
          </cell>
          <cell r="E639" t="str">
            <v>임시직</v>
          </cell>
        </row>
        <row r="640">
          <cell r="B640" t="str">
            <v>C4117</v>
          </cell>
          <cell r="D640" t="str">
            <v>CS사원</v>
          </cell>
          <cell r="E640" t="str">
            <v>임시직</v>
          </cell>
        </row>
        <row r="641">
          <cell r="B641" t="str">
            <v>C4117</v>
          </cell>
          <cell r="D641" t="str">
            <v>CS사원</v>
          </cell>
          <cell r="E641" t="str">
            <v>임시직</v>
          </cell>
        </row>
        <row r="642">
          <cell r="B642" t="str">
            <v>C4117</v>
          </cell>
          <cell r="D642" t="str">
            <v>CS사원</v>
          </cell>
          <cell r="E642" t="str">
            <v>임시직</v>
          </cell>
        </row>
        <row r="643">
          <cell r="B643" t="str">
            <v>C4117</v>
          </cell>
          <cell r="D643" t="str">
            <v>CS사원</v>
          </cell>
          <cell r="E643" t="str">
            <v>임시직</v>
          </cell>
        </row>
        <row r="644">
          <cell r="B644" t="str">
            <v>C4117</v>
          </cell>
          <cell r="D644" t="str">
            <v>CS사원</v>
          </cell>
          <cell r="E644" t="str">
            <v>임시직</v>
          </cell>
        </row>
        <row r="645">
          <cell r="B645" t="str">
            <v>C4117</v>
          </cell>
          <cell r="D645" t="str">
            <v>CS사원</v>
          </cell>
          <cell r="E645" t="str">
            <v>휴직</v>
          </cell>
        </row>
        <row r="646">
          <cell r="B646" t="str">
            <v>C4117</v>
          </cell>
          <cell r="D646" t="str">
            <v>CS사원</v>
          </cell>
          <cell r="E646" t="str">
            <v>임시직</v>
          </cell>
        </row>
        <row r="647">
          <cell r="B647" t="str">
            <v>C4117</v>
          </cell>
          <cell r="D647" t="str">
            <v>CS사원</v>
          </cell>
          <cell r="E647" t="str">
            <v>임시직</v>
          </cell>
        </row>
        <row r="648">
          <cell r="B648" t="str">
            <v>C4117</v>
          </cell>
          <cell r="D648" t="str">
            <v>CS사원</v>
          </cell>
          <cell r="E648" t="str">
            <v>임시직</v>
          </cell>
        </row>
        <row r="649">
          <cell r="B649" t="str">
            <v>C4117</v>
          </cell>
          <cell r="D649" t="str">
            <v>CS사원</v>
          </cell>
          <cell r="E649" t="str">
            <v>임시직</v>
          </cell>
        </row>
        <row r="650">
          <cell r="B650" t="str">
            <v>C4117</v>
          </cell>
          <cell r="D650" t="str">
            <v>CS사원</v>
          </cell>
          <cell r="E650" t="str">
            <v>임시직</v>
          </cell>
        </row>
        <row r="651">
          <cell r="B651" t="str">
            <v>C4117</v>
          </cell>
          <cell r="D651" t="str">
            <v>CS사원</v>
          </cell>
          <cell r="E651" t="str">
            <v>임시직</v>
          </cell>
        </row>
        <row r="652">
          <cell r="B652" t="str">
            <v>C4117</v>
          </cell>
          <cell r="D652" t="str">
            <v>CS사원</v>
          </cell>
          <cell r="E652" t="str">
            <v>임시직</v>
          </cell>
        </row>
        <row r="653">
          <cell r="B653" t="str">
            <v>C4127</v>
          </cell>
          <cell r="D653" t="str">
            <v>CS사원</v>
          </cell>
          <cell r="E653" t="str">
            <v>임시직</v>
          </cell>
        </row>
        <row r="654">
          <cell r="B654" t="str">
            <v>C4127</v>
          </cell>
          <cell r="D654" t="str">
            <v>CS사원</v>
          </cell>
          <cell r="E654" t="str">
            <v>임시직</v>
          </cell>
        </row>
        <row r="655">
          <cell r="B655" t="str">
            <v>C4127</v>
          </cell>
          <cell r="D655" t="str">
            <v>CS사원</v>
          </cell>
          <cell r="E655" t="str">
            <v>휴직</v>
          </cell>
        </row>
        <row r="656">
          <cell r="B656" t="str">
            <v>C4127</v>
          </cell>
          <cell r="D656" t="str">
            <v>CS사원</v>
          </cell>
          <cell r="E656" t="str">
            <v>임시직</v>
          </cell>
        </row>
        <row r="657">
          <cell r="B657" t="str">
            <v>C4127</v>
          </cell>
          <cell r="D657" t="str">
            <v>CS사원</v>
          </cell>
          <cell r="E657" t="str">
            <v>임시직</v>
          </cell>
        </row>
        <row r="658">
          <cell r="B658" t="str">
            <v>C4127</v>
          </cell>
          <cell r="D658" t="str">
            <v>CS사원</v>
          </cell>
          <cell r="E658" t="str">
            <v>임시직</v>
          </cell>
        </row>
        <row r="659">
          <cell r="B659" t="str">
            <v>C4127</v>
          </cell>
          <cell r="D659" t="str">
            <v>CS사원</v>
          </cell>
          <cell r="E659" t="str">
            <v>임시직</v>
          </cell>
        </row>
        <row r="660">
          <cell r="B660" t="str">
            <v>C4127</v>
          </cell>
          <cell r="D660" t="str">
            <v>CS사원</v>
          </cell>
          <cell r="E660" t="str">
            <v>임시직</v>
          </cell>
        </row>
        <row r="661">
          <cell r="B661" t="str">
            <v>C4127</v>
          </cell>
          <cell r="D661" t="str">
            <v>CS사원</v>
          </cell>
          <cell r="E661" t="str">
            <v>임시직</v>
          </cell>
        </row>
        <row r="662">
          <cell r="B662" t="str">
            <v>C4127</v>
          </cell>
          <cell r="D662" t="str">
            <v>CS사원</v>
          </cell>
          <cell r="E662" t="str">
            <v>임시직</v>
          </cell>
        </row>
        <row r="663">
          <cell r="B663" t="str">
            <v>C4127</v>
          </cell>
          <cell r="D663" t="str">
            <v>CS사원</v>
          </cell>
          <cell r="E663" t="str">
            <v>임시직</v>
          </cell>
        </row>
        <row r="664">
          <cell r="B664" t="str">
            <v>C4010</v>
          </cell>
          <cell r="D664" t="str">
            <v>CS사원</v>
          </cell>
          <cell r="E664" t="str">
            <v>임시직</v>
          </cell>
        </row>
        <row r="665">
          <cell r="B665" t="str">
            <v>C4010</v>
          </cell>
          <cell r="D665" t="str">
            <v>CS사원</v>
          </cell>
          <cell r="E665" t="str">
            <v>임시직</v>
          </cell>
        </row>
        <row r="666">
          <cell r="B666" t="str">
            <v>C4010</v>
          </cell>
          <cell r="D666" t="str">
            <v>CS사원</v>
          </cell>
          <cell r="E666" t="str">
            <v>임시직</v>
          </cell>
        </row>
        <row r="667">
          <cell r="B667" t="str">
            <v>C4010</v>
          </cell>
          <cell r="D667" t="str">
            <v>CS사원</v>
          </cell>
          <cell r="E667" t="str">
            <v>임시직</v>
          </cell>
        </row>
        <row r="668">
          <cell r="B668" t="str">
            <v>C4010</v>
          </cell>
          <cell r="D668" t="str">
            <v>CS사원</v>
          </cell>
          <cell r="E668" t="str">
            <v>임시직</v>
          </cell>
        </row>
        <row r="669">
          <cell r="B669" t="str">
            <v>C4010</v>
          </cell>
          <cell r="D669" t="str">
            <v>CS사원</v>
          </cell>
          <cell r="E669" t="str">
            <v>임시직</v>
          </cell>
        </row>
        <row r="670">
          <cell r="B670" t="str">
            <v>C4010</v>
          </cell>
          <cell r="D670" t="str">
            <v>CS사원</v>
          </cell>
          <cell r="E670" t="str">
            <v>임시직</v>
          </cell>
        </row>
        <row r="671">
          <cell r="B671" t="str">
            <v>C4010</v>
          </cell>
          <cell r="D671" t="str">
            <v>CS사원</v>
          </cell>
          <cell r="E671" t="str">
            <v>임시직</v>
          </cell>
        </row>
        <row r="672">
          <cell r="B672" t="str">
            <v>C4010</v>
          </cell>
          <cell r="D672" t="str">
            <v>CS사원</v>
          </cell>
          <cell r="E672" t="str">
            <v>임시직</v>
          </cell>
        </row>
        <row r="673">
          <cell r="B673" t="str">
            <v>C4010</v>
          </cell>
          <cell r="D673" t="str">
            <v>CS사원</v>
          </cell>
          <cell r="E673" t="str">
            <v>임시직</v>
          </cell>
        </row>
        <row r="674">
          <cell r="B674" t="str">
            <v>C4010</v>
          </cell>
          <cell r="D674" t="str">
            <v>CS사원</v>
          </cell>
          <cell r="E674" t="str">
            <v>임시직</v>
          </cell>
        </row>
        <row r="675">
          <cell r="B675" t="str">
            <v>C4010</v>
          </cell>
          <cell r="D675" t="str">
            <v>CS사원</v>
          </cell>
          <cell r="E675" t="str">
            <v>임시직</v>
          </cell>
        </row>
        <row r="676">
          <cell r="B676" t="str">
            <v>C4010</v>
          </cell>
          <cell r="D676" t="str">
            <v>CS사원</v>
          </cell>
          <cell r="E676" t="str">
            <v>임시직</v>
          </cell>
        </row>
        <row r="677">
          <cell r="B677" t="str">
            <v>C4010</v>
          </cell>
          <cell r="D677" t="str">
            <v>CS사원</v>
          </cell>
          <cell r="E677" t="str">
            <v>임시직</v>
          </cell>
        </row>
        <row r="678">
          <cell r="B678" t="str">
            <v>C4010</v>
          </cell>
          <cell r="D678" t="str">
            <v>CS사원</v>
          </cell>
          <cell r="E678" t="str">
            <v>임시직</v>
          </cell>
        </row>
        <row r="679">
          <cell r="B679" t="str">
            <v>C4011</v>
          </cell>
          <cell r="D679" t="str">
            <v>CS사원</v>
          </cell>
          <cell r="E679" t="str">
            <v>임시직</v>
          </cell>
        </row>
        <row r="680">
          <cell r="B680" t="str">
            <v>C4011</v>
          </cell>
          <cell r="D680" t="str">
            <v>CS사원</v>
          </cell>
          <cell r="E680" t="str">
            <v>임시직</v>
          </cell>
        </row>
        <row r="681">
          <cell r="B681" t="str">
            <v>C4011</v>
          </cell>
          <cell r="D681" t="str">
            <v>CS사원</v>
          </cell>
          <cell r="E681" t="str">
            <v>임시직</v>
          </cell>
        </row>
        <row r="682">
          <cell r="B682" t="str">
            <v>C4011</v>
          </cell>
          <cell r="D682" t="str">
            <v>CS사원</v>
          </cell>
          <cell r="E682" t="str">
            <v>임시직</v>
          </cell>
        </row>
        <row r="683">
          <cell r="B683" t="str">
            <v>C4011</v>
          </cell>
          <cell r="D683" t="str">
            <v>CS사원</v>
          </cell>
          <cell r="E683" t="str">
            <v>임시직</v>
          </cell>
        </row>
        <row r="684">
          <cell r="B684" t="str">
            <v>C4011</v>
          </cell>
          <cell r="D684" t="str">
            <v>CS사원</v>
          </cell>
          <cell r="E684" t="str">
            <v>임시직</v>
          </cell>
        </row>
        <row r="685">
          <cell r="B685" t="str">
            <v>C4011</v>
          </cell>
          <cell r="D685" t="str">
            <v>CS사원</v>
          </cell>
          <cell r="E685" t="str">
            <v>임시직</v>
          </cell>
        </row>
        <row r="686">
          <cell r="B686" t="str">
            <v>C4011</v>
          </cell>
          <cell r="D686" t="str">
            <v>CS사원</v>
          </cell>
          <cell r="E686" t="str">
            <v>임시직</v>
          </cell>
        </row>
        <row r="687">
          <cell r="B687" t="str">
            <v>C4011</v>
          </cell>
          <cell r="D687" t="str">
            <v>CS사원</v>
          </cell>
          <cell r="E687" t="str">
            <v>임시직</v>
          </cell>
        </row>
        <row r="688">
          <cell r="B688" t="str">
            <v>C4011</v>
          </cell>
          <cell r="D688" t="str">
            <v>CS사원</v>
          </cell>
          <cell r="E688" t="str">
            <v>임시직</v>
          </cell>
        </row>
        <row r="689">
          <cell r="B689" t="str">
            <v>C4011</v>
          </cell>
          <cell r="D689" t="str">
            <v>CS사원</v>
          </cell>
          <cell r="E689" t="str">
            <v>임시직</v>
          </cell>
        </row>
        <row r="690">
          <cell r="B690" t="str">
            <v>C4011</v>
          </cell>
          <cell r="D690" t="str">
            <v>CS사원</v>
          </cell>
          <cell r="E690" t="str">
            <v>임시직</v>
          </cell>
        </row>
        <row r="691">
          <cell r="B691" t="str">
            <v>C4011</v>
          </cell>
          <cell r="D691" t="str">
            <v>CS사원</v>
          </cell>
          <cell r="E691" t="str">
            <v>임시직</v>
          </cell>
        </row>
        <row r="692">
          <cell r="B692" t="str">
            <v>C4011</v>
          </cell>
          <cell r="D692" t="str">
            <v>CS사원</v>
          </cell>
          <cell r="E692" t="str">
            <v>임시직</v>
          </cell>
        </row>
        <row r="693">
          <cell r="B693" t="str">
            <v>C4011</v>
          </cell>
          <cell r="D693" t="str">
            <v>CS사원</v>
          </cell>
          <cell r="E693" t="str">
            <v>임시직</v>
          </cell>
        </row>
        <row r="694">
          <cell r="B694" t="str">
            <v>C4012</v>
          </cell>
          <cell r="D694" t="str">
            <v>CS사원</v>
          </cell>
          <cell r="E694" t="str">
            <v>임시직</v>
          </cell>
        </row>
        <row r="695">
          <cell r="B695" t="str">
            <v>C4012</v>
          </cell>
          <cell r="D695" t="str">
            <v>CS사원</v>
          </cell>
          <cell r="E695" t="str">
            <v>임시직</v>
          </cell>
        </row>
        <row r="696">
          <cell r="B696" t="str">
            <v>C4012</v>
          </cell>
          <cell r="D696" t="str">
            <v>CS사원</v>
          </cell>
          <cell r="E696" t="str">
            <v>임시직</v>
          </cell>
        </row>
        <row r="697">
          <cell r="B697" t="str">
            <v>C4012</v>
          </cell>
          <cell r="D697" t="str">
            <v>CS사원</v>
          </cell>
          <cell r="E697" t="str">
            <v>임시직</v>
          </cell>
        </row>
        <row r="698">
          <cell r="B698" t="str">
            <v>C4012</v>
          </cell>
          <cell r="D698" t="str">
            <v>CS사원</v>
          </cell>
          <cell r="E698" t="str">
            <v>임시직</v>
          </cell>
        </row>
        <row r="699">
          <cell r="B699" t="str">
            <v>C4012</v>
          </cell>
          <cell r="D699" t="str">
            <v>CS사원</v>
          </cell>
          <cell r="E699" t="str">
            <v>임시직</v>
          </cell>
        </row>
        <row r="700">
          <cell r="B700" t="str">
            <v>C4012</v>
          </cell>
          <cell r="D700" t="str">
            <v>CS사원</v>
          </cell>
          <cell r="E700" t="str">
            <v>임시직</v>
          </cell>
        </row>
        <row r="701">
          <cell r="B701" t="str">
            <v>C4012</v>
          </cell>
          <cell r="D701" t="str">
            <v>CS사원</v>
          </cell>
          <cell r="E701" t="str">
            <v>임시직</v>
          </cell>
        </row>
        <row r="702">
          <cell r="B702" t="str">
            <v>C4012</v>
          </cell>
          <cell r="D702" t="str">
            <v>CS사원</v>
          </cell>
          <cell r="E702" t="str">
            <v>임시직</v>
          </cell>
        </row>
        <row r="703">
          <cell r="B703" t="str">
            <v>C4012</v>
          </cell>
          <cell r="D703" t="str">
            <v>CS사원</v>
          </cell>
          <cell r="E703" t="str">
            <v>임시직</v>
          </cell>
        </row>
        <row r="704">
          <cell r="B704" t="str">
            <v>C4012</v>
          </cell>
          <cell r="D704" t="str">
            <v>CS사원</v>
          </cell>
          <cell r="E704" t="str">
            <v>임시직</v>
          </cell>
        </row>
        <row r="705">
          <cell r="B705" t="str">
            <v>C4012</v>
          </cell>
          <cell r="D705" t="str">
            <v>CS사원</v>
          </cell>
          <cell r="E705" t="str">
            <v>임시직</v>
          </cell>
        </row>
        <row r="706">
          <cell r="B706" t="str">
            <v>C4012</v>
          </cell>
          <cell r="D706" t="str">
            <v>CS사원</v>
          </cell>
          <cell r="E706" t="str">
            <v>임시직</v>
          </cell>
        </row>
        <row r="707">
          <cell r="B707" t="str">
            <v>C4012</v>
          </cell>
          <cell r="D707" t="str">
            <v>CS사원</v>
          </cell>
          <cell r="E707" t="str">
            <v>임시직</v>
          </cell>
        </row>
        <row r="708">
          <cell r="B708" t="str">
            <v>C4012</v>
          </cell>
          <cell r="D708" t="str">
            <v>CS사원</v>
          </cell>
          <cell r="E708" t="str">
            <v>임시직</v>
          </cell>
        </row>
        <row r="709">
          <cell r="B709" t="str">
            <v>C4012</v>
          </cell>
          <cell r="D709" t="str">
            <v>CS사원</v>
          </cell>
          <cell r="E709" t="str">
            <v>임시직</v>
          </cell>
        </row>
        <row r="710">
          <cell r="B710" t="str">
            <v>C4013</v>
          </cell>
          <cell r="D710" t="str">
            <v>CS사원</v>
          </cell>
          <cell r="E710" t="str">
            <v>임시직</v>
          </cell>
        </row>
        <row r="711">
          <cell r="B711" t="str">
            <v>C4013</v>
          </cell>
          <cell r="D711" t="str">
            <v>CS사원</v>
          </cell>
          <cell r="E711" t="str">
            <v>임시직</v>
          </cell>
        </row>
        <row r="712">
          <cell r="B712" t="str">
            <v>C4013</v>
          </cell>
          <cell r="D712" t="str">
            <v>CS사원</v>
          </cell>
          <cell r="E712" t="str">
            <v>임시직</v>
          </cell>
        </row>
        <row r="713">
          <cell r="B713" t="str">
            <v>C4013</v>
          </cell>
          <cell r="D713" t="str">
            <v>CS사원</v>
          </cell>
          <cell r="E713" t="str">
            <v>임시직</v>
          </cell>
        </row>
        <row r="714">
          <cell r="B714" t="str">
            <v>C4013</v>
          </cell>
          <cell r="D714" t="str">
            <v>CS사원</v>
          </cell>
          <cell r="E714" t="str">
            <v>임시직</v>
          </cell>
        </row>
        <row r="715">
          <cell r="B715" t="str">
            <v>C4013</v>
          </cell>
          <cell r="D715" t="str">
            <v>CS사원</v>
          </cell>
          <cell r="E715" t="str">
            <v>임시직</v>
          </cell>
        </row>
        <row r="716">
          <cell r="B716" t="str">
            <v>C4013</v>
          </cell>
          <cell r="D716" t="str">
            <v>CS사원</v>
          </cell>
          <cell r="E716" t="str">
            <v>임시직</v>
          </cell>
        </row>
        <row r="717">
          <cell r="B717" t="str">
            <v>C4013</v>
          </cell>
          <cell r="D717" t="str">
            <v>CS사원</v>
          </cell>
          <cell r="E717" t="str">
            <v>임시직</v>
          </cell>
        </row>
        <row r="718">
          <cell r="B718" t="str">
            <v>C4013</v>
          </cell>
          <cell r="D718" t="str">
            <v>CS사원</v>
          </cell>
          <cell r="E718" t="str">
            <v>임시직</v>
          </cell>
        </row>
        <row r="719">
          <cell r="B719" t="str">
            <v>C4013</v>
          </cell>
          <cell r="D719" t="str">
            <v>CS사원</v>
          </cell>
          <cell r="E719" t="str">
            <v>휴직</v>
          </cell>
        </row>
        <row r="720">
          <cell r="B720" t="str">
            <v>C4013</v>
          </cell>
          <cell r="D720" t="str">
            <v>CS사원</v>
          </cell>
          <cell r="E720" t="str">
            <v>임시직</v>
          </cell>
        </row>
        <row r="721">
          <cell r="B721" t="str">
            <v>C4013</v>
          </cell>
          <cell r="D721" t="str">
            <v>CS사원</v>
          </cell>
          <cell r="E721" t="str">
            <v>임시직</v>
          </cell>
        </row>
        <row r="722">
          <cell r="B722" t="str">
            <v>C4013</v>
          </cell>
          <cell r="D722" t="str">
            <v>CS사원</v>
          </cell>
          <cell r="E722" t="str">
            <v>임시직</v>
          </cell>
        </row>
        <row r="723">
          <cell r="B723" t="str">
            <v>C4013</v>
          </cell>
          <cell r="D723" t="str">
            <v>CS사원</v>
          </cell>
          <cell r="E723" t="str">
            <v>임시직</v>
          </cell>
        </row>
        <row r="724">
          <cell r="B724" t="str">
            <v>C4014</v>
          </cell>
          <cell r="D724" t="str">
            <v>CS사원</v>
          </cell>
          <cell r="E724" t="str">
            <v>임시직</v>
          </cell>
        </row>
        <row r="725">
          <cell r="B725" t="str">
            <v>C4014</v>
          </cell>
          <cell r="D725" t="str">
            <v>CS사원</v>
          </cell>
          <cell r="E725" t="str">
            <v>임시직</v>
          </cell>
        </row>
        <row r="726">
          <cell r="B726" t="str">
            <v>C4014</v>
          </cell>
          <cell r="D726" t="str">
            <v>CS사원</v>
          </cell>
          <cell r="E726" t="str">
            <v>임시직</v>
          </cell>
        </row>
        <row r="727">
          <cell r="B727" t="str">
            <v>C4014</v>
          </cell>
          <cell r="D727" t="str">
            <v>CS사원</v>
          </cell>
          <cell r="E727" t="str">
            <v>임시직</v>
          </cell>
        </row>
        <row r="728">
          <cell r="B728" t="str">
            <v>C4014</v>
          </cell>
          <cell r="D728" t="str">
            <v>CS사원</v>
          </cell>
          <cell r="E728" t="str">
            <v>임시직</v>
          </cell>
        </row>
        <row r="729">
          <cell r="B729" t="str">
            <v>C4014</v>
          </cell>
          <cell r="D729" t="str">
            <v>CS사원</v>
          </cell>
          <cell r="E729" t="str">
            <v>임시직</v>
          </cell>
        </row>
        <row r="730">
          <cell r="B730" t="str">
            <v>C4014</v>
          </cell>
          <cell r="D730" t="str">
            <v>CS사원</v>
          </cell>
          <cell r="E730" t="str">
            <v>휴직</v>
          </cell>
        </row>
        <row r="731">
          <cell r="B731" t="str">
            <v>C4014</v>
          </cell>
          <cell r="D731" t="str">
            <v>CS사원</v>
          </cell>
          <cell r="E731" t="str">
            <v>임시직</v>
          </cell>
        </row>
        <row r="732">
          <cell r="B732" t="str">
            <v>C4014</v>
          </cell>
          <cell r="D732" t="str">
            <v>CS사원</v>
          </cell>
          <cell r="E732" t="str">
            <v>임시직</v>
          </cell>
        </row>
        <row r="733">
          <cell r="B733" t="str">
            <v>C4014</v>
          </cell>
          <cell r="D733" t="str">
            <v>CS사원</v>
          </cell>
          <cell r="E733" t="str">
            <v>임시직</v>
          </cell>
        </row>
        <row r="734">
          <cell r="B734" t="str">
            <v>C4014</v>
          </cell>
          <cell r="D734" t="str">
            <v>CS사원</v>
          </cell>
          <cell r="E734" t="str">
            <v>휴직</v>
          </cell>
        </row>
        <row r="735">
          <cell r="B735" t="str">
            <v>C4014</v>
          </cell>
          <cell r="D735" t="str">
            <v>CS사원</v>
          </cell>
          <cell r="E735" t="str">
            <v>임시직</v>
          </cell>
        </row>
        <row r="736">
          <cell r="B736" t="str">
            <v>C4014</v>
          </cell>
          <cell r="D736" t="str">
            <v>CS사원</v>
          </cell>
          <cell r="E736" t="str">
            <v>임시직</v>
          </cell>
        </row>
        <row r="737">
          <cell r="B737" t="str">
            <v>C4014</v>
          </cell>
          <cell r="D737" t="str">
            <v>CS사원</v>
          </cell>
          <cell r="E737" t="str">
            <v>임시직</v>
          </cell>
        </row>
        <row r="738">
          <cell r="B738" t="str">
            <v>C4014</v>
          </cell>
          <cell r="D738" t="str">
            <v>CS사원</v>
          </cell>
          <cell r="E738" t="str">
            <v>임시직</v>
          </cell>
        </row>
        <row r="739">
          <cell r="B739" t="str">
            <v>C4014</v>
          </cell>
          <cell r="D739" t="str">
            <v>CS사원</v>
          </cell>
          <cell r="E739" t="str">
            <v>임시직</v>
          </cell>
        </row>
        <row r="740">
          <cell r="B740" t="str">
            <v>C4014</v>
          </cell>
          <cell r="D740" t="str">
            <v>CS사원</v>
          </cell>
          <cell r="E740" t="str">
            <v>임시직</v>
          </cell>
        </row>
        <row r="741">
          <cell r="B741" t="str">
            <v>C4015</v>
          </cell>
          <cell r="D741" t="str">
            <v>CS사원</v>
          </cell>
          <cell r="E741" t="str">
            <v>임시직</v>
          </cell>
        </row>
        <row r="742">
          <cell r="B742" t="str">
            <v>C4015</v>
          </cell>
          <cell r="D742" t="str">
            <v>CS사원</v>
          </cell>
          <cell r="E742" t="str">
            <v>임시직</v>
          </cell>
        </row>
        <row r="743">
          <cell r="B743" t="str">
            <v>C4015</v>
          </cell>
          <cell r="D743" t="str">
            <v>CS사원</v>
          </cell>
          <cell r="E743" t="str">
            <v>임시직</v>
          </cell>
        </row>
        <row r="744">
          <cell r="B744" t="str">
            <v>C4015</v>
          </cell>
          <cell r="D744" t="str">
            <v>CS사원</v>
          </cell>
          <cell r="E744" t="str">
            <v>임시직</v>
          </cell>
        </row>
        <row r="745">
          <cell r="B745" t="str">
            <v>C4015</v>
          </cell>
          <cell r="D745" t="str">
            <v>CS사원</v>
          </cell>
          <cell r="E745" t="str">
            <v>임시직</v>
          </cell>
        </row>
        <row r="746">
          <cell r="B746" t="str">
            <v>C4015</v>
          </cell>
          <cell r="D746" t="str">
            <v>CS사원</v>
          </cell>
          <cell r="E746" t="str">
            <v>임시직</v>
          </cell>
        </row>
        <row r="747">
          <cell r="B747" t="str">
            <v>C4015</v>
          </cell>
          <cell r="D747" t="str">
            <v>CS사원</v>
          </cell>
          <cell r="E747" t="str">
            <v>임시직</v>
          </cell>
        </row>
        <row r="748">
          <cell r="B748" t="str">
            <v>C4015</v>
          </cell>
          <cell r="D748" t="str">
            <v>CS사원</v>
          </cell>
          <cell r="E748" t="str">
            <v>임시직</v>
          </cell>
        </row>
        <row r="749">
          <cell r="B749" t="str">
            <v>C4015</v>
          </cell>
          <cell r="D749" t="str">
            <v>CS사원</v>
          </cell>
          <cell r="E749" t="str">
            <v>임시직</v>
          </cell>
        </row>
        <row r="750">
          <cell r="B750" t="str">
            <v>C4015</v>
          </cell>
          <cell r="D750" t="str">
            <v>CS사원</v>
          </cell>
          <cell r="E750" t="str">
            <v>임시직</v>
          </cell>
        </row>
        <row r="751">
          <cell r="B751" t="str">
            <v>C4015</v>
          </cell>
          <cell r="D751" t="str">
            <v>CS사원</v>
          </cell>
          <cell r="E751" t="str">
            <v>임시직</v>
          </cell>
        </row>
        <row r="752">
          <cell r="B752" t="str">
            <v>C4015</v>
          </cell>
          <cell r="D752" t="str">
            <v>CS사원</v>
          </cell>
          <cell r="E752" t="str">
            <v>임시직</v>
          </cell>
        </row>
        <row r="753">
          <cell r="B753" t="str">
            <v>C4015</v>
          </cell>
          <cell r="D753" t="str">
            <v>CS사원</v>
          </cell>
          <cell r="E753" t="str">
            <v>임시직</v>
          </cell>
        </row>
        <row r="754">
          <cell r="B754" t="str">
            <v>C4015</v>
          </cell>
          <cell r="D754" t="str">
            <v>CS사원</v>
          </cell>
          <cell r="E754" t="str">
            <v>임시직</v>
          </cell>
        </row>
        <row r="755">
          <cell r="B755" t="str">
            <v>C4015</v>
          </cell>
          <cell r="D755" t="str">
            <v>CS사원</v>
          </cell>
          <cell r="E755" t="str">
            <v>임시직</v>
          </cell>
        </row>
        <row r="756">
          <cell r="B756" t="str">
            <v>C4015</v>
          </cell>
          <cell r="D756" t="str">
            <v>CS사원</v>
          </cell>
          <cell r="E756" t="str">
            <v>임시직</v>
          </cell>
        </row>
        <row r="757">
          <cell r="B757" t="str">
            <v>C4016</v>
          </cell>
          <cell r="D757" t="str">
            <v>CS사원</v>
          </cell>
          <cell r="E757" t="str">
            <v>임시직</v>
          </cell>
        </row>
        <row r="758">
          <cell r="B758" t="str">
            <v>C4016</v>
          </cell>
          <cell r="D758" t="str">
            <v>CS사원</v>
          </cell>
          <cell r="E758" t="str">
            <v>임시직</v>
          </cell>
        </row>
        <row r="759">
          <cell r="B759" t="str">
            <v>C4016</v>
          </cell>
          <cell r="D759" t="str">
            <v>CS사원</v>
          </cell>
          <cell r="E759" t="str">
            <v>임시직</v>
          </cell>
        </row>
        <row r="760">
          <cell r="B760" t="str">
            <v>C4016</v>
          </cell>
          <cell r="D760" t="str">
            <v>CS사원</v>
          </cell>
          <cell r="E760" t="str">
            <v>임시직</v>
          </cell>
        </row>
        <row r="761">
          <cell r="B761" t="str">
            <v>C4016</v>
          </cell>
          <cell r="D761" t="str">
            <v>CS사원</v>
          </cell>
          <cell r="E761" t="str">
            <v>임시직</v>
          </cell>
        </row>
        <row r="762">
          <cell r="B762" t="str">
            <v>C4016</v>
          </cell>
          <cell r="D762" t="str">
            <v>CS사원</v>
          </cell>
          <cell r="E762" t="str">
            <v>임시직</v>
          </cell>
        </row>
        <row r="763">
          <cell r="B763" t="str">
            <v>C4016</v>
          </cell>
          <cell r="D763" t="str">
            <v>CS사원</v>
          </cell>
          <cell r="E763" t="str">
            <v>임시직</v>
          </cell>
        </row>
        <row r="764">
          <cell r="B764" t="str">
            <v>C4016</v>
          </cell>
          <cell r="D764" t="str">
            <v>CS사원</v>
          </cell>
          <cell r="E764" t="str">
            <v>임시직</v>
          </cell>
        </row>
        <row r="765">
          <cell r="B765" t="str">
            <v>C4016</v>
          </cell>
          <cell r="D765" t="str">
            <v>CS사원</v>
          </cell>
          <cell r="E765" t="str">
            <v>임시직</v>
          </cell>
        </row>
        <row r="766">
          <cell r="B766" t="str">
            <v>C4016</v>
          </cell>
          <cell r="D766" t="str">
            <v>CS사원</v>
          </cell>
          <cell r="E766" t="str">
            <v>임시직</v>
          </cell>
        </row>
        <row r="767">
          <cell r="B767" t="str">
            <v>C4016</v>
          </cell>
          <cell r="D767" t="str">
            <v>CS사원</v>
          </cell>
          <cell r="E767" t="str">
            <v>임시직</v>
          </cell>
        </row>
        <row r="768">
          <cell r="B768" t="str">
            <v>C4016</v>
          </cell>
          <cell r="D768" t="str">
            <v>CS사원</v>
          </cell>
          <cell r="E768" t="str">
            <v>임시직</v>
          </cell>
        </row>
        <row r="769">
          <cell r="B769" t="str">
            <v>C4016</v>
          </cell>
          <cell r="D769" t="str">
            <v>CS사원</v>
          </cell>
          <cell r="E769" t="str">
            <v>휴직</v>
          </cell>
        </row>
        <row r="770">
          <cell r="B770" t="str">
            <v>C4016</v>
          </cell>
          <cell r="D770" t="str">
            <v>CS사원</v>
          </cell>
          <cell r="E770" t="str">
            <v>임시직</v>
          </cell>
        </row>
        <row r="771">
          <cell r="B771" t="str">
            <v>C4016</v>
          </cell>
          <cell r="D771" t="str">
            <v>CS사원</v>
          </cell>
          <cell r="E771" t="str">
            <v>임시직</v>
          </cell>
        </row>
        <row r="772">
          <cell r="B772" t="str">
            <v>C4016</v>
          </cell>
          <cell r="D772" t="str">
            <v>CS사원</v>
          </cell>
          <cell r="E772" t="str">
            <v>임시직</v>
          </cell>
        </row>
        <row r="773">
          <cell r="B773" t="str">
            <v>C4016</v>
          </cell>
          <cell r="D773" t="str">
            <v>CS사원</v>
          </cell>
          <cell r="E773" t="str">
            <v>임시직</v>
          </cell>
        </row>
        <row r="774">
          <cell r="B774" t="str">
            <v>C4017</v>
          </cell>
          <cell r="D774" t="str">
            <v>CS사원</v>
          </cell>
          <cell r="E774" t="str">
            <v>임시직</v>
          </cell>
        </row>
        <row r="775">
          <cell r="B775" t="str">
            <v>C4017</v>
          </cell>
          <cell r="D775" t="str">
            <v>CS사원</v>
          </cell>
          <cell r="E775" t="str">
            <v>임시직</v>
          </cell>
        </row>
        <row r="776">
          <cell r="B776" t="str">
            <v>C4017</v>
          </cell>
          <cell r="D776" t="str">
            <v>CS사원</v>
          </cell>
          <cell r="E776" t="str">
            <v>임시직</v>
          </cell>
        </row>
        <row r="777">
          <cell r="B777" t="str">
            <v>C4017</v>
          </cell>
          <cell r="D777" t="str">
            <v>CS사원</v>
          </cell>
          <cell r="E777" t="str">
            <v>임시직</v>
          </cell>
        </row>
        <row r="778">
          <cell r="B778" t="str">
            <v>C4017</v>
          </cell>
          <cell r="D778" t="str">
            <v>CS사원</v>
          </cell>
          <cell r="E778" t="str">
            <v>임시직</v>
          </cell>
        </row>
        <row r="779">
          <cell r="B779" t="str">
            <v>C4017</v>
          </cell>
          <cell r="D779" t="str">
            <v>CS사원</v>
          </cell>
          <cell r="E779" t="str">
            <v>임시직</v>
          </cell>
        </row>
        <row r="780">
          <cell r="B780" t="str">
            <v>C4017</v>
          </cell>
          <cell r="D780" t="str">
            <v>CS사원</v>
          </cell>
          <cell r="E780" t="str">
            <v>임시직</v>
          </cell>
        </row>
        <row r="781">
          <cell r="B781" t="str">
            <v>C4017</v>
          </cell>
          <cell r="D781" t="str">
            <v>CS사원</v>
          </cell>
          <cell r="E781" t="str">
            <v>임시직</v>
          </cell>
        </row>
        <row r="782">
          <cell r="B782" t="str">
            <v>C4017</v>
          </cell>
          <cell r="D782" t="str">
            <v>CS사원</v>
          </cell>
          <cell r="E782" t="str">
            <v>임시직</v>
          </cell>
        </row>
        <row r="783">
          <cell r="B783" t="str">
            <v>C4017</v>
          </cell>
          <cell r="D783" t="str">
            <v>CS사원</v>
          </cell>
          <cell r="E783" t="str">
            <v>임시직</v>
          </cell>
        </row>
        <row r="784">
          <cell r="B784" t="str">
            <v>C4017</v>
          </cell>
          <cell r="D784" t="str">
            <v>CS사원</v>
          </cell>
          <cell r="E784" t="str">
            <v>임시직</v>
          </cell>
        </row>
        <row r="785">
          <cell r="B785" t="str">
            <v>C4017</v>
          </cell>
          <cell r="D785" t="str">
            <v>CS사원</v>
          </cell>
          <cell r="E785" t="str">
            <v>임시직</v>
          </cell>
        </row>
        <row r="786">
          <cell r="B786" t="str">
            <v>C4017</v>
          </cell>
          <cell r="D786" t="str">
            <v>CS사원</v>
          </cell>
          <cell r="E786" t="str">
            <v>임시직</v>
          </cell>
        </row>
        <row r="787">
          <cell r="B787" t="str">
            <v>C4017</v>
          </cell>
          <cell r="D787" t="str">
            <v>CS사원</v>
          </cell>
          <cell r="E787" t="str">
            <v>임시직</v>
          </cell>
        </row>
        <row r="788">
          <cell r="B788" t="str">
            <v>C4017</v>
          </cell>
          <cell r="D788" t="str">
            <v>CS사원</v>
          </cell>
          <cell r="E788" t="str">
            <v>임시직</v>
          </cell>
        </row>
        <row r="789">
          <cell r="B789" t="str">
            <v>C4017</v>
          </cell>
          <cell r="D789" t="str">
            <v>CS사원</v>
          </cell>
          <cell r="E789" t="str">
            <v>임시직</v>
          </cell>
        </row>
        <row r="790">
          <cell r="B790" t="str">
            <v>C4018</v>
          </cell>
          <cell r="D790" t="str">
            <v>CS사원</v>
          </cell>
          <cell r="E790" t="str">
            <v>임시직</v>
          </cell>
        </row>
        <row r="791">
          <cell r="B791" t="str">
            <v>C4018</v>
          </cell>
          <cell r="D791" t="str">
            <v>CS사원</v>
          </cell>
          <cell r="E791" t="str">
            <v>임시직</v>
          </cell>
        </row>
        <row r="792">
          <cell r="B792" t="str">
            <v>C4018</v>
          </cell>
          <cell r="D792" t="str">
            <v>CS사원</v>
          </cell>
          <cell r="E792" t="str">
            <v>임시직</v>
          </cell>
        </row>
        <row r="793">
          <cell r="B793" t="str">
            <v>C4018</v>
          </cell>
          <cell r="D793" t="str">
            <v>CS사원</v>
          </cell>
          <cell r="E793" t="str">
            <v>임시직</v>
          </cell>
        </row>
        <row r="794">
          <cell r="B794" t="str">
            <v>C4018</v>
          </cell>
          <cell r="D794" t="str">
            <v>CS사원</v>
          </cell>
          <cell r="E794" t="str">
            <v>임시직</v>
          </cell>
        </row>
        <row r="795">
          <cell r="B795" t="str">
            <v>C4018</v>
          </cell>
          <cell r="D795" t="str">
            <v>CS사원</v>
          </cell>
          <cell r="E795" t="str">
            <v>임시직</v>
          </cell>
        </row>
        <row r="796">
          <cell r="B796" t="str">
            <v>C4018</v>
          </cell>
          <cell r="D796" t="str">
            <v>CS사원</v>
          </cell>
          <cell r="E796" t="str">
            <v>임시직</v>
          </cell>
        </row>
        <row r="797">
          <cell r="B797" t="str">
            <v>C4018</v>
          </cell>
          <cell r="D797" t="str">
            <v>CS사원</v>
          </cell>
          <cell r="E797" t="str">
            <v>임시직</v>
          </cell>
        </row>
        <row r="798">
          <cell r="B798" t="str">
            <v>C4018</v>
          </cell>
          <cell r="D798" t="str">
            <v>CS사원</v>
          </cell>
          <cell r="E798" t="str">
            <v>임시직</v>
          </cell>
        </row>
        <row r="799">
          <cell r="B799" t="str">
            <v>C4018</v>
          </cell>
          <cell r="D799" t="str">
            <v>CS사원</v>
          </cell>
          <cell r="E799" t="str">
            <v>임시직</v>
          </cell>
        </row>
        <row r="800">
          <cell r="B800" t="str">
            <v>C4018</v>
          </cell>
          <cell r="D800" t="str">
            <v>CS사원</v>
          </cell>
          <cell r="E800" t="str">
            <v>임시직</v>
          </cell>
        </row>
        <row r="801">
          <cell r="B801" t="str">
            <v>C4018</v>
          </cell>
          <cell r="D801" t="str">
            <v>CS사원</v>
          </cell>
          <cell r="E801" t="str">
            <v>임시직</v>
          </cell>
        </row>
        <row r="802">
          <cell r="B802" t="str">
            <v>C4018</v>
          </cell>
          <cell r="D802" t="str">
            <v>CS사원</v>
          </cell>
          <cell r="E802" t="str">
            <v>임시직</v>
          </cell>
        </row>
        <row r="803">
          <cell r="B803" t="str">
            <v>C4113</v>
          </cell>
          <cell r="D803" t="str">
            <v>CS사원</v>
          </cell>
          <cell r="E803" t="str">
            <v>임시직</v>
          </cell>
        </row>
        <row r="804">
          <cell r="B804" t="str">
            <v>C4113</v>
          </cell>
          <cell r="D804" t="str">
            <v>CS사원</v>
          </cell>
          <cell r="E804" t="str">
            <v>임시직</v>
          </cell>
        </row>
        <row r="805">
          <cell r="B805" t="str">
            <v>C4113</v>
          </cell>
          <cell r="D805" t="str">
            <v>CS사원</v>
          </cell>
          <cell r="E805" t="str">
            <v>임시직</v>
          </cell>
        </row>
        <row r="806">
          <cell r="B806" t="str">
            <v>C4113</v>
          </cell>
          <cell r="D806" t="str">
            <v>CS사원</v>
          </cell>
          <cell r="E806" t="str">
            <v>임시직</v>
          </cell>
        </row>
        <row r="807">
          <cell r="B807" t="str">
            <v>C4113</v>
          </cell>
          <cell r="D807" t="str">
            <v>CS사원</v>
          </cell>
          <cell r="E807" t="str">
            <v>임시직</v>
          </cell>
        </row>
        <row r="808">
          <cell r="B808" t="str">
            <v>C4113</v>
          </cell>
          <cell r="D808" t="str">
            <v>CS사원</v>
          </cell>
          <cell r="E808" t="str">
            <v>임시직</v>
          </cell>
        </row>
        <row r="809">
          <cell r="B809" t="str">
            <v>C4113</v>
          </cell>
          <cell r="D809" t="str">
            <v>CS사원</v>
          </cell>
          <cell r="E809" t="str">
            <v>임시직</v>
          </cell>
        </row>
        <row r="810">
          <cell r="B810" t="str">
            <v>C4113</v>
          </cell>
          <cell r="D810" t="str">
            <v>CS사원</v>
          </cell>
          <cell r="E810" t="str">
            <v>임시직</v>
          </cell>
        </row>
        <row r="811">
          <cell r="B811" t="str">
            <v>C4113</v>
          </cell>
          <cell r="D811" t="str">
            <v>CS사원</v>
          </cell>
          <cell r="E811" t="str">
            <v>임시직</v>
          </cell>
        </row>
        <row r="812">
          <cell r="B812" t="str">
            <v>C4113</v>
          </cell>
          <cell r="D812" t="str">
            <v>CS사원</v>
          </cell>
          <cell r="E812" t="str">
            <v>임시직</v>
          </cell>
        </row>
        <row r="813">
          <cell r="B813" t="str">
            <v>C4113</v>
          </cell>
          <cell r="D813" t="str">
            <v>CS사원</v>
          </cell>
          <cell r="E813" t="str">
            <v>임시직</v>
          </cell>
        </row>
        <row r="814">
          <cell r="B814" t="str">
            <v>C4113</v>
          </cell>
          <cell r="D814" t="str">
            <v>CS사원</v>
          </cell>
          <cell r="E814" t="str">
            <v>임시직</v>
          </cell>
        </row>
        <row r="815">
          <cell r="B815" t="str">
            <v>C4113</v>
          </cell>
          <cell r="D815" t="str">
            <v>CS사원</v>
          </cell>
          <cell r="E815" t="str">
            <v>임시직</v>
          </cell>
        </row>
        <row r="816">
          <cell r="B816" t="str">
            <v>C4113</v>
          </cell>
          <cell r="D816" t="str">
            <v>CS사원</v>
          </cell>
          <cell r="E816" t="str">
            <v>임시직</v>
          </cell>
        </row>
        <row r="817">
          <cell r="B817" t="str">
            <v>C4132</v>
          </cell>
          <cell r="D817" t="str">
            <v>CS사원</v>
          </cell>
          <cell r="E817" t="str">
            <v>임시직</v>
          </cell>
        </row>
        <row r="818">
          <cell r="B818" t="str">
            <v>C4132</v>
          </cell>
          <cell r="D818" t="str">
            <v>CS사원</v>
          </cell>
          <cell r="E818" t="str">
            <v>임시직</v>
          </cell>
        </row>
        <row r="819">
          <cell r="B819" t="str">
            <v>C4132</v>
          </cell>
          <cell r="D819" t="str">
            <v>CS사원</v>
          </cell>
          <cell r="E819" t="str">
            <v>임시직</v>
          </cell>
        </row>
        <row r="820">
          <cell r="B820" t="str">
            <v>C4132</v>
          </cell>
          <cell r="D820" t="str">
            <v>CS사원</v>
          </cell>
          <cell r="E820" t="str">
            <v>임시직</v>
          </cell>
        </row>
        <row r="821">
          <cell r="B821" t="str">
            <v>C4132</v>
          </cell>
          <cell r="D821" t="str">
            <v>CS사원</v>
          </cell>
          <cell r="E821" t="str">
            <v>임시직</v>
          </cell>
        </row>
        <row r="822">
          <cell r="B822" t="str">
            <v>C4132</v>
          </cell>
          <cell r="D822" t="str">
            <v>CS사원</v>
          </cell>
          <cell r="E822" t="str">
            <v>임시직</v>
          </cell>
        </row>
        <row r="823">
          <cell r="B823" t="str">
            <v>C4132</v>
          </cell>
          <cell r="D823" t="str">
            <v>CS사원</v>
          </cell>
          <cell r="E823" t="str">
            <v>임시직</v>
          </cell>
        </row>
        <row r="824">
          <cell r="B824" t="str">
            <v>C4132</v>
          </cell>
          <cell r="D824" t="str">
            <v>CS사원</v>
          </cell>
          <cell r="E824" t="str">
            <v>임시직</v>
          </cell>
        </row>
        <row r="825">
          <cell r="B825" t="str">
            <v>C4132</v>
          </cell>
          <cell r="D825" t="str">
            <v>CS사원</v>
          </cell>
          <cell r="E825" t="str">
            <v>임시직</v>
          </cell>
        </row>
        <row r="826">
          <cell r="B826" t="str">
            <v>C4132</v>
          </cell>
          <cell r="D826" t="str">
            <v>CS사원</v>
          </cell>
          <cell r="E826" t="str">
            <v>임시직</v>
          </cell>
        </row>
        <row r="827">
          <cell r="B827" t="str">
            <v>C4132</v>
          </cell>
          <cell r="D827" t="str">
            <v>CS사원</v>
          </cell>
          <cell r="E827" t="str">
            <v>임시직</v>
          </cell>
        </row>
        <row r="828">
          <cell r="B828" t="str">
            <v>C4132</v>
          </cell>
          <cell r="D828" t="str">
            <v>CS사원</v>
          </cell>
          <cell r="E828" t="str">
            <v>임시직</v>
          </cell>
        </row>
        <row r="829">
          <cell r="B829" t="str">
            <v>C4114</v>
          </cell>
          <cell r="D829" t="str">
            <v>CS사원</v>
          </cell>
          <cell r="E829" t="str">
            <v>임시직</v>
          </cell>
        </row>
        <row r="830">
          <cell r="B830" t="str">
            <v>C4114</v>
          </cell>
          <cell r="D830" t="str">
            <v>CS사원</v>
          </cell>
          <cell r="E830" t="str">
            <v>임시직</v>
          </cell>
        </row>
        <row r="831">
          <cell r="B831" t="str">
            <v>C4114</v>
          </cell>
          <cell r="D831" t="str">
            <v>CS사원</v>
          </cell>
          <cell r="E831" t="str">
            <v>임시직</v>
          </cell>
        </row>
        <row r="832">
          <cell r="B832" t="str">
            <v>C4114</v>
          </cell>
          <cell r="D832" t="str">
            <v>CS사원</v>
          </cell>
          <cell r="E832" t="str">
            <v>임시직</v>
          </cell>
        </row>
        <row r="833">
          <cell r="B833" t="str">
            <v>C4114</v>
          </cell>
          <cell r="D833" t="str">
            <v>CS사원</v>
          </cell>
          <cell r="E833" t="str">
            <v>임시직</v>
          </cell>
        </row>
        <row r="834">
          <cell r="B834" t="str">
            <v>C4114</v>
          </cell>
          <cell r="D834" t="str">
            <v>CS사원</v>
          </cell>
          <cell r="E834" t="str">
            <v>임시직</v>
          </cell>
        </row>
        <row r="835">
          <cell r="B835" t="str">
            <v>C4114</v>
          </cell>
          <cell r="D835" t="str">
            <v>CS사원</v>
          </cell>
          <cell r="E835" t="str">
            <v>임시직</v>
          </cell>
        </row>
        <row r="836">
          <cell r="B836" t="str">
            <v>C4114</v>
          </cell>
          <cell r="D836" t="str">
            <v>CS사원</v>
          </cell>
          <cell r="E836" t="str">
            <v>임시직</v>
          </cell>
        </row>
        <row r="837">
          <cell r="B837" t="str">
            <v>C4114</v>
          </cell>
          <cell r="D837" t="str">
            <v>CS사원</v>
          </cell>
          <cell r="E837" t="str">
            <v>임시직</v>
          </cell>
        </row>
        <row r="838">
          <cell r="B838" t="str">
            <v>C4114</v>
          </cell>
          <cell r="D838" t="str">
            <v>CS사원</v>
          </cell>
          <cell r="E838" t="str">
            <v>임시직</v>
          </cell>
        </row>
        <row r="839">
          <cell r="B839" t="str">
            <v>C4114</v>
          </cell>
          <cell r="D839" t="str">
            <v>CS사원</v>
          </cell>
          <cell r="E839" t="str">
            <v>임시직</v>
          </cell>
        </row>
        <row r="840">
          <cell r="B840" t="str">
            <v>C4114</v>
          </cell>
          <cell r="D840" t="str">
            <v>CS사원</v>
          </cell>
          <cell r="E840" t="str">
            <v>임시직</v>
          </cell>
        </row>
        <row r="841">
          <cell r="B841" t="str">
            <v>C4114</v>
          </cell>
          <cell r="D841" t="str">
            <v>CS사원</v>
          </cell>
          <cell r="E841" t="str">
            <v>임시직</v>
          </cell>
        </row>
        <row r="842">
          <cell r="B842" t="str">
            <v>C4114</v>
          </cell>
          <cell r="D842" t="str">
            <v>CS사원</v>
          </cell>
          <cell r="E842" t="str">
            <v>임시직</v>
          </cell>
        </row>
        <row r="843">
          <cell r="B843" t="str">
            <v>C4110</v>
          </cell>
          <cell r="D843" t="str">
            <v>CS사원</v>
          </cell>
          <cell r="E843" t="str">
            <v>임시직</v>
          </cell>
        </row>
        <row r="844">
          <cell r="B844" t="str">
            <v>C4110</v>
          </cell>
          <cell r="D844" t="str">
            <v>CS사원</v>
          </cell>
          <cell r="E844" t="str">
            <v>임시직</v>
          </cell>
        </row>
        <row r="845">
          <cell r="B845" t="str">
            <v>C4110</v>
          </cell>
          <cell r="D845" t="str">
            <v>CS사원</v>
          </cell>
          <cell r="E845" t="str">
            <v>임시직</v>
          </cell>
        </row>
        <row r="846">
          <cell r="B846" t="str">
            <v>C4110</v>
          </cell>
          <cell r="D846" t="str">
            <v>CS사원</v>
          </cell>
          <cell r="E846" t="str">
            <v>임시직</v>
          </cell>
        </row>
        <row r="847">
          <cell r="B847" t="str">
            <v>C4110</v>
          </cell>
          <cell r="D847" t="str">
            <v>CS사원</v>
          </cell>
          <cell r="E847" t="str">
            <v>임시직</v>
          </cell>
        </row>
        <row r="848">
          <cell r="B848" t="str">
            <v>C4110</v>
          </cell>
          <cell r="D848" t="str">
            <v>CS사원</v>
          </cell>
          <cell r="E848" t="str">
            <v>임시직</v>
          </cell>
        </row>
        <row r="849">
          <cell r="B849" t="str">
            <v>C4110</v>
          </cell>
          <cell r="D849" t="str">
            <v>CS사원</v>
          </cell>
          <cell r="E849" t="str">
            <v>임시직</v>
          </cell>
        </row>
        <row r="850">
          <cell r="B850" t="str">
            <v>C4110</v>
          </cell>
          <cell r="D850" t="str">
            <v>CS사원</v>
          </cell>
          <cell r="E850" t="str">
            <v>임시직</v>
          </cell>
        </row>
        <row r="851">
          <cell r="B851" t="str">
            <v>C4110</v>
          </cell>
          <cell r="D851" t="str">
            <v>CS사원</v>
          </cell>
          <cell r="E851" t="str">
            <v>임시직</v>
          </cell>
        </row>
        <row r="852">
          <cell r="B852" t="str">
            <v>C4110</v>
          </cell>
          <cell r="D852" t="str">
            <v>CS사원</v>
          </cell>
          <cell r="E852" t="str">
            <v>임시직</v>
          </cell>
        </row>
        <row r="853">
          <cell r="B853" t="str">
            <v>C4110</v>
          </cell>
          <cell r="D853" t="str">
            <v>CS사원</v>
          </cell>
          <cell r="E853" t="str">
            <v>임시직</v>
          </cell>
        </row>
        <row r="854">
          <cell r="B854" t="str">
            <v>C4110</v>
          </cell>
          <cell r="D854" t="str">
            <v>CS사원</v>
          </cell>
          <cell r="E854" t="str">
            <v>임시직</v>
          </cell>
        </row>
        <row r="855">
          <cell r="B855" t="str">
            <v>C4110</v>
          </cell>
          <cell r="D855" t="str">
            <v>CS사원</v>
          </cell>
          <cell r="E855" t="str">
            <v>휴직</v>
          </cell>
        </row>
        <row r="856">
          <cell r="B856" t="str">
            <v>C4110</v>
          </cell>
          <cell r="D856" t="str">
            <v>CS사원</v>
          </cell>
          <cell r="E856" t="str">
            <v>임시직</v>
          </cell>
        </row>
        <row r="857">
          <cell r="B857" t="str">
            <v>C4110</v>
          </cell>
          <cell r="D857" t="str">
            <v>CS사원</v>
          </cell>
          <cell r="E857" t="str">
            <v>임시직</v>
          </cell>
        </row>
        <row r="858">
          <cell r="B858" t="str">
            <v>C4110</v>
          </cell>
          <cell r="D858" t="str">
            <v>CS사원</v>
          </cell>
          <cell r="E858" t="str">
            <v>임시직</v>
          </cell>
        </row>
        <row r="859">
          <cell r="B859" t="str">
            <v>C4111</v>
          </cell>
          <cell r="D859" t="str">
            <v>CS사원</v>
          </cell>
          <cell r="E859" t="str">
            <v>임시직</v>
          </cell>
        </row>
        <row r="860">
          <cell r="B860" t="str">
            <v>C4111</v>
          </cell>
          <cell r="D860" t="str">
            <v>CS사원</v>
          </cell>
          <cell r="E860" t="str">
            <v>임시직</v>
          </cell>
        </row>
        <row r="861">
          <cell r="B861" t="str">
            <v>C4111</v>
          </cell>
          <cell r="D861" t="str">
            <v>CS사원</v>
          </cell>
          <cell r="E861" t="str">
            <v>임시직</v>
          </cell>
        </row>
        <row r="862">
          <cell r="B862" t="str">
            <v>C4111</v>
          </cell>
          <cell r="D862" t="str">
            <v>CS사원</v>
          </cell>
          <cell r="E862" t="str">
            <v>임시직</v>
          </cell>
        </row>
        <row r="863">
          <cell r="B863" t="str">
            <v>C4111</v>
          </cell>
          <cell r="D863" t="str">
            <v>CS사원</v>
          </cell>
          <cell r="E863" t="str">
            <v>임시직</v>
          </cell>
        </row>
        <row r="864">
          <cell r="B864" t="str">
            <v>C4111</v>
          </cell>
          <cell r="D864" t="str">
            <v>CS사원</v>
          </cell>
          <cell r="E864" t="str">
            <v>임시직</v>
          </cell>
        </row>
        <row r="865">
          <cell r="B865" t="str">
            <v>C4111</v>
          </cell>
          <cell r="D865" t="str">
            <v>CS사원</v>
          </cell>
          <cell r="E865" t="str">
            <v>임시직</v>
          </cell>
        </row>
        <row r="866">
          <cell r="B866" t="str">
            <v>C4111</v>
          </cell>
          <cell r="D866" t="str">
            <v>CS사원</v>
          </cell>
          <cell r="E866" t="str">
            <v>임시직</v>
          </cell>
        </row>
        <row r="867">
          <cell r="B867" t="str">
            <v>C4111</v>
          </cell>
          <cell r="D867" t="str">
            <v>CS사원</v>
          </cell>
          <cell r="E867" t="str">
            <v>임시직</v>
          </cell>
        </row>
        <row r="868">
          <cell r="B868" t="str">
            <v>C4111</v>
          </cell>
          <cell r="D868" t="str">
            <v>CS사원</v>
          </cell>
          <cell r="E868" t="str">
            <v>임시직</v>
          </cell>
        </row>
        <row r="869">
          <cell r="B869" t="str">
            <v>C4111</v>
          </cell>
          <cell r="D869" t="str">
            <v>CS사원</v>
          </cell>
          <cell r="E869" t="str">
            <v>임시직</v>
          </cell>
        </row>
        <row r="870">
          <cell r="B870" t="str">
            <v>C4111</v>
          </cell>
          <cell r="D870" t="str">
            <v>CS사원</v>
          </cell>
          <cell r="E870" t="str">
            <v>임시직</v>
          </cell>
        </row>
        <row r="871">
          <cell r="B871" t="str">
            <v>C4111</v>
          </cell>
          <cell r="D871" t="str">
            <v>CS사원</v>
          </cell>
          <cell r="E871" t="str">
            <v>임시직</v>
          </cell>
        </row>
        <row r="872">
          <cell r="B872" t="str">
            <v>C4111</v>
          </cell>
          <cell r="D872" t="str">
            <v>CS사원</v>
          </cell>
          <cell r="E872" t="str">
            <v>임시직</v>
          </cell>
        </row>
        <row r="873">
          <cell r="B873" t="str">
            <v>C4111</v>
          </cell>
          <cell r="D873" t="str">
            <v>CS사원</v>
          </cell>
          <cell r="E873" t="str">
            <v>임시직</v>
          </cell>
        </row>
        <row r="874">
          <cell r="B874" t="str">
            <v>C4111</v>
          </cell>
          <cell r="D874" t="str">
            <v>CS사원</v>
          </cell>
          <cell r="E874" t="str">
            <v>휴직</v>
          </cell>
        </row>
        <row r="875">
          <cell r="B875" t="str">
            <v>C4111</v>
          </cell>
          <cell r="D875" t="str">
            <v>CS사원</v>
          </cell>
          <cell r="E875" t="str">
            <v>임시직</v>
          </cell>
        </row>
        <row r="876">
          <cell r="B876" t="str">
            <v>C4111</v>
          </cell>
          <cell r="D876" t="str">
            <v>CS사원</v>
          </cell>
          <cell r="E876" t="str">
            <v>임시직</v>
          </cell>
        </row>
        <row r="877">
          <cell r="B877" t="str">
            <v>C4111</v>
          </cell>
          <cell r="D877" t="str">
            <v>CS사원</v>
          </cell>
          <cell r="E877" t="str">
            <v>임시직</v>
          </cell>
        </row>
        <row r="878">
          <cell r="B878" t="str">
            <v>C4112</v>
          </cell>
          <cell r="D878" t="str">
            <v>CS사원</v>
          </cell>
          <cell r="E878" t="str">
            <v>임시직</v>
          </cell>
        </row>
        <row r="879">
          <cell r="B879" t="str">
            <v>C4112</v>
          </cell>
          <cell r="D879" t="str">
            <v>CS사원</v>
          </cell>
          <cell r="E879" t="str">
            <v>임시직</v>
          </cell>
        </row>
        <row r="880">
          <cell r="B880" t="str">
            <v>C4129</v>
          </cell>
          <cell r="D880" t="str">
            <v>CS사원</v>
          </cell>
          <cell r="E880" t="str">
            <v>임시직</v>
          </cell>
        </row>
        <row r="881">
          <cell r="B881" t="str">
            <v>C4112</v>
          </cell>
          <cell r="D881" t="str">
            <v>CS사원</v>
          </cell>
          <cell r="E881" t="str">
            <v>임시직</v>
          </cell>
        </row>
        <row r="882">
          <cell r="B882" t="str">
            <v>C4129</v>
          </cell>
          <cell r="D882" t="str">
            <v>CS사원</v>
          </cell>
          <cell r="E882" t="str">
            <v>임시직</v>
          </cell>
        </row>
        <row r="883">
          <cell r="B883" t="str">
            <v>C4112</v>
          </cell>
          <cell r="D883" t="str">
            <v>CS사원</v>
          </cell>
          <cell r="E883" t="str">
            <v>임시직</v>
          </cell>
        </row>
        <row r="884">
          <cell r="B884" t="str">
            <v>C4112</v>
          </cell>
          <cell r="D884" t="str">
            <v>CS사원</v>
          </cell>
          <cell r="E884" t="str">
            <v>임시직</v>
          </cell>
        </row>
        <row r="885">
          <cell r="B885" t="str">
            <v>C4112</v>
          </cell>
          <cell r="D885" t="str">
            <v>CS사원</v>
          </cell>
          <cell r="E885" t="str">
            <v>임시직</v>
          </cell>
        </row>
        <row r="886">
          <cell r="B886" t="str">
            <v>C4129</v>
          </cell>
          <cell r="D886" t="str">
            <v>CS사원</v>
          </cell>
          <cell r="E886" t="str">
            <v>임시직</v>
          </cell>
        </row>
        <row r="887">
          <cell r="B887" t="str">
            <v>C4112</v>
          </cell>
          <cell r="D887" t="str">
            <v>CS사원</v>
          </cell>
          <cell r="E887" t="str">
            <v>임시직</v>
          </cell>
        </row>
        <row r="888">
          <cell r="B888" t="str">
            <v>C4112</v>
          </cell>
          <cell r="D888" t="str">
            <v>CS사원</v>
          </cell>
          <cell r="E888" t="str">
            <v>임시직</v>
          </cell>
        </row>
        <row r="889">
          <cell r="B889" t="str">
            <v>C4112</v>
          </cell>
          <cell r="D889" t="str">
            <v>CS사원</v>
          </cell>
          <cell r="E889" t="str">
            <v>임시직</v>
          </cell>
        </row>
        <row r="890">
          <cell r="B890" t="str">
            <v>C4112</v>
          </cell>
          <cell r="D890" t="str">
            <v>CS사원</v>
          </cell>
          <cell r="E890" t="str">
            <v>임시직</v>
          </cell>
        </row>
        <row r="891">
          <cell r="B891" t="str">
            <v>C4112</v>
          </cell>
          <cell r="D891" t="str">
            <v>CS사원</v>
          </cell>
          <cell r="E891" t="str">
            <v>임시직</v>
          </cell>
        </row>
        <row r="892">
          <cell r="B892" t="str">
            <v>C4112</v>
          </cell>
          <cell r="D892" t="str">
            <v>CS사원</v>
          </cell>
          <cell r="E892" t="str">
            <v>임시직</v>
          </cell>
        </row>
        <row r="893">
          <cell r="B893" t="str">
            <v>C4129</v>
          </cell>
          <cell r="D893" t="str">
            <v>CS사원</v>
          </cell>
          <cell r="E893" t="str">
            <v>임시직</v>
          </cell>
        </row>
        <row r="894">
          <cell r="B894" t="str">
            <v>C4112</v>
          </cell>
          <cell r="D894" t="str">
            <v>CS사원</v>
          </cell>
          <cell r="E894" t="str">
            <v>휴직</v>
          </cell>
        </row>
        <row r="895">
          <cell r="B895" t="str">
            <v>C4019</v>
          </cell>
          <cell r="D895" t="str">
            <v>CS사원</v>
          </cell>
          <cell r="E895" t="str">
            <v>임시직</v>
          </cell>
        </row>
        <row r="896">
          <cell r="B896" t="str">
            <v>C4019</v>
          </cell>
          <cell r="D896" t="str">
            <v>CS사원</v>
          </cell>
          <cell r="E896" t="str">
            <v>임시직</v>
          </cell>
        </row>
        <row r="897">
          <cell r="B897" t="str">
            <v>C4019</v>
          </cell>
          <cell r="D897" t="str">
            <v>CS사원</v>
          </cell>
          <cell r="E897" t="str">
            <v>임시직</v>
          </cell>
        </row>
        <row r="898">
          <cell r="B898" t="str">
            <v>C4019</v>
          </cell>
          <cell r="D898" t="str">
            <v>CS사원</v>
          </cell>
          <cell r="E898" t="str">
            <v>임시직</v>
          </cell>
        </row>
        <row r="899">
          <cell r="B899" t="str">
            <v>C4019</v>
          </cell>
          <cell r="D899" t="str">
            <v>CS사원</v>
          </cell>
          <cell r="E899" t="str">
            <v>임시직</v>
          </cell>
        </row>
        <row r="900">
          <cell r="B900" t="str">
            <v>C4024</v>
          </cell>
          <cell r="D900" t="str">
            <v>CS사원</v>
          </cell>
          <cell r="E900" t="str">
            <v>임시직</v>
          </cell>
        </row>
        <row r="901">
          <cell r="B901" t="str">
            <v>C4024</v>
          </cell>
          <cell r="D901" t="str">
            <v>CS사원</v>
          </cell>
          <cell r="E901" t="str">
            <v>임시직</v>
          </cell>
        </row>
        <row r="902">
          <cell r="B902" t="str">
            <v>C4024</v>
          </cell>
          <cell r="D902" t="str">
            <v>CS사원</v>
          </cell>
          <cell r="E902" t="str">
            <v>임시직</v>
          </cell>
        </row>
        <row r="903">
          <cell r="B903" t="str">
            <v>C3210</v>
          </cell>
          <cell r="D903" t="str">
            <v>CS사원</v>
          </cell>
          <cell r="E903" t="str">
            <v>임시직</v>
          </cell>
        </row>
        <row r="904">
          <cell r="B904" t="str">
            <v>C3210</v>
          </cell>
          <cell r="D904" t="str">
            <v>CS사원</v>
          </cell>
          <cell r="E904" t="str">
            <v>임시직</v>
          </cell>
        </row>
        <row r="905">
          <cell r="B905" t="str">
            <v>C3210</v>
          </cell>
          <cell r="D905" t="str">
            <v>CS사원</v>
          </cell>
          <cell r="E905" t="str">
            <v>임시직</v>
          </cell>
        </row>
        <row r="906">
          <cell r="B906" t="str">
            <v>C3210</v>
          </cell>
          <cell r="D906" t="str">
            <v>CS사원</v>
          </cell>
          <cell r="E906" t="str">
            <v>임시직</v>
          </cell>
        </row>
        <row r="907">
          <cell r="B907" t="str">
            <v>C3210</v>
          </cell>
          <cell r="D907" t="str">
            <v>CS사원</v>
          </cell>
          <cell r="E907" t="str">
            <v>임시직</v>
          </cell>
        </row>
        <row r="908">
          <cell r="B908" t="str">
            <v>C3210</v>
          </cell>
          <cell r="D908" t="str">
            <v>CS사원</v>
          </cell>
          <cell r="E908" t="str">
            <v>임시직</v>
          </cell>
        </row>
        <row r="909">
          <cell r="B909" t="str">
            <v>C3210</v>
          </cell>
          <cell r="D909" t="str">
            <v>CS사원</v>
          </cell>
          <cell r="E909" t="str">
            <v>임시직</v>
          </cell>
        </row>
        <row r="910">
          <cell r="B910" t="str">
            <v>C4023</v>
          </cell>
          <cell r="D910" t="str">
            <v>CS사원</v>
          </cell>
          <cell r="E910" t="str">
            <v>임시직</v>
          </cell>
        </row>
        <row r="911">
          <cell r="B911" t="str">
            <v>C4023</v>
          </cell>
          <cell r="D911" t="str">
            <v>CS사원</v>
          </cell>
          <cell r="E911" t="str">
            <v>임시직</v>
          </cell>
        </row>
        <row r="912">
          <cell r="B912" t="str">
            <v>C4023</v>
          </cell>
          <cell r="D912" t="str">
            <v>CS사원</v>
          </cell>
          <cell r="E912" t="str">
            <v>임시직</v>
          </cell>
        </row>
        <row r="913">
          <cell r="B913" t="str">
            <v>C4115</v>
          </cell>
          <cell r="D913" t="str">
            <v>CS사원</v>
          </cell>
          <cell r="E913" t="str">
            <v>임시직</v>
          </cell>
        </row>
        <row r="914">
          <cell r="B914" t="str">
            <v>C4115</v>
          </cell>
          <cell r="D914" t="str">
            <v>CS사원</v>
          </cell>
          <cell r="E914" t="str">
            <v>임시직</v>
          </cell>
        </row>
        <row r="915">
          <cell r="B915" t="str">
            <v>C4115</v>
          </cell>
          <cell r="D915" t="str">
            <v>CS사원</v>
          </cell>
          <cell r="E915" t="str">
            <v>임시직</v>
          </cell>
        </row>
        <row r="916">
          <cell r="B916" t="str">
            <v>C4115</v>
          </cell>
          <cell r="D916" t="str">
            <v>CS사원</v>
          </cell>
          <cell r="E916" t="str">
            <v>임시직</v>
          </cell>
        </row>
        <row r="917">
          <cell r="B917" t="str">
            <v>C4115</v>
          </cell>
          <cell r="D917" t="str">
            <v>CS사원</v>
          </cell>
          <cell r="E917" t="str">
            <v>임시직</v>
          </cell>
        </row>
        <row r="918">
          <cell r="B918" t="str">
            <v>C4115</v>
          </cell>
          <cell r="D918" t="str">
            <v>CS사원</v>
          </cell>
          <cell r="E918" t="str">
            <v>임시직</v>
          </cell>
        </row>
        <row r="919">
          <cell r="B919" t="str">
            <v>C4115</v>
          </cell>
          <cell r="D919" t="str">
            <v>CS사원</v>
          </cell>
          <cell r="E919" t="str">
            <v>임시직</v>
          </cell>
        </row>
        <row r="920">
          <cell r="B920" t="str">
            <v>C4115</v>
          </cell>
          <cell r="D920" t="str">
            <v>CS사원</v>
          </cell>
          <cell r="E920" t="str">
            <v>임시직</v>
          </cell>
        </row>
        <row r="921">
          <cell r="B921" t="str">
            <v>C4115</v>
          </cell>
          <cell r="D921" t="str">
            <v>CS사원</v>
          </cell>
          <cell r="E921" t="str">
            <v>임시직</v>
          </cell>
        </row>
        <row r="922">
          <cell r="B922" t="str">
            <v>C4115</v>
          </cell>
          <cell r="D922" t="str">
            <v>CS사원</v>
          </cell>
          <cell r="E922" t="str">
            <v>임시직</v>
          </cell>
        </row>
        <row r="923">
          <cell r="B923" t="str">
            <v>C4115</v>
          </cell>
          <cell r="D923" t="str">
            <v>CS사원</v>
          </cell>
          <cell r="E923" t="str">
            <v>임시직</v>
          </cell>
        </row>
        <row r="924">
          <cell r="B924" t="str">
            <v>C4115</v>
          </cell>
          <cell r="D924" t="str">
            <v>CS사원</v>
          </cell>
          <cell r="E924" t="str">
            <v>임시직</v>
          </cell>
        </row>
        <row r="925">
          <cell r="B925" t="str">
            <v>C4115</v>
          </cell>
          <cell r="D925" t="str">
            <v>CS사원</v>
          </cell>
          <cell r="E925" t="str">
            <v>임시직</v>
          </cell>
        </row>
        <row r="926">
          <cell r="B926" t="str">
            <v>C4115</v>
          </cell>
          <cell r="D926" t="str">
            <v>CS사원</v>
          </cell>
          <cell r="E926" t="str">
            <v>임시직</v>
          </cell>
        </row>
        <row r="927">
          <cell r="B927" t="str">
            <v>C4128</v>
          </cell>
          <cell r="D927" t="str">
            <v>CS사원</v>
          </cell>
          <cell r="E927" t="str">
            <v>임시직</v>
          </cell>
        </row>
        <row r="928">
          <cell r="B928" t="str">
            <v>C4128</v>
          </cell>
          <cell r="D928" t="str">
            <v>CS사원</v>
          </cell>
          <cell r="E928" t="str">
            <v>임시직</v>
          </cell>
        </row>
        <row r="929">
          <cell r="B929" t="str">
            <v>C4128</v>
          </cell>
          <cell r="D929" t="str">
            <v>CS사원</v>
          </cell>
          <cell r="E929" t="str">
            <v>임시직</v>
          </cell>
        </row>
        <row r="930">
          <cell r="B930" t="str">
            <v>C4128</v>
          </cell>
          <cell r="D930" t="str">
            <v>CS사원</v>
          </cell>
          <cell r="E930" t="str">
            <v>임시직</v>
          </cell>
        </row>
        <row r="931">
          <cell r="B931" t="str">
            <v>C4128</v>
          </cell>
          <cell r="D931" t="str">
            <v>CS사원</v>
          </cell>
          <cell r="E931" t="str">
            <v>임시직</v>
          </cell>
        </row>
        <row r="932">
          <cell r="B932" t="str">
            <v>C4128</v>
          </cell>
          <cell r="D932" t="str">
            <v>CS사원</v>
          </cell>
          <cell r="E932" t="str">
            <v>임시직</v>
          </cell>
        </row>
        <row r="933">
          <cell r="B933" t="str">
            <v>C4128</v>
          </cell>
          <cell r="D933" t="str">
            <v>CS사원</v>
          </cell>
          <cell r="E933" t="str">
            <v>임시직</v>
          </cell>
        </row>
        <row r="934">
          <cell r="B934" t="str">
            <v>C4128</v>
          </cell>
          <cell r="D934" t="str">
            <v>CS사원</v>
          </cell>
          <cell r="E934" t="str">
            <v>임시직</v>
          </cell>
        </row>
        <row r="935">
          <cell r="B935" t="str">
            <v>C4128</v>
          </cell>
          <cell r="D935" t="str">
            <v>CS사원</v>
          </cell>
          <cell r="E935" t="str">
            <v>임시직</v>
          </cell>
        </row>
        <row r="936">
          <cell r="B936" t="str">
            <v>C4128</v>
          </cell>
          <cell r="D936" t="str">
            <v>CS사원</v>
          </cell>
          <cell r="E936" t="str">
            <v>임시직</v>
          </cell>
        </row>
        <row r="937">
          <cell r="B937" t="str">
            <v>C4128</v>
          </cell>
          <cell r="D937" t="str">
            <v>CS사원</v>
          </cell>
          <cell r="E937" t="str">
            <v>임시직</v>
          </cell>
        </row>
        <row r="938">
          <cell r="B938" t="str">
            <v>C4128</v>
          </cell>
          <cell r="D938" t="str">
            <v>CS사원</v>
          </cell>
          <cell r="E938" t="str">
            <v>임시직</v>
          </cell>
        </row>
        <row r="939">
          <cell r="B939" t="str">
            <v>C4128</v>
          </cell>
          <cell r="D939" t="str">
            <v>CS사원</v>
          </cell>
          <cell r="E939" t="str">
            <v>임시직</v>
          </cell>
        </row>
        <row r="940">
          <cell r="B940" t="str">
            <v>C4128</v>
          </cell>
          <cell r="D940" t="str">
            <v>CS사원</v>
          </cell>
          <cell r="E940" t="str">
            <v>임시직</v>
          </cell>
        </row>
        <row r="941">
          <cell r="B941" t="str">
            <v>C4128</v>
          </cell>
          <cell r="D941" t="str">
            <v>CS사원</v>
          </cell>
          <cell r="E941" t="str">
            <v>임시직</v>
          </cell>
        </row>
        <row r="942">
          <cell r="B942" t="str">
            <v>C4128</v>
          </cell>
          <cell r="D942" t="str">
            <v>CS사원</v>
          </cell>
          <cell r="E942" t="str">
            <v>임시직</v>
          </cell>
        </row>
        <row r="943">
          <cell r="B943" t="str">
            <v>C4128</v>
          </cell>
          <cell r="D943" t="str">
            <v>CS사원</v>
          </cell>
          <cell r="E943" t="str">
            <v>임시직</v>
          </cell>
        </row>
        <row r="944">
          <cell r="B944" t="str">
            <v>C4128</v>
          </cell>
          <cell r="D944" t="str">
            <v>CS사원</v>
          </cell>
          <cell r="E944" t="str">
            <v>임시직</v>
          </cell>
        </row>
        <row r="945">
          <cell r="B945" t="str">
            <v>D3090</v>
          </cell>
          <cell r="D945" t="str">
            <v>임시직</v>
          </cell>
          <cell r="E945" t="str">
            <v>임시직</v>
          </cell>
        </row>
        <row r="946">
          <cell r="B946" t="str">
            <v>D3090</v>
          </cell>
          <cell r="D946" t="str">
            <v>임시직</v>
          </cell>
          <cell r="E946" t="str">
            <v>임시직</v>
          </cell>
        </row>
        <row r="947">
          <cell r="B947" t="str">
            <v>B5013</v>
          </cell>
          <cell r="D947" t="str">
            <v>임시직</v>
          </cell>
          <cell r="E947" t="str">
            <v>임시직</v>
          </cell>
        </row>
        <row r="948">
          <cell r="B948" t="str">
            <v>B5013</v>
          </cell>
          <cell r="D948" t="str">
            <v>CS사원</v>
          </cell>
          <cell r="E948" t="str">
            <v>임시직</v>
          </cell>
        </row>
        <row r="949">
          <cell r="B949" t="str">
            <v>B5060</v>
          </cell>
          <cell r="D949" t="str">
            <v>생산직</v>
          </cell>
          <cell r="E949" t="str">
            <v>임시직</v>
          </cell>
        </row>
        <row r="950">
          <cell r="B950" t="str">
            <v>B5060</v>
          </cell>
          <cell r="D950" t="str">
            <v>생산직</v>
          </cell>
          <cell r="E950" t="str">
            <v>임시직</v>
          </cell>
        </row>
        <row r="951">
          <cell r="B951" t="str">
            <v>B5060</v>
          </cell>
          <cell r="D951" t="str">
            <v>생산직</v>
          </cell>
          <cell r="E951" t="str">
            <v>임시직</v>
          </cell>
        </row>
        <row r="952">
          <cell r="B952" t="str">
            <v>B5060</v>
          </cell>
          <cell r="D952" t="str">
            <v>생산직</v>
          </cell>
          <cell r="E952" t="str">
            <v>임시직</v>
          </cell>
        </row>
        <row r="953">
          <cell r="B953" t="str">
            <v>B5060</v>
          </cell>
          <cell r="D953" t="str">
            <v>생산직</v>
          </cell>
          <cell r="E953" t="str">
            <v>임시직</v>
          </cell>
        </row>
        <row r="954">
          <cell r="B954" t="str">
            <v>B5060</v>
          </cell>
          <cell r="D954" t="str">
            <v>생산직</v>
          </cell>
          <cell r="E954" t="str">
            <v>임시직</v>
          </cell>
        </row>
        <row r="955">
          <cell r="B955" t="str">
            <v>B5060</v>
          </cell>
          <cell r="D955" t="str">
            <v>생산직</v>
          </cell>
          <cell r="E955" t="str">
            <v>임시직</v>
          </cell>
        </row>
        <row r="956">
          <cell r="B956" t="str">
            <v>B5060</v>
          </cell>
          <cell r="D956" t="str">
            <v>생산직</v>
          </cell>
          <cell r="E956" t="str">
            <v>임시직</v>
          </cell>
        </row>
        <row r="957">
          <cell r="B957" t="str">
            <v>B5060</v>
          </cell>
          <cell r="D957" t="str">
            <v>생산직</v>
          </cell>
          <cell r="E957" t="str">
            <v>임시직</v>
          </cell>
        </row>
        <row r="958">
          <cell r="B958" t="str">
            <v>B5060</v>
          </cell>
          <cell r="D958" t="str">
            <v>생산직</v>
          </cell>
          <cell r="E958" t="str">
            <v>임시직</v>
          </cell>
        </row>
        <row r="959">
          <cell r="B959" t="str">
            <v>F4011</v>
          </cell>
          <cell r="D959" t="str">
            <v>배달</v>
          </cell>
          <cell r="E959" t="str">
            <v>용</v>
          </cell>
        </row>
        <row r="960">
          <cell r="B960" t="str">
            <v>F4011</v>
          </cell>
          <cell r="D960" t="str">
            <v>배달</v>
          </cell>
          <cell r="E960" t="str">
            <v>용</v>
          </cell>
        </row>
        <row r="961">
          <cell r="B961" t="str">
            <v>F4114</v>
          </cell>
          <cell r="D961" t="str">
            <v>일반 Dr.</v>
          </cell>
          <cell r="E961" t="str">
            <v>CS Dr</v>
          </cell>
        </row>
        <row r="962">
          <cell r="B962" t="str">
            <v>F4114</v>
          </cell>
          <cell r="D962" t="str">
            <v>일반 Dr.</v>
          </cell>
          <cell r="E962" t="str">
            <v>CS Dr</v>
          </cell>
        </row>
        <row r="963">
          <cell r="B963" t="str">
            <v>F4114</v>
          </cell>
          <cell r="D963" t="str">
            <v>일반 Dr.</v>
          </cell>
          <cell r="E963" t="str">
            <v>CS Dr</v>
          </cell>
        </row>
        <row r="964">
          <cell r="B964" t="str">
            <v>F4114</v>
          </cell>
          <cell r="D964" t="str">
            <v>일반 Dr.</v>
          </cell>
          <cell r="E964" t="str">
            <v>CS Dr</v>
          </cell>
        </row>
        <row r="965">
          <cell r="B965" t="str">
            <v>F4114</v>
          </cell>
          <cell r="D965" t="str">
            <v>일반 Dr.</v>
          </cell>
          <cell r="E965" t="str">
            <v>CS Dr</v>
          </cell>
        </row>
        <row r="966">
          <cell r="B966" t="str">
            <v>F4114</v>
          </cell>
          <cell r="D966" t="str">
            <v>일반 Dr.</v>
          </cell>
          <cell r="E966" t="str">
            <v>CS Dr</v>
          </cell>
        </row>
        <row r="967">
          <cell r="B967" t="str">
            <v>F4114</v>
          </cell>
          <cell r="D967" t="str">
            <v>일반 Dr.</v>
          </cell>
          <cell r="E967" t="str">
            <v>CS Dr</v>
          </cell>
        </row>
        <row r="968">
          <cell r="B968" t="str">
            <v>F4114</v>
          </cell>
          <cell r="D968" t="str">
            <v>일반 Dr.</v>
          </cell>
          <cell r="E968" t="str">
            <v>CS Dr</v>
          </cell>
        </row>
        <row r="969">
          <cell r="B969" t="str">
            <v>F4114</v>
          </cell>
          <cell r="D969" t="str">
            <v>일반 Dr.</v>
          </cell>
          <cell r="E969" t="str">
            <v>CS Dr</v>
          </cell>
        </row>
        <row r="970">
          <cell r="B970" t="str">
            <v>F4114</v>
          </cell>
          <cell r="D970" t="str">
            <v>일반 Dr.</v>
          </cell>
          <cell r="E970" t="str">
            <v>CS Dr</v>
          </cell>
        </row>
        <row r="971">
          <cell r="B971" t="str">
            <v>F4114</v>
          </cell>
          <cell r="D971" t="str">
            <v>일반 Dr.</v>
          </cell>
          <cell r="E971" t="str">
            <v>CS Dr</v>
          </cell>
        </row>
        <row r="972">
          <cell r="B972" t="str">
            <v>F4114</v>
          </cell>
          <cell r="D972" t="str">
            <v>일반 Dr.</v>
          </cell>
          <cell r="E972" t="str">
            <v>CS Dr</v>
          </cell>
        </row>
        <row r="973">
          <cell r="B973" t="str">
            <v>F4114</v>
          </cell>
          <cell r="D973" t="str">
            <v>일반 Dr.</v>
          </cell>
          <cell r="E973" t="str">
            <v>CS Dr</v>
          </cell>
        </row>
        <row r="974">
          <cell r="B974" t="str">
            <v>F4114</v>
          </cell>
          <cell r="D974" t="str">
            <v>일반 Dr.</v>
          </cell>
          <cell r="E974" t="str">
            <v>CS Dr</v>
          </cell>
        </row>
        <row r="975">
          <cell r="B975" t="str">
            <v>F4114</v>
          </cell>
          <cell r="D975" t="str">
            <v>조장</v>
          </cell>
          <cell r="E975" t="str">
            <v>CS Dr</v>
          </cell>
        </row>
        <row r="976">
          <cell r="B976" t="str">
            <v>F4114</v>
          </cell>
          <cell r="D976" t="str">
            <v>조장</v>
          </cell>
          <cell r="E976" t="str">
            <v>CS Dr</v>
          </cell>
        </row>
        <row r="977">
          <cell r="B977" t="str">
            <v>F4114</v>
          </cell>
          <cell r="D977" t="str">
            <v>일반 Dr.</v>
          </cell>
          <cell r="E977" t="str">
            <v>CS Dr</v>
          </cell>
        </row>
        <row r="978">
          <cell r="B978" t="str">
            <v>F4114</v>
          </cell>
          <cell r="D978" t="str">
            <v>일반 Dr.</v>
          </cell>
          <cell r="E978" t="str">
            <v>CS Dr</v>
          </cell>
        </row>
        <row r="979">
          <cell r="B979" t="str">
            <v>F4114</v>
          </cell>
          <cell r="D979" t="str">
            <v>일반 Dr.</v>
          </cell>
          <cell r="E979" t="str">
            <v>CS Dr</v>
          </cell>
        </row>
        <row r="980">
          <cell r="B980" t="str">
            <v>F4114</v>
          </cell>
          <cell r="D980" t="str">
            <v>일반 Dr.</v>
          </cell>
          <cell r="E980" t="str">
            <v>CS Dr</v>
          </cell>
        </row>
        <row r="981">
          <cell r="B981" t="str">
            <v>F4114</v>
          </cell>
          <cell r="D981" t="str">
            <v>조장</v>
          </cell>
          <cell r="E981" t="str">
            <v>CS Dr</v>
          </cell>
        </row>
        <row r="982">
          <cell r="B982" t="str">
            <v>F4114</v>
          </cell>
          <cell r="D982" t="str">
            <v>조장</v>
          </cell>
          <cell r="E982" t="str">
            <v>CS Dr</v>
          </cell>
        </row>
        <row r="983">
          <cell r="B983" t="str">
            <v>F4114</v>
          </cell>
          <cell r="D983" t="str">
            <v>조장</v>
          </cell>
          <cell r="E983" t="str">
            <v>CS Dr</v>
          </cell>
        </row>
        <row r="984">
          <cell r="B984" t="str">
            <v>F4114</v>
          </cell>
          <cell r="D984" t="str">
            <v>일반 Dr.</v>
          </cell>
          <cell r="E984" t="str">
            <v>CS Dr</v>
          </cell>
        </row>
        <row r="985">
          <cell r="B985" t="str">
            <v>F4114</v>
          </cell>
          <cell r="D985" t="str">
            <v>일반 Dr.</v>
          </cell>
          <cell r="E985" t="str">
            <v>CS Dr</v>
          </cell>
        </row>
        <row r="986">
          <cell r="B986" t="str">
            <v>F4114</v>
          </cell>
          <cell r="D986" t="str">
            <v>일반 Dr.</v>
          </cell>
          <cell r="E986" t="str">
            <v>CS Dr</v>
          </cell>
        </row>
        <row r="987">
          <cell r="B987" t="str">
            <v>F4114</v>
          </cell>
          <cell r="D987" t="str">
            <v>일반 Dr.</v>
          </cell>
          <cell r="E987" t="str">
            <v>CS Dr</v>
          </cell>
        </row>
        <row r="988">
          <cell r="B988" t="str">
            <v>F4114</v>
          </cell>
          <cell r="D988" t="str">
            <v>일반 Dr.</v>
          </cell>
          <cell r="E988" t="str">
            <v>CS Dr</v>
          </cell>
        </row>
        <row r="989">
          <cell r="B989" t="str">
            <v>F4114</v>
          </cell>
          <cell r="D989" t="str">
            <v>팀장</v>
          </cell>
          <cell r="E989" t="str">
            <v>CS Dr</v>
          </cell>
        </row>
        <row r="990">
          <cell r="B990" t="str">
            <v>F4114</v>
          </cell>
          <cell r="D990" t="str">
            <v>일반 Dr.</v>
          </cell>
          <cell r="E990" t="str">
            <v>CS Dr</v>
          </cell>
        </row>
        <row r="991">
          <cell r="B991" t="str">
            <v>F4114</v>
          </cell>
          <cell r="D991" t="str">
            <v>조장</v>
          </cell>
          <cell r="E991" t="str">
            <v>CS Dr</v>
          </cell>
        </row>
        <row r="992">
          <cell r="B992" t="str">
            <v>F4114</v>
          </cell>
          <cell r="D992" t="str">
            <v>일반 Dr.</v>
          </cell>
          <cell r="E992" t="str">
            <v>CS Dr</v>
          </cell>
        </row>
        <row r="993">
          <cell r="B993" t="str">
            <v>F4114</v>
          </cell>
          <cell r="D993" t="str">
            <v>일반 Dr.</v>
          </cell>
          <cell r="E993" t="str">
            <v>CS Dr</v>
          </cell>
        </row>
        <row r="994">
          <cell r="B994" t="str">
            <v>F4114</v>
          </cell>
          <cell r="D994" t="str">
            <v>일반 Dr.</v>
          </cell>
          <cell r="E994" t="str">
            <v>CS Dr</v>
          </cell>
        </row>
        <row r="995">
          <cell r="B995" t="str">
            <v>F4114</v>
          </cell>
          <cell r="D995" t="str">
            <v>일반 Dr.</v>
          </cell>
          <cell r="E995" t="str">
            <v>CS Dr</v>
          </cell>
        </row>
        <row r="996">
          <cell r="B996" t="str">
            <v>F4114</v>
          </cell>
          <cell r="D996" t="str">
            <v>일반 Dr.</v>
          </cell>
          <cell r="E996" t="str">
            <v>CS Dr</v>
          </cell>
        </row>
        <row r="997">
          <cell r="B997" t="str">
            <v>F4011</v>
          </cell>
          <cell r="D997" t="str">
            <v>DDL Dr.</v>
          </cell>
          <cell r="E997" t="str">
            <v>도어락전담</v>
          </cell>
        </row>
        <row r="998">
          <cell r="B998" t="str">
            <v>F4114</v>
          </cell>
          <cell r="D998" t="str">
            <v>일반 Dr.</v>
          </cell>
          <cell r="E998" t="str">
            <v>CS Dr</v>
          </cell>
        </row>
        <row r="999">
          <cell r="B999" t="str">
            <v>F4114</v>
          </cell>
          <cell r="D999" t="str">
            <v>일반 Dr.</v>
          </cell>
          <cell r="E999" t="str">
            <v>CS Dr</v>
          </cell>
        </row>
        <row r="1000">
          <cell r="B1000" t="str">
            <v>F4114</v>
          </cell>
          <cell r="D1000" t="str">
            <v>일반 Dr.</v>
          </cell>
          <cell r="E1000" t="str">
            <v>CS Dr</v>
          </cell>
        </row>
        <row r="1001">
          <cell r="B1001" t="str">
            <v>F4114</v>
          </cell>
          <cell r="D1001" t="str">
            <v>일반 Dr.</v>
          </cell>
          <cell r="E1001" t="str">
            <v>CS Dr</v>
          </cell>
        </row>
        <row r="1002">
          <cell r="B1002" t="str">
            <v>F4011</v>
          </cell>
          <cell r="D1002" t="str">
            <v>DDL Dr.</v>
          </cell>
          <cell r="E1002" t="str">
            <v>도어락전담</v>
          </cell>
        </row>
        <row r="1003">
          <cell r="B1003" t="str">
            <v>F4114</v>
          </cell>
          <cell r="D1003" t="str">
            <v>일반 Dr.</v>
          </cell>
          <cell r="E1003" t="str">
            <v>CS Dr</v>
          </cell>
        </row>
        <row r="1004">
          <cell r="B1004" t="str">
            <v>F4114</v>
          </cell>
          <cell r="D1004" t="str">
            <v>일반 Dr.</v>
          </cell>
          <cell r="E1004" t="str">
            <v>CS Dr</v>
          </cell>
        </row>
        <row r="1005">
          <cell r="B1005" t="str">
            <v>F4114</v>
          </cell>
          <cell r="D1005" t="str">
            <v>조장</v>
          </cell>
          <cell r="E1005" t="str">
            <v>CS Dr</v>
          </cell>
        </row>
        <row r="1006">
          <cell r="B1006" t="str">
            <v>F4114</v>
          </cell>
          <cell r="D1006" t="str">
            <v>일반 Dr.</v>
          </cell>
          <cell r="E1006" t="str">
            <v>CS Dr</v>
          </cell>
        </row>
        <row r="1007">
          <cell r="B1007" t="str">
            <v>F4114</v>
          </cell>
          <cell r="D1007" t="str">
            <v>일반 Dr.</v>
          </cell>
          <cell r="E1007" t="str">
            <v>CS Dr</v>
          </cell>
        </row>
        <row r="1008">
          <cell r="B1008" t="str">
            <v>F4114</v>
          </cell>
          <cell r="D1008" t="str">
            <v>일반 Dr.</v>
          </cell>
          <cell r="E1008" t="str">
            <v>CS Dr</v>
          </cell>
        </row>
        <row r="1009">
          <cell r="B1009" t="str">
            <v>F4114</v>
          </cell>
          <cell r="D1009" t="str">
            <v>일반 Dr.</v>
          </cell>
          <cell r="E1009" t="str">
            <v>CS Dr</v>
          </cell>
        </row>
        <row r="1010">
          <cell r="B1010" t="str">
            <v>F4114</v>
          </cell>
          <cell r="D1010" t="str">
            <v>일반 Dr.</v>
          </cell>
          <cell r="E1010" t="str">
            <v>CS Dr</v>
          </cell>
        </row>
        <row r="1011">
          <cell r="B1011" t="str">
            <v>F4114</v>
          </cell>
          <cell r="D1011" t="str">
            <v>일반 Dr.</v>
          </cell>
          <cell r="E1011" t="str">
            <v>CS Dr</v>
          </cell>
        </row>
        <row r="1012">
          <cell r="B1012" t="str">
            <v>F4114</v>
          </cell>
          <cell r="D1012" t="str">
            <v>일반 Dr.</v>
          </cell>
          <cell r="E1012" t="str">
            <v>CS Dr</v>
          </cell>
        </row>
        <row r="1013">
          <cell r="B1013" t="str">
            <v>F4114</v>
          </cell>
          <cell r="D1013" t="str">
            <v>일반 Dr.</v>
          </cell>
          <cell r="E1013" t="str">
            <v>CS Dr</v>
          </cell>
        </row>
        <row r="1014">
          <cell r="B1014" t="str">
            <v>F4114</v>
          </cell>
          <cell r="D1014" t="str">
            <v>일반 Dr.</v>
          </cell>
          <cell r="E1014" t="str">
            <v>CS Dr</v>
          </cell>
        </row>
        <row r="1015">
          <cell r="B1015" t="str">
            <v>F4114</v>
          </cell>
          <cell r="D1015" t="str">
            <v>일반 Dr.</v>
          </cell>
          <cell r="E1015" t="str">
            <v>CS Dr</v>
          </cell>
        </row>
        <row r="1016">
          <cell r="B1016" t="str">
            <v>F4114</v>
          </cell>
          <cell r="D1016" t="str">
            <v>조장</v>
          </cell>
          <cell r="E1016" t="str">
            <v>CS Dr</v>
          </cell>
        </row>
        <row r="1017">
          <cell r="B1017" t="str">
            <v>F4114</v>
          </cell>
          <cell r="D1017" t="str">
            <v>기술사내강사</v>
          </cell>
          <cell r="E1017" t="str">
            <v>CS Dr</v>
          </cell>
        </row>
        <row r="1018">
          <cell r="B1018" t="str">
            <v>F4114</v>
          </cell>
          <cell r="D1018" t="str">
            <v>일반 Dr.</v>
          </cell>
          <cell r="E1018" t="str">
            <v>CS Dr</v>
          </cell>
        </row>
        <row r="1019">
          <cell r="B1019" t="str">
            <v>F4114</v>
          </cell>
          <cell r="D1019" t="str">
            <v>일반 Dr.</v>
          </cell>
          <cell r="E1019" t="str">
            <v>CS Dr</v>
          </cell>
        </row>
        <row r="1020">
          <cell r="B1020" t="str">
            <v>F4114</v>
          </cell>
          <cell r="D1020" t="str">
            <v>조장</v>
          </cell>
          <cell r="E1020" t="str">
            <v>CS Dr</v>
          </cell>
        </row>
        <row r="1021">
          <cell r="B1021" t="str">
            <v>F4114</v>
          </cell>
          <cell r="D1021" t="str">
            <v>조장</v>
          </cell>
          <cell r="E1021" t="str">
            <v>CS Dr</v>
          </cell>
        </row>
        <row r="1022">
          <cell r="B1022" t="str">
            <v>F4114</v>
          </cell>
          <cell r="D1022" t="str">
            <v>일반 Dr.</v>
          </cell>
          <cell r="E1022" t="str">
            <v>CS Dr</v>
          </cell>
        </row>
        <row r="1023">
          <cell r="B1023" t="str">
            <v>F4114</v>
          </cell>
          <cell r="D1023" t="str">
            <v>조장</v>
          </cell>
          <cell r="E1023" t="str">
            <v>CS Dr</v>
          </cell>
        </row>
        <row r="1024">
          <cell r="B1024" t="str">
            <v>F4114</v>
          </cell>
          <cell r="D1024" t="str">
            <v>일반 Dr.</v>
          </cell>
          <cell r="E1024" t="str">
            <v>CS Dr</v>
          </cell>
        </row>
        <row r="1025">
          <cell r="B1025" t="str">
            <v>F4114</v>
          </cell>
          <cell r="D1025" t="str">
            <v>조장</v>
          </cell>
          <cell r="E1025" t="str">
            <v>CS Dr</v>
          </cell>
        </row>
        <row r="1026">
          <cell r="B1026" t="str">
            <v>F4114</v>
          </cell>
          <cell r="D1026" t="str">
            <v>조장</v>
          </cell>
          <cell r="E1026" t="str">
            <v>CS Dr</v>
          </cell>
        </row>
        <row r="1027">
          <cell r="B1027" t="str">
            <v>F4114</v>
          </cell>
          <cell r="D1027" t="str">
            <v>팀장</v>
          </cell>
          <cell r="E1027" t="str">
            <v>CS Dr</v>
          </cell>
        </row>
        <row r="1028">
          <cell r="B1028" t="str">
            <v>F4114</v>
          </cell>
          <cell r="D1028" t="str">
            <v>일반 Dr.</v>
          </cell>
          <cell r="E1028" t="str">
            <v>CS Dr</v>
          </cell>
        </row>
        <row r="1029">
          <cell r="B1029" t="str">
            <v>F4114</v>
          </cell>
          <cell r="D1029" t="str">
            <v>일반 Dr.</v>
          </cell>
          <cell r="E1029" t="str">
            <v>CS Dr</v>
          </cell>
        </row>
        <row r="1030">
          <cell r="B1030" t="str">
            <v>F4114</v>
          </cell>
          <cell r="D1030" t="str">
            <v>일반 Dr.</v>
          </cell>
          <cell r="E1030" t="str">
            <v>CS Dr</v>
          </cell>
        </row>
        <row r="1031">
          <cell r="B1031" t="str">
            <v>F4114</v>
          </cell>
          <cell r="D1031" t="str">
            <v>일반 Dr.</v>
          </cell>
          <cell r="E1031" t="str">
            <v>CS Dr</v>
          </cell>
        </row>
        <row r="1032">
          <cell r="B1032" t="str">
            <v>F4114</v>
          </cell>
          <cell r="D1032" t="str">
            <v>일반 Dr.</v>
          </cell>
          <cell r="E1032" t="str">
            <v>CS Dr</v>
          </cell>
        </row>
        <row r="1033">
          <cell r="B1033" t="str">
            <v>F4114</v>
          </cell>
          <cell r="D1033" t="str">
            <v>일반 Dr.</v>
          </cell>
          <cell r="E1033" t="str">
            <v>CS Dr</v>
          </cell>
        </row>
        <row r="1034">
          <cell r="B1034" t="str">
            <v>F4114</v>
          </cell>
          <cell r="D1034" t="str">
            <v>일반 Dr.</v>
          </cell>
          <cell r="E1034" t="str">
            <v>CS Dr</v>
          </cell>
        </row>
        <row r="1035">
          <cell r="B1035" t="str">
            <v>F4114</v>
          </cell>
          <cell r="D1035" t="str">
            <v>일반 Dr.</v>
          </cell>
          <cell r="E1035" t="str">
            <v>CS Dr</v>
          </cell>
        </row>
        <row r="1036">
          <cell r="B1036" t="str">
            <v>F4114</v>
          </cell>
          <cell r="D1036" t="str">
            <v>일반 Dr.</v>
          </cell>
          <cell r="E1036" t="str">
            <v>CS Dr</v>
          </cell>
        </row>
        <row r="1037">
          <cell r="B1037" t="str">
            <v>F4114</v>
          </cell>
          <cell r="D1037" t="str">
            <v>일반 Dr.</v>
          </cell>
          <cell r="E1037" t="str">
            <v>CS Dr</v>
          </cell>
        </row>
        <row r="1038">
          <cell r="B1038" t="str">
            <v>F4114</v>
          </cell>
          <cell r="D1038" t="str">
            <v>일반 Dr.</v>
          </cell>
          <cell r="E1038" t="str">
            <v>CS Dr</v>
          </cell>
        </row>
        <row r="1039">
          <cell r="B1039" t="str">
            <v>F4114</v>
          </cell>
          <cell r="D1039" t="str">
            <v>일반 Dr.</v>
          </cell>
          <cell r="E1039" t="str">
            <v>CS Dr</v>
          </cell>
        </row>
        <row r="1040">
          <cell r="B1040" t="str">
            <v>F4114</v>
          </cell>
          <cell r="D1040" t="str">
            <v>일반 Dr.</v>
          </cell>
          <cell r="E1040" t="str">
            <v>CS Dr</v>
          </cell>
        </row>
        <row r="1041">
          <cell r="B1041" t="str">
            <v>F4114</v>
          </cell>
          <cell r="D1041" t="str">
            <v>일반 Dr.</v>
          </cell>
          <cell r="E1041" t="str">
            <v>CS Dr</v>
          </cell>
        </row>
        <row r="1042">
          <cell r="B1042" t="str">
            <v>F4114</v>
          </cell>
          <cell r="D1042" t="str">
            <v>일반 Dr.</v>
          </cell>
          <cell r="E1042" t="str">
            <v>CS Dr</v>
          </cell>
        </row>
        <row r="1043">
          <cell r="B1043" t="str">
            <v>F4114</v>
          </cell>
          <cell r="D1043" t="str">
            <v>일반 Dr.</v>
          </cell>
          <cell r="E1043" t="str">
            <v>CS Dr</v>
          </cell>
        </row>
        <row r="1044">
          <cell r="B1044" t="str">
            <v>F4114</v>
          </cell>
          <cell r="D1044" t="str">
            <v>일반 Dr.</v>
          </cell>
          <cell r="E1044" t="str">
            <v>CS Dr</v>
          </cell>
        </row>
        <row r="1045">
          <cell r="B1045" t="str">
            <v>F4114</v>
          </cell>
          <cell r="D1045" t="str">
            <v>일반 Dr.</v>
          </cell>
          <cell r="E1045" t="str">
            <v>CS Dr</v>
          </cell>
        </row>
        <row r="1046">
          <cell r="B1046" t="str">
            <v>F4114</v>
          </cell>
          <cell r="D1046" t="str">
            <v>일반 Dr.</v>
          </cell>
          <cell r="E1046" t="str">
            <v>CS Dr</v>
          </cell>
        </row>
        <row r="1047">
          <cell r="B1047" t="str">
            <v>F4114</v>
          </cell>
          <cell r="D1047" t="str">
            <v>일반 Dr.</v>
          </cell>
          <cell r="E1047" t="str">
            <v>CS Dr</v>
          </cell>
        </row>
        <row r="1048">
          <cell r="B1048" t="str">
            <v>F4114</v>
          </cell>
          <cell r="D1048" t="str">
            <v>일반 Dr.</v>
          </cell>
          <cell r="E1048" t="str">
            <v>CS Dr</v>
          </cell>
        </row>
        <row r="1049">
          <cell r="B1049" t="str">
            <v>F4114</v>
          </cell>
          <cell r="D1049" t="str">
            <v>일반 Dr.</v>
          </cell>
          <cell r="E1049" t="str">
            <v>CS Dr</v>
          </cell>
        </row>
        <row r="1050">
          <cell r="B1050" t="str">
            <v>F4118</v>
          </cell>
          <cell r="D1050" t="str">
            <v>일반 Dr.</v>
          </cell>
          <cell r="E1050" t="str">
            <v>CS Dr</v>
          </cell>
        </row>
        <row r="1051">
          <cell r="B1051" t="str">
            <v>F4118</v>
          </cell>
          <cell r="D1051" t="str">
            <v>일반 Dr.</v>
          </cell>
          <cell r="E1051" t="str">
            <v>CS Dr</v>
          </cell>
        </row>
        <row r="1052">
          <cell r="B1052" t="str">
            <v>F4118</v>
          </cell>
          <cell r="D1052" t="str">
            <v>조장</v>
          </cell>
          <cell r="E1052" t="str">
            <v>CS Dr</v>
          </cell>
        </row>
        <row r="1053">
          <cell r="B1053" t="str">
            <v>F4118</v>
          </cell>
          <cell r="D1053" t="str">
            <v>일반 Dr.</v>
          </cell>
          <cell r="E1053" t="str">
            <v>CS Dr</v>
          </cell>
        </row>
        <row r="1054">
          <cell r="B1054" t="str">
            <v>F4118</v>
          </cell>
          <cell r="D1054" t="str">
            <v>조장</v>
          </cell>
          <cell r="E1054" t="str">
            <v>CS Dr</v>
          </cell>
        </row>
        <row r="1055">
          <cell r="B1055" t="str">
            <v>F4118</v>
          </cell>
          <cell r="D1055" t="str">
            <v>일반 Dr.</v>
          </cell>
          <cell r="E1055" t="str">
            <v>CS Dr</v>
          </cell>
        </row>
        <row r="1056">
          <cell r="B1056" t="str">
            <v>F4118</v>
          </cell>
          <cell r="D1056" t="str">
            <v>일반 Dr.</v>
          </cell>
          <cell r="E1056" t="str">
            <v>CS Dr</v>
          </cell>
        </row>
        <row r="1057">
          <cell r="B1057" t="str">
            <v>F4118</v>
          </cell>
          <cell r="D1057" t="str">
            <v>일반 Dr.</v>
          </cell>
          <cell r="E1057" t="str">
            <v>CS Dr</v>
          </cell>
        </row>
        <row r="1058">
          <cell r="B1058" t="str">
            <v>F4118</v>
          </cell>
          <cell r="D1058" t="str">
            <v>일반 Dr.</v>
          </cell>
          <cell r="E1058" t="str">
            <v>CS Dr</v>
          </cell>
        </row>
        <row r="1059">
          <cell r="B1059" t="str">
            <v>F4118</v>
          </cell>
          <cell r="D1059" t="str">
            <v>일반 Dr.</v>
          </cell>
          <cell r="E1059" t="str">
            <v>CS Dr</v>
          </cell>
        </row>
        <row r="1060">
          <cell r="B1060" t="str">
            <v>F4118</v>
          </cell>
          <cell r="D1060" t="str">
            <v>조장</v>
          </cell>
          <cell r="E1060" t="str">
            <v>CS Dr</v>
          </cell>
        </row>
        <row r="1061">
          <cell r="B1061" t="str">
            <v>F4118</v>
          </cell>
          <cell r="D1061" t="str">
            <v>일반 Dr.</v>
          </cell>
          <cell r="E1061" t="str">
            <v>CS Dr</v>
          </cell>
        </row>
        <row r="1062">
          <cell r="B1062" t="str">
            <v>F4118</v>
          </cell>
          <cell r="D1062" t="str">
            <v>일반 Dr.</v>
          </cell>
          <cell r="E1062" t="str">
            <v>CS Dr</v>
          </cell>
        </row>
        <row r="1063">
          <cell r="B1063" t="str">
            <v>F4118</v>
          </cell>
          <cell r="D1063" t="str">
            <v>일반 Dr.</v>
          </cell>
          <cell r="E1063" t="str">
            <v>CS Dr</v>
          </cell>
        </row>
        <row r="1064">
          <cell r="B1064" t="str">
            <v>F4118</v>
          </cell>
          <cell r="D1064" t="str">
            <v>조장</v>
          </cell>
          <cell r="E1064" t="str">
            <v>CS Dr</v>
          </cell>
        </row>
        <row r="1065">
          <cell r="B1065" t="str">
            <v>F4118</v>
          </cell>
          <cell r="D1065" t="str">
            <v>팀장</v>
          </cell>
          <cell r="E1065" t="str">
            <v>CS Dr</v>
          </cell>
        </row>
        <row r="1066">
          <cell r="B1066" t="str">
            <v>F4118</v>
          </cell>
          <cell r="D1066" t="str">
            <v>일반 Dr.</v>
          </cell>
          <cell r="E1066" t="str">
            <v>CS Dr</v>
          </cell>
        </row>
        <row r="1067">
          <cell r="B1067" t="str">
            <v>F4118</v>
          </cell>
          <cell r="D1067" t="str">
            <v>일반 Dr.</v>
          </cell>
          <cell r="E1067" t="str">
            <v>CS Dr</v>
          </cell>
        </row>
        <row r="1068">
          <cell r="B1068" t="str">
            <v>F4118</v>
          </cell>
          <cell r="D1068" t="str">
            <v>일반 Dr.</v>
          </cell>
          <cell r="E1068" t="str">
            <v>CS Dr</v>
          </cell>
        </row>
        <row r="1069">
          <cell r="B1069" t="str">
            <v>F4118</v>
          </cell>
          <cell r="D1069" t="str">
            <v>일반 Dr.</v>
          </cell>
          <cell r="E1069" t="str">
            <v>CS Dr</v>
          </cell>
        </row>
        <row r="1070">
          <cell r="B1070" t="str">
            <v>F4118</v>
          </cell>
          <cell r="D1070" t="str">
            <v>일반 Dr.</v>
          </cell>
          <cell r="E1070" t="str">
            <v>CS Dr</v>
          </cell>
        </row>
        <row r="1071">
          <cell r="B1071" t="str">
            <v>F4118</v>
          </cell>
          <cell r="D1071" t="str">
            <v>일반 Dr.</v>
          </cell>
          <cell r="E1071" t="str">
            <v>CS Dr</v>
          </cell>
        </row>
        <row r="1072">
          <cell r="B1072" t="str">
            <v>F4118</v>
          </cell>
          <cell r="D1072" t="str">
            <v>일반 Dr.</v>
          </cell>
          <cell r="E1072" t="str">
            <v>CS Dr</v>
          </cell>
        </row>
        <row r="1073">
          <cell r="B1073" t="str">
            <v>F4016</v>
          </cell>
          <cell r="D1073" t="str">
            <v>배달</v>
          </cell>
          <cell r="E1073" t="str">
            <v>용</v>
          </cell>
        </row>
        <row r="1074">
          <cell r="B1074" t="str">
            <v>F4010</v>
          </cell>
          <cell r="D1074" t="str">
            <v>배달</v>
          </cell>
          <cell r="E1074" t="str">
            <v>용</v>
          </cell>
        </row>
        <row r="1075">
          <cell r="B1075" t="str">
            <v>F4010</v>
          </cell>
          <cell r="D1075" t="str">
            <v>배달</v>
          </cell>
          <cell r="E1075" t="str">
            <v>용</v>
          </cell>
        </row>
        <row r="1076">
          <cell r="B1076" t="str">
            <v>F4020</v>
          </cell>
          <cell r="D1076" t="str">
            <v>배달</v>
          </cell>
          <cell r="E1076" t="str">
            <v>용</v>
          </cell>
        </row>
        <row r="1077">
          <cell r="B1077" t="str">
            <v>F4019</v>
          </cell>
          <cell r="D1077" t="str">
            <v>배달</v>
          </cell>
          <cell r="E1077" t="str">
            <v>용</v>
          </cell>
        </row>
        <row r="1078">
          <cell r="B1078" t="str">
            <v>F4019</v>
          </cell>
          <cell r="D1078" t="str">
            <v>배달</v>
          </cell>
          <cell r="E1078" t="str">
            <v>용</v>
          </cell>
        </row>
        <row r="1079">
          <cell r="B1079" t="str">
            <v>F4141</v>
          </cell>
          <cell r="D1079" t="str">
            <v>일반 Dr.</v>
          </cell>
          <cell r="E1079" t="str">
            <v>CS Dr</v>
          </cell>
        </row>
        <row r="1080">
          <cell r="B1080" t="str">
            <v>F4141</v>
          </cell>
          <cell r="D1080" t="str">
            <v>일반 Dr.</v>
          </cell>
          <cell r="E1080" t="str">
            <v>CS Dr</v>
          </cell>
        </row>
        <row r="1081">
          <cell r="B1081" t="str">
            <v>F4141</v>
          </cell>
          <cell r="D1081" t="str">
            <v>일반 Dr.</v>
          </cell>
          <cell r="E1081" t="str">
            <v>CS Dr</v>
          </cell>
        </row>
        <row r="1082">
          <cell r="B1082" t="str">
            <v>F4141</v>
          </cell>
          <cell r="D1082" t="str">
            <v>일반 Dr.</v>
          </cell>
          <cell r="E1082" t="str">
            <v>CS Dr</v>
          </cell>
        </row>
        <row r="1083">
          <cell r="B1083" t="str">
            <v>F4141</v>
          </cell>
          <cell r="D1083" t="str">
            <v>일반 Dr.</v>
          </cell>
          <cell r="E1083" t="str">
            <v>CS Dr</v>
          </cell>
        </row>
        <row r="1084">
          <cell r="B1084" t="str">
            <v>F4141</v>
          </cell>
          <cell r="D1084" t="str">
            <v>일반 Dr.</v>
          </cell>
          <cell r="E1084" t="str">
            <v>CS Dr</v>
          </cell>
        </row>
        <row r="1085">
          <cell r="B1085" t="str">
            <v>F4141</v>
          </cell>
          <cell r="D1085" t="str">
            <v>일반 Dr.</v>
          </cell>
          <cell r="E1085" t="str">
            <v>CS Dr</v>
          </cell>
        </row>
        <row r="1086">
          <cell r="B1086" t="str">
            <v>F4141</v>
          </cell>
          <cell r="D1086" t="str">
            <v>일반 Dr.</v>
          </cell>
          <cell r="E1086" t="str">
            <v>CS Dr</v>
          </cell>
        </row>
        <row r="1087">
          <cell r="B1087" t="str">
            <v>F4141</v>
          </cell>
          <cell r="D1087" t="str">
            <v>기술사내강사</v>
          </cell>
          <cell r="E1087" t="str">
            <v>CS Dr</v>
          </cell>
        </row>
        <row r="1088">
          <cell r="B1088" t="str">
            <v>F4141</v>
          </cell>
          <cell r="D1088" t="str">
            <v>조장</v>
          </cell>
          <cell r="E1088" t="str">
            <v>CS Dr</v>
          </cell>
        </row>
        <row r="1089">
          <cell r="B1089" t="str">
            <v>F4141</v>
          </cell>
          <cell r="D1089" t="str">
            <v>조장</v>
          </cell>
          <cell r="E1089" t="str">
            <v>CS Dr</v>
          </cell>
        </row>
        <row r="1090">
          <cell r="B1090" t="str">
            <v>F4141</v>
          </cell>
          <cell r="D1090" t="str">
            <v>일반 Dr.</v>
          </cell>
          <cell r="E1090" t="str">
            <v>CS Dr</v>
          </cell>
        </row>
        <row r="1091">
          <cell r="B1091" t="str">
            <v>F4141</v>
          </cell>
          <cell r="D1091" t="str">
            <v>일반 Dr.</v>
          </cell>
          <cell r="E1091" t="str">
            <v>CS Dr</v>
          </cell>
        </row>
        <row r="1092">
          <cell r="B1092" t="str">
            <v>F4141</v>
          </cell>
          <cell r="D1092" t="str">
            <v>조장</v>
          </cell>
          <cell r="E1092" t="str">
            <v>CS Dr</v>
          </cell>
        </row>
        <row r="1093">
          <cell r="B1093" t="str">
            <v>F4141</v>
          </cell>
          <cell r="D1093" t="str">
            <v>일반 Dr.</v>
          </cell>
          <cell r="E1093" t="str">
            <v>CS Dr</v>
          </cell>
        </row>
        <row r="1094">
          <cell r="B1094" t="str">
            <v>F4141</v>
          </cell>
          <cell r="D1094" t="str">
            <v>일반 Dr.</v>
          </cell>
          <cell r="E1094" t="str">
            <v>CS Dr</v>
          </cell>
        </row>
        <row r="1095">
          <cell r="B1095" t="str">
            <v>F4141</v>
          </cell>
          <cell r="D1095" t="str">
            <v>일반 Dr.</v>
          </cell>
          <cell r="E1095" t="str">
            <v>CS Dr</v>
          </cell>
        </row>
        <row r="1096">
          <cell r="B1096" t="str">
            <v>F4141</v>
          </cell>
          <cell r="D1096" t="str">
            <v>일반 Dr.</v>
          </cell>
          <cell r="E1096" t="str">
            <v>CS Dr</v>
          </cell>
        </row>
        <row r="1097">
          <cell r="B1097" t="str">
            <v>F4141</v>
          </cell>
          <cell r="D1097" t="str">
            <v>조장</v>
          </cell>
          <cell r="E1097" t="str">
            <v>CS Dr</v>
          </cell>
        </row>
        <row r="1098">
          <cell r="B1098" t="str">
            <v>F4141</v>
          </cell>
          <cell r="D1098" t="str">
            <v>조장</v>
          </cell>
          <cell r="E1098" t="str">
            <v>CS Dr</v>
          </cell>
        </row>
        <row r="1099">
          <cell r="B1099" t="str">
            <v>F4141</v>
          </cell>
          <cell r="D1099" t="str">
            <v>일반 Dr.</v>
          </cell>
          <cell r="E1099" t="str">
            <v>CS Dr</v>
          </cell>
        </row>
        <row r="1100">
          <cell r="B1100" t="str">
            <v>F4141</v>
          </cell>
          <cell r="D1100" t="str">
            <v>조장</v>
          </cell>
          <cell r="E1100" t="str">
            <v>CS Dr</v>
          </cell>
        </row>
        <row r="1101">
          <cell r="B1101" t="str">
            <v>F4141</v>
          </cell>
          <cell r="D1101" t="str">
            <v>일반 Dr.</v>
          </cell>
          <cell r="E1101" t="str">
            <v>CS Dr</v>
          </cell>
        </row>
        <row r="1102">
          <cell r="B1102" t="str">
            <v>F4141</v>
          </cell>
          <cell r="D1102" t="str">
            <v>일반 Dr.</v>
          </cell>
          <cell r="E1102" t="str">
            <v>CS Dr</v>
          </cell>
        </row>
        <row r="1103">
          <cell r="B1103" t="str">
            <v>F4141</v>
          </cell>
          <cell r="D1103" t="str">
            <v>팀장</v>
          </cell>
          <cell r="E1103" t="str">
            <v>CS Dr</v>
          </cell>
        </row>
        <row r="1104">
          <cell r="B1104" t="str">
            <v>F4141</v>
          </cell>
          <cell r="D1104" t="str">
            <v>일반 Dr.</v>
          </cell>
          <cell r="E1104" t="str">
            <v>CS Dr</v>
          </cell>
        </row>
        <row r="1105">
          <cell r="B1105" t="str">
            <v>F4141</v>
          </cell>
          <cell r="D1105" t="str">
            <v>일반 Dr.</v>
          </cell>
          <cell r="E1105" t="str">
            <v>CS Dr</v>
          </cell>
        </row>
        <row r="1106">
          <cell r="B1106" t="str">
            <v>F4141</v>
          </cell>
          <cell r="D1106" t="str">
            <v>일반 Dr.</v>
          </cell>
          <cell r="E1106" t="str">
            <v>CS Dr</v>
          </cell>
        </row>
        <row r="1107">
          <cell r="B1107" t="str">
            <v>F4141</v>
          </cell>
          <cell r="D1107" t="str">
            <v>일반 Dr.</v>
          </cell>
          <cell r="E1107" t="str">
            <v>CS Dr</v>
          </cell>
        </row>
        <row r="1108">
          <cell r="B1108" t="str">
            <v>F4141</v>
          </cell>
          <cell r="D1108" t="str">
            <v>일반 Dr.</v>
          </cell>
          <cell r="E1108" t="str">
            <v>CS Dr</v>
          </cell>
        </row>
        <row r="1109">
          <cell r="B1109" t="str">
            <v>F4141</v>
          </cell>
          <cell r="D1109" t="str">
            <v>일반 Dr.</v>
          </cell>
          <cell r="E1109" t="str">
            <v>CS Dr</v>
          </cell>
        </row>
        <row r="1110">
          <cell r="B1110" t="str">
            <v>F4141</v>
          </cell>
          <cell r="D1110" t="str">
            <v>일반 Dr.</v>
          </cell>
          <cell r="E1110" t="str">
            <v>CS Dr</v>
          </cell>
        </row>
        <row r="1111">
          <cell r="B1111" t="str">
            <v>F4141</v>
          </cell>
          <cell r="D1111" t="str">
            <v>일반 Dr.</v>
          </cell>
          <cell r="E1111" t="str">
            <v>CS Dr</v>
          </cell>
        </row>
        <row r="1112">
          <cell r="B1112" t="str">
            <v>F4141</v>
          </cell>
          <cell r="D1112" t="str">
            <v>일반 Dr.</v>
          </cell>
          <cell r="E1112" t="str">
            <v>CS Dr</v>
          </cell>
        </row>
        <row r="1113">
          <cell r="B1113" t="str">
            <v>F4141</v>
          </cell>
          <cell r="D1113" t="str">
            <v>일반 Dr.</v>
          </cell>
          <cell r="E1113" t="str">
            <v>CS Dr</v>
          </cell>
        </row>
        <row r="1114">
          <cell r="B1114" t="str">
            <v>F4018</v>
          </cell>
          <cell r="D1114" t="str">
            <v>DDL Dr.</v>
          </cell>
          <cell r="E1114" t="str">
            <v>도어락전담</v>
          </cell>
        </row>
        <row r="1115">
          <cell r="B1115" t="str">
            <v>F4141</v>
          </cell>
          <cell r="D1115" t="str">
            <v>일반 Dr.</v>
          </cell>
          <cell r="E1115" t="str">
            <v>CS Dr</v>
          </cell>
        </row>
        <row r="1116">
          <cell r="B1116" t="str">
            <v>F4141</v>
          </cell>
          <cell r="D1116" t="str">
            <v>일반 Dr.</v>
          </cell>
          <cell r="E1116" t="str">
            <v>CS Dr</v>
          </cell>
        </row>
        <row r="1117">
          <cell r="B1117" t="str">
            <v>F4141</v>
          </cell>
          <cell r="D1117" t="str">
            <v>일반 Dr.</v>
          </cell>
          <cell r="E1117" t="str">
            <v>CS Dr</v>
          </cell>
        </row>
        <row r="1118">
          <cell r="B1118" t="str">
            <v>F4141</v>
          </cell>
          <cell r="D1118" t="str">
            <v>일반 Dr.</v>
          </cell>
          <cell r="E1118" t="str">
            <v>CS Dr</v>
          </cell>
        </row>
        <row r="1119">
          <cell r="B1119" t="str">
            <v>F4141</v>
          </cell>
          <cell r="D1119" t="str">
            <v>일반 Dr.</v>
          </cell>
          <cell r="E1119" t="str">
            <v>CS Dr</v>
          </cell>
        </row>
        <row r="1120">
          <cell r="B1120" t="str">
            <v>F4141</v>
          </cell>
          <cell r="D1120" t="str">
            <v>일반 Dr.</v>
          </cell>
          <cell r="E1120" t="str">
            <v>CS Dr</v>
          </cell>
        </row>
        <row r="1121">
          <cell r="B1121" t="str">
            <v>F4141</v>
          </cell>
          <cell r="D1121" t="str">
            <v>일반 Dr.</v>
          </cell>
          <cell r="E1121" t="str">
            <v>CS Dr</v>
          </cell>
        </row>
        <row r="1122">
          <cell r="B1122" t="str">
            <v>F4141</v>
          </cell>
          <cell r="D1122" t="str">
            <v>일반 Dr.</v>
          </cell>
          <cell r="E1122" t="str">
            <v>CS Dr</v>
          </cell>
        </row>
        <row r="1123">
          <cell r="B1123" t="str">
            <v>F4149</v>
          </cell>
          <cell r="D1123" t="str">
            <v>일반 Dr.</v>
          </cell>
          <cell r="E1123" t="str">
            <v>CS Dr</v>
          </cell>
        </row>
        <row r="1124">
          <cell r="B1124" t="str">
            <v>F4149</v>
          </cell>
          <cell r="D1124" t="str">
            <v>일반 Dr.</v>
          </cell>
          <cell r="E1124" t="str">
            <v>CS Dr</v>
          </cell>
        </row>
        <row r="1125">
          <cell r="B1125" t="str">
            <v>F4149</v>
          </cell>
          <cell r="D1125" t="str">
            <v>조장</v>
          </cell>
          <cell r="E1125" t="str">
            <v>CS Dr</v>
          </cell>
        </row>
        <row r="1126">
          <cell r="B1126" t="str">
            <v>F4149</v>
          </cell>
          <cell r="D1126" t="str">
            <v>일반 Dr.</v>
          </cell>
          <cell r="E1126" t="str">
            <v>CS Dr</v>
          </cell>
        </row>
        <row r="1127">
          <cell r="B1127" t="str">
            <v>F4149</v>
          </cell>
          <cell r="D1127" t="str">
            <v>일반 Dr.</v>
          </cell>
          <cell r="E1127" t="str">
            <v>CS Dr</v>
          </cell>
        </row>
        <row r="1128">
          <cell r="B1128" t="str">
            <v>F4149</v>
          </cell>
          <cell r="D1128" t="str">
            <v>일반 Dr.</v>
          </cell>
          <cell r="E1128" t="str">
            <v>CS Dr</v>
          </cell>
        </row>
        <row r="1129">
          <cell r="B1129" t="str">
            <v>F4149</v>
          </cell>
          <cell r="D1129" t="str">
            <v>일반 Dr.</v>
          </cell>
          <cell r="E1129" t="str">
            <v>CS Dr</v>
          </cell>
        </row>
        <row r="1130">
          <cell r="B1130" t="str">
            <v>F4149</v>
          </cell>
          <cell r="D1130" t="str">
            <v>일반 Dr.</v>
          </cell>
          <cell r="E1130" t="str">
            <v>CS Dr</v>
          </cell>
        </row>
        <row r="1131">
          <cell r="B1131" t="str">
            <v>F4149</v>
          </cell>
          <cell r="D1131" t="str">
            <v>일반 Dr.</v>
          </cell>
          <cell r="E1131" t="str">
            <v>CS Dr</v>
          </cell>
        </row>
        <row r="1132">
          <cell r="B1132" t="str">
            <v>F4149</v>
          </cell>
          <cell r="D1132" t="str">
            <v>일반 Dr.</v>
          </cell>
          <cell r="E1132" t="str">
            <v>CS Dr</v>
          </cell>
        </row>
        <row r="1133">
          <cell r="B1133" t="str">
            <v>F4149</v>
          </cell>
          <cell r="D1133" t="str">
            <v>일반 Dr.</v>
          </cell>
          <cell r="E1133" t="str">
            <v>CS Dr</v>
          </cell>
        </row>
        <row r="1134">
          <cell r="B1134" t="str">
            <v>F4149</v>
          </cell>
          <cell r="D1134" t="str">
            <v>팀장</v>
          </cell>
          <cell r="E1134" t="str">
            <v>CS Dr</v>
          </cell>
        </row>
        <row r="1135">
          <cell r="B1135" t="str">
            <v>F4149</v>
          </cell>
          <cell r="D1135" t="str">
            <v>일반 Dr.</v>
          </cell>
          <cell r="E1135" t="str">
            <v>CS Dr</v>
          </cell>
        </row>
        <row r="1136">
          <cell r="B1136" t="str">
            <v>F4149</v>
          </cell>
          <cell r="D1136" t="str">
            <v>조장</v>
          </cell>
          <cell r="E1136" t="str">
            <v>CS Dr</v>
          </cell>
        </row>
        <row r="1137">
          <cell r="B1137" t="str">
            <v>F4149</v>
          </cell>
          <cell r="D1137" t="str">
            <v>일반 Dr.</v>
          </cell>
          <cell r="E1137" t="str">
            <v>CS Dr</v>
          </cell>
        </row>
        <row r="1138">
          <cell r="B1138" t="str">
            <v>F4149</v>
          </cell>
          <cell r="D1138" t="str">
            <v>조장</v>
          </cell>
          <cell r="E1138" t="str">
            <v>CS Dr</v>
          </cell>
        </row>
        <row r="1139">
          <cell r="B1139" t="str">
            <v>F4149</v>
          </cell>
          <cell r="D1139" t="str">
            <v>일반 Dr.</v>
          </cell>
          <cell r="E1139" t="str">
            <v>CS Dr</v>
          </cell>
        </row>
        <row r="1140">
          <cell r="B1140" t="str">
            <v>F4149</v>
          </cell>
          <cell r="D1140" t="str">
            <v>일반 Dr.</v>
          </cell>
          <cell r="E1140" t="str">
            <v>CS Dr</v>
          </cell>
        </row>
        <row r="1141">
          <cell r="B1141" t="str">
            <v>F4149</v>
          </cell>
          <cell r="D1141" t="str">
            <v>일반 Dr.</v>
          </cell>
          <cell r="E1141" t="str">
            <v>CS Dr</v>
          </cell>
        </row>
        <row r="1142">
          <cell r="B1142" t="str">
            <v>F4149</v>
          </cell>
          <cell r="D1142" t="str">
            <v>일반 Dr.</v>
          </cell>
          <cell r="E1142" t="str">
            <v>CS Dr</v>
          </cell>
        </row>
        <row r="1143">
          <cell r="B1143" t="str">
            <v>F4149</v>
          </cell>
          <cell r="D1143" t="str">
            <v>일반 Dr.</v>
          </cell>
          <cell r="E1143" t="str">
            <v>CS Dr</v>
          </cell>
        </row>
        <row r="1144">
          <cell r="B1144" t="str">
            <v>F4149</v>
          </cell>
          <cell r="D1144" t="str">
            <v>일반 Dr.</v>
          </cell>
          <cell r="E1144" t="str">
            <v>CS Dr</v>
          </cell>
        </row>
        <row r="1145">
          <cell r="B1145" t="str">
            <v>F4144</v>
          </cell>
          <cell r="D1145" t="str">
            <v>일반 Dr.</v>
          </cell>
          <cell r="E1145" t="str">
            <v>CS Dr</v>
          </cell>
        </row>
        <row r="1146">
          <cell r="B1146" t="str">
            <v>F4144</v>
          </cell>
          <cell r="D1146" t="str">
            <v>일반 Dr.</v>
          </cell>
          <cell r="E1146" t="str">
            <v>CS Dr</v>
          </cell>
        </row>
        <row r="1147">
          <cell r="B1147" t="str">
            <v>F4144</v>
          </cell>
          <cell r="D1147" t="str">
            <v>일반 Dr.</v>
          </cell>
          <cell r="E1147" t="str">
            <v>CS Dr</v>
          </cell>
        </row>
        <row r="1148">
          <cell r="B1148" t="str">
            <v>F4144</v>
          </cell>
          <cell r="D1148" t="str">
            <v>일반 Dr.</v>
          </cell>
          <cell r="E1148" t="str">
            <v>CS Dr</v>
          </cell>
        </row>
        <row r="1149">
          <cell r="B1149" t="str">
            <v>F4144</v>
          </cell>
          <cell r="D1149" t="str">
            <v>조장</v>
          </cell>
          <cell r="E1149" t="str">
            <v>CS Dr</v>
          </cell>
        </row>
        <row r="1150">
          <cell r="B1150" t="str">
            <v>F4144</v>
          </cell>
          <cell r="D1150" t="str">
            <v>일반 Dr.</v>
          </cell>
          <cell r="E1150" t="str">
            <v>CS Dr</v>
          </cell>
        </row>
        <row r="1151">
          <cell r="B1151" t="str">
            <v>F4144</v>
          </cell>
          <cell r="D1151" t="str">
            <v>조장</v>
          </cell>
          <cell r="E1151" t="str">
            <v>CS Dr</v>
          </cell>
        </row>
        <row r="1152">
          <cell r="B1152" t="str">
            <v>F4144</v>
          </cell>
          <cell r="D1152" t="str">
            <v>일반 Dr.</v>
          </cell>
          <cell r="E1152" t="str">
            <v>CS Dr</v>
          </cell>
        </row>
        <row r="1153">
          <cell r="B1153" t="str">
            <v>F4144</v>
          </cell>
          <cell r="D1153" t="str">
            <v>조장</v>
          </cell>
          <cell r="E1153" t="str">
            <v>CS Dr</v>
          </cell>
        </row>
        <row r="1154">
          <cell r="B1154" t="str">
            <v>F4144</v>
          </cell>
          <cell r="D1154" t="str">
            <v>팀장</v>
          </cell>
          <cell r="E1154" t="str">
            <v>CS Dr</v>
          </cell>
        </row>
        <row r="1155">
          <cell r="B1155" t="str">
            <v>F4144</v>
          </cell>
          <cell r="D1155" t="str">
            <v>조장</v>
          </cell>
          <cell r="E1155" t="str">
            <v>CS Dr</v>
          </cell>
        </row>
        <row r="1156">
          <cell r="B1156" t="str">
            <v>F4144</v>
          </cell>
          <cell r="D1156" t="str">
            <v>일반 Dr.</v>
          </cell>
          <cell r="E1156" t="str">
            <v>CS Dr</v>
          </cell>
        </row>
        <row r="1157">
          <cell r="B1157" t="str">
            <v>F4144</v>
          </cell>
          <cell r="D1157" t="str">
            <v>일반 Dr.</v>
          </cell>
          <cell r="E1157" t="str">
            <v>CS Dr</v>
          </cell>
        </row>
        <row r="1158">
          <cell r="B1158" t="str">
            <v>F4144</v>
          </cell>
          <cell r="D1158" t="str">
            <v>일반 Dr.</v>
          </cell>
          <cell r="E1158" t="str">
            <v>CS Dr</v>
          </cell>
        </row>
        <row r="1159">
          <cell r="B1159" t="str">
            <v>F4144</v>
          </cell>
          <cell r="D1159" t="str">
            <v>일반 Dr.</v>
          </cell>
          <cell r="E1159" t="str">
            <v>CS Dr</v>
          </cell>
        </row>
        <row r="1160">
          <cell r="B1160" t="str">
            <v>F4144</v>
          </cell>
          <cell r="D1160" t="str">
            <v>일반 Dr.</v>
          </cell>
          <cell r="E1160" t="str">
            <v>CS Dr</v>
          </cell>
        </row>
        <row r="1161">
          <cell r="B1161" t="str">
            <v>F4144</v>
          </cell>
          <cell r="D1161" t="str">
            <v>일반 Dr.</v>
          </cell>
          <cell r="E1161" t="str">
            <v>CS Dr</v>
          </cell>
        </row>
        <row r="1162">
          <cell r="B1162" t="str">
            <v>F4144</v>
          </cell>
          <cell r="D1162" t="str">
            <v>일반 Dr.</v>
          </cell>
          <cell r="E1162" t="str">
            <v>CS Dr</v>
          </cell>
        </row>
        <row r="1163">
          <cell r="B1163" t="str">
            <v>F4144</v>
          </cell>
          <cell r="D1163" t="str">
            <v>일반 Dr.</v>
          </cell>
          <cell r="E1163" t="str">
            <v>CS Dr</v>
          </cell>
        </row>
        <row r="1164">
          <cell r="B1164" t="str">
            <v>F4147</v>
          </cell>
          <cell r="D1164" t="str">
            <v>일반 Dr.</v>
          </cell>
          <cell r="E1164" t="str">
            <v>CS Dr</v>
          </cell>
        </row>
        <row r="1165">
          <cell r="B1165" t="str">
            <v>F4147</v>
          </cell>
          <cell r="D1165" t="str">
            <v>일반 Dr.</v>
          </cell>
          <cell r="E1165" t="str">
            <v>CS Dr</v>
          </cell>
        </row>
        <row r="1166">
          <cell r="B1166" t="str">
            <v>F4147</v>
          </cell>
          <cell r="D1166" t="str">
            <v>일반 Dr.</v>
          </cell>
          <cell r="E1166" t="str">
            <v>CS Dr</v>
          </cell>
        </row>
        <row r="1167">
          <cell r="B1167" t="str">
            <v>F4147</v>
          </cell>
          <cell r="D1167" t="str">
            <v>일반 Dr.</v>
          </cell>
          <cell r="E1167" t="str">
            <v>CS Dr</v>
          </cell>
        </row>
        <row r="1168">
          <cell r="B1168" t="str">
            <v>F4147</v>
          </cell>
          <cell r="D1168" t="str">
            <v>일반 Dr.</v>
          </cell>
          <cell r="E1168" t="str">
            <v>CS Dr</v>
          </cell>
        </row>
        <row r="1169">
          <cell r="B1169" t="str">
            <v>F4147</v>
          </cell>
          <cell r="D1169" t="str">
            <v>일반 Dr.</v>
          </cell>
          <cell r="E1169" t="str">
            <v>CS Dr</v>
          </cell>
        </row>
        <row r="1170">
          <cell r="B1170" t="str">
            <v>F4147</v>
          </cell>
          <cell r="D1170" t="str">
            <v>일반 Dr.</v>
          </cell>
          <cell r="E1170" t="str">
            <v>CS Dr</v>
          </cell>
        </row>
        <row r="1171">
          <cell r="B1171" t="str">
            <v>F4147</v>
          </cell>
          <cell r="D1171" t="str">
            <v>일반 Dr.</v>
          </cell>
          <cell r="E1171" t="str">
            <v>CS Dr</v>
          </cell>
        </row>
        <row r="1172">
          <cell r="B1172" t="str">
            <v>F4147</v>
          </cell>
          <cell r="D1172" t="str">
            <v>조장</v>
          </cell>
          <cell r="E1172" t="str">
            <v>CS Dr</v>
          </cell>
        </row>
        <row r="1173">
          <cell r="B1173" t="str">
            <v>F4147</v>
          </cell>
          <cell r="D1173" t="str">
            <v>조장</v>
          </cell>
          <cell r="E1173" t="str">
            <v>CS Dr</v>
          </cell>
        </row>
        <row r="1174">
          <cell r="B1174" t="str">
            <v>F4147</v>
          </cell>
          <cell r="D1174" t="str">
            <v>조장</v>
          </cell>
          <cell r="E1174" t="str">
            <v>CS Dr</v>
          </cell>
        </row>
        <row r="1175">
          <cell r="B1175" t="str">
            <v>F4147</v>
          </cell>
          <cell r="D1175" t="str">
            <v>조장</v>
          </cell>
          <cell r="E1175" t="str">
            <v>CS Dr</v>
          </cell>
        </row>
        <row r="1176">
          <cell r="B1176" t="str">
            <v>F4147</v>
          </cell>
          <cell r="D1176" t="str">
            <v>일반 Dr.</v>
          </cell>
          <cell r="E1176" t="str">
            <v>CS Dr</v>
          </cell>
        </row>
        <row r="1177">
          <cell r="B1177" t="str">
            <v>F4147</v>
          </cell>
          <cell r="D1177" t="str">
            <v>일반 Dr.</v>
          </cell>
          <cell r="E1177" t="str">
            <v>CS Dr</v>
          </cell>
        </row>
        <row r="1178">
          <cell r="B1178" t="str">
            <v>F4147</v>
          </cell>
          <cell r="D1178" t="str">
            <v>일반 Dr.</v>
          </cell>
          <cell r="E1178" t="str">
            <v>CS Dr</v>
          </cell>
        </row>
        <row r="1179">
          <cell r="B1179" t="str">
            <v>F4147</v>
          </cell>
          <cell r="D1179" t="str">
            <v>일반 Dr.</v>
          </cell>
          <cell r="E1179" t="str">
            <v>CS Dr</v>
          </cell>
        </row>
        <row r="1180">
          <cell r="B1180" t="str">
            <v>F4147</v>
          </cell>
          <cell r="D1180" t="str">
            <v>일반 Dr.</v>
          </cell>
          <cell r="E1180" t="str">
            <v>CS Dr</v>
          </cell>
        </row>
        <row r="1181">
          <cell r="B1181" t="str">
            <v>F4147</v>
          </cell>
          <cell r="D1181" t="str">
            <v>일반 Dr.</v>
          </cell>
          <cell r="E1181" t="str">
            <v>CS Dr</v>
          </cell>
        </row>
        <row r="1182">
          <cell r="B1182" t="str">
            <v>F4147</v>
          </cell>
          <cell r="D1182" t="str">
            <v>일반 Dr.</v>
          </cell>
          <cell r="E1182" t="str">
            <v>CS Dr</v>
          </cell>
        </row>
        <row r="1183">
          <cell r="B1183" t="str">
            <v>F4147</v>
          </cell>
          <cell r="D1183" t="str">
            <v>일반 Dr.</v>
          </cell>
          <cell r="E1183" t="str">
            <v>CS Dr</v>
          </cell>
        </row>
        <row r="1184">
          <cell r="B1184" t="str">
            <v>F4147</v>
          </cell>
          <cell r="D1184" t="str">
            <v>일반 Dr.</v>
          </cell>
          <cell r="E1184" t="str">
            <v>CS Dr</v>
          </cell>
        </row>
        <row r="1185">
          <cell r="B1185" t="str">
            <v>F4147</v>
          </cell>
          <cell r="D1185" t="str">
            <v>일반 Dr.</v>
          </cell>
          <cell r="E1185" t="str">
            <v>CS Dr</v>
          </cell>
        </row>
        <row r="1186">
          <cell r="B1186" t="str">
            <v>F4147</v>
          </cell>
          <cell r="D1186" t="str">
            <v>일반 Dr.</v>
          </cell>
          <cell r="E1186" t="str">
            <v>CS Dr</v>
          </cell>
        </row>
        <row r="1187">
          <cell r="B1187" t="str">
            <v>F4147</v>
          </cell>
          <cell r="D1187" t="str">
            <v>팀장</v>
          </cell>
          <cell r="E1187" t="str">
            <v>CS Dr</v>
          </cell>
        </row>
        <row r="1188">
          <cell r="B1188" t="str">
            <v>F4147</v>
          </cell>
          <cell r="D1188" t="str">
            <v>조장</v>
          </cell>
          <cell r="E1188" t="str">
            <v>CS Dr</v>
          </cell>
        </row>
        <row r="1189">
          <cell r="B1189" t="str">
            <v>F4147</v>
          </cell>
          <cell r="D1189" t="str">
            <v>일반 Dr.</v>
          </cell>
          <cell r="E1189" t="str">
            <v>CS Dr</v>
          </cell>
        </row>
        <row r="1190">
          <cell r="B1190" t="str">
            <v>F4147</v>
          </cell>
          <cell r="D1190" t="str">
            <v>일반 Dr.</v>
          </cell>
          <cell r="E1190" t="str">
            <v>CS Dr</v>
          </cell>
        </row>
        <row r="1191">
          <cell r="B1191" t="str">
            <v>F4147</v>
          </cell>
          <cell r="D1191" t="str">
            <v>일반 Dr.</v>
          </cell>
          <cell r="E1191" t="str">
            <v>CS Dr</v>
          </cell>
        </row>
        <row r="1192">
          <cell r="B1192" t="str">
            <v>F4147</v>
          </cell>
          <cell r="D1192" t="str">
            <v>일반 Dr.</v>
          </cell>
          <cell r="E1192" t="str">
            <v>CS Dr</v>
          </cell>
        </row>
        <row r="1193">
          <cell r="B1193" t="str">
            <v>F4147</v>
          </cell>
          <cell r="D1193" t="str">
            <v>일반 Dr.</v>
          </cell>
          <cell r="E1193" t="str">
            <v>CS Dr</v>
          </cell>
        </row>
        <row r="1194">
          <cell r="B1194" t="str">
            <v>F4147</v>
          </cell>
          <cell r="D1194" t="str">
            <v>일반 Dr.</v>
          </cell>
          <cell r="E1194" t="str">
            <v>CS Dr</v>
          </cell>
        </row>
        <row r="1195">
          <cell r="B1195" t="str">
            <v>F4147</v>
          </cell>
          <cell r="D1195" t="str">
            <v>일반 Dr.</v>
          </cell>
          <cell r="E1195" t="str">
            <v>CS Dr</v>
          </cell>
        </row>
        <row r="1196">
          <cell r="B1196" t="str">
            <v>F4147</v>
          </cell>
          <cell r="D1196" t="str">
            <v>일반 Dr.</v>
          </cell>
          <cell r="E1196" t="str">
            <v>CS Dr</v>
          </cell>
        </row>
        <row r="1197">
          <cell r="B1197" t="str">
            <v>F4147</v>
          </cell>
          <cell r="D1197" t="str">
            <v>일반 Dr.</v>
          </cell>
          <cell r="E1197" t="str">
            <v>CS Dr</v>
          </cell>
        </row>
        <row r="1198">
          <cell r="B1198" t="str">
            <v>F4147</v>
          </cell>
          <cell r="D1198" t="str">
            <v>일반 Dr.</v>
          </cell>
          <cell r="E1198" t="str">
            <v>CS Dr</v>
          </cell>
        </row>
        <row r="1199">
          <cell r="B1199" t="str">
            <v>F4147</v>
          </cell>
          <cell r="D1199" t="str">
            <v>일반 Dr.</v>
          </cell>
          <cell r="E1199" t="str">
            <v>CS Dr</v>
          </cell>
        </row>
        <row r="1200">
          <cell r="B1200" t="str">
            <v>F4147</v>
          </cell>
          <cell r="D1200" t="str">
            <v>일반 Dr.</v>
          </cell>
          <cell r="E1200" t="str">
            <v>CS Dr</v>
          </cell>
        </row>
        <row r="1201">
          <cell r="B1201" t="str">
            <v>F4147</v>
          </cell>
          <cell r="D1201" t="str">
            <v>일반 Dr.</v>
          </cell>
          <cell r="E1201" t="str">
            <v>CS Dr</v>
          </cell>
        </row>
        <row r="1202">
          <cell r="B1202" t="str">
            <v>F4147</v>
          </cell>
          <cell r="D1202" t="str">
            <v>일반 Dr.</v>
          </cell>
          <cell r="E1202" t="str">
            <v>CS Dr</v>
          </cell>
        </row>
        <row r="1203">
          <cell r="B1203" t="str">
            <v>F4147</v>
          </cell>
          <cell r="D1203" t="str">
            <v>일반 Dr.</v>
          </cell>
          <cell r="E1203" t="str">
            <v>CS Dr</v>
          </cell>
        </row>
        <row r="1204">
          <cell r="B1204" t="str">
            <v>F4147</v>
          </cell>
          <cell r="D1204" t="str">
            <v>일반 Dr.</v>
          </cell>
          <cell r="E1204" t="str">
            <v>CS Dr</v>
          </cell>
        </row>
        <row r="1205">
          <cell r="B1205" t="str">
            <v>F4147</v>
          </cell>
          <cell r="D1205" t="str">
            <v>일반 Dr.</v>
          </cell>
          <cell r="E1205" t="str">
            <v>CS Dr</v>
          </cell>
        </row>
        <row r="1206">
          <cell r="B1206" t="str">
            <v>F4147</v>
          </cell>
          <cell r="D1206" t="str">
            <v>일반 Dr.</v>
          </cell>
          <cell r="E1206" t="str">
            <v>CS Dr</v>
          </cell>
        </row>
        <row r="1207">
          <cell r="B1207" t="str">
            <v>F4147</v>
          </cell>
          <cell r="D1207" t="str">
            <v>일반 Dr.</v>
          </cell>
          <cell r="E1207" t="str">
            <v>CS Dr</v>
          </cell>
        </row>
        <row r="1208">
          <cell r="B1208" t="str">
            <v>F4147</v>
          </cell>
          <cell r="D1208" t="str">
            <v>일반 Dr.</v>
          </cell>
          <cell r="E1208" t="str">
            <v>CS Dr</v>
          </cell>
        </row>
        <row r="1209">
          <cell r="B1209" t="str">
            <v>F4147</v>
          </cell>
          <cell r="D1209" t="str">
            <v>일반 Dr.</v>
          </cell>
          <cell r="E1209" t="str">
            <v>CS Dr</v>
          </cell>
        </row>
        <row r="1210">
          <cell r="B1210" t="str">
            <v>F4147</v>
          </cell>
          <cell r="D1210" t="str">
            <v>일반 Dr.</v>
          </cell>
          <cell r="E1210" t="str">
            <v>CS Dr</v>
          </cell>
        </row>
        <row r="1211">
          <cell r="B1211" t="str">
            <v>F4147</v>
          </cell>
          <cell r="D1211" t="str">
            <v>일반 Dr.</v>
          </cell>
          <cell r="E1211" t="str">
            <v>CS Dr</v>
          </cell>
        </row>
        <row r="1212">
          <cell r="B1212" t="str">
            <v>F4147</v>
          </cell>
          <cell r="D1212" t="str">
            <v>일반 Dr.</v>
          </cell>
          <cell r="E1212" t="str">
            <v>CS Dr</v>
          </cell>
        </row>
        <row r="1213">
          <cell r="B1213" t="str">
            <v>F4147</v>
          </cell>
          <cell r="D1213" t="str">
            <v>일반 Dr.</v>
          </cell>
          <cell r="E1213" t="str">
            <v>CS Dr</v>
          </cell>
        </row>
        <row r="1214">
          <cell r="B1214" t="str">
            <v>F4147</v>
          </cell>
          <cell r="D1214" t="str">
            <v>조장</v>
          </cell>
          <cell r="E1214" t="str">
            <v>CS Dr</v>
          </cell>
        </row>
        <row r="1215">
          <cell r="B1215" t="str">
            <v>F4147</v>
          </cell>
          <cell r="D1215" t="str">
            <v>일반 Dr.</v>
          </cell>
          <cell r="E1215" t="str">
            <v>CS Dr</v>
          </cell>
        </row>
        <row r="1216">
          <cell r="B1216" t="str">
            <v>F4147</v>
          </cell>
          <cell r="D1216" t="str">
            <v>일반 Dr.</v>
          </cell>
          <cell r="E1216" t="str">
            <v>CS Dr</v>
          </cell>
        </row>
        <row r="1217">
          <cell r="B1217" t="str">
            <v>F4147</v>
          </cell>
          <cell r="D1217" t="str">
            <v>일반 Dr.</v>
          </cell>
          <cell r="E1217" t="str">
            <v>CS Dr</v>
          </cell>
        </row>
        <row r="1218">
          <cell r="B1218" t="str">
            <v>F4147</v>
          </cell>
          <cell r="D1218" t="str">
            <v>조장</v>
          </cell>
          <cell r="E1218" t="str">
            <v>CS Dr</v>
          </cell>
        </row>
        <row r="1219">
          <cell r="B1219" t="str">
            <v>F4147</v>
          </cell>
          <cell r="D1219" t="str">
            <v>조장</v>
          </cell>
          <cell r="E1219" t="str">
            <v>CS Dr</v>
          </cell>
        </row>
        <row r="1220">
          <cell r="B1220" t="str">
            <v>F4147</v>
          </cell>
          <cell r="D1220" t="str">
            <v>일반 Dr.</v>
          </cell>
          <cell r="E1220" t="str">
            <v>CS Dr</v>
          </cell>
        </row>
        <row r="1221">
          <cell r="B1221" t="str">
            <v>F4147</v>
          </cell>
          <cell r="D1221" t="str">
            <v>일반 Dr.</v>
          </cell>
          <cell r="E1221" t="str">
            <v>CS Dr</v>
          </cell>
        </row>
        <row r="1222">
          <cell r="B1222" t="str">
            <v>F4147</v>
          </cell>
          <cell r="D1222" t="str">
            <v>일반 Dr.</v>
          </cell>
          <cell r="E1222" t="str">
            <v>CS Dr</v>
          </cell>
        </row>
        <row r="1223">
          <cell r="B1223" t="str">
            <v>F4147</v>
          </cell>
          <cell r="D1223" t="str">
            <v>일반 Dr.</v>
          </cell>
          <cell r="E1223" t="str">
            <v>CS Dr</v>
          </cell>
        </row>
        <row r="1224">
          <cell r="B1224" t="str">
            <v>F4147</v>
          </cell>
          <cell r="D1224" t="str">
            <v>기술사내강사</v>
          </cell>
          <cell r="E1224" t="str">
            <v>CS Dr</v>
          </cell>
        </row>
        <row r="1225">
          <cell r="B1225" t="str">
            <v>F4147</v>
          </cell>
          <cell r="D1225" t="str">
            <v>조장</v>
          </cell>
          <cell r="E1225" t="str">
            <v>CS Dr</v>
          </cell>
        </row>
        <row r="1226">
          <cell r="B1226" t="str">
            <v>F4147</v>
          </cell>
          <cell r="D1226" t="str">
            <v>조장</v>
          </cell>
          <cell r="E1226" t="str">
            <v>CS Dr</v>
          </cell>
        </row>
        <row r="1227">
          <cell r="B1227" t="str">
            <v>F4147</v>
          </cell>
          <cell r="D1227" t="str">
            <v>조장</v>
          </cell>
          <cell r="E1227" t="str">
            <v>CS Dr</v>
          </cell>
        </row>
        <row r="1228">
          <cell r="B1228" t="str">
            <v>F4147</v>
          </cell>
          <cell r="D1228" t="str">
            <v>팀장</v>
          </cell>
          <cell r="E1228" t="str">
            <v>CS Dr</v>
          </cell>
        </row>
        <row r="1229">
          <cell r="B1229" t="str">
            <v>F4147</v>
          </cell>
          <cell r="D1229" t="str">
            <v>일반 Dr.</v>
          </cell>
          <cell r="E1229" t="str">
            <v>CS Dr</v>
          </cell>
        </row>
        <row r="1230">
          <cell r="B1230" t="str">
            <v>F4147</v>
          </cell>
          <cell r="D1230" t="str">
            <v>일반 Dr.</v>
          </cell>
          <cell r="E1230" t="str">
            <v>CS Dr</v>
          </cell>
        </row>
        <row r="1231">
          <cell r="B1231" t="str">
            <v>F4147</v>
          </cell>
          <cell r="D1231" t="str">
            <v>일반 Dr.</v>
          </cell>
          <cell r="E1231" t="str">
            <v>CS Dr</v>
          </cell>
        </row>
        <row r="1232">
          <cell r="B1232" t="str">
            <v>F4147</v>
          </cell>
          <cell r="D1232" t="str">
            <v>일반 Dr.</v>
          </cell>
          <cell r="E1232" t="str">
            <v>CS Dr</v>
          </cell>
        </row>
        <row r="1233">
          <cell r="B1233" t="str">
            <v>F4147</v>
          </cell>
          <cell r="D1233" t="str">
            <v>일반 Dr.</v>
          </cell>
          <cell r="E1233" t="str">
            <v>CS Dr</v>
          </cell>
        </row>
        <row r="1234">
          <cell r="B1234" t="str">
            <v>F4147</v>
          </cell>
          <cell r="D1234" t="str">
            <v>일반 Dr.</v>
          </cell>
          <cell r="E1234" t="str">
            <v>CS Dr</v>
          </cell>
        </row>
        <row r="1235">
          <cell r="B1235" t="str">
            <v>F4147</v>
          </cell>
          <cell r="D1235" t="str">
            <v>일반 Dr.</v>
          </cell>
          <cell r="E1235" t="str">
            <v>CS Dr</v>
          </cell>
        </row>
        <row r="1236">
          <cell r="B1236" t="str">
            <v>F4147</v>
          </cell>
          <cell r="D1236" t="str">
            <v>일반 Dr.</v>
          </cell>
          <cell r="E1236" t="str">
            <v>CS Dr</v>
          </cell>
        </row>
        <row r="1237">
          <cell r="B1237" t="str">
            <v>F4147</v>
          </cell>
          <cell r="D1237" t="str">
            <v>일반 Dr.</v>
          </cell>
          <cell r="E1237" t="str">
            <v>CS Dr</v>
          </cell>
        </row>
        <row r="1238">
          <cell r="B1238" t="str">
            <v>F4147</v>
          </cell>
          <cell r="D1238" t="str">
            <v>일반 Dr.</v>
          </cell>
          <cell r="E1238" t="str">
            <v>CS Dr</v>
          </cell>
        </row>
        <row r="1239">
          <cell r="B1239" t="str">
            <v>F4147</v>
          </cell>
          <cell r="D1239" t="str">
            <v>일반 Dr.</v>
          </cell>
          <cell r="E1239" t="str">
            <v>CS Dr</v>
          </cell>
        </row>
        <row r="1240">
          <cell r="B1240" t="str">
            <v>F4147</v>
          </cell>
          <cell r="D1240" t="str">
            <v>일반 Dr.</v>
          </cell>
          <cell r="E1240" t="str">
            <v>CS Dr</v>
          </cell>
        </row>
        <row r="1241">
          <cell r="B1241" t="str">
            <v>F4147</v>
          </cell>
          <cell r="D1241" t="str">
            <v>일반 Dr.</v>
          </cell>
          <cell r="E1241" t="str">
            <v>CS Dr</v>
          </cell>
        </row>
        <row r="1242">
          <cell r="B1242" t="str">
            <v>F4136</v>
          </cell>
          <cell r="D1242" t="str">
            <v>일반 Dr.</v>
          </cell>
          <cell r="E1242" t="str">
            <v>CS Dr</v>
          </cell>
        </row>
        <row r="1243">
          <cell r="B1243" t="str">
            <v>F4136</v>
          </cell>
          <cell r="D1243" t="str">
            <v>일반 Dr.</v>
          </cell>
          <cell r="E1243" t="str">
            <v>CS Dr</v>
          </cell>
        </row>
        <row r="1244">
          <cell r="B1244" t="str">
            <v>F4136</v>
          </cell>
          <cell r="D1244" t="str">
            <v>조장</v>
          </cell>
          <cell r="E1244" t="str">
            <v>CS Dr</v>
          </cell>
        </row>
        <row r="1245">
          <cell r="B1245" t="str">
            <v>F4136</v>
          </cell>
          <cell r="D1245" t="str">
            <v>일반 Dr.</v>
          </cell>
          <cell r="E1245" t="str">
            <v>CS Dr</v>
          </cell>
        </row>
        <row r="1246">
          <cell r="B1246" t="str">
            <v>F4136</v>
          </cell>
          <cell r="D1246" t="str">
            <v>일반 Dr.</v>
          </cell>
          <cell r="E1246" t="str">
            <v>CS Dr</v>
          </cell>
        </row>
        <row r="1247">
          <cell r="B1247" t="str">
            <v>F4136</v>
          </cell>
          <cell r="D1247" t="str">
            <v>일반 Dr.</v>
          </cell>
          <cell r="E1247" t="str">
            <v>CS Dr</v>
          </cell>
        </row>
        <row r="1248">
          <cell r="B1248" t="str">
            <v>F4136</v>
          </cell>
          <cell r="D1248" t="str">
            <v>일반 Dr.</v>
          </cell>
          <cell r="E1248" t="str">
            <v>CS Dr</v>
          </cell>
        </row>
        <row r="1249">
          <cell r="B1249" t="str">
            <v>F4136</v>
          </cell>
          <cell r="D1249" t="str">
            <v>일반 Dr.</v>
          </cell>
          <cell r="E1249" t="str">
            <v>CS Dr</v>
          </cell>
        </row>
        <row r="1250">
          <cell r="B1250" t="str">
            <v>F4136</v>
          </cell>
          <cell r="D1250" t="str">
            <v>일반 Dr.</v>
          </cell>
          <cell r="E1250" t="str">
            <v>CS Dr</v>
          </cell>
        </row>
        <row r="1251">
          <cell r="B1251" t="str">
            <v>F4136</v>
          </cell>
          <cell r="D1251" t="str">
            <v>조장</v>
          </cell>
          <cell r="E1251" t="str">
            <v>CS Dr</v>
          </cell>
        </row>
        <row r="1252">
          <cell r="B1252" t="str">
            <v>F4136</v>
          </cell>
          <cell r="D1252" t="str">
            <v>조장</v>
          </cell>
          <cell r="E1252" t="str">
            <v>CS Dr</v>
          </cell>
        </row>
        <row r="1253">
          <cell r="B1253" t="str">
            <v>F4136</v>
          </cell>
          <cell r="D1253" t="str">
            <v>일반 Dr.</v>
          </cell>
          <cell r="E1253" t="str">
            <v>CS Dr</v>
          </cell>
        </row>
        <row r="1254">
          <cell r="B1254" t="str">
            <v>F4136</v>
          </cell>
          <cell r="D1254" t="str">
            <v>일반 Dr.</v>
          </cell>
          <cell r="E1254" t="str">
            <v>CS Dr</v>
          </cell>
        </row>
        <row r="1255">
          <cell r="B1255" t="str">
            <v>F4136</v>
          </cell>
          <cell r="D1255" t="str">
            <v>조장</v>
          </cell>
          <cell r="E1255" t="str">
            <v>CS Dr</v>
          </cell>
        </row>
        <row r="1256">
          <cell r="B1256" t="str">
            <v>F4136</v>
          </cell>
          <cell r="D1256" t="str">
            <v>일반 Dr.</v>
          </cell>
          <cell r="E1256" t="str">
            <v>CS Dr</v>
          </cell>
        </row>
        <row r="1257">
          <cell r="B1257" t="str">
            <v>F4136</v>
          </cell>
          <cell r="D1257" t="str">
            <v>일반 Dr.</v>
          </cell>
          <cell r="E1257" t="str">
            <v>CS Dr</v>
          </cell>
        </row>
        <row r="1258">
          <cell r="B1258" t="str">
            <v>F4136</v>
          </cell>
          <cell r="D1258" t="str">
            <v>일반 Dr.</v>
          </cell>
          <cell r="E1258" t="str">
            <v>CS Dr</v>
          </cell>
        </row>
        <row r="1259">
          <cell r="B1259" t="str">
            <v>F4136</v>
          </cell>
          <cell r="D1259" t="str">
            <v>일반 Dr.</v>
          </cell>
          <cell r="E1259" t="str">
            <v>CS Dr</v>
          </cell>
        </row>
        <row r="1260">
          <cell r="B1260" t="str">
            <v>F4136</v>
          </cell>
          <cell r="D1260" t="str">
            <v>일반 Dr.</v>
          </cell>
          <cell r="E1260" t="str">
            <v>CS Dr</v>
          </cell>
        </row>
        <row r="1261">
          <cell r="B1261" t="str">
            <v>F4136</v>
          </cell>
          <cell r="D1261" t="str">
            <v>일반 Dr.</v>
          </cell>
          <cell r="E1261" t="str">
            <v>CS Dr</v>
          </cell>
        </row>
        <row r="1262">
          <cell r="B1262" t="str">
            <v>F4136</v>
          </cell>
          <cell r="D1262" t="str">
            <v>팀장</v>
          </cell>
          <cell r="E1262" t="str">
            <v>CS Dr</v>
          </cell>
        </row>
        <row r="1263">
          <cell r="B1263" t="str">
            <v>F4136</v>
          </cell>
          <cell r="D1263" t="str">
            <v>일반 Dr.</v>
          </cell>
          <cell r="E1263" t="str">
            <v>CS Dr</v>
          </cell>
        </row>
        <row r="1264">
          <cell r="B1264" t="str">
            <v>F4136</v>
          </cell>
          <cell r="D1264" t="str">
            <v>일반 Dr.</v>
          </cell>
          <cell r="E1264" t="str">
            <v>CS Dr</v>
          </cell>
        </row>
        <row r="1265">
          <cell r="B1265" t="str">
            <v>F4136</v>
          </cell>
          <cell r="D1265" t="str">
            <v>일반 Dr.</v>
          </cell>
          <cell r="E1265" t="str">
            <v>CS Dr</v>
          </cell>
        </row>
        <row r="1266">
          <cell r="B1266" t="str">
            <v>F4136</v>
          </cell>
          <cell r="D1266" t="str">
            <v>일반 Dr.</v>
          </cell>
          <cell r="E1266" t="str">
            <v>CS Dr</v>
          </cell>
        </row>
        <row r="1267">
          <cell r="B1267" t="str">
            <v>F4136</v>
          </cell>
          <cell r="D1267" t="str">
            <v>일반 Dr.</v>
          </cell>
          <cell r="E1267" t="str">
            <v>CS Dr</v>
          </cell>
        </row>
        <row r="1268">
          <cell r="B1268" t="str">
            <v>F4136</v>
          </cell>
          <cell r="D1268" t="str">
            <v>일반 Dr.</v>
          </cell>
          <cell r="E1268" t="str">
            <v>CS Dr</v>
          </cell>
        </row>
        <row r="1269">
          <cell r="B1269" t="str">
            <v>F4136</v>
          </cell>
          <cell r="D1269" t="str">
            <v>일반 Dr.</v>
          </cell>
          <cell r="E1269" t="str">
            <v>CS Dr</v>
          </cell>
        </row>
        <row r="1270">
          <cell r="B1270" t="str">
            <v>F4017</v>
          </cell>
          <cell r="D1270" t="str">
            <v>DDL Dr.</v>
          </cell>
          <cell r="E1270" t="str">
            <v>도어락전담</v>
          </cell>
        </row>
        <row r="1271">
          <cell r="B1271" t="str">
            <v>F4136</v>
          </cell>
          <cell r="D1271" t="str">
            <v>일반 Dr.</v>
          </cell>
          <cell r="E1271" t="str">
            <v>CS Dr</v>
          </cell>
        </row>
        <row r="1272">
          <cell r="B1272" t="str">
            <v>F4136</v>
          </cell>
          <cell r="D1272" t="str">
            <v>일반 Dr.</v>
          </cell>
          <cell r="E1272" t="str">
            <v>CS Dr</v>
          </cell>
        </row>
        <row r="1273">
          <cell r="B1273" t="str">
            <v>F4136</v>
          </cell>
          <cell r="D1273" t="str">
            <v>일반 Dr.</v>
          </cell>
          <cell r="E1273" t="str">
            <v>CS Dr</v>
          </cell>
        </row>
        <row r="1274">
          <cell r="B1274" t="str">
            <v>F4136</v>
          </cell>
          <cell r="D1274" t="str">
            <v>일반 Dr.</v>
          </cell>
          <cell r="E1274" t="str">
            <v>CS Dr</v>
          </cell>
        </row>
        <row r="1275">
          <cell r="B1275" t="str">
            <v>F4136</v>
          </cell>
          <cell r="D1275" t="str">
            <v>조장</v>
          </cell>
          <cell r="E1275" t="str">
            <v>CS Dr</v>
          </cell>
        </row>
        <row r="1276">
          <cell r="B1276" t="str">
            <v>F4136</v>
          </cell>
          <cell r="D1276" t="str">
            <v>일반 Dr.</v>
          </cell>
          <cell r="E1276" t="str">
            <v>CS Dr</v>
          </cell>
        </row>
        <row r="1277">
          <cell r="B1277" t="str">
            <v>F4136</v>
          </cell>
          <cell r="D1277" t="str">
            <v>일반 Dr.</v>
          </cell>
          <cell r="E1277" t="str">
            <v>CS Dr</v>
          </cell>
        </row>
        <row r="1278">
          <cell r="B1278" t="str">
            <v>F4136</v>
          </cell>
          <cell r="D1278" t="str">
            <v>일반 Dr.</v>
          </cell>
          <cell r="E1278" t="str">
            <v>CS Dr</v>
          </cell>
        </row>
        <row r="1279">
          <cell r="B1279" t="str">
            <v>F4136</v>
          </cell>
          <cell r="D1279" t="str">
            <v>일반 Dr.</v>
          </cell>
          <cell r="E1279" t="str">
            <v>CS Dr</v>
          </cell>
        </row>
        <row r="1280">
          <cell r="B1280" t="str">
            <v>F4136</v>
          </cell>
          <cell r="D1280" t="str">
            <v>일반 Dr.</v>
          </cell>
          <cell r="E1280" t="str">
            <v>CS Dr</v>
          </cell>
        </row>
        <row r="1281">
          <cell r="B1281" t="str">
            <v>F4136</v>
          </cell>
          <cell r="D1281" t="str">
            <v>일반 Dr.</v>
          </cell>
          <cell r="E1281" t="str">
            <v>CS Dr</v>
          </cell>
        </row>
        <row r="1282">
          <cell r="B1282" t="str">
            <v>F4136</v>
          </cell>
          <cell r="D1282" t="str">
            <v>일반 Dr.</v>
          </cell>
          <cell r="E1282" t="str">
            <v>CS Dr</v>
          </cell>
        </row>
        <row r="1283">
          <cell r="B1283" t="str">
            <v>F4136</v>
          </cell>
          <cell r="D1283" t="str">
            <v>조장</v>
          </cell>
          <cell r="E1283" t="str">
            <v>CS Dr</v>
          </cell>
        </row>
        <row r="1284">
          <cell r="B1284" t="str">
            <v>F4136</v>
          </cell>
          <cell r="D1284" t="str">
            <v>일반 Dr.</v>
          </cell>
          <cell r="E1284" t="str">
            <v>CS Dr</v>
          </cell>
        </row>
        <row r="1285">
          <cell r="B1285" t="str">
            <v>F4136</v>
          </cell>
          <cell r="D1285" t="str">
            <v>팀장</v>
          </cell>
          <cell r="E1285" t="str">
            <v>CS Dr</v>
          </cell>
        </row>
        <row r="1286">
          <cell r="B1286" t="str">
            <v>F4136</v>
          </cell>
          <cell r="D1286" t="str">
            <v>일반 Dr.</v>
          </cell>
          <cell r="E1286" t="str">
            <v>CS Dr</v>
          </cell>
        </row>
        <row r="1287">
          <cell r="B1287" t="str">
            <v>F4136</v>
          </cell>
          <cell r="D1287" t="str">
            <v>조장</v>
          </cell>
          <cell r="E1287" t="str">
            <v>CS Dr</v>
          </cell>
        </row>
        <row r="1288">
          <cell r="B1288" t="str">
            <v>F4136</v>
          </cell>
          <cell r="D1288" t="str">
            <v>일반 Dr.</v>
          </cell>
          <cell r="E1288" t="str">
            <v>CS Dr</v>
          </cell>
        </row>
        <row r="1289">
          <cell r="B1289" t="str">
            <v>F4136</v>
          </cell>
          <cell r="D1289" t="str">
            <v>조장</v>
          </cell>
          <cell r="E1289" t="str">
            <v>CS Dr</v>
          </cell>
        </row>
        <row r="1290">
          <cell r="B1290" t="str">
            <v>F4136</v>
          </cell>
          <cell r="D1290" t="str">
            <v>일반 Dr.</v>
          </cell>
          <cell r="E1290" t="str">
            <v>CS Dr</v>
          </cell>
        </row>
        <row r="1291">
          <cell r="B1291" t="str">
            <v>F4136</v>
          </cell>
          <cell r="D1291" t="str">
            <v>기술사내강사</v>
          </cell>
          <cell r="E1291" t="str">
            <v>CS Dr</v>
          </cell>
        </row>
        <row r="1292">
          <cell r="B1292" t="str">
            <v>F4136</v>
          </cell>
          <cell r="D1292" t="str">
            <v>일반 Dr.</v>
          </cell>
          <cell r="E1292" t="str">
            <v>CS Dr</v>
          </cell>
        </row>
        <row r="1293">
          <cell r="B1293" t="str">
            <v>F4136</v>
          </cell>
          <cell r="D1293" t="str">
            <v>일반 Dr.</v>
          </cell>
          <cell r="E1293" t="str">
            <v>CS Dr</v>
          </cell>
        </row>
        <row r="1294">
          <cell r="B1294" t="str">
            <v>F4136</v>
          </cell>
          <cell r="D1294" t="str">
            <v>일반 Dr.</v>
          </cell>
          <cell r="E1294" t="str">
            <v>CS Dr</v>
          </cell>
        </row>
        <row r="1295">
          <cell r="B1295" t="str">
            <v>F4136</v>
          </cell>
          <cell r="D1295" t="str">
            <v>일반 Dr.</v>
          </cell>
          <cell r="E1295" t="str">
            <v>CS Dr</v>
          </cell>
        </row>
        <row r="1296">
          <cell r="B1296" t="str">
            <v>F4136</v>
          </cell>
          <cell r="D1296" t="str">
            <v>일반 Dr.</v>
          </cell>
          <cell r="E1296" t="str">
            <v>CS Dr</v>
          </cell>
        </row>
        <row r="1297">
          <cell r="B1297" t="str">
            <v>F4136</v>
          </cell>
          <cell r="D1297" t="str">
            <v>일반 Dr.</v>
          </cell>
          <cell r="E1297" t="str">
            <v>CS Dr</v>
          </cell>
        </row>
        <row r="1298">
          <cell r="B1298" t="str">
            <v>F4136</v>
          </cell>
          <cell r="D1298" t="str">
            <v>일반 Dr.</v>
          </cell>
          <cell r="E1298" t="str">
            <v>CS Dr</v>
          </cell>
        </row>
        <row r="1299">
          <cell r="B1299" t="str">
            <v>F4136</v>
          </cell>
          <cell r="D1299" t="str">
            <v>일반 Dr.</v>
          </cell>
          <cell r="E1299" t="str">
            <v>CS Dr</v>
          </cell>
        </row>
        <row r="1300">
          <cell r="B1300" t="str">
            <v>F4136</v>
          </cell>
          <cell r="D1300" t="str">
            <v>일반 Dr.</v>
          </cell>
          <cell r="E1300" t="str">
            <v>CS Dr</v>
          </cell>
        </row>
        <row r="1301">
          <cell r="B1301" t="str">
            <v>F4136</v>
          </cell>
          <cell r="D1301" t="str">
            <v>일반 Dr.</v>
          </cell>
          <cell r="E1301" t="str">
            <v>CS Dr</v>
          </cell>
        </row>
        <row r="1302">
          <cell r="B1302" t="str">
            <v>F4136</v>
          </cell>
          <cell r="D1302" t="str">
            <v>일반 Dr.</v>
          </cell>
          <cell r="E1302" t="str">
            <v>CS Dr</v>
          </cell>
        </row>
        <row r="1303">
          <cell r="B1303" t="str">
            <v>F4136</v>
          </cell>
          <cell r="D1303" t="str">
            <v>일반 Dr.</v>
          </cell>
          <cell r="E1303" t="str">
            <v>CS Dr</v>
          </cell>
        </row>
        <row r="1304">
          <cell r="B1304" t="str">
            <v>F4136</v>
          </cell>
          <cell r="D1304" t="str">
            <v>일반 Dr.</v>
          </cell>
          <cell r="E1304" t="str">
            <v>CS Dr</v>
          </cell>
        </row>
        <row r="1305">
          <cell r="B1305" t="str">
            <v>F4136</v>
          </cell>
          <cell r="D1305" t="str">
            <v>일반 Dr.</v>
          </cell>
          <cell r="E1305" t="str">
            <v>CS Dr</v>
          </cell>
        </row>
        <row r="1306">
          <cell r="B1306" t="str">
            <v>F4136</v>
          </cell>
          <cell r="D1306" t="str">
            <v>일반 Dr.</v>
          </cell>
          <cell r="E1306" t="str">
            <v>CS Dr</v>
          </cell>
        </row>
        <row r="1307">
          <cell r="B1307" t="str">
            <v>F4136</v>
          </cell>
          <cell r="D1307" t="str">
            <v>일반 Dr.</v>
          </cell>
          <cell r="E1307" t="str">
            <v>CS Dr</v>
          </cell>
        </row>
        <row r="1308">
          <cell r="B1308" t="str">
            <v>F4136</v>
          </cell>
          <cell r="D1308" t="str">
            <v>일반 Dr.</v>
          </cell>
          <cell r="E1308" t="str">
            <v>CS Dr</v>
          </cell>
        </row>
        <row r="1309">
          <cell r="B1309" t="str">
            <v>F4132</v>
          </cell>
          <cell r="D1309" t="str">
            <v>일반 Dr.</v>
          </cell>
          <cell r="E1309" t="str">
            <v>CS Dr</v>
          </cell>
        </row>
        <row r="1310">
          <cell r="B1310" t="str">
            <v>F4132</v>
          </cell>
          <cell r="D1310" t="str">
            <v>일반 Dr.</v>
          </cell>
          <cell r="E1310" t="str">
            <v>CS Dr</v>
          </cell>
        </row>
        <row r="1311">
          <cell r="B1311" t="str">
            <v>F4132</v>
          </cell>
          <cell r="D1311" t="str">
            <v>일반 Dr.</v>
          </cell>
          <cell r="E1311" t="str">
            <v>CS Dr</v>
          </cell>
        </row>
        <row r="1312">
          <cell r="B1312" t="str">
            <v>F4132</v>
          </cell>
          <cell r="D1312" t="str">
            <v>일반 Dr.</v>
          </cell>
          <cell r="E1312" t="str">
            <v>CS Dr</v>
          </cell>
        </row>
        <row r="1313">
          <cell r="B1313" t="str">
            <v>F4132</v>
          </cell>
          <cell r="D1313" t="str">
            <v>일반 Dr.</v>
          </cell>
          <cell r="E1313" t="str">
            <v>CS Dr</v>
          </cell>
        </row>
        <row r="1314">
          <cell r="B1314" t="str">
            <v>F4132</v>
          </cell>
          <cell r="D1314" t="str">
            <v>일반 Dr.</v>
          </cell>
          <cell r="E1314" t="str">
            <v>CS Dr</v>
          </cell>
        </row>
        <row r="1315">
          <cell r="B1315" t="str">
            <v>F4132</v>
          </cell>
          <cell r="D1315" t="str">
            <v>일반 Dr.</v>
          </cell>
          <cell r="E1315" t="str">
            <v>CS Dr</v>
          </cell>
        </row>
        <row r="1316">
          <cell r="B1316" t="str">
            <v>F4132</v>
          </cell>
          <cell r="D1316" t="str">
            <v>일반 Dr.</v>
          </cell>
          <cell r="E1316" t="str">
            <v>CS Dr</v>
          </cell>
        </row>
        <row r="1317">
          <cell r="B1317" t="str">
            <v>F4132</v>
          </cell>
          <cell r="D1317" t="str">
            <v>조장</v>
          </cell>
          <cell r="E1317" t="str">
            <v>CS Dr</v>
          </cell>
        </row>
        <row r="1318">
          <cell r="B1318" t="str">
            <v>F4132</v>
          </cell>
          <cell r="D1318" t="str">
            <v>조장</v>
          </cell>
          <cell r="E1318" t="str">
            <v>CS Dr</v>
          </cell>
        </row>
        <row r="1319">
          <cell r="B1319" t="str">
            <v>F4132</v>
          </cell>
          <cell r="D1319" t="str">
            <v>기술사내강사</v>
          </cell>
          <cell r="E1319" t="str">
            <v>CS Dr</v>
          </cell>
        </row>
        <row r="1320">
          <cell r="B1320" t="str">
            <v>F4132</v>
          </cell>
          <cell r="D1320" t="str">
            <v>조장</v>
          </cell>
          <cell r="E1320" t="str">
            <v>CS Dr</v>
          </cell>
        </row>
        <row r="1321">
          <cell r="B1321" t="str">
            <v>F4132</v>
          </cell>
          <cell r="D1321" t="str">
            <v>조장</v>
          </cell>
          <cell r="E1321" t="str">
            <v>CS Dr</v>
          </cell>
        </row>
        <row r="1322">
          <cell r="B1322" t="str">
            <v>F4132</v>
          </cell>
          <cell r="D1322" t="str">
            <v>일반 Dr.</v>
          </cell>
          <cell r="E1322" t="str">
            <v>CS Dr</v>
          </cell>
        </row>
        <row r="1323">
          <cell r="B1323" t="str">
            <v>F4132</v>
          </cell>
          <cell r="D1323" t="str">
            <v>일반 Dr.</v>
          </cell>
          <cell r="E1323" t="str">
            <v>CS Dr</v>
          </cell>
        </row>
        <row r="1324">
          <cell r="B1324" t="str">
            <v>F4132</v>
          </cell>
          <cell r="D1324" t="str">
            <v>팀장</v>
          </cell>
          <cell r="E1324" t="str">
            <v>CS Dr</v>
          </cell>
        </row>
        <row r="1325">
          <cell r="B1325" t="str">
            <v>F4132</v>
          </cell>
          <cell r="D1325" t="str">
            <v>조장</v>
          </cell>
          <cell r="E1325" t="str">
            <v>CS Dr</v>
          </cell>
        </row>
        <row r="1326">
          <cell r="B1326" t="str">
            <v>F4132</v>
          </cell>
          <cell r="D1326" t="str">
            <v>조장</v>
          </cell>
          <cell r="E1326" t="str">
            <v>CS Dr</v>
          </cell>
        </row>
        <row r="1327">
          <cell r="B1327" t="str">
            <v>F4132</v>
          </cell>
          <cell r="D1327" t="str">
            <v>일반 Dr.</v>
          </cell>
          <cell r="E1327" t="str">
            <v>CS Dr</v>
          </cell>
        </row>
        <row r="1328">
          <cell r="B1328" t="str">
            <v>F4132</v>
          </cell>
          <cell r="D1328" t="str">
            <v>일반 Dr.</v>
          </cell>
          <cell r="E1328" t="str">
            <v>CS Dr</v>
          </cell>
        </row>
        <row r="1329">
          <cell r="B1329" t="str">
            <v>F4132</v>
          </cell>
          <cell r="D1329" t="str">
            <v>일반 Dr.</v>
          </cell>
          <cell r="E1329" t="str">
            <v>CS Dr</v>
          </cell>
        </row>
        <row r="1330">
          <cell r="B1330" t="str">
            <v>F4132</v>
          </cell>
          <cell r="D1330" t="str">
            <v>일반 Dr.</v>
          </cell>
          <cell r="E1330" t="str">
            <v>CS Dr</v>
          </cell>
        </row>
        <row r="1331">
          <cell r="B1331" t="str">
            <v>F4132</v>
          </cell>
          <cell r="D1331" t="str">
            <v>일반 Dr.</v>
          </cell>
          <cell r="E1331" t="str">
            <v>CS Dr</v>
          </cell>
        </row>
        <row r="1332">
          <cell r="B1332" t="str">
            <v>F4132</v>
          </cell>
          <cell r="D1332" t="str">
            <v>일반 Dr.</v>
          </cell>
          <cell r="E1332" t="str">
            <v>CS Dr</v>
          </cell>
        </row>
        <row r="1333">
          <cell r="B1333" t="str">
            <v>F4016</v>
          </cell>
          <cell r="D1333" t="str">
            <v>DDL Master</v>
          </cell>
          <cell r="E1333" t="str">
            <v>도어락전담</v>
          </cell>
        </row>
        <row r="1334">
          <cell r="B1334" t="str">
            <v>F4016</v>
          </cell>
          <cell r="D1334" t="str">
            <v>DDL Dr.</v>
          </cell>
          <cell r="E1334" t="str">
            <v>도어락전담</v>
          </cell>
        </row>
        <row r="1335">
          <cell r="B1335" t="str">
            <v>F4132</v>
          </cell>
          <cell r="D1335" t="str">
            <v>일반 Dr.</v>
          </cell>
          <cell r="E1335" t="str">
            <v>CS Dr</v>
          </cell>
        </row>
        <row r="1336">
          <cell r="B1336" t="str">
            <v>F4132</v>
          </cell>
          <cell r="D1336" t="str">
            <v>일반 Dr.</v>
          </cell>
          <cell r="E1336" t="str">
            <v>CS Dr</v>
          </cell>
        </row>
        <row r="1337">
          <cell r="B1337" t="str">
            <v>F4132</v>
          </cell>
          <cell r="D1337" t="str">
            <v>일반 Dr.</v>
          </cell>
          <cell r="E1337" t="str">
            <v>CS Dr</v>
          </cell>
        </row>
        <row r="1338">
          <cell r="B1338" t="str">
            <v>F4132</v>
          </cell>
          <cell r="D1338" t="str">
            <v>일반 Dr.</v>
          </cell>
          <cell r="E1338" t="str">
            <v>CS Dr</v>
          </cell>
        </row>
        <row r="1339">
          <cell r="B1339" t="str">
            <v>F4132</v>
          </cell>
          <cell r="D1339" t="str">
            <v>일반 Dr.</v>
          </cell>
          <cell r="E1339" t="str">
            <v>CS Dr</v>
          </cell>
        </row>
        <row r="1340">
          <cell r="B1340" t="str">
            <v>F4132</v>
          </cell>
          <cell r="D1340" t="str">
            <v>일반 Dr.</v>
          </cell>
          <cell r="E1340" t="str">
            <v>CS Dr</v>
          </cell>
        </row>
        <row r="1341">
          <cell r="B1341" t="str">
            <v>F4132</v>
          </cell>
          <cell r="D1341" t="str">
            <v>일반 Dr.</v>
          </cell>
          <cell r="E1341" t="str">
            <v>CS Dr</v>
          </cell>
        </row>
        <row r="1342">
          <cell r="B1342" t="str">
            <v>F4132</v>
          </cell>
          <cell r="D1342" t="str">
            <v>일반 Dr.</v>
          </cell>
          <cell r="E1342" t="str">
            <v>CS Dr</v>
          </cell>
        </row>
        <row r="1343">
          <cell r="B1343" t="str">
            <v>F4132</v>
          </cell>
          <cell r="D1343" t="str">
            <v>일반 Dr.</v>
          </cell>
          <cell r="E1343" t="str">
            <v>CS Dr</v>
          </cell>
        </row>
        <row r="1344">
          <cell r="B1344" t="str">
            <v>F4132</v>
          </cell>
          <cell r="D1344" t="str">
            <v>일반 Dr.</v>
          </cell>
          <cell r="E1344" t="str">
            <v>CS Dr</v>
          </cell>
        </row>
        <row r="1345">
          <cell r="B1345" t="str">
            <v>F4132</v>
          </cell>
          <cell r="D1345" t="str">
            <v>일반 Dr.</v>
          </cell>
          <cell r="E1345" t="str">
            <v>CS Dr</v>
          </cell>
        </row>
        <row r="1346">
          <cell r="B1346" t="str">
            <v>F4132</v>
          </cell>
          <cell r="D1346" t="str">
            <v>일반 Dr.</v>
          </cell>
          <cell r="E1346" t="str">
            <v>CS Dr</v>
          </cell>
        </row>
        <row r="1347">
          <cell r="B1347" t="str">
            <v>F4132</v>
          </cell>
          <cell r="D1347" t="str">
            <v>일반 Dr.</v>
          </cell>
          <cell r="E1347" t="str">
            <v>CS Dr</v>
          </cell>
        </row>
        <row r="1348">
          <cell r="B1348" t="str">
            <v>F4132</v>
          </cell>
          <cell r="D1348" t="str">
            <v>일반 Dr.</v>
          </cell>
          <cell r="E1348" t="str">
            <v>CS Dr</v>
          </cell>
        </row>
        <row r="1349">
          <cell r="B1349" t="str">
            <v>F4132</v>
          </cell>
          <cell r="D1349" t="str">
            <v>일반 Dr.</v>
          </cell>
          <cell r="E1349" t="str">
            <v>CS Dr</v>
          </cell>
        </row>
        <row r="1350">
          <cell r="B1350" t="str">
            <v>F4132</v>
          </cell>
          <cell r="D1350" t="str">
            <v>일반 Dr.</v>
          </cell>
          <cell r="E1350" t="str">
            <v>CS Dr</v>
          </cell>
        </row>
        <row r="1351">
          <cell r="B1351" t="str">
            <v>F4132</v>
          </cell>
          <cell r="D1351" t="str">
            <v>일반 Dr.</v>
          </cell>
          <cell r="E1351" t="str">
            <v>CS Dr</v>
          </cell>
        </row>
        <row r="1352">
          <cell r="B1352" t="str">
            <v>F4132</v>
          </cell>
          <cell r="D1352" t="str">
            <v>일반 Dr.</v>
          </cell>
          <cell r="E1352" t="str">
            <v>CS Dr</v>
          </cell>
        </row>
        <row r="1353">
          <cell r="B1353" t="str">
            <v>F4132</v>
          </cell>
          <cell r="D1353" t="str">
            <v>일반 Dr.</v>
          </cell>
          <cell r="E1353" t="str">
            <v>CS Dr</v>
          </cell>
        </row>
        <row r="1354">
          <cell r="B1354" t="str">
            <v>F4132</v>
          </cell>
          <cell r="D1354" t="str">
            <v>기술사내강사</v>
          </cell>
          <cell r="E1354" t="str">
            <v>CS Dr</v>
          </cell>
        </row>
        <row r="1355">
          <cell r="B1355" t="str">
            <v>F4132</v>
          </cell>
          <cell r="D1355" t="str">
            <v>일반 Dr.</v>
          </cell>
          <cell r="E1355" t="str">
            <v>CS Dr</v>
          </cell>
        </row>
        <row r="1356">
          <cell r="B1356" t="str">
            <v>F4132</v>
          </cell>
          <cell r="D1356" t="str">
            <v>일반 Dr.</v>
          </cell>
          <cell r="E1356" t="str">
            <v>CS Dr</v>
          </cell>
        </row>
        <row r="1357">
          <cell r="B1357" t="str">
            <v>F4132</v>
          </cell>
          <cell r="D1357" t="str">
            <v>일반 Dr.</v>
          </cell>
          <cell r="E1357" t="str">
            <v>CS Dr</v>
          </cell>
        </row>
        <row r="1358">
          <cell r="B1358" t="str">
            <v>F4132</v>
          </cell>
          <cell r="D1358" t="str">
            <v>일반 Dr.</v>
          </cell>
          <cell r="E1358" t="str">
            <v>CS Dr</v>
          </cell>
        </row>
        <row r="1359">
          <cell r="B1359" t="str">
            <v>F4132</v>
          </cell>
          <cell r="D1359" t="str">
            <v>일반 Dr.</v>
          </cell>
          <cell r="E1359" t="str">
            <v>CS Dr</v>
          </cell>
        </row>
        <row r="1360">
          <cell r="B1360" t="str">
            <v>F4132</v>
          </cell>
          <cell r="D1360" t="str">
            <v>일반 Dr.</v>
          </cell>
          <cell r="E1360" t="str">
            <v>CS Dr</v>
          </cell>
        </row>
        <row r="1361">
          <cell r="B1361" t="str">
            <v>F4132</v>
          </cell>
          <cell r="D1361" t="str">
            <v>조장</v>
          </cell>
          <cell r="E1361" t="str">
            <v>CS Dr</v>
          </cell>
        </row>
        <row r="1362">
          <cell r="B1362" t="str">
            <v>F4132</v>
          </cell>
          <cell r="D1362" t="str">
            <v>조장</v>
          </cell>
          <cell r="E1362" t="str">
            <v>CS Dr</v>
          </cell>
        </row>
        <row r="1363">
          <cell r="B1363" t="str">
            <v>F4132</v>
          </cell>
          <cell r="D1363" t="str">
            <v>조장</v>
          </cell>
          <cell r="E1363" t="str">
            <v>CS Dr</v>
          </cell>
        </row>
        <row r="1364">
          <cell r="B1364" t="str">
            <v>F4132</v>
          </cell>
          <cell r="D1364" t="str">
            <v>일반 Dr.</v>
          </cell>
          <cell r="E1364" t="str">
            <v>CS Dr</v>
          </cell>
        </row>
        <row r="1365">
          <cell r="B1365" t="str">
            <v>F4132</v>
          </cell>
          <cell r="D1365" t="str">
            <v>조장</v>
          </cell>
          <cell r="E1365" t="str">
            <v>CS Dr</v>
          </cell>
        </row>
        <row r="1366">
          <cell r="B1366" t="str">
            <v>F4132</v>
          </cell>
          <cell r="D1366" t="str">
            <v>일반 Dr.</v>
          </cell>
          <cell r="E1366" t="str">
            <v>CS Dr</v>
          </cell>
        </row>
        <row r="1367">
          <cell r="B1367" t="str">
            <v>F4132</v>
          </cell>
          <cell r="D1367" t="str">
            <v>일반 Dr.</v>
          </cell>
          <cell r="E1367" t="str">
            <v>CS Dr</v>
          </cell>
        </row>
        <row r="1368">
          <cell r="B1368" t="str">
            <v>F4132</v>
          </cell>
          <cell r="D1368" t="str">
            <v>일반 Dr.</v>
          </cell>
          <cell r="E1368" t="str">
            <v>CS Dr</v>
          </cell>
        </row>
        <row r="1369">
          <cell r="B1369" t="str">
            <v>F4132</v>
          </cell>
          <cell r="D1369" t="str">
            <v>일반 Dr.</v>
          </cell>
          <cell r="E1369" t="str">
            <v>CS Dr</v>
          </cell>
        </row>
        <row r="1370">
          <cell r="B1370" t="str">
            <v>F4132</v>
          </cell>
          <cell r="D1370" t="str">
            <v>조장</v>
          </cell>
          <cell r="E1370" t="str">
            <v>CS Dr</v>
          </cell>
        </row>
        <row r="1371">
          <cell r="B1371" t="str">
            <v>F4132</v>
          </cell>
          <cell r="D1371" t="str">
            <v>일반 Dr.</v>
          </cell>
          <cell r="E1371" t="str">
            <v>CS Dr</v>
          </cell>
        </row>
        <row r="1372">
          <cell r="B1372" t="str">
            <v>F4132</v>
          </cell>
          <cell r="D1372" t="str">
            <v>일반 Dr.</v>
          </cell>
          <cell r="E1372" t="str">
            <v>CS Dr</v>
          </cell>
        </row>
        <row r="1373">
          <cell r="B1373" t="str">
            <v>F4132</v>
          </cell>
          <cell r="D1373" t="str">
            <v>일반 Dr.</v>
          </cell>
          <cell r="E1373" t="str">
            <v>CS Dr</v>
          </cell>
        </row>
        <row r="1374">
          <cell r="B1374" t="str">
            <v>F4132</v>
          </cell>
          <cell r="D1374" t="str">
            <v>일반 Dr.</v>
          </cell>
          <cell r="E1374" t="str">
            <v>CS Dr</v>
          </cell>
        </row>
        <row r="1375">
          <cell r="B1375" t="str">
            <v>F4132</v>
          </cell>
          <cell r="D1375" t="str">
            <v>일반 Dr.</v>
          </cell>
          <cell r="E1375" t="str">
            <v>CS Dr</v>
          </cell>
        </row>
        <row r="1376">
          <cell r="B1376" t="str">
            <v>F4132</v>
          </cell>
          <cell r="D1376" t="str">
            <v>일반 Dr.</v>
          </cell>
          <cell r="E1376" t="str">
            <v>CS Dr</v>
          </cell>
        </row>
        <row r="1377">
          <cell r="B1377" t="str">
            <v>F4132</v>
          </cell>
          <cell r="D1377" t="str">
            <v>조장</v>
          </cell>
          <cell r="E1377" t="str">
            <v>CS Dr</v>
          </cell>
        </row>
        <row r="1378">
          <cell r="B1378" t="str">
            <v>F4132</v>
          </cell>
          <cell r="D1378" t="str">
            <v>일반 Dr.</v>
          </cell>
          <cell r="E1378" t="str">
            <v>CS Dr</v>
          </cell>
        </row>
        <row r="1379">
          <cell r="B1379" t="str">
            <v>F4132</v>
          </cell>
          <cell r="D1379" t="str">
            <v>팀장</v>
          </cell>
          <cell r="E1379" t="str">
            <v>CS Dr</v>
          </cell>
        </row>
        <row r="1380">
          <cell r="B1380" t="str">
            <v>F4132</v>
          </cell>
          <cell r="D1380" t="str">
            <v>일반 Dr.</v>
          </cell>
          <cell r="E1380" t="str">
            <v>CS Dr</v>
          </cell>
        </row>
        <row r="1381">
          <cell r="B1381" t="str">
            <v>F4132</v>
          </cell>
          <cell r="D1381" t="str">
            <v>일반 Dr.</v>
          </cell>
          <cell r="E1381" t="str">
            <v>CS Dr</v>
          </cell>
        </row>
        <row r="1382">
          <cell r="B1382" t="str">
            <v>F4132</v>
          </cell>
          <cell r="D1382" t="str">
            <v>일반 Dr.</v>
          </cell>
          <cell r="E1382" t="str">
            <v>CS Dr</v>
          </cell>
        </row>
        <row r="1383">
          <cell r="B1383" t="str">
            <v>F4132</v>
          </cell>
          <cell r="D1383" t="str">
            <v>일반 Dr.</v>
          </cell>
          <cell r="E1383" t="str">
            <v>CS Dr</v>
          </cell>
        </row>
        <row r="1384">
          <cell r="B1384" t="str">
            <v>F4132</v>
          </cell>
          <cell r="D1384" t="str">
            <v>일반 Dr.</v>
          </cell>
          <cell r="E1384" t="str">
            <v>CS Dr</v>
          </cell>
        </row>
        <row r="1385">
          <cell r="B1385" t="str">
            <v>F4132</v>
          </cell>
          <cell r="D1385" t="str">
            <v>일반 Dr.</v>
          </cell>
          <cell r="E1385" t="str">
            <v>CS Dr</v>
          </cell>
        </row>
        <row r="1386">
          <cell r="B1386" t="str">
            <v>F4132</v>
          </cell>
          <cell r="D1386" t="str">
            <v>일반 Dr.</v>
          </cell>
          <cell r="E1386" t="str">
            <v>CS Dr</v>
          </cell>
        </row>
        <row r="1387">
          <cell r="B1387" t="str">
            <v>F4132</v>
          </cell>
          <cell r="D1387" t="str">
            <v>일반 Dr.</v>
          </cell>
          <cell r="E1387" t="str">
            <v>CS Dr</v>
          </cell>
        </row>
        <row r="1388">
          <cell r="B1388" t="str">
            <v>F4132</v>
          </cell>
          <cell r="D1388" t="str">
            <v>일반 Dr.</v>
          </cell>
          <cell r="E1388" t="str">
            <v>CS Dr</v>
          </cell>
        </row>
        <row r="1389">
          <cell r="B1389" t="str">
            <v>F4132</v>
          </cell>
          <cell r="D1389" t="str">
            <v>일반 Dr.</v>
          </cell>
          <cell r="E1389" t="str">
            <v>CS Dr</v>
          </cell>
        </row>
        <row r="1390">
          <cell r="B1390" t="str">
            <v>F4132</v>
          </cell>
          <cell r="D1390" t="str">
            <v>일반 Dr.</v>
          </cell>
          <cell r="E1390" t="str">
            <v>CS Dr</v>
          </cell>
        </row>
        <row r="1391">
          <cell r="B1391" t="str">
            <v>F4158</v>
          </cell>
          <cell r="D1391" t="str">
            <v>일반 Dr.</v>
          </cell>
          <cell r="E1391" t="str">
            <v>CS Dr</v>
          </cell>
        </row>
        <row r="1392">
          <cell r="B1392" t="str">
            <v>F4158</v>
          </cell>
          <cell r="D1392" t="str">
            <v>조장</v>
          </cell>
          <cell r="E1392" t="str">
            <v>CS Dr</v>
          </cell>
        </row>
        <row r="1393">
          <cell r="B1393" t="str">
            <v>F4158</v>
          </cell>
          <cell r="D1393" t="str">
            <v>조장</v>
          </cell>
          <cell r="E1393" t="str">
            <v>CS Dr</v>
          </cell>
        </row>
        <row r="1394">
          <cell r="B1394" t="str">
            <v>F4158</v>
          </cell>
          <cell r="D1394" t="str">
            <v>팀장</v>
          </cell>
          <cell r="E1394" t="str">
            <v>CS Dr</v>
          </cell>
        </row>
        <row r="1395">
          <cell r="B1395" t="str">
            <v>F4158</v>
          </cell>
          <cell r="D1395" t="str">
            <v>일반 Dr.</v>
          </cell>
          <cell r="E1395" t="str">
            <v>CS Dr</v>
          </cell>
        </row>
        <row r="1396">
          <cell r="B1396" t="str">
            <v>F4158</v>
          </cell>
          <cell r="D1396" t="str">
            <v>조장</v>
          </cell>
          <cell r="E1396" t="str">
            <v>CS Dr</v>
          </cell>
        </row>
        <row r="1397">
          <cell r="B1397" t="str">
            <v>F4158</v>
          </cell>
          <cell r="D1397" t="str">
            <v>일반 Dr.</v>
          </cell>
          <cell r="E1397" t="str">
            <v>CS Dr</v>
          </cell>
        </row>
        <row r="1398">
          <cell r="B1398" t="str">
            <v>F4158</v>
          </cell>
          <cell r="D1398" t="str">
            <v>조장</v>
          </cell>
          <cell r="E1398" t="str">
            <v>CS Dr</v>
          </cell>
        </row>
        <row r="1399">
          <cell r="B1399" t="str">
            <v>F4158</v>
          </cell>
          <cell r="D1399" t="str">
            <v>기술사내강사</v>
          </cell>
          <cell r="E1399" t="str">
            <v>CS Dr</v>
          </cell>
        </row>
        <row r="1400">
          <cell r="B1400" t="str">
            <v>F4158</v>
          </cell>
          <cell r="D1400" t="str">
            <v>일반 Dr.</v>
          </cell>
          <cell r="E1400" t="str">
            <v>CS Dr</v>
          </cell>
        </row>
        <row r="1401">
          <cell r="B1401" t="str">
            <v>F4158</v>
          </cell>
          <cell r="D1401" t="str">
            <v>일반 Dr.</v>
          </cell>
          <cell r="E1401" t="str">
            <v>CS Dr</v>
          </cell>
        </row>
        <row r="1402">
          <cell r="B1402" t="str">
            <v>F4158</v>
          </cell>
          <cell r="D1402" t="str">
            <v>일반 Dr.</v>
          </cell>
          <cell r="E1402" t="str">
            <v>CS Dr</v>
          </cell>
        </row>
        <row r="1403">
          <cell r="B1403" t="str">
            <v>F4158</v>
          </cell>
          <cell r="D1403" t="str">
            <v>일반 Dr.</v>
          </cell>
          <cell r="E1403" t="str">
            <v>CS Dr</v>
          </cell>
        </row>
        <row r="1404">
          <cell r="B1404" t="str">
            <v>F4158</v>
          </cell>
          <cell r="D1404" t="str">
            <v>일반 Dr.</v>
          </cell>
          <cell r="E1404" t="str">
            <v>CS Dr</v>
          </cell>
        </row>
        <row r="1405">
          <cell r="B1405" t="str">
            <v>F4158</v>
          </cell>
          <cell r="D1405" t="str">
            <v>일반 Dr.</v>
          </cell>
          <cell r="E1405" t="str">
            <v>CS Dr</v>
          </cell>
        </row>
        <row r="1406">
          <cell r="B1406" t="str">
            <v>F4158</v>
          </cell>
          <cell r="D1406" t="str">
            <v>일반 Dr.</v>
          </cell>
          <cell r="E1406" t="str">
            <v>CS Dr</v>
          </cell>
        </row>
        <row r="1407">
          <cell r="B1407" t="str">
            <v>F4158</v>
          </cell>
          <cell r="D1407" t="str">
            <v>일반 Dr.</v>
          </cell>
          <cell r="E1407" t="str">
            <v>CS Dr</v>
          </cell>
        </row>
        <row r="1408">
          <cell r="B1408" t="str">
            <v>F4158</v>
          </cell>
          <cell r="D1408" t="str">
            <v>일반 Dr.</v>
          </cell>
          <cell r="E1408" t="str">
            <v>CS Dr</v>
          </cell>
        </row>
        <row r="1409">
          <cell r="B1409" t="str">
            <v>F4158</v>
          </cell>
          <cell r="D1409" t="str">
            <v>일반 Dr.</v>
          </cell>
          <cell r="E1409" t="str">
            <v>CS Dr</v>
          </cell>
        </row>
        <row r="1410">
          <cell r="B1410" t="str">
            <v>F4158</v>
          </cell>
          <cell r="D1410" t="str">
            <v>일반 Dr.</v>
          </cell>
          <cell r="E1410" t="str">
            <v>CS Dr</v>
          </cell>
        </row>
        <row r="1411">
          <cell r="B1411" t="str">
            <v>F4158</v>
          </cell>
          <cell r="D1411" t="str">
            <v>일반 Dr.</v>
          </cell>
          <cell r="E1411" t="str">
            <v>CS Dr</v>
          </cell>
        </row>
        <row r="1412">
          <cell r="B1412" t="str">
            <v>F4158</v>
          </cell>
          <cell r="D1412" t="str">
            <v>일반 Dr.</v>
          </cell>
          <cell r="E1412" t="str">
            <v>CS Dr</v>
          </cell>
        </row>
        <row r="1413">
          <cell r="B1413" t="str">
            <v>F4158</v>
          </cell>
          <cell r="D1413" t="str">
            <v>일반 Dr.</v>
          </cell>
          <cell r="E1413" t="str">
            <v>CS Dr</v>
          </cell>
        </row>
        <row r="1414">
          <cell r="B1414" t="str">
            <v>F4158</v>
          </cell>
          <cell r="D1414" t="str">
            <v>일반 Dr.</v>
          </cell>
          <cell r="E1414" t="str">
            <v>CS Dr</v>
          </cell>
        </row>
        <row r="1415">
          <cell r="B1415" t="str">
            <v>F4158</v>
          </cell>
          <cell r="D1415" t="str">
            <v>일반 Dr.</v>
          </cell>
          <cell r="E1415" t="str">
            <v>CS Dr</v>
          </cell>
        </row>
        <row r="1416">
          <cell r="B1416" t="str">
            <v>F4158</v>
          </cell>
          <cell r="D1416" t="str">
            <v>일반 Dr.</v>
          </cell>
          <cell r="E1416" t="str">
            <v>CS Dr</v>
          </cell>
        </row>
        <row r="1417">
          <cell r="B1417" t="str">
            <v>F4158</v>
          </cell>
          <cell r="D1417" t="str">
            <v>일반 Dr.</v>
          </cell>
          <cell r="E1417" t="str">
            <v>CS Dr</v>
          </cell>
        </row>
        <row r="1418">
          <cell r="B1418" t="str">
            <v>F4158</v>
          </cell>
          <cell r="D1418" t="str">
            <v>일반 Dr.</v>
          </cell>
          <cell r="E1418" t="str">
            <v>CS Dr</v>
          </cell>
        </row>
        <row r="1419">
          <cell r="B1419" t="str">
            <v>F4158</v>
          </cell>
          <cell r="D1419" t="str">
            <v>일반 Dr.</v>
          </cell>
          <cell r="E1419" t="str">
            <v>CS Dr</v>
          </cell>
        </row>
        <row r="1420">
          <cell r="B1420" t="str">
            <v>F4158</v>
          </cell>
          <cell r="D1420" t="str">
            <v>일반 Dr.</v>
          </cell>
          <cell r="E1420" t="str">
            <v>CS Dr</v>
          </cell>
        </row>
        <row r="1421">
          <cell r="B1421" t="str">
            <v>F4158</v>
          </cell>
          <cell r="D1421" t="str">
            <v>일반 Dr.</v>
          </cell>
          <cell r="E1421" t="str">
            <v>CS Dr</v>
          </cell>
        </row>
        <row r="1422">
          <cell r="B1422" t="str">
            <v>F4158</v>
          </cell>
          <cell r="D1422" t="str">
            <v>일반 Dr.</v>
          </cell>
          <cell r="E1422" t="str">
            <v>CS Dr</v>
          </cell>
        </row>
        <row r="1423">
          <cell r="B1423" t="str">
            <v>F4158</v>
          </cell>
          <cell r="D1423" t="str">
            <v>일반 Dr.</v>
          </cell>
          <cell r="E1423" t="str">
            <v>CS Dr</v>
          </cell>
        </row>
        <row r="1424">
          <cell r="B1424" t="str">
            <v>F4158</v>
          </cell>
          <cell r="D1424" t="str">
            <v>조장</v>
          </cell>
          <cell r="E1424" t="str">
            <v>CS Dr</v>
          </cell>
        </row>
        <row r="1425">
          <cell r="B1425" t="str">
            <v>F4158</v>
          </cell>
          <cell r="D1425" t="str">
            <v>일반 Dr.</v>
          </cell>
          <cell r="E1425" t="str">
            <v>CS Dr</v>
          </cell>
        </row>
        <row r="1426">
          <cell r="B1426" t="str">
            <v>F4158</v>
          </cell>
          <cell r="D1426" t="str">
            <v>일반 Dr.</v>
          </cell>
          <cell r="E1426" t="str">
            <v>CS Dr</v>
          </cell>
        </row>
        <row r="1427">
          <cell r="B1427" t="str">
            <v>F4158</v>
          </cell>
          <cell r="D1427" t="str">
            <v>팀장</v>
          </cell>
          <cell r="E1427" t="str">
            <v>CS Dr</v>
          </cell>
        </row>
        <row r="1428">
          <cell r="B1428" t="str">
            <v>F4158</v>
          </cell>
          <cell r="D1428" t="str">
            <v>조장</v>
          </cell>
          <cell r="E1428" t="str">
            <v>CS Dr</v>
          </cell>
        </row>
        <row r="1429">
          <cell r="B1429" t="str">
            <v>F4158</v>
          </cell>
          <cell r="D1429" t="str">
            <v>조장</v>
          </cell>
          <cell r="E1429" t="str">
            <v>CS Dr</v>
          </cell>
        </row>
        <row r="1430">
          <cell r="B1430" t="str">
            <v>F4158</v>
          </cell>
          <cell r="D1430" t="str">
            <v>조장</v>
          </cell>
          <cell r="E1430" t="str">
            <v>CS Dr</v>
          </cell>
        </row>
        <row r="1431">
          <cell r="B1431" t="str">
            <v>F4158</v>
          </cell>
          <cell r="D1431" t="str">
            <v>일반 Dr.</v>
          </cell>
          <cell r="E1431" t="str">
            <v>CS Dr</v>
          </cell>
        </row>
        <row r="1432">
          <cell r="B1432" t="str">
            <v>F4158</v>
          </cell>
          <cell r="D1432" t="str">
            <v>일반 Dr.</v>
          </cell>
          <cell r="E1432" t="str">
            <v>CS Dr</v>
          </cell>
        </row>
        <row r="1433">
          <cell r="B1433" t="str">
            <v>F4158</v>
          </cell>
          <cell r="D1433" t="str">
            <v>조장</v>
          </cell>
          <cell r="E1433" t="str">
            <v>CS Dr</v>
          </cell>
        </row>
        <row r="1434">
          <cell r="B1434" t="str">
            <v>F4158</v>
          </cell>
          <cell r="D1434" t="str">
            <v>일반 Dr.</v>
          </cell>
          <cell r="E1434" t="str">
            <v>CS Dr</v>
          </cell>
        </row>
        <row r="1435">
          <cell r="B1435" t="str">
            <v>F4158</v>
          </cell>
          <cell r="D1435" t="str">
            <v>일반 Dr.</v>
          </cell>
          <cell r="E1435" t="str">
            <v>CS Dr</v>
          </cell>
        </row>
        <row r="1436">
          <cell r="B1436" t="str">
            <v>F4158</v>
          </cell>
          <cell r="D1436" t="str">
            <v>일반 Dr.</v>
          </cell>
          <cell r="E1436" t="str">
            <v>CS Dr</v>
          </cell>
        </row>
        <row r="1437">
          <cell r="B1437" t="str">
            <v>F4158</v>
          </cell>
          <cell r="D1437" t="str">
            <v>일반 Dr.</v>
          </cell>
          <cell r="E1437" t="str">
            <v>CS Dr</v>
          </cell>
        </row>
        <row r="1438">
          <cell r="B1438" t="str">
            <v>F4158</v>
          </cell>
          <cell r="D1438" t="str">
            <v>일반 Dr.</v>
          </cell>
          <cell r="E1438" t="str">
            <v>CS Dr</v>
          </cell>
        </row>
        <row r="1439">
          <cell r="B1439" t="str">
            <v>F4158</v>
          </cell>
          <cell r="D1439" t="str">
            <v>일반 Dr.</v>
          </cell>
          <cell r="E1439" t="str">
            <v>CS Dr</v>
          </cell>
        </row>
        <row r="1440">
          <cell r="B1440" t="str">
            <v>F4158</v>
          </cell>
          <cell r="D1440" t="str">
            <v>일반 Dr.</v>
          </cell>
          <cell r="E1440" t="str">
            <v>CS Dr</v>
          </cell>
        </row>
        <row r="1441">
          <cell r="B1441" t="str">
            <v>F4020</v>
          </cell>
          <cell r="D1441" t="str">
            <v>DDL Dr.</v>
          </cell>
          <cell r="E1441" t="str">
            <v>도어락전담</v>
          </cell>
        </row>
        <row r="1442">
          <cell r="B1442" t="str">
            <v>F4158</v>
          </cell>
          <cell r="D1442" t="str">
            <v>일반 Dr.</v>
          </cell>
          <cell r="E1442" t="str">
            <v>CS Dr</v>
          </cell>
        </row>
        <row r="1443">
          <cell r="B1443" t="str">
            <v>F4158</v>
          </cell>
          <cell r="D1443" t="str">
            <v>일반 Dr.</v>
          </cell>
          <cell r="E1443" t="str">
            <v>CS Dr</v>
          </cell>
        </row>
        <row r="1444">
          <cell r="B1444" t="str">
            <v>F4158</v>
          </cell>
          <cell r="D1444" t="str">
            <v>일반 Dr.</v>
          </cell>
          <cell r="E1444" t="str">
            <v>CS Dr</v>
          </cell>
        </row>
        <row r="1445">
          <cell r="B1445" t="str">
            <v>F4158</v>
          </cell>
          <cell r="D1445" t="str">
            <v>일반 Dr.</v>
          </cell>
          <cell r="E1445" t="str">
            <v>CS Dr</v>
          </cell>
        </row>
        <row r="1446">
          <cell r="B1446" t="str">
            <v>F4110</v>
          </cell>
          <cell r="D1446" t="str">
            <v>일반 Dr.</v>
          </cell>
          <cell r="E1446" t="str">
            <v>CS Dr</v>
          </cell>
        </row>
        <row r="1447">
          <cell r="B1447" t="str">
            <v>F4110</v>
          </cell>
          <cell r="D1447" t="str">
            <v>일반 Dr.</v>
          </cell>
          <cell r="E1447" t="str">
            <v>CS Dr</v>
          </cell>
        </row>
        <row r="1448">
          <cell r="B1448" t="str">
            <v>F4110</v>
          </cell>
          <cell r="D1448" t="str">
            <v>조장</v>
          </cell>
          <cell r="E1448" t="str">
            <v>CS Dr</v>
          </cell>
        </row>
        <row r="1449">
          <cell r="B1449" t="str">
            <v>F4110</v>
          </cell>
          <cell r="D1449" t="str">
            <v>조장</v>
          </cell>
          <cell r="E1449" t="str">
            <v>CS Dr</v>
          </cell>
        </row>
        <row r="1450">
          <cell r="B1450" t="str">
            <v>F4110</v>
          </cell>
          <cell r="D1450" t="str">
            <v>일반 Dr.</v>
          </cell>
          <cell r="E1450" t="str">
            <v>CS Dr</v>
          </cell>
        </row>
        <row r="1451">
          <cell r="B1451" t="str">
            <v>F4110</v>
          </cell>
          <cell r="D1451" t="str">
            <v>조장</v>
          </cell>
          <cell r="E1451" t="str">
            <v>CS Dr</v>
          </cell>
        </row>
        <row r="1452">
          <cell r="B1452" t="str">
            <v>F4110</v>
          </cell>
          <cell r="D1452" t="str">
            <v>일반 Dr.</v>
          </cell>
          <cell r="E1452" t="str">
            <v>CS Dr</v>
          </cell>
        </row>
        <row r="1453">
          <cell r="B1453" t="str">
            <v>F4110</v>
          </cell>
          <cell r="D1453" t="str">
            <v>일반 Dr.</v>
          </cell>
          <cell r="E1453" t="str">
            <v>CS Dr</v>
          </cell>
        </row>
        <row r="1454">
          <cell r="B1454" t="str">
            <v>F4110</v>
          </cell>
          <cell r="D1454" t="str">
            <v>일반 Dr.</v>
          </cell>
          <cell r="E1454" t="str">
            <v>CS Dr</v>
          </cell>
        </row>
        <row r="1455">
          <cell r="B1455" t="str">
            <v>F4110</v>
          </cell>
          <cell r="D1455" t="str">
            <v>일반 Dr.</v>
          </cell>
          <cell r="E1455" t="str">
            <v>CS Dr</v>
          </cell>
        </row>
        <row r="1456">
          <cell r="B1456" t="str">
            <v>F4110</v>
          </cell>
          <cell r="D1456" t="str">
            <v>팀장</v>
          </cell>
          <cell r="E1456" t="str">
            <v>CS Dr</v>
          </cell>
        </row>
        <row r="1457">
          <cell r="B1457" t="str">
            <v>F4110</v>
          </cell>
          <cell r="D1457" t="str">
            <v>일반 Dr.</v>
          </cell>
          <cell r="E1457" t="str">
            <v>CS Dr</v>
          </cell>
        </row>
        <row r="1458">
          <cell r="B1458" t="str">
            <v>F4110</v>
          </cell>
          <cell r="D1458" t="str">
            <v>일반 Dr.</v>
          </cell>
          <cell r="E1458" t="str">
            <v>CS Dr</v>
          </cell>
        </row>
        <row r="1459">
          <cell r="B1459" t="str">
            <v>F4110</v>
          </cell>
          <cell r="D1459" t="str">
            <v>일반 Dr.</v>
          </cell>
          <cell r="E1459" t="str">
            <v>CS Dr</v>
          </cell>
        </row>
        <row r="1460">
          <cell r="B1460" t="str">
            <v>F4110</v>
          </cell>
          <cell r="D1460" t="str">
            <v>일반 Dr.</v>
          </cell>
          <cell r="E1460" t="str">
            <v>CS Dr</v>
          </cell>
        </row>
        <row r="1461">
          <cell r="B1461" t="str">
            <v>F4110</v>
          </cell>
          <cell r="D1461" t="str">
            <v>일반 Dr.</v>
          </cell>
          <cell r="E1461" t="str">
            <v>CS Dr</v>
          </cell>
        </row>
        <row r="1462">
          <cell r="B1462" t="str">
            <v>F4110</v>
          </cell>
          <cell r="D1462" t="str">
            <v>일반 Dr.</v>
          </cell>
          <cell r="E1462" t="str">
            <v>CS Dr</v>
          </cell>
        </row>
        <row r="1463">
          <cell r="B1463" t="str">
            <v>F4110</v>
          </cell>
          <cell r="D1463" t="str">
            <v>일반 Dr.</v>
          </cell>
          <cell r="E1463" t="str">
            <v>CS Dr</v>
          </cell>
        </row>
        <row r="1464">
          <cell r="B1464" t="str">
            <v>F4110</v>
          </cell>
          <cell r="D1464" t="str">
            <v>일반 Dr.</v>
          </cell>
          <cell r="E1464" t="str">
            <v>CS Dr</v>
          </cell>
        </row>
        <row r="1465">
          <cell r="B1465" t="str">
            <v>F4110</v>
          </cell>
          <cell r="D1465" t="str">
            <v>기술사내강사</v>
          </cell>
          <cell r="E1465" t="str">
            <v>CS Dr</v>
          </cell>
        </row>
        <row r="1466">
          <cell r="B1466" t="str">
            <v>F4110</v>
          </cell>
          <cell r="D1466" t="str">
            <v>일반 Dr.</v>
          </cell>
          <cell r="E1466" t="str">
            <v>CS Dr</v>
          </cell>
        </row>
        <row r="1467">
          <cell r="B1467" t="str">
            <v>F4110</v>
          </cell>
          <cell r="D1467" t="str">
            <v>일반 Dr.</v>
          </cell>
          <cell r="E1467" t="str">
            <v>CS Dr</v>
          </cell>
        </row>
        <row r="1468">
          <cell r="B1468" t="str">
            <v>F4110</v>
          </cell>
          <cell r="D1468" t="str">
            <v>조장</v>
          </cell>
          <cell r="E1468" t="str">
            <v>CS Dr</v>
          </cell>
        </row>
        <row r="1469">
          <cell r="B1469" t="str">
            <v>F4110</v>
          </cell>
          <cell r="D1469" t="str">
            <v>일반 Dr.</v>
          </cell>
          <cell r="E1469" t="str">
            <v>CS Dr</v>
          </cell>
        </row>
        <row r="1470">
          <cell r="B1470" t="str">
            <v>F4110</v>
          </cell>
          <cell r="D1470" t="str">
            <v>일반 Dr.</v>
          </cell>
          <cell r="E1470" t="str">
            <v>CS Dr</v>
          </cell>
        </row>
        <row r="1471">
          <cell r="B1471" t="str">
            <v>F4110</v>
          </cell>
          <cell r="D1471" t="str">
            <v>일반 Dr.</v>
          </cell>
          <cell r="E1471" t="str">
            <v>CS Dr</v>
          </cell>
        </row>
        <row r="1472">
          <cell r="B1472" t="str">
            <v>F4110</v>
          </cell>
          <cell r="D1472" t="str">
            <v>일반 Dr.</v>
          </cell>
          <cell r="E1472" t="str">
            <v>CS Dr</v>
          </cell>
        </row>
        <row r="1473">
          <cell r="B1473" t="str">
            <v>F4110</v>
          </cell>
          <cell r="D1473" t="str">
            <v>일반 Dr.</v>
          </cell>
          <cell r="E1473" t="str">
            <v>CS Dr</v>
          </cell>
        </row>
        <row r="1474">
          <cell r="B1474" t="str">
            <v>F4110</v>
          </cell>
          <cell r="D1474" t="str">
            <v>일반 Dr.</v>
          </cell>
          <cell r="E1474" t="str">
            <v>CS Dr</v>
          </cell>
        </row>
        <row r="1475">
          <cell r="B1475" t="str">
            <v>F4110</v>
          </cell>
          <cell r="D1475" t="str">
            <v>일반 Dr.</v>
          </cell>
          <cell r="E1475" t="str">
            <v>CS Dr</v>
          </cell>
        </row>
        <row r="1476">
          <cell r="B1476" t="str">
            <v>F4016</v>
          </cell>
          <cell r="D1476" t="str">
            <v>DDL Master</v>
          </cell>
          <cell r="E1476" t="str">
            <v>도어락전담</v>
          </cell>
        </row>
        <row r="1477">
          <cell r="B1477" t="str">
            <v>F4110</v>
          </cell>
          <cell r="D1477" t="str">
            <v>일반 Dr.</v>
          </cell>
          <cell r="E1477" t="str">
            <v>CS Dr</v>
          </cell>
        </row>
        <row r="1478">
          <cell r="B1478" t="str">
            <v>F4110</v>
          </cell>
          <cell r="D1478" t="str">
            <v>일반 Dr.</v>
          </cell>
          <cell r="E1478" t="str">
            <v>CS Dr</v>
          </cell>
        </row>
        <row r="1479">
          <cell r="B1479" t="str">
            <v>F4110</v>
          </cell>
          <cell r="D1479" t="str">
            <v>일반 Dr.</v>
          </cell>
          <cell r="E1479" t="str">
            <v>CS Dr</v>
          </cell>
        </row>
        <row r="1480">
          <cell r="B1480" t="str">
            <v>F4110</v>
          </cell>
          <cell r="D1480" t="str">
            <v>일반 Dr.</v>
          </cell>
          <cell r="E1480" t="str">
            <v>CS Dr</v>
          </cell>
        </row>
        <row r="1481">
          <cell r="B1481" t="str">
            <v>F4110</v>
          </cell>
          <cell r="D1481" t="str">
            <v>일반 Dr.</v>
          </cell>
          <cell r="E1481" t="str">
            <v>CS Dr</v>
          </cell>
        </row>
        <row r="1482">
          <cell r="B1482" t="str">
            <v>F4110</v>
          </cell>
          <cell r="D1482" t="str">
            <v>일반 Dr.</v>
          </cell>
          <cell r="E1482" t="str">
            <v>CS Dr</v>
          </cell>
        </row>
        <row r="1483">
          <cell r="B1483" t="str">
            <v>F4145</v>
          </cell>
          <cell r="D1483" t="str">
            <v>일반 Dr.</v>
          </cell>
          <cell r="E1483" t="str">
            <v>CS Dr</v>
          </cell>
        </row>
        <row r="1484">
          <cell r="B1484" t="str">
            <v>F4145</v>
          </cell>
          <cell r="D1484" t="str">
            <v>일반 Dr.</v>
          </cell>
          <cell r="E1484" t="str">
            <v>CS Dr</v>
          </cell>
        </row>
        <row r="1485">
          <cell r="B1485" t="str">
            <v>F4145</v>
          </cell>
          <cell r="D1485" t="str">
            <v>일반 Dr.</v>
          </cell>
          <cell r="E1485" t="str">
            <v>CS Dr</v>
          </cell>
        </row>
        <row r="1486">
          <cell r="B1486" t="str">
            <v>F4145</v>
          </cell>
          <cell r="D1486" t="str">
            <v>일반 Dr.</v>
          </cell>
          <cell r="E1486" t="str">
            <v>CS Dr</v>
          </cell>
        </row>
        <row r="1487">
          <cell r="B1487" t="str">
            <v>F4145</v>
          </cell>
          <cell r="D1487" t="str">
            <v>일반 Dr.</v>
          </cell>
          <cell r="E1487" t="str">
            <v>CS Dr</v>
          </cell>
        </row>
        <row r="1488">
          <cell r="B1488" t="str">
            <v>F4145</v>
          </cell>
          <cell r="D1488" t="str">
            <v>조장</v>
          </cell>
          <cell r="E1488" t="str">
            <v>CS Dr</v>
          </cell>
        </row>
        <row r="1489">
          <cell r="B1489" t="str">
            <v>F4145</v>
          </cell>
          <cell r="D1489" t="str">
            <v>일반 Dr.</v>
          </cell>
          <cell r="E1489" t="str">
            <v>CS Dr</v>
          </cell>
        </row>
        <row r="1490">
          <cell r="B1490" t="str">
            <v>F4145</v>
          </cell>
          <cell r="D1490" t="str">
            <v>조장</v>
          </cell>
          <cell r="E1490" t="str">
            <v>CS Dr</v>
          </cell>
        </row>
        <row r="1491">
          <cell r="B1491" t="str">
            <v>F4145</v>
          </cell>
          <cell r="D1491" t="str">
            <v>조장</v>
          </cell>
          <cell r="E1491" t="str">
            <v>CS Dr</v>
          </cell>
        </row>
        <row r="1492">
          <cell r="B1492" t="str">
            <v>F4145</v>
          </cell>
          <cell r="D1492" t="str">
            <v>일반 Dr.</v>
          </cell>
          <cell r="E1492" t="str">
            <v>CS Dr</v>
          </cell>
        </row>
        <row r="1493">
          <cell r="B1493" t="str">
            <v>F4145</v>
          </cell>
          <cell r="D1493" t="str">
            <v>팀장</v>
          </cell>
          <cell r="E1493" t="str">
            <v>CS Dr</v>
          </cell>
        </row>
        <row r="1494">
          <cell r="B1494" t="str">
            <v>F4145</v>
          </cell>
          <cell r="D1494" t="str">
            <v>일반 Dr.</v>
          </cell>
          <cell r="E1494" t="str">
            <v>CS Dr</v>
          </cell>
        </row>
        <row r="1495">
          <cell r="B1495" t="str">
            <v>F4145</v>
          </cell>
          <cell r="D1495" t="str">
            <v>일반 Dr.</v>
          </cell>
          <cell r="E1495" t="str">
            <v>CS Dr</v>
          </cell>
        </row>
        <row r="1496">
          <cell r="B1496" t="str">
            <v>F4145</v>
          </cell>
          <cell r="D1496" t="str">
            <v>일반 Dr.</v>
          </cell>
          <cell r="E1496" t="str">
            <v>CS Dr</v>
          </cell>
        </row>
        <row r="1497">
          <cell r="B1497" t="str">
            <v>F4145</v>
          </cell>
          <cell r="D1497" t="str">
            <v>일반 Dr.</v>
          </cell>
          <cell r="E1497" t="str">
            <v>CS Dr</v>
          </cell>
        </row>
        <row r="1498">
          <cell r="B1498" t="str">
            <v>F4145</v>
          </cell>
          <cell r="D1498" t="str">
            <v>일반 Dr.</v>
          </cell>
          <cell r="E1498" t="str">
            <v>CS Dr</v>
          </cell>
        </row>
        <row r="1499">
          <cell r="B1499" t="str">
            <v>F4145</v>
          </cell>
          <cell r="D1499" t="str">
            <v>일반 Dr.</v>
          </cell>
          <cell r="E1499" t="str">
            <v>CS Dr</v>
          </cell>
        </row>
        <row r="1500">
          <cell r="B1500" t="str">
            <v>F4152</v>
          </cell>
          <cell r="D1500" t="str">
            <v>조장</v>
          </cell>
          <cell r="E1500" t="str">
            <v>CS Dr</v>
          </cell>
        </row>
        <row r="1501">
          <cell r="B1501" t="str">
            <v>F4152</v>
          </cell>
          <cell r="D1501" t="str">
            <v>일반 Dr.</v>
          </cell>
          <cell r="E1501" t="str">
            <v>CS Dr</v>
          </cell>
        </row>
        <row r="1502">
          <cell r="B1502" t="str">
            <v>F4152</v>
          </cell>
          <cell r="D1502" t="str">
            <v>일반 Dr.</v>
          </cell>
          <cell r="E1502" t="str">
            <v>CS Dr</v>
          </cell>
        </row>
        <row r="1503">
          <cell r="B1503" t="str">
            <v>F4152</v>
          </cell>
          <cell r="D1503" t="str">
            <v>조장</v>
          </cell>
          <cell r="E1503" t="str">
            <v>CS Dr</v>
          </cell>
        </row>
        <row r="1504">
          <cell r="B1504" t="str">
            <v>F4152</v>
          </cell>
          <cell r="D1504" t="str">
            <v>일반 Dr.</v>
          </cell>
          <cell r="E1504" t="str">
            <v>CS Dr</v>
          </cell>
        </row>
        <row r="1505">
          <cell r="B1505" t="str">
            <v>F4152</v>
          </cell>
          <cell r="D1505" t="str">
            <v>일반 Dr.</v>
          </cell>
          <cell r="E1505" t="str">
            <v>CS Dr</v>
          </cell>
        </row>
        <row r="1506">
          <cell r="B1506" t="str">
            <v>F4152</v>
          </cell>
          <cell r="D1506" t="str">
            <v>일반 Dr.</v>
          </cell>
          <cell r="E1506" t="str">
            <v>CS Dr</v>
          </cell>
        </row>
        <row r="1507">
          <cell r="B1507" t="str">
            <v>F4152</v>
          </cell>
          <cell r="D1507" t="str">
            <v>일반 Dr.</v>
          </cell>
          <cell r="E1507" t="str">
            <v>CS Dr</v>
          </cell>
        </row>
        <row r="1508">
          <cell r="B1508" t="str">
            <v>F4152</v>
          </cell>
          <cell r="D1508" t="str">
            <v>일반 Dr.</v>
          </cell>
          <cell r="E1508" t="str">
            <v>CS Dr</v>
          </cell>
        </row>
        <row r="1509">
          <cell r="B1509" t="str">
            <v>F4152</v>
          </cell>
          <cell r="D1509" t="str">
            <v>일반 Dr.</v>
          </cell>
          <cell r="E1509" t="str">
            <v>CS Dr</v>
          </cell>
        </row>
        <row r="1510">
          <cell r="B1510" t="str">
            <v>F4152</v>
          </cell>
          <cell r="D1510" t="str">
            <v>일반 Dr.</v>
          </cell>
          <cell r="E1510" t="str">
            <v>CS Dr</v>
          </cell>
        </row>
        <row r="1511">
          <cell r="B1511" t="str">
            <v>F4152</v>
          </cell>
          <cell r="D1511" t="str">
            <v>일반 Dr.</v>
          </cell>
          <cell r="E1511" t="str">
            <v>CS Dr</v>
          </cell>
        </row>
        <row r="1512">
          <cell r="B1512" t="str">
            <v>F4152</v>
          </cell>
          <cell r="D1512" t="str">
            <v>일반 Dr.</v>
          </cell>
          <cell r="E1512" t="str">
            <v>CS Dr</v>
          </cell>
        </row>
        <row r="1513">
          <cell r="B1513" t="str">
            <v>F4152</v>
          </cell>
          <cell r="D1513" t="str">
            <v>조장</v>
          </cell>
          <cell r="E1513" t="str">
            <v>CS Dr</v>
          </cell>
        </row>
        <row r="1514">
          <cell r="B1514" t="str">
            <v>F4152</v>
          </cell>
          <cell r="D1514" t="str">
            <v>팀장</v>
          </cell>
          <cell r="E1514" t="str">
            <v>CS Dr</v>
          </cell>
        </row>
        <row r="1515">
          <cell r="B1515" t="str">
            <v>F4152</v>
          </cell>
          <cell r="D1515" t="str">
            <v>조장</v>
          </cell>
          <cell r="E1515" t="str">
            <v>CS Dr</v>
          </cell>
        </row>
        <row r="1516">
          <cell r="B1516" t="str">
            <v>F4152</v>
          </cell>
          <cell r="D1516" t="str">
            <v>일반 Dr.</v>
          </cell>
          <cell r="E1516" t="str">
            <v>CS Dr</v>
          </cell>
        </row>
        <row r="1517">
          <cell r="B1517" t="str">
            <v>F4152</v>
          </cell>
          <cell r="D1517" t="str">
            <v>일반 Dr.</v>
          </cell>
          <cell r="E1517" t="str">
            <v>CS Dr</v>
          </cell>
        </row>
        <row r="1518">
          <cell r="B1518" t="str">
            <v>F4152</v>
          </cell>
          <cell r="D1518" t="str">
            <v>일반 Dr.</v>
          </cell>
          <cell r="E1518" t="str">
            <v>CS Dr</v>
          </cell>
        </row>
        <row r="1519">
          <cell r="B1519" t="str">
            <v>F4152</v>
          </cell>
          <cell r="D1519" t="str">
            <v>일반 Dr.</v>
          </cell>
          <cell r="E1519" t="str">
            <v>CS Dr</v>
          </cell>
        </row>
        <row r="1520">
          <cell r="B1520" t="str">
            <v>F4152</v>
          </cell>
          <cell r="D1520" t="str">
            <v>조장</v>
          </cell>
          <cell r="E1520" t="str">
            <v>CS Dr</v>
          </cell>
        </row>
        <row r="1521">
          <cell r="B1521" t="str">
            <v>F4152</v>
          </cell>
          <cell r="D1521" t="str">
            <v>일반 Dr.</v>
          </cell>
          <cell r="E1521" t="str">
            <v>CS Dr</v>
          </cell>
        </row>
        <row r="1522">
          <cell r="B1522" t="str">
            <v>F4152</v>
          </cell>
          <cell r="D1522" t="str">
            <v>일반 Dr.</v>
          </cell>
          <cell r="E1522" t="str">
            <v>CS Dr</v>
          </cell>
        </row>
        <row r="1523">
          <cell r="B1523" t="str">
            <v>F4152</v>
          </cell>
          <cell r="D1523" t="str">
            <v>일반 Dr.</v>
          </cell>
          <cell r="E1523" t="str">
            <v>CS Dr</v>
          </cell>
        </row>
        <row r="1524">
          <cell r="B1524" t="str">
            <v>F4152</v>
          </cell>
          <cell r="D1524" t="str">
            <v>일반 Dr.</v>
          </cell>
          <cell r="E1524" t="str">
            <v>CS Dr</v>
          </cell>
        </row>
        <row r="1525">
          <cell r="B1525" t="str">
            <v>F4152</v>
          </cell>
          <cell r="D1525" t="str">
            <v>일반 Dr.</v>
          </cell>
          <cell r="E1525" t="str">
            <v>CS Dr</v>
          </cell>
        </row>
        <row r="1526">
          <cell r="B1526" t="str">
            <v>F4152</v>
          </cell>
          <cell r="D1526" t="str">
            <v>일반 Dr.</v>
          </cell>
          <cell r="E1526" t="str">
            <v>CS Dr</v>
          </cell>
        </row>
        <row r="1527">
          <cell r="B1527" t="str">
            <v>F4152</v>
          </cell>
          <cell r="D1527" t="str">
            <v>일반 Dr.</v>
          </cell>
          <cell r="E1527" t="str">
            <v>CS Dr</v>
          </cell>
        </row>
        <row r="1528">
          <cell r="B1528" t="str">
            <v>F4152</v>
          </cell>
          <cell r="D1528" t="str">
            <v>일반 Dr.</v>
          </cell>
          <cell r="E1528" t="str">
            <v>CS Dr</v>
          </cell>
        </row>
        <row r="1529">
          <cell r="B1529" t="str">
            <v>F4152</v>
          </cell>
          <cell r="D1529" t="str">
            <v>일반 Dr.</v>
          </cell>
          <cell r="E1529" t="str">
            <v>CS Dr</v>
          </cell>
        </row>
        <row r="1530">
          <cell r="B1530" t="str">
            <v>F4152</v>
          </cell>
          <cell r="D1530" t="str">
            <v>일반 Dr.</v>
          </cell>
          <cell r="E1530" t="str">
            <v>CS Dr</v>
          </cell>
        </row>
        <row r="1531">
          <cell r="B1531" t="str">
            <v>F4152</v>
          </cell>
          <cell r="D1531" t="str">
            <v>일반 Dr.</v>
          </cell>
          <cell r="E1531" t="str">
            <v>CS Dr</v>
          </cell>
        </row>
        <row r="1532">
          <cell r="B1532" t="str">
            <v>F4152</v>
          </cell>
          <cell r="D1532" t="str">
            <v>일반 Dr.</v>
          </cell>
          <cell r="E1532" t="str">
            <v>CS Dr</v>
          </cell>
        </row>
        <row r="1533">
          <cell r="B1533" t="str">
            <v>F4152</v>
          </cell>
          <cell r="D1533" t="str">
            <v>일반 Dr.</v>
          </cell>
          <cell r="E1533" t="str">
            <v>CS Dr</v>
          </cell>
        </row>
        <row r="1534">
          <cell r="B1534" t="str">
            <v>F4152</v>
          </cell>
          <cell r="D1534" t="str">
            <v>일반 Dr.</v>
          </cell>
          <cell r="E1534" t="str">
            <v>CS Dr</v>
          </cell>
        </row>
        <row r="1535">
          <cell r="B1535" t="str">
            <v>F4152</v>
          </cell>
          <cell r="D1535" t="str">
            <v>일반 Dr.</v>
          </cell>
          <cell r="E1535" t="str">
            <v>CS Dr</v>
          </cell>
        </row>
        <row r="1536">
          <cell r="B1536" t="str">
            <v>F4152</v>
          </cell>
          <cell r="D1536" t="str">
            <v>일반 Dr.</v>
          </cell>
          <cell r="E1536" t="str">
            <v>CS Dr</v>
          </cell>
        </row>
        <row r="1537">
          <cell r="B1537" t="str">
            <v>F4152</v>
          </cell>
          <cell r="D1537" t="str">
            <v>일반 Dr.</v>
          </cell>
          <cell r="E1537" t="str">
            <v>CS Dr</v>
          </cell>
        </row>
        <row r="1538">
          <cell r="B1538" t="str">
            <v>F4152</v>
          </cell>
          <cell r="D1538" t="str">
            <v>일반 Dr.</v>
          </cell>
          <cell r="E1538" t="str">
            <v>CS Dr</v>
          </cell>
        </row>
        <row r="1539">
          <cell r="B1539" t="str">
            <v>F4152</v>
          </cell>
          <cell r="D1539" t="str">
            <v>일반 Dr.</v>
          </cell>
          <cell r="E1539" t="str">
            <v>CS Dr</v>
          </cell>
        </row>
        <row r="1540">
          <cell r="B1540" t="str">
            <v>F4152</v>
          </cell>
          <cell r="D1540" t="str">
            <v>조장</v>
          </cell>
          <cell r="E1540" t="str">
            <v>CS Dr</v>
          </cell>
        </row>
        <row r="1541">
          <cell r="B1541" t="str">
            <v>F4152</v>
          </cell>
          <cell r="D1541" t="str">
            <v>일반 Dr.</v>
          </cell>
          <cell r="E1541" t="str">
            <v>CS Dr</v>
          </cell>
        </row>
        <row r="1542">
          <cell r="B1542" t="str">
            <v>F4152</v>
          </cell>
          <cell r="D1542" t="str">
            <v>일반 Dr.</v>
          </cell>
          <cell r="E1542" t="str">
            <v>CS Dr</v>
          </cell>
        </row>
        <row r="1543">
          <cell r="B1543" t="str">
            <v>F4152</v>
          </cell>
          <cell r="D1543" t="str">
            <v>일반 Dr.</v>
          </cell>
          <cell r="E1543" t="str">
            <v>CS Dr</v>
          </cell>
        </row>
        <row r="1544">
          <cell r="B1544" t="str">
            <v>F4152</v>
          </cell>
          <cell r="D1544" t="str">
            <v>일반 Dr.</v>
          </cell>
          <cell r="E1544" t="str">
            <v>CS Dr</v>
          </cell>
        </row>
        <row r="1545">
          <cell r="B1545" t="str">
            <v>F4152</v>
          </cell>
          <cell r="D1545" t="str">
            <v>일반 Dr.</v>
          </cell>
          <cell r="E1545" t="str">
            <v>CS Dr</v>
          </cell>
        </row>
        <row r="1546">
          <cell r="B1546" t="str">
            <v>F4152</v>
          </cell>
          <cell r="D1546" t="str">
            <v>일반 Dr.</v>
          </cell>
          <cell r="E1546" t="str">
            <v>CS Dr</v>
          </cell>
        </row>
        <row r="1547">
          <cell r="B1547" t="str">
            <v>F4152</v>
          </cell>
          <cell r="D1547" t="str">
            <v>기술사내강사</v>
          </cell>
          <cell r="E1547" t="str">
            <v>CS Dr</v>
          </cell>
        </row>
        <row r="1548">
          <cell r="B1548" t="str">
            <v>F4152</v>
          </cell>
          <cell r="D1548" t="str">
            <v>팀장</v>
          </cell>
          <cell r="E1548" t="str">
            <v>CS Dr</v>
          </cell>
        </row>
        <row r="1549">
          <cell r="B1549" t="str">
            <v>F4152</v>
          </cell>
          <cell r="D1549" t="str">
            <v>조장</v>
          </cell>
          <cell r="E1549" t="str">
            <v>CS Dr</v>
          </cell>
        </row>
        <row r="1550">
          <cell r="B1550" t="str">
            <v>F4152</v>
          </cell>
          <cell r="D1550" t="str">
            <v>일반 Dr.</v>
          </cell>
          <cell r="E1550" t="str">
            <v>CS Dr</v>
          </cell>
        </row>
        <row r="1551">
          <cell r="B1551" t="str">
            <v>F4152</v>
          </cell>
          <cell r="D1551" t="str">
            <v>조장</v>
          </cell>
          <cell r="E1551" t="str">
            <v>CS Dr</v>
          </cell>
        </row>
        <row r="1552">
          <cell r="B1552" t="str">
            <v>F4152</v>
          </cell>
          <cell r="D1552" t="str">
            <v>조장</v>
          </cell>
          <cell r="E1552" t="str">
            <v>CS Dr</v>
          </cell>
        </row>
        <row r="1553">
          <cell r="B1553" t="str">
            <v>F4152</v>
          </cell>
          <cell r="D1553" t="str">
            <v>일반 Dr.</v>
          </cell>
          <cell r="E1553" t="str">
            <v>CS Dr</v>
          </cell>
        </row>
        <row r="1554">
          <cell r="B1554" t="str">
            <v>F4152</v>
          </cell>
          <cell r="D1554" t="str">
            <v>조장</v>
          </cell>
          <cell r="E1554" t="str">
            <v>CS Dr</v>
          </cell>
        </row>
        <row r="1555">
          <cell r="B1555" t="str">
            <v>F4152</v>
          </cell>
          <cell r="D1555" t="str">
            <v>일반 Dr.</v>
          </cell>
          <cell r="E1555" t="str">
            <v>CS Dr</v>
          </cell>
        </row>
        <row r="1556">
          <cell r="B1556" t="str">
            <v>F4152</v>
          </cell>
          <cell r="D1556" t="str">
            <v>일반 Dr.</v>
          </cell>
          <cell r="E1556" t="str">
            <v>CS Dr</v>
          </cell>
        </row>
        <row r="1557">
          <cell r="B1557" t="str">
            <v>F4152</v>
          </cell>
          <cell r="D1557" t="str">
            <v>일반 Dr.</v>
          </cell>
          <cell r="E1557" t="str">
            <v>CS Dr</v>
          </cell>
        </row>
        <row r="1558">
          <cell r="B1558" t="str">
            <v>F4152</v>
          </cell>
          <cell r="D1558" t="str">
            <v>일반 Dr.</v>
          </cell>
          <cell r="E1558" t="str">
            <v>CS Dr</v>
          </cell>
        </row>
        <row r="1559">
          <cell r="B1559" t="str">
            <v>F4152</v>
          </cell>
          <cell r="D1559" t="str">
            <v>일반 Dr.</v>
          </cell>
          <cell r="E1559" t="str">
            <v>CS Dr</v>
          </cell>
        </row>
        <row r="1560">
          <cell r="B1560" t="str">
            <v>F4152</v>
          </cell>
          <cell r="D1560" t="str">
            <v>일반 Dr.</v>
          </cell>
          <cell r="E1560" t="str">
            <v>CS Dr</v>
          </cell>
        </row>
        <row r="1561">
          <cell r="B1561" t="str">
            <v>F4152</v>
          </cell>
          <cell r="D1561" t="str">
            <v>일반 Dr.</v>
          </cell>
          <cell r="E1561" t="str">
            <v>CS Dr</v>
          </cell>
        </row>
        <row r="1562">
          <cell r="B1562" t="str">
            <v>F4152</v>
          </cell>
          <cell r="D1562" t="str">
            <v>일반 Dr.</v>
          </cell>
          <cell r="E1562" t="str">
            <v>CS Dr</v>
          </cell>
        </row>
        <row r="1563">
          <cell r="B1563" t="str">
            <v>F4020</v>
          </cell>
          <cell r="D1563" t="str">
            <v>DDL Master</v>
          </cell>
          <cell r="E1563" t="str">
            <v>도어락전담</v>
          </cell>
        </row>
        <row r="1564">
          <cell r="B1564" t="str">
            <v>F4020</v>
          </cell>
          <cell r="D1564" t="str">
            <v>DDL Dr.</v>
          </cell>
          <cell r="E1564" t="str">
            <v>도어락전담</v>
          </cell>
        </row>
        <row r="1565">
          <cell r="B1565" t="str">
            <v>F4152</v>
          </cell>
          <cell r="D1565" t="str">
            <v>일반 Dr.</v>
          </cell>
          <cell r="E1565" t="str">
            <v>CS Dr</v>
          </cell>
        </row>
        <row r="1566">
          <cell r="B1566" t="str">
            <v>F4152</v>
          </cell>
          <cell r="D1566" t="str">
            <v>일반 Dr.</v>
          </cell>
          <cell r="E1566" t="str">
            <v>CS Dr</v>
          </cell>
        </row>
        <row r="1567">
          <cell r="B1567" t="str">
            <v>F4152</v>
          </cell>
          <cell r="D1567" t="str">
            <v>일반 Dr.</v>
          </cell>
          <cell r="E1567" t="str">
            <v>CS Dr</v>
          </cell>
        </row>
        <row r="1568">
          <cell r="B1568" t="str">
            <v>F4152</v>
          </cell>
          <cell r="D1568" t="str">
            <v>일반 Dr.</v>
          </cell>
          <cell r="E1568" t="str">
            <v>CS Dr</v>
          </cell>
        </row>
        <row r="1569">
          <cell r="B1569" t="str">
            <v>F4152</v>
          </cell>
          <cell r="D1569" t="str">
            <v>일반 Dr.</v>
          </cell>
          <cell r="E1569" t="str">
            <v>CS Dr</v>
          </cell>
        </row>
        <row r="1570">
          <cell r="B1570" t="str">
            <v>F4152</v>
          </cell>
          <cell r="D1570" t="str">
            <v>일반 Dr.</v>
          </cell>
          <cell r="E1570" t="str">
            <v>CS Dr</v>
          </cell>
        </row>
        <row r="1571">
          <cell r="B1571" t="str">
            <v>F4152</v>
          </cell>
          <cell r="D1571" t="str">
            <v>일반 Dr.</v>
          </cell>
          <cell r="E1571" t="str">
            <v>CS Dr</v>
          </cell>
        </row>
        <row r="1572">
          <cell r="B1572" t="str">
            <v>F4152</v>
          </cell>
          <cell r="D1572" t="str">
            <v>일반 Dr.</v>
          </cell>
          <cell r="E1572" t="str">
            <v>CS Dr</v>
          </cell>
        </row>
        <row r="1573">
          <cell r="B1573" t="str">
            <v>F4153</v>
          </cell>
          <cell r="D1573" t="str">
            <v>일반 Dr.</v>
          </cell>
          <cell r="E1573" t="str">
            <v>CS Dr</v>
          </cell>
        </row>
        <row r="1574">
          <cell r="B1574" t="str">
            <v>F4153</v>
          </cell>
          <cell r="D1574" t="str">
            <v>일반 Dr.</v>
          </cell>
          <cell r="E1574" t="str">
            <v>CS Dr</v>
          </cell>
        </row>
        <row r="1575">
          <cell r="B1575" t="str">
            <v>F4153</v>
          </cell>
          <cell r="D1575" t="str">
            <v>일반 Dr.</v>
          </cell>
          <cell r="E1575" t="str">
            <v>CS Dr</v>
          </cell>
        </row>
        <row r="1576">
          <cell r="B1576" t="str">
            <v>F4153</v>
          </cell>
          <cell r="D1576" t="str">
            <v>일반 Dr.</v>
          </cell>
          <cell r="E1576" t="str">
            <v>CS Dr</v>
          </cell>
        </row>
        <row r="1577">
          <cell r="B1577" t="str">
            <v>F4153</v>
          </cell>
          <cell r="D1577" t="str">
            <v>일반 Dr.</v>
          </cell>
          <cell r="E1577" t="str">
            <v>CS Dr</v>
          </cell>
        </row>
        <row r="1578">
          <cell r="B1578" t="str">
            <v>F4153</v>
          </cell>
          <cell r="D1578" t="str">
            <v>일반 Dr.</v>
          </cell>
          <cell r="E1578" t="str">
            <v>CS Dr</v>
          </cell>
        </row>
        <row r="1579">
          <cell r="B1579" t="str">
            <v>F4153</v>
          </cell>
          <cell r="D1579" t="str">
            <v>일반 Dr.</v>
          </cell>
          <cell r="E1579" t="str">
            <v>CS Dr</v>
          </cell>
        </row>
        <row r="1580">
          <cell r="B1580" t="str">
            <v>F4153</v>
          </cell>
          <cell r="D1580" t="str">
            <v>일반 Dr.</v>
          </cell>
          <cell r="E1580" t="str">
            <v>CS Dr</v>
          </cell>
        </row>
        <row r="1581">
          <cell r="B1581" t="str">
            <v>F4153</v>
          </cell>
          <cell r="D1581" t="str">
            <v>일반 Dr.</v>
          </cell>
          <cell r="E1581" t="str">
            <v>CS Dr</v>
          </cell>
        </row>
        <row r="1582">
          <cell r="B1582" t="str">
            <v>F4153</v>
          </cell>
          <cell r="D1582" t="str">
            <v>일반 Dr.</v>
          </cell>
          <cell r="E1582" t="str">
            <v>CS Dr</v>
          </cell>
        </row>
        <row r="1583">
          <cell r="B1583" t="str">
            <v>F4153</v>
          </cell>
          <cell r="D1583" t="str">
            <v>일반 Dr.</v>
          </cell>
          <cell r="E1583" t="str">
            <v>CS Dr</v>
          </cell>
        </row>
        <row r="1584">
          <cell r="B1584" t="str">
            <v>F4153</v>
          </cell>
          <cell r="D1584" t="str">
            <v>일반 Dr.</v>
          </cell>
          <cell r="E1584" t="str">
            <v>CS Dr</v>
          </cell>
        </row>
        <row r="1585">
          <cell r="B1585" t="str">
            <v>F4153</v>
          </cell>
          <cell r="D1585" t="str">
            <v>팀장</v>
          </cell>
          <cell r="E1585" t="str">
            <v>CS Dr</v>
          </cell>
        </row>
        <row r="1586">
          <cell r="B1586" t="str">
            <v>F4153</v>
          </cell>
          <cell r="D1586" t="str">
            <v>조장</v>
          </cell>
          <cell r="E1586" t="str">
            <v>CS Dr</v>
          </cell>
        </row>
        <row r="1587">
          <cell r="B1587" t="str">
            <v>F4153</v>
          </cell>
          <cell r="D1587" t="str">
            <v>조장</v>
          </cell>
          <cell r="E1587" t="str">
            <v>CS Dr</v>
          </cell>
        </row>
        <row r="1588">
          <cell r="B1588" t="str">
            <v>F4153</v>
          </cell>
          <cell r="D1588" t="str">
            <v>조장</v>
          </cell>
          <cell r="E1588" t="str">
            <v>CS Dr</v>
          </cell>
        </row>
        <row r="1589">
          <cell r="B1589" t="str">
            <v>F4153</v>
          </cell>
          <cell r="D1589" t="str">
            <v>조장</v>
          </cell>
          <cell r="E1589" t="str">
            <v>CS Dr</v>
          </cell>
        </row>
        <row r="1590">
          <cell r="B1590" t="str">
            <v>F4153</v>
          </cell>
          <cell r="D1590" t="str">
            <v>일반 Dr.</v>
          </cell>
          <cell r="E1590" t="str">
            <v>CS Dr</v>
          </cell>
        </row>
        <row r="1591">
          <cell r="B1591" t="str">
            <v>F4153</v>
          </cell>
          <cell r="D1591" t="str">
            <v>일반 Dr.</v>
          </cell>
          <cell r="E1591" t="str">
            <v>CS Dr</v>
          </cell>
        </row>
        <row r="1592">
          <cell r="B1592" t="str">
            <v>F4153</v>
          </cell>
          <cell r="D1592" t="str">
            <v>일반 Dr.</v>
          </cell>
          <cell r="E1592" t="str">
            <v>CS Dr</v>
          </cell>
        </row>
        <row r="1593">
          <cell r="B1593" t="str">
            <v>F4153</v>
          </cell>
          <cell r="D1593" t="str">
            <v>일반 Dr.</v>
          </cell>
          <cell r="E1593" t="str">
            <v>CS Dr</v>
          </cell>
        </row>
        <row r="1594">
          <cell r="B1594" t="str">
            <v>F4153</v>
          </cell>
          <cell r="D1594" t="str">
            <v>일반 Dr.</v>
          </cell>
          <cell r="E1594" t="str">
            <v>CS Dr</v>
          </cell>
        </row>
        <row r="1595">
          <cell r="B1595" t="str">
            <v>F4153</v>
          </cell>
          <cell r="D1595" t="str">
            <v>일반 Dr.</v>
          </cell>
          <cell r="E1595" t="str">
            <v>CS Dr</v>
          </cell>
        </row>
        <row r="1596">
          <cell r="B1596" t="str">
            <v>F4153</v>
          </cell>
          <cell r="D1596" t="str">
            <v>일반 Dr.</v>
          </cell>
          <cell r="E1596" t="str">
            <v>CS Dr</v>
          </cell>
        </row>
        <row r="1597">
          <cell r="B1597" t="str">
            <v>F4153</v>
          </cell>
          <cell r="D1597" t="str">
            <v>일반 Dr.</v>
          </cell>
          <cell r="E1597" t="str">
            <v>CS Dr</v>
          </cell>
        </row>
        <row r="1598">
          <cell r="B1598" t="str">
            <v>F4153</v>
          </cell>
          <cell r="D1598" t="str">
            <v>일반 Dr.</v>
          </cell>
          <cell r="E1598" t="str">
            <v>CS Dr</v>
          </cell>
        </row>
        <row r="1599">
          <cell r="B1599" t="str">
            <v>F4153</v>
          </cell>
          <cell r="D1599" t="str">
            <v>일반 Dr.</v>
          </cell>
          <cell r="E1599" t="str">
            <v>CS Dr</v>
          </cell>
        </row>
        <row r="1600">
          <cell r="B1600" t="str">
            <v>F4153</v>
          </cell>
          <cell r="D1600" t="str">
            <v>일반 Dr.</v>
          </cell>
          <cell r="E1600" t="str">
            <v>CS Dr</v>
          </cell>
        </row>
        <row r="1601">
          <cell r="B1601" t="str">
            <v>F4153</v>
          </cell>
          <cell r="D1601" t="str">
            <v>일반 Dr.</v>
          </cell>
          <cell r="E1601" t="str">
            <v>CS Dr</v>
          </cell>
        </row>
        <row r="1602">
          <cell r="B1602" t="str">
            <v>F4153</v>
          </cell>
          <cell r="D1602" t="str">
            <v>일반 Dr.</v>
          </cell>
          <cell r="E1602" t="str">
            <v>CS Dr</v>
          </cell>
        </row>
        <row r="1603">
          <cell r="B1603" t="str">
            <v>F4153</v>
          </cell>
          <cell r="D1603" t="str">
            <v>일반 Dr.</v>
          </cell>
          <cell r="E1603" t="str">
            <v>CS Dr</v>
          </cell>
        </row>
        <row r="1604">
          <cell r="B1604" t="str">
            <v>F4153</v>
          </cell>
          <cell r="D1604" t="str">
            <v>팀장</v>
          </cell>
          <cell r="E1604" t="str">
            <v>CS Dr</v>
          </cell>
        </row>
        <row r="1605">
          <cell r="B1605" t="str">
            <v>F4153</v>
          </cell>
          <cell r="D1605" t="str">
            <v>일반 Dr.</v>
          </cell>
          <cell r="E1605" t="str">
            <v>CS Dr</v>
          </cell>
        </row>
        <row r="1606">
          <cell r="B1606" t="str">
            <v>F4153</v>
          </cell>
          <cell r="D1606" t="str">
            <v>조장</v>
          </cell>
          <cell r="E1606" t="str">
            <v>CS Dr</v>
          </cell>
        </row>
        <row r="1607">
          <cell r="B1607" t="str">
            <v>F4153</v>
          </cell>
          <cell r="D1607" t="str">
            <v>일반 Dr.</v>
          </cell>
          <cell r="E1607" t="str">
            <v>CS Dr</v>
          </cell>
        </row>
        <row r="1608">
          <cell r="B1608" t="str">
            <v>F4153</v>
          </cell>
          <cell r="D1608" t="str">
            <v>조장</v>
          </cell>
          <cell r="E1608" t="str">
            <v>CS Dr</v>
          </cell>
        </row>
        <row r="1609">
          <cell r="B1609" t="str">
            <v>F4153</v>
          </cell>
          <cell r="D1609" t="str">
            <v>일반 Dr.</v>
          </cell>
          <cell r="E1609" t="str">
            <v>CS Dr</v>
          </cell>
        </row>
        <row r="1610">
          <cell r="B1610" t="str">
            <v>F4153</v>
          </cell>
          <cell r="D1610" t="str">
            <v>일반 Dr.</v>
          </cell>
          <cell r="E1610" t="str">
            <v>CS Dr</v>
          </cell>
        </row>
        <row r="1611">
          <cell r="B1611" t="str">
            <v>F4153</v>
          </cell>
          <cell r="D1611" t="str">
            <v>일반 Dr.</v>
          </cell>
          <cell r="E1611" t="str">
            <v>CS Dr</v>
          </cell>
        </row>
        <row r="1612">
          <cell r="B1612" t="str">
            <v>F4153</v>
          </cell>
          <cell r="D1612" t="str">
            <v>일반 Dr.</v>
          </cell>
          <cell r="E1612" t="str">
            <v>CS Dr</v>
          </cell>
        </row>
        <row r="1613">
          <cell r="B1613" t="str">
            <v>F4153</v>
          </cell>
          <cell r="D1613" t="str">
            <v>일반 Dr.</v>
          </cell>
          <cell r="E1613" t="str">
            <v>CS Dr</v>
          </cell>
        </row>
        <row r="1614">
          <cell r="B1614" t="str">
            <v>F4153</v>
          </cell>
          <cell r="D1614" t="str">
            <v>조장</v>
          </cell>
          <cell r="E1614" t="str">
            <v>CS Dr</v>
          </cell>
        </row>
        <row r="1615">
          <cell r="B1615" t="str">
            <v>F4153</v>
          </cell>
          <cell r="D1615" t="str">
            <v>일반 Dr.</v>
          </cell>
          <cell r="E1615" t="str">
            <v>CS Dr</v>
          </cell>
        </row>
        <row r="1616">
          <cell r="B1616" t="str">
            <v>F4153</v>
          </cell>
          <cell r="D1616" t="str">
            <v>일반 Dr.</v>
          </cell>
          <cell r="E1616" t="str">
            <v>CS Dr</v>
          </cell>
        </row>
        <row r="1617">
          <cell r="B1617" t="str">
            <v>F4153</v>
          </cell>
          <cell r="D1617" t="str">
            <v>일반 Dr.</v>
          </cell>
          <cell r="E1617" t="str">
            <v>CS Dr</v>
          </cell>
        </row>
        <row r="1618">
          <cell r="B1618" t="str">
            <v>F4153</v>
          </cell>
          <cell r="D1618" t="str">
            <v>일반 Dr.</v>
          </cell>
          <cell r="E1618" t="str">
            <v>CS Dr</v>
          </cell>
        </row>
        <row r="1619">
          <cell r="B1619" t="str">
            <v>F4153</v>
          </cell>
          <cell r="D1619" t="str">
            <v>일반 Dr.</v>
          </cell>
          <cell r="E1619" t="str">
            <v>CS Dr</v>
          </cell>
        </row>
        <row r="1620">
          <cell r="B1620" t="str">
            <v>F4153</v>
          </cell>
          <cell r="D1620" t="str">
            <v>일반 Dr.</v>
          </cell>
          <cell r="E1620" t="str">
            <v>CS Dr</v>
          </cell>
        </row>
        <row r="1621">
          <cell r="B1621" t="str">
            <v>F4153</v>
          </cell>
          <cell r="D1621" t="str">
            <v>조장</v>
          </cell>
          <cell r="E1621" t="str">
            <v>CS Dr</v>
          </cell>
        </row>
        <row r="1622">
          <cell r="B1622" t="str">
            <v>F4153</v>
          </cell>
          <cell r="D1622" t="str">
            <v>일반 Dr.</v>
          </cell>
          <cell r="E1622" t="str">
            <v>CS Dr</v>
          </cell>
        </row>
        <row r="1623">
          <cell r="B1623" t="str">
            <v>F4153</v>
          </cell>
          <cell r="D1623" t="str">
            <v>일반 Dr.</v>
          </cell>
          <cell r="E1623" t="str">
            <v>CS Dr</v>
          </cell>
        </row>
        <row r="1624">
          <cell r="B1624" t="str">
            <v>F4153</v>
          </cell>
          <cell r="D1624" t="str">
            <v>일반 Dr.</v>
          </cell>
          <cell r="E1624" t="str">
            <v>CS Dr</v>
          </cell>
        </row>
        <row r="1625">
          <cell r="B1625" t="str">
            <v>F4153</v>
          </cell>
          <cell r="D1625" t="str">
            <v>조장</v>
          </cell>
          <cell r="E1625" t="str">
            <v>CS Dr</v>
          </cell>
        </row>
        <row r="1626">
          <cell r="B1626" t="str">
            <v>F4153</v>
          </cell>
          <cell r="D1626" t="str">
            <v>일반 Dr.</v>
          </cell>
          <cell r="E1626" t="str">
            <v>CS Dr</v>
          </cell>
        </row>
        <row r="1627">
          <cell r="B1627" t="str">
            <v>F4153</v>
          </cell>
          <cell r="D1627" t="str">
            <v>일반 Dr.</v>
          </cell>
          <cell r="E1627" t="str">
            <v>CS Dr</v>
          </cell>
        </row>
        <row r="1628">
          <cell r="B1628" t="str">
            <v>F4153</v>
          </cell>
          <cell r="D1628" t="str">
            <v>일반 Dr.</v>
          </cell>
          <cell r="E1628" t="str">
            <v>CS Dr</v>
          </cell>
        </row>
        <row r="1629">
          <cell r="B1629" t="str">
            <v>F4153</v>
          </cell>
          <cell r="D1629" t="str">
            <v>일반 Dr.</v>
          </cell>
          <cell r="E1629" t="str">
            <v>CS Dr</v>
          </cell>
        </row>
        <row r="1630">
          <cell r="B1630" t="str">
            <v>F4153</v>
          </cell>
          <cell r="D1630" t="str">
            <v>일반 Dr.</v>
          </cell>
          <cell r="E1630" t="str">
            <v>CS Dr</v>
          </cell>
        </row>
        <row r="1631">
          <cell r="B1631" t="str">
            <v>F4153</v>
          </cell>
          <cell r="D1631" t="str">
            <v>일반 Dr.</v>
          </cell>
          <cell r="E1631" t="str">
            <v>CS Dr</v>
          </cell>
        </row>
        <row r="1632">
          <cell r="B1632" t="str">
            <v>F4153</v>
          </cell>
          <cell r="D1632" t="str">
            <v>일반 Dr.</v>
          </cell>
          <cell r="E1632" t="str">
            <v>CS Dr</v>
          </cell>
        </row>
        <row r="1633">
          <cell r="B1633" t="str">
            <v>F4153</v>
          </cell>
          <cell r="D1633" t="str">
            <v>일반 Dr.</v>
          </cell>
          <cell r="E1633" t="str">
            <v>CS Dr</v>
          </cell>
        </row>
        <row r="1634">
          <cell r="B1634" t="str">
            <v>F4153</v>
          </cell>
          <cell r="D1634" t="str">
            <v>일반 Dr.</v>
          </cell>
          <cell r="E1634" t="str">
            <v>CS Dr</v>
          </cell>
        </row>
        <row r="1635">
          <cell r="B1635" t="str">
            <v>F4153</v>
          </cell>
          <cell r="D1635" t="str">
            <v>일반 Dr.</v>
          </cell>
          <cell r="E1635" t="str">
            <v>CS Dr</v>
          </cell>
        </row>
        <row r="1636">
          <cell r="B1636" t="str">
            <v>F4153</v>
          </cell>
          <cell r="D1636" t="str">
            <v>일반 Dr.</v>
          </cell>
          <cell r="E1636" t="str">
            <v>CS Dr</v>
          </cell>
        </row>
        <row r="1637">
          <cell r="B1637" t="str">
            <v>F4020</v>
          </cell>
          <cell r="D1637" t="str">
            <v>배달</v>
          </cell>
          <cell r="E1637" t="str">
            <v>용</v>
          </cell>
        </row>
        <row r="1638">
          <cell r="B1638" t="str">
            <v>F4020</v>
          </cell>
          <cell r="D1638" t="str">
            <v>배달</v>
          </cell>
          <cell r="E1638" t="str">
            <v>용</v>
          </cell>
        </row>
        <row r="1639">
          <cell r="B1639" t="str">
            <v>F4127</v>
          </cell>
          <cell r="D1639" t="str">
            <v>조장</v>
          </cell>
          <cell r="E1639" t="str">
            <v>CS Dr</v>
          </cell>
        </row>
        <row r="1640">
          <cell r="B1640" t="str">
            <v>F4127</v>
          </cell>
          <cell r="D1640" t="str">
            <v>일반 Dr.</v>
          </cell>
          <cell r="E1640" t="str">
            <v>CS Dr</v>
          </cell>
        </row>
        <row r="1641">
          <cell r="B1641" t="str">
            <v>F4127</v>
          </cell>
          <cell r="D1641" t="str">
            <v>일반 Dr.</v>
          </cell>
          <cell r="E1641" t="str">
            <v>CS Dr</v>
          </cell>
        </row>
        <row r="1642">
          <cell r="B1642" t="str">
            <v>F4127</v>
          </cell>
          <cell r="D1642" t="str">
            <v>일반 Dr.</v>
          </cell>
          <cell r="E1642" t="str">
            <v>CS Dr</v>
          </cell>
        </row>
        <row r="1643">
          <cell r="B1643" t="str">
            <v>F4127</v>
          </cell>
          <cell r="D1643" t="str">
            <v>일반 Dr.</v>
          </cell>
          <cell r="E1643" t="str">
            <v>CS Dr</v>
          </cell>
        </row>
        <row r="1644">
          <cell r="B1644" t="str">
            <v>F4127</v>
          </cell>
          <cell r="D1644" t="str">
            <v>일반 Dr.</v>
          </cell>
          <cell r="E1644" t="str">
            <v>CS Dr</v>
          </cell>
        </row>
        <row r="1645">
          <cell r="B1645" t="str">
            <v>F4127</v>
          </cell>
          <cell r="D1645" t="str">
            <v>일반 Dr.</v>
          </cell>
          <cell r="E1645" t="str">
            <v>CS Dr</v>
          </cell>
        </row>
        <row r="1646">
          <cell r="B1646" t="str">
            <v>F4127</v>
          </cell>
          <cell r="D1646" t="str">
            <v>일반 Dr.</v>
          </cell>
          <cell r="E1646" t="str">
            <v>CS Dr</v>
          </cell>
        </row>
        <row r="1647">
          <cell r="B1647" t="str">
            <v>F4127</v>
          </cell>
          <cell r="D1647" t="str">
            <v>일반 Dr.</v>
          </cell>
          <cell r="E1647" t="str">
            <v>CS Dr</v>
          </cell>
        </row>
        <row r="1648">
          <cell r="B1648" t="str">
            <v>F4127</v>
          </cell>
          <cell r="D1648" t="str">
            <v>일반 Dr.</v>
          </cell>
          <cell r="E1648" t="str">
            <v>CS Dr</v>
          </cell>
        </row>
        <row r="1649">
          <cell r="B1649" t="str">
            <v>F4127</v>
          </cell>
          <cell r="D1649" t="str">
            <v>일반 Dr.</v>
          </cell>
          <cell r="E1649" t="str">
            <v>CS Dr</v>
          </cell>
        </row>
        <row r="1650">
          <cell r="B1650" t="str">
            <v>F4127</v>
          </cell>
          <cell r="D1650" t="str">
            <v>일반 Dr.</v>
          </cell>
          <cell r="E1650" t="str">
            <v>CS Dr</v>
          </cell>
        </row>
        <row r="1651">
          <cell r="B1651" t="str">
            <v>F4127</v>
          </cell>
          <cell r="D1651" t="str">
            <v>일반 Dr.</v>
          </cell>
          <cell r="E1651" t="str">
            <v>CS Dr</v>
          </cell>
        </row>
        <row r="1652">
          <cell r="B1652" t="str">
            <v>F4127</v>
          </cell>
          <cell r="D1652" t="str">
            <v>조장</v>
          </cell>
          <cell r="E1652" t="str">
            <v>CS Dr</v>
          </cell>
        </row>
        <row r="1653">
          <cell r="B1653" t="str">
            <v>F4127</v>
          </cell>
          <cell r="D1653" t="str">
            <v>조장</v>
          </cell>
          <cell r="E1653" t="str">
            <v>CS Dr</v>
          </cell>
        </row>
        <row r="1654">
          <cell r="B1654" t="str">
            <v>F4127</v>
          </cell>
          <cell r="D1654" t="str">
            <v>일반 Dr.</v>
          </cell>
          <cell r="E1654" t="str">
            <v>CS Dr</v>
          </cell>
        </row>
        <row r="1655">
          <cell r="B1655" t="str">
            <v>F4127</v>
          </cell>
          <cell r="D1655" t="str">
            <v>일반 Dr.</v>
          </cell>
          <cell r="E1655" t="str">
            <v>CS Dr</v>
          </cell>
        </row>
        <row r="1656">
          <cell r="B1656" t="str">
            <v>F4127</v>
          </cell>
          <cell r="D1656" t="str">
            <v>일반 Dr.</v>
          </cell>
          <cell r="E1656" t="str">
            <v>CS Dr</v>
          </cell>
        </row>
        <row r="1657">
          <cell r="B1657" t="str">
            <v>F4127</v>
          </cell>
          <cell r="D1657" t="str">
            <v>조장</v>
          </cell>
          <cell r="E1657" t="str">
            <v>CS Dr</v>
          </cell>
        </row>
        <row r="1658">
          <cell r="B1658" t="str">
            <v>F4127</v>
          </cell>
          <cell r="D1658" t="str">
            <v>일반 Dr.</v>
          </cell>
          <cell r="E1658" t="str">
            <v>CS Dr</v>
          </cell>
        </row>
        <row r="1659">
          <cell r="B1659" t="str">
            <v>F4127</v>
          </cell>
          <cell r="D1659" t="str">
            <v>조장</v>
          </cell>
          <cell r="E1659" t="str">
            <v>CS Dr</v>
          </cell>
        </row>
        <row r="1660">
          <cell r="B1660" t="str">
            <v>F4127</v>
          </cell>
          <cell r="D1660" t="str">
            <v>일반 Dr.</v>
          </cell>
          <cell r="E1660" t="str">
            <v>CS Dr</v>
          </cell>
        </row>
        <row r="1661">
          <cell r="B1661" t="str">
            <v>F4127</v>
          </cell>
          <cell r="D1661" t="str">
            <v>일반 Dr.</v>
          </cell>
          <cell r="E1661" t="str">
            <v>CS Dr</v>
          </cell>
        </row>
        <row r="1662">
          <cell r="B1662" t="str">
            <v>F4127</v>
          </cell>
          <cell r="D1662" t="str">
            <v>일반 Dr.</v>
          </cell>
          <cell r="E1662" t="str">
            <v>CS Dr</v>
          </cell>
        </row>
        <row r="1663">
          <cell r="B1663" t="str">
            <v>F4127</v>
          </cell>
          <cell r="D1663" t="str">
            <v>팀장</v>
          </cell>
          <cell r="E1663" t="str">
            <v>CS Dr</v>
          </cell>
        </row>
        <row r="1664">
          <cell r="B1664" t="str">
            <v>F4127</v>
          </cell>
          <cell r="D1664" t="str">
            <v>일반 Dr.</v>
          </cell>
          <cell r="E1664" t="str">
            <v>CS Dr</v>
          </cell>
        </row>
        <row r="1665">
          <cell r="B1665" t="str">
            <v>F4127</v>
          </cell>
          <cell r="D1665" t="str">
            <v>일반 Dr.</v>
          </cell>
          <cell r="E1665" t="str">
            <v>CS Dr</v>
          </cell>
        </row>
        <row r="1666">
          <cell r="B1666" t="str">
            <v>F4127</v>
          </cell>
          <cell r="D1666" t="str">
            <v>일반 Dr.</v>
          </cell>
          <cell r="E1666" t="str">
            <v>CS Dr</v>
          </cell>
        </row>
        <row r="1667">
          <cell r="B1667" t="str">
            <v>F4127</v>
          </cell>
          <cell r="D1667" t="str">
            <v>일반 Dr.</v>
          </cell>
          <cell r="E1667" t="str">
            <v>CS Dr</v>
          </cell>
        </row>
        <row r="1668">
          <cell r="B1668" t="str">
            <v>F4127</v>
          </cell>
          <cell r="D1668" t="str">
            <v>일반 Dr.</v>
          </cell>
          <cell r="E1668" t="str">
            <v>CS Dr</v>
          </cell>
        </row>
        <row r="1669">
          <cell r="B1669" t="str">
            <v>F4127</v>
          </cell>
          <cell r="D1669" t="str">
            <v>일반 Dr.</v>
          </cell>
          <cell r="E1669" t="str">
            <v>CS Dr</v>
          </cell>
        </row>
        <row r="1670">
          <cell r="B1670" t="str">
            <v>F4127</v>
          </cell>
          <cell r="D1670" t="str">
            <v>일반 Dr.</v>
          </cell>
          <cell r="E1670" t="str">
            <v>CS Dr</v>
          </cell>
        </row>
        <row r="1671">
          <cell r="B1671" t="str">
            <v>F4127</v>
          </cell>
          <cell r="D1671" t="str">
            <v>일반 Dr.</v>
          </cell>
          <cell r="E1671" t="str">
            <v>CS Dr</v>
          </cell>
        </row>
        <row r="1672">
          <cell r="B1672" t="str">
            <v>F4127</v>
          </cell>
          <cell r="D1672" t="str">
            <v>일반 Dr.</v>
          </cell>
          <cell r="E1672" t="str">
            <v>CS Dr</v>
          </cell>
        </row>
        <row r="1673">
          <cell r="B1673" t="str">
            <v>F4127</v>
          </cell>
          <cell r="D1673" t="str">
            <v>일반 Dr.</v>
          </cell>
          <cell r="E1673" t="str">
            <v>CS Dr</v>
          </cell>
        </row>
        <row r="1674">
          <cell r="B1674" t="str">
            <v>F4127</v>
          </cell>
          <cell r="D1674" t="str">
            <v>일반 Dr.</v>
          </cell>
          <cell r="E1674" t="str">
            <v>CS Dr</v>
          </cell>
        </row>
        <row r="1675">
          <cell r="B1675" t="str">
            <v>F4127</v>
          </cell>
          <cell r="D1675" t="str">
            <v>일반 Dr.</v>
          </cell>
          <cell r="E1675" t="str">
            <v>CS Dr</v>
          </cell>
        </row>
        <row r="1676">
          <cell r="B1676" t="str">
            <v>F4127</v>
          </cell>
          <cell r="D1676" t="str">
            <v>일반 Dr.</v>
          </cell>
          <cell r="E1676" t="str">
            <v>CS Dr</v>
          </cell>
        </row>
        <row r="1677">
          <cell r="B1677" t="str">
            <v>F4127</v>
          </cell>
          <cell r="D1677" t="str">
            <v>일반 Dr.</v>
          </cell>
          <cell r="E1677" t="str">
            <v>CS Dr</v>
          </cell>
        </row>
        <row r="1678">
          <cell r="B1678" t="str">
            <v>F4127</v>
          </cell>
          <cell r="D1678" t="str">
            <v>일반 Dr.</v>
          </cell>
          <cell r="E1678" t="str">
            <v>CS Dr</v>
          </cell>
        </row>
        <row r="1679">
          <cell r="B1679" t="str">
            <v>F4127</v>
          </cell>
          <cell r="D1679" t="str">
            <v>일반 Dr.</v>
          </cell>
          <cell r="E1679" t="str">
            <v>CS Dr</v>
          </cell>
        </row>
        <row r="1680">
          <cell r="B1680" t="str">
            <v>F4127</v>
          </cell>
          <cell r="D1680" t="str">
            <v>일반 Dr.</v>
          </cell>
          <cell r="E1680" t="str">
            <v>CS Dr</v>
          </cell>
        </row>
        <row r="1681">
          <cell r="B1681" t="str">
            <v>F4127</v>
          </cell>
          <cell r="D1681" t="str">
            <v>일반 Dr.</v>
          </cell>
          <cell r="E1681" t="str">
            <v>CS Dr</v>
          </cell>
        </row>
        <row r="1682">
          <cell r="B1682" t="str">
            <v>F4127</v>
          </cell>
          <cell r="D1682" t="str">
            <v>일반 Dr.</v>
          </cell>
          <cell r="E1682" t="str">
            <v>CS Dr</v>
          </cell>
        </row>
        <row r="1683">
          <cell r="B1683" t="str">
            <v>F4127</v>
          </cell>
          <cell r="D1683" t="str">
            <v>일반 Dr.</v>
          </cell>
          <cell r="E1683" t="str">
            <v>CS Dr</v>
          </cell>
        </row>
        <row r="1684">
          <cell r="B1684" t="str">
            <v>F4127</v>
          </cell>
          <cell r="D1684" t="str">
            <v>일반 Dr.</v>
          </cell>
          <cell r="E1684" t="str">
            <v>CS Dr</v>
          </cell>
        </row>
        <row r="1685">
          <cell r="B1685" t="str">
            <v>F4127</v>
          </cell>
          <cell r="D1685" t="str">
            <v>팀장</v>
          </cell>
          <cell r="E1685" t="str">
            <v>CS Dr</v>
          </cell>
        </row>
        <row r="1686">
          <cell r="B1686" t="str">
            <v>F4127</v>
          </cell>
          <cell r="D1686" t="str">
            <v>조장</v>
          </cell>
          <cell r="E1686" t="str">
            <v>CS Dr</v>
          </cell>
        </row>
        <row r="1687">
          <cell r="B1687" t="str">
            <v>F4127</v>
          </cell>
          <cell r="D1687" t="str">
            <v>기술사내강사</v>
          </cell>
          <cell r="E1687" t="str">
            <v>CS Dr</v>
          </cell>
        </row>
        <row r="1688">
          <cell r="B1688" t="str">
            <v>F4127</v>
          </cell>
          <cell r="D1688" t="str">
            <v>일반 Dr.</v>
          </cell>
          <cell r="E1688" t="str">
            <v>CS Dr</v>
          </cell>
        </row>
        <row r="1689">
          <cell r="B1689" t="str">
            <v>F4127</v>
          </cell>
          <cell r="D1689" t="str">
            <v>일반 Dr.</v>
          </cell>
          <cell r="E1689" t="str">
            <v>CS Dr</v>
          </cell>
        </row>
        <row r="1690">
          <cell r="B1690" t="str">
            <v>F4127</v>
          </cell>
          <cell r="D1690" t="str">
            <v>일반 Dr.</v>
          </cell>
          <cell r="E1690" t="str">
            <v>CS Dr</v>
          </cell>
        </row>
        <row r="1691">
          <cell r="B1691" t="str">
            <v>F4127</v>
          </cell>
          <cell r="D1691" t="str">
            <v>일반 Dr.</v>
          </cell>
          <cell r="E1691" t="str">
            <v>CS Dr</v>
          </cell>
        </row>
        <row r="1692">
          <cell r="B1692" t="str">
            <v>F4127</v>
          </cell>
          <cell r="D1692" t="str">
            <v>일반 Dr.</v>
          </cell>
          <cell r="E1692" t="str">
            <v>CS Dr</v>
          </cell>
        </row>
        <row r="1693">
          <cell r="B1693" t="str">
            <v>F4127</v>
          </cell>
          <cell r="D1693" t="str">
            <v>조장</v>
          </cell>
          <cell r="E1693" t="str">
            <v>CS Dr</v>
          </cell>
        </row>
        <row r="1694">
          <cell r="B1694" t="str">
            <v>F4127</v>
          </cell>
          <cell r="D1694" t="str">
            <v>조장</v>
          </cell>
          <cell r="E1694" t="str">
            <v>CS Dr</v>
          </cell>
        </row>
        <row r="1695">
          <cell r="B1695" t="str">
            <v>F4127</v>
          </cell>
          <cell r="D1695" t="str">
            <v>일반 Dr.</v>
          </cell>
          <cell r="E1695" t="str">
            <v>CS Dr</v>
          </cell>
        </row>
        <row r="1696">
          <cell r="B1696" t="str">
            <v>F4127</v>
          </cell>
          <cell r="D1696" t="str">
            <v>일반 Dr.</v>
          </cell>
          <cell r="E1696" t="str">
            <v>CS Dr</v>
          </cell>
        </row>
        <row r="1697">
          <cell r="B1697" t="str">
            <v>F4127</v>
          </cell>
          <cell r="D1697" t="str">
            <v>일반 Dr.</v>
          </cell>
          <cell r="E1697" t="str">
            <v>CS Dr</v>
          </cell>
        </row>
        <row r="1698">
          <cell r="B1698" t="str">
            <v>F4127</v>
          </cell>
          <cell r="D1698" t="str">
            <v>조장</v>
          </cell>
          <cell r="E1698" t="str">
            <v>CS Dr</v>
          </cell>
        </row>
        <row r="1699">
          <cell r="B1699" t="str">
            <v>F4127</v>
          </cell>
          <cell r="D1699" t="str">
            <v>조장</v>
          </cell>
          <cell r="E1699" t="str">
            <v>CS Dr</v>
          </cell>
        </row>
        <row r="1700">
          <cell r="B1700" t="str">
            <v>F4127</v>
          </cell>
          <cell r="D1700" t="str">
            <v>일반 Dr.</v>
          </cell>
          <cell r="E1700" t="str">
            <v>CS Dr</v>
          </cell>
        </row>
        <row r="1701">
          <cell r="B1701" t="str">
            <v>F4127</v>
          </cell>
          <cell r="D1701" t="str">
            <v>일반 Dr.</v>
          </cell>
          <cell r="E1701" t="str">
            <v>CS Dr</v>
          </cell>
        </row>
        <row r="1702">
          <cell r="B1702" t="str">
            <v>F4127</v>
          </cell>
          <cell r="D1702" t="str">
            <v>조장</v>
          </cell>
          <cell r="E1702" t="str">
            <v>CS Dr</v>
          </cell>
        </row>
        <row r="1703">
          <cell r="B1703" t="str">
            <v>F4127</v>
          </cell>
          <cell r="D1703" t="str">
            <v>일반 Dr.</v>
          </cell>
          <cell r="E1703" t="str">
            <v>CS Dr</v>
          </cell>
        </row>
        <row r="1704">
          <cell r="B1704" t="str">
            <v>F4127</v>
          </cell>
          <cell r="D1704" t="str">
            <v>일반 Dr.</v>
          </cell>
          <cell r="E1704" t="str">
            <v>CS Dr</v>
          </cell>
        </row>
        <row r="1705">
          <cell r="B1705" t="str">
            <v>F4127</v>
          </cell>
          <cell r="D1705" t="str">
            <v>일반 Dr.</v>
          </cell>
          <cell r="E1705" t="str">
            <v>CS Dr</v>
          </cell>
        </row>
        <row r="1706">
          <cell r="B1706" t="str">
            <v>F4127</v>
          </cell>
          <cell r="D1706" t="str">
            <v>일반 Dr.</v>
          </cell>
          <cell r="E1706" t="str">
            <v>CS Dr</v>
          </cell>
        </row>
        <row r="1707">
          <cell r="B1707" t="str">
            <v>F4127</v>
          </cell>
          <cell r="D1707" t="str">
            <v>일반 Dr.</v>
          </cell>
          <cell r="E1707" t="str">
            <v>CS Dr</v>
          </cell>
        </row>
        <row r="1708">
          <cell r="B1708" t="str">
            <v>F4127</v>
          </cell>
          <cell r="D1708" t="str">
            <v>일반 Dr.</v>
          </cell>
          <cell r="E1708" t="str">
            <v>CS Dr</v>
          </cell>
        </row>
        <row r="1709">
          <cell r="B1709" t="str">
            <v>F4127</v>
          </cell>
          <cell r="D1709" t="str">
            <v>일반 Dr.</v>
          </cell>
          <cell r="E1709" t="str">
            <v>CS Dr</v>
          </cell>
        </row>
        <row r="1710">
          <cell r="B1710" t="str">
            <v>F4127</v>
          </cell>
          <cell r="D1710" t="str">
            <v>일반 Dr.</v>
          </cell>
          <cell r="E1710" t="str">
            <v>CS Dr</v>
          </cell>
        </row>
        <row r="1711">
          <cell r="B1711" t="str">
            <v>F4127</v>
          </cell>
          <cell r="D1711" t="str">
            <v>일반 Dr.</v>
          </cell>
          <cell r="E1711" t="str">
            <v>CS Dr</v>
          </cell>
        </row>
        <row r="1712">
          <cell r="B1712" t="str">
            <v>F4127</v>
          </cell>
          <cell r="D1712" t="str">
            <v>일반 Dr.</v>
          </cell>
          <cell r="E1712" t="str">
            <v>CS Dr</v>
          </cell>
        </row>
        <row r="1713">
          <cell r="B1713" t="str">
            <v>F4127</v>
          </cell>
          <cell r="D1713" t="str">
            <v>일반 Dr.</v>
          </cell>
          <cell r="E1713" t="str">
            <v>CS Dr</v>
          </cell>
        </row>
        <row r="1714">
          <cell r="B1714" t="str">
            <v>F4127</v>
          </cell>
          <cell r="D1714" t="str">
            <v>일반 Dr.</v>
          </cell>
          <cell r="E1714" t="str">
            <v>CS Dr</v>
          </cell>
        </row>
        <row r="1715">
          <cell r="B1715" t="str">
            <v>F4127</v>
          </cell>
          <cell r="D1715" t="str">
            <v>일반 Dr.</v>
          </cell>
          <cell r="E1715" t="str">
            <v>CS Dr</v>
          </cell>
        </row>
        <row r="1716">
          <cell r="B1716" t="str">
            <v>F4127</v>
          </cell>
          <cell r="D1716" t="str">
            <v>일반 Dr.</v>
          </cell>
          <cell r="E1716" t="str">
            <v>CS Dr</v>
          </cell>
        </row>
        <row r="1717">
          <cell r="B1717" t="str">
            <v>F4127</v>
          </cell>
          <cell r="D1717" t="str">
            <v>일반 Dr.</v>
          </cell>
          <cell r="E1717" t="str">
            <v>CS Dr</v>
          </cell>
        </row>
        <row r="1718">
          <cell r="B1718" t="str">
            <v>F4116</v>
          </cell>
          <cell r="D1718" t="str">
            <v>조장</v>
          </cell>
          <cell r="E1718" t="str">
            <v>CS Dr</v>
          </cell>
        </row>
        <row r="1719">
          <cell r="B1719" t="str">
            <v>F4116</v>
          </cell>
          <cell r="D1719" t="str">
            <v>조장</v>
          </cell>
          <cell r="E1719" t="str">
            <v>CS Dr</v>
          </cell>
        </row>
        <row r="1720">
          <cell r="B1720" t="str">
            <v>F4116</v>
          </cell>
          <cell r="D1720" t="str">
            <v>조장</v>
          </cell>
          <cell r="E1720" t="str">
            <v>CS Dr</v>
          </cell>
        </row>
        <row r="1721">
          <cell r="B1721" t="str">
            <v>F4116</v>
          </cell>
          <cell r="D1721" t="str">
            <v>일반 Dr.</v>
          </cell>
          <cell r="E1721" t="str">
            <v>CS Dr</v>
          </cell>
        </row>
        <row r="1722">
          <cell r="B1722" t="str">
            <v>F4116</v>
          </cell>
          <cell r="D1722" t="str">
            <v>조장</v>
          </cell>
          <cell r="E1722" t="str">
            <v>CS Dr</v>
          </cell>
        </row>
        <row r="1723">
          <cell r="B1723" t="str">
            <v>F4116</v>
          </cell>
          <cell r="D1723" t="str">
            <v>일반 Dr.</v>
          </cell>
          <cell r="E1723" t="str">
            <v>CS Dr</v>
          </cell>
        </row>
        <row r="1724">
          <cell r="B1724" t="str">
            <v>F4116</v>
          </cell>
          <cell r="D1724" t="str">
            <v>일반 Dr.</v>
          </cell>
          <cell r="E1724" t="str">
            <v>CS Dr</v>
          </cell>
        </row>
        <row r="1725">
          <cell r="B1725" t="str">
            <v>F4116</v>
          </cell>
          <cell r="D1725" t="str">
            <v>일반 Dr.</v>
          </cell>
          <cell r="E1725" t="str">
            <v>CS Dr</v>
          </cell>
        </row>
        <row r="1726">
          <cell r="B1726" t="str">
            <v>F4116</v>
          </cell>
          <cell r="D1726" t="str">
            <v>일반 Dr.</v>
          </cell>
          <cell r="E1726" t="str">
            <v>CS Dr</v>
          </cell>
        </row>
        <row r="1727">
          <cell r="B1727" t="str">
            <v>F4116</v>
          </cell>
          <cell r="D1727" t="str">
            <v>일반 Dr.</v>
          </cell>
          <cell r="E1727" t="str">
            <v>CS Dr</v>
          </cell>
        </row>
        <row r="1728">
          <cell r="B1728" t="str">
            <v>F4116</v>
          </cell>
          <cell r="D1728" t="str">
            <v>일반 Dr.</v>
          </cell>
          <cell r="E1728" t="str">
            <v>CS Dr</v>
          </cell>
        </row>
        <row r="1729">
          <cell r="B1729" t="str">
            <v>F4116</v>
          </cell>
          <cell r="D1729" t="str">
            <v>일반 Dr.</v>
          </cell>
          <cell r="E1729" t="str">
            <v>CS Dr</v>
          </cell>
        </row>
        <row r="1730">
          <cell r="B1730" t="str">
            <v>F4116</v>
          </cell>
          <cell r="D1730" t="str">
            <v>일반 Dr.</v>
          </cell>
          <cell r="E1730" t="str">
            <v>CS Dr</v>
          </cell>
        </row>
        <row r="1731">
          <cell r="B1731" t="str">
            <v>F4116</v>
          </cell>
          <cell r="D1731" t="str">
            <v>일반 Dr.</v>
          </cell>
          <cell r="E1731" t="str">
            <v>CS Dr</v>
          </cell>
        </row>
        <row r="1732">
          <cell r="B1732" t="str">
            <v>F4116</v>
          </cell>
          <cell r="D1732" t="str">
            <v>일반 Dr.</v>
          </cell>
          <cell r="E1732" t="str">
            <v>CS Dr</v>
          </cell>
        </row>
        <row r="1733">
          <cell r="B1733" t="str">
            <v>F4116</v>
          </cell>
          <cell r="D1733" t="str">
            <v>일반 Dr.</v>
          </cell>
          <cell r="E1733" t="str">
            <v>CS Dr</v>
          </cell>
        </row>
        <row r="1734">
          <cell r="B1734" t="str">
            <v>F4116</v>
          </cell>
          <cell r="D1734" t="str">
            <v>일반 Dr.</v>
          </cell>
          <cell r="E1734" t="str">
            <v>CS Dr</v>
          </cell>
        </row>
        <row r="1735">
          <cell r="B1735" t="str">
            <v>F4116</v>
          </cell>
          <cell r="D1735" t="str">
            <v>조장</v>
          </cell>
          <cell r="E1735" t="str">
            <v>CS Dr</v>
          </cell>
        </row>
        <row r="1736">
          <cell r="B1736" t="str">
            <v>F4116</v>
          </cell>
          <cell r="D1736" t="str">
            <v>일반 Dr.</v>
          </cell>
          <cell r="E1736" t="str">
            <v>CS Dr</v>
          </cell>
        </row>
        <row r="1737">
          <cell r="B1737" t="str">
            <v>F4116</v>
          </cell>
          <cell r="D1737" t="str">
            <v>일반 Dr.</v>
          </cell>
          <cell r="E1737" t="str">
            <v>CS Dr</v>
          </cell>
        </row>
        <row r="1738">
          <cell r="B1738" t="str">
            <v>F4116</v>
          </cell>
          <cell r="D1738" t="str">
            <v>일반 Dr.</v>
          </cell>
          <cell r="E1738" t="str">
            <v>CS Dr</v>
          </cell>
        </row>
        <row r="1739">
          <cell r="B1739" t="str">
            <v>F4116</v>
          </cell>
          <cell r="D1739" t="str">
            <v>팀장</v>
          </cell>
          <cell r="E1739" t="str">
            <v>CS Dr</v>
          </cell>
        </row>
        <row r="1740">
          <cell r="B1740" t="str">
            <v>F4116</v>
          </cell>
          <cell r="D1740" t="str">
            <v>일반 Dr.</v>
          </cell>
          <cell r="E1740" t="str">
            <v>CS Dr</v>
          </cell>
        </row>
        <row r="1741">
          <cell r="B1741" t="str">
            <v>F4116</v>
          </cell>
          <cell r="D1741" t="str">
            <v>일반 Dr.</v>
          </cell>
          <cell r="E1741" t="str">
            <v>CS Dr</v>
          </cell>
        </row>
        <row r="1742">
          <cell r="B1742" t="str">
            <v>F4116</v>
          </cell>
          <cell r="D1742" t="str">
            <v>일반 Dr.</v>
          </cell>
          <cell r="E1742" t="str">
            <v>CS Dr</v>
          </cell>
        </row>
        <row r="1743">
          <cell r="B1743" t="str">
            <v>F4116</v>
          </cell>
          <cell r="D1743" t="str">
            <v>일반 Dr.</v>
          </cell>
          <cell r="E1743" t="str">
            <v>CS Dr</v>
          </cell>
        </row>
        <row r="1744">
          <cell r="B1744" t="str">
            <v>F4116</v>
          </cell>
          <cell r="D1744" t="str">
            <v>일반 Dr.</v>
          </cell>
          <cell r="E1744" t="str">
            <v>CS Dr</v>
          </cell>
        </row>
        <row r="1745">
          <cell r="B1745" t="str">
            <v>F4116</v>
          </cell>
          <cell r="D1745" t="str">
            <v>조장</v>
          </cell>
          <cell r="E1745" t="str">
            <v>CS Dr</v>
          </cell>
        </row>
        <row r="1746">
          <cell r="B1746" t="str">
            <v>F4116</v>
          </cell>
          <cell r="D1746" t="str">
            <v>일반 Dr.</v>
          </cell>
          <cell r="E1746" t="str">
            <v>CS Dr</v>
          </cell>
        </row>
        <row r="1747">
          <cell r="B1747" t="str">
            <v>F4116</v>
          </cell>
          <cell r="D1747" t="str">
            <v>일반 Dr.</v>
          </cell>
          <cell r="E1747" t="str">
            <v>CS Dr</v>
          </cell>
        </row>
        <row r="1748">
          <cell r="B1748" t="str">
            <v>F4116</v>
          </cell>
          <cell r="D1748" t="str">
            <v>일반 Dr.</v>
          </cell>
          <cell r="E1748" t="str">
            <v>CS Dr</v>
          </cell>
        </row>
        <row r="1749">
          <cell r="B1749" t="str">
            <v>F4116</v>
          </cell>
          <cell r="D1749" t="str">
            <v>일반 Dr.</v>
          </cell>
          <cell r="E1749" t="str">
            <v>CS Dr</v>
          </cell>
        </row>
        <row r="1750">
          <cell r="B1750" t="str">
            <v>F4116</v>
          </cell>
          <cell r="D1750" t="str">
            <v>일반 Dr.</v>
          </cell>
          <cell r="E1750" t="str">
            <v>CS Dr</v>
          </cell>
        </row>
        <row r="1751">
          <cell r="B1751" t="str">
            <v>F4116</v>
          </cell>
          <cell r="D1751" t="str">
            <v>일반 Dr.</v>
          </cell>
          <cell r="E1751" t="str">
            <v>CS Dr</v>
          </cell>
        </row>
        <row r="1752">
          <cell r="B1752" t="str">
            <v>F4116</v>
          </cell>
          <cell r="D1752" t="str">
            <v>일반 Dr.</v>
          </cell>
          <cell r="E1752" t="str">
            <v>CS Dr</v>
          </cell>
        </row>
        <row r="1753">
          <cell r="B1753" t="str">
            <v>F4116</v>
          </cell>
          <cell r="D1753" t="str">
            <v>일반 Dr.</v>
          </cell>
          <cell r="E1753" t="str">
            <v>CS Dr</v>
          </cell>
        </row>
        <row r="1754">
          <cell r="B1754" t="str">
            <v>L3060</v>
          </cell>
          <cell r="D1754" t="str">
            <v>시니어</v>
          </cell>
          <cell r="E1754" t="str">
            <v>뷔셀 Dr</v>
          </cell>
        </row>
        <row r="1755">
          <cell r="B1755" t="str">
            <v>L3060</v>
          </cell>
          <cell r="D1755" t="str">
            <v>시니어</v>
          </cell>
          <cell r="E1755" t="str">
            <v>뷔셀 Dr</v>
          </cell>
        </row>
        <row r="1756">
          <cell r="B1756" t="str">
            <v>L3060</v>
          </cell>
          <cell r="D1756" t="str">
            <v>시니어</v>
          </cell>
          <cell r="E1756" t="str">
            <v>뷔셀 Dr</v>
          </cell>
        </row>
        <row r="1757">
          <cell r="B1757" t="str">
            <v>L3060</v>
          </cell>
          <cell r="D1757" t="str">
            <v>시니어</v>
          </cell>
          <cell r="E1757" t="str">
            <v>뷔셀 Dr</v>
          </cell>
        </row>
        <row r="1758">
          <cell r="B1758" t="str">
            <v>L3060</v>
          </cell>
          <cell r="D1758" t="str">
            <v>시니어</v>
          </cell>
          <cell r="E1758" t="str">
            <v>뷔셀 Dr</v>
          </cell>
        </row>
        <row r="1759">
          <cell r="B1759" t="str">
            <v>L3060</v>
          </cell>
          <cell r="D1759" t="str">
            <v>시니어</v>
          </cell>
          <cell r="E1759" t="str">
            <v>뷔셀 Dr</v>
          </cell>
        </row>
        <row r="1760">
          <cell r="B1760" t="str">
            <v>L3060</v>
          </cell>
          <cell r="D1760" t="str">
            <v>시니어</v>
          </cell>
          <cell r="E1760" t="str">
            <v>뷔셀 Dr</v>
          </cell>
        </row>
        <row r="1761">
          <cell r="B1761" t="str">
            <v>L3060</v>
          </cell>
          <cell r="D1761" t="str">
            <v>시니어</v>
          </cell>
          <cell r="E1761" t="str">
            <v>뷔셀 Dr</v>
          </cell>
        </row>
        <row r="1762">
          <cell r="B1762" t="str">
            <v>L3060</v>
          </cell>
          <cell r="D1762" t="str">
            <v>시니어</v>
          </cell>
          <cell r="E1762" t="str">
            <v>뷔셀 Dr</v>
          </cell>
        </row>
        <row r="1763">
          <cell r="B1763" t="str">
            <v>L3060</v>
          </cell>
          <cell r="D1763" t="str">
            <v>시니어</v>
          </cell>
          <cell r="E1763" t="str">
            <v>뷔셀 Dr</v>
          </cell>
        </row>
        <row r="1764">
          <cell r="B1764" t="str">
            <v>L3060</v>
          </cell>
          <cell r="D1764" t="str">
            <v>시니어</v>
          </cell>
          <cell r="E1764" t="str">
            <v>뷔셀 Dr</v>
          </cell>
        </row>
        <row r="1765">
          <cell r="B1765" t="str">
            <v>L3060</v>
          </cell>
          <cell r="D1765" t="str">
            <v>시니어</v>
          </cell>
          <cell r="E1765" t="str">
            <v>뷔셀 Dr</v>
          </cell>
        </row>
        <row r="1766">
          <cell r="B1766" t="str">
            <v>L3060</v>
          </cell>
          <cell r="D1766" t="str">
            <v>시니어</v>
          </cell>
          <cell r="E1766" t="str">
            <v>뷔셀 Dr</v>
          </cell>
        </row>
        <row r="1767">
          <cell r="B1767" t="str">
            <v>L3060</v>
          </cell>
          <cell r="D1767" t="str">
            <v>시니어</v>
          </cell>
          <cell r="E1767" t="str">
            <v>뷔셀 Dr</v>
          </cell>
        </row>
        <row r="1768">
          <cell r="B1768" t="str">
            <v>L3060</v>
          </cell>
          <cell r="D1768" t="str">
            <v>시니어</v>
          </cell>
          <cell r="E1768" t="str">
            <v>뷔셀 Dr</v>
          </cell>
        </row>
        <row r="1769">
          <cell r="B1769" t="str">
            <v>L3060</v>
          </cell>
          <cell r="D1769" t="str">
            <v>시니어</v>
          </cell>
          <cell r="E1769" t="str">
            <v>뷔셀 Dr</v>
          </cell>
        </row>
        <row r="1770">
          <cell r="B1770" t="str">
            <v>L3060</v>
          </cell>
          <cell r="D1770" t="str">
            <v>시니어</v>
          </cell>
          <cell r="E1770" t="str">
            <v>뷔셀 Dr</v>
          </cell>
        </row>
        <row r="1771">
          <cell r="B1771" t="str">
            <v>L3060</v>
          </cell>
          <cell r="D1771" t="str">
            <v>시니어</v>
          </cell>
          <cell r="E1771" t="str">
            <v>뷔셀 Dr</v>
          </cell>
        </row>
        <row r="1772">
          <cell r="B1772" t="str">
            <v>L3060</v>
          </cell>
          <cell r="D1772" t="str">
            <v>시니어</v>
          </cell>
          <cell r="E1772" t="str">
            <v>뷔셀 Dr</v>
          </cell>
        </row>
        <row r="1773">
          <cell r="B1773" t="str">
            <v>L3060</v>
          </cell>
          <cell r="D1773" t="str">
            <v>시니어</v>
          </cell>
          <cell r="E1773" t="str">
            <v>뷔셀 Dr</v>
          </cell>
        </row>
        <row r="1774">
          <cell r="B1774" t="str">
            <v>L3060</v>
          </cell>
          <cell r="D1774" t="str">
            <v>시니어</v>
          </cell>
          <cell r="E1774" t="str">
            <v>뷔셀 Dr</v>
          </cell>
        </row>
        <row r="1775">
          <cell r="B1775" t="str">
            <v>L3060</v>
          </cell>
          <cell r="D1775" t="str">
            <v>시니어</v>
          </cell>
          <cell r="E1775" t="str">
            <v>뷔셀 Dr</v>
          </cell>
        </row>
        <row r="1776">
          <cell r="B1776" t="str">
            <v>L3060</v>
          </cell>
          <cell r="D1776" t="str">
            <v>시니어</v>
          </cell>
          <cell r="E1776" t="str">
            <v>뷔셀 Dr</v>
          </cell>
        </row>
        <row r="1777">
          <cell r="B1777" t="str">
            <v>L3060</v>
          </cell>
          <cell r="D1777" t="str">
            <v>시니어</v>
          </cell>
          <cell r="E1777" t="str">
            <v>뷔셀 Dr</v>
          </cell>
        </row>
        <row r="1778">
          <cell r="B1778" t="str">
            <v>L3060</v>
          </cell>
          <cell r="D1778" t="str">
            <v>시니어</v>
          </cell>
          <cell r="E1778" t="str">
            <v>뷔셀 Dr</v>
          </cell>
        </row>
        <row r="1779">
          <cell r="B1779" t="str">
            <v>L3060</v>
          </cell>
          <cell r="D1779" t="str">
            <v>시니어</v>
          </cell>
          <cell r="E1779" t="str">
            <v>뷔셀 Dr</v>
          </cell>
        </row>
        <row r="1780">
          <cell r="B1780" t="str">
            <v>L3060</v>
          </cell>
          <cell r="D1780" t="str">
            <v>주니어</v>
          </cell>
          <cell r="E1780" t="str">
            <v>뷔셀 Dr</v>
          </cell>
        </row>
        <row r="1781">
          <cell r="B1781" t="str">
            <v>L3060</v>
          </cell>
          <cell r="D1781" t="str">
            <v>주니어</v>
          </cell>
          <cell r="E1781" t="str">
            <v>뷔셀 Dr</v>
          </cell>
        </row>
        <row r="1782">
          <cell r="B1782" t="str">
            <v>L3060</v>
          </cell>
          <cell r="D1782" t="str">
            <v>주니어</v>
          </cell>
          <cell r="E1782" t="str">
            <v>뷔셀 Dr</v>
          </cell>
        </row>
        <row r="1783">
          <cell r="B1783" t="str">
            <v>F4130</v>
          </cell>
          <cell r="D1783" t="str">
            <v>일반 Dr.</v>
          </cell>
          <cell r="E1783" t="str">
            <v>CS Dr</v>
          </cell>
        </row>
        <row r="1784">
          <cell r="B1784" t="str">
            <v>F4130</v>
          </cell>
          <cell r="D1784" t="str">
            <v>일반 Dr.</v>
          </cell>
          <cell r="E1784" t="str">
            <v>CS Dr</v>
          </cell>
        </row>
        <row r="1785">
          <cell r="B1785" t="str">
            <v>F4130</v>
          </cell>
          <cell r="D1785" t="str">
            <v>일반 Dr.</v>
          </cell>
          <cell r="E1785" t="str">
            <v>CS Dr</v>
          </cell>
        </row>
        <row r="1786">
          <cell r="B1786" t="str">
            <v>F4130</v>
          </cell>
          <cell r="D1786" t="str">
            <v>일반 Dr.</v>
          </cell>
          <cell r="E1786" t="str">
            <v>CS Dr</v>
          </cell>
        </row>
        <row r="1787">
          <cell r="B1787" t="str">
            <v>F4130</v>
          </cell>
          <cell r="D1787" t="str">
            <v>일반 Dr.</v>
          </cell>
          <cell r="E1787" t="str">
            <v>CS Dr</v>
          </cell>
        </row>
        <row r="1788">
          <cell r="B1788" t="str">
            <v>F4130</v>
          </cell>
          <cell r="D1788" t="str">
            <v>일반 Dr.</v>
          </cell>
          <cell r="E1788" t="str">
            <v>CS Dr</v>
          </cell>
        </row>
        <row r="1789">
          <cell r="B1789" t="str">
            <v>F4130</v>
          </cell>
          <cell r="D1789" t="str">
            <v>일반 Dr.</v>
          </cell>
          <cell r="E1789" t="str">
            <v>CS Dr</v>
          </cell>
        </row>
        <row r="1790">
          <cell r="B1790" t="str">
            <v>F4130</v>
          </cell>
          <cell r="D1790" t="str">
            <v>일반 Dr.</v>
          </cell>
          <cell r="E1790" t="str">
            <v>CS Dr</v>
          </cell>
        </row>
        <row r="1791">
          <cell r="B1791" t="str">
            <v>F4130</v>
          </cell>
          <cell r="D1791" t="str">
            <v>일반 Dr.</v>
          </cell>
          <cell r="E1791" t="str">
            <v>CS Dr</v>
          </cell>
        </row>
        <row r="1792">
          <cell r="B1792" t="str">
            <v>F4130</v>
          </cell>
          <cell r="D1792" t="str">
            <v>일반 Dr.</v>
          </cell>
          <cell r="E1792" t="str">
            <v>CS Dr</v>
          </cell>
        </row>
        <row r="1793">
          <cell r="B1793" t="str">
            <v>F4130</v>
          </cell>
          <cell r="D1793" t="str">
            <v>일반 Dr.</v>
          </cell>
          <cell r="E1793" t="str">
            <v>CS Dr</v>
          </cell>
        </row>
        <row r="1794">
          <cell r="B1794" t="str">
            <v>F4130</v>
          </cell>
          <cell r="D1794" t="str">
            <v>팀장</v>
          </cell>
          <cell r="E1794" t="str">
            <v>CS Dr</v>
          </cell>
        </row>
        <row r="1795">
          <cell r="B1795" t="str">
            <v>F4130</v>
          </cell>
          <cell r="D1795" t="str">
            <v>일반 Dr.</v>
          </cell>
          <cell r="E1795" t="str">
            <v>CS Dr</v>
          </cell>
        </row>
        <row r="1796">
          <cell r="B1796" t="str">
            <v>F4130</v>
          </cell>
          <cell r="D1796" t="str">
            <v>일반 Dr.</v>
          </cell>
          <cell r="E1796" t="str">
            <v>CS Dr</v>
          </cell>
        </row>
        <row r="1797">
          <cell r="B1797" t="str">
            <v>F4130</v>
          </cell>
          <cell r="D1797" t="str">
            <v>조장</v>
          </cell>
          <cell r="E1797" t="str">
            <v>CS Dr</v>
          </cell>
        </row>
        <row r="1798">
          <cell r="B1798" t="str">
            <v>F4130</v>
          </cell>
          <cell r="D1798" t="str">
            <v>일반 Dr.</v>
          </cell>
          <cell r="E1798" t="str">
            <v>CS Dr</v>
          </cell>
        </row>
        <row r="1799">
          <cell r="B1799" t="str">
            <v>F4130</v>
          </cell>
          <cell r="D1799" t="str">
            <v>일반 Dr.</v>
          </cell>
          <cell r="E1799" t="str">
            <v>CS Dr</v>
          </cell>
        </row>
        <row r="1800">
          <cell r="B1800" t="str">
            <v>F4130</v>
          </cell>
          <cell r="D1800" t="str">
            <v>조장</v>
          </cell>
          <cell r="E1800" t="str">
            <v>CS Dr</v>
          </cell>
        </row>
        <row r="1801">
          <cell r="B1801" t="str">
            <v>F4130</v>
          </cell>
          <cell r="D1801" t="str">
            <v>일반 Dr.</v>
          </cell>
          <cell r="E1801" t="str">
            <v>CS Dr</v>
          </cell>
        </row>
        <row r="1802">
          <cell r="B1802" t="str">
            <v>F4130</v>
          </cell>
          <cell r="D1802" t="str">
            <v>조장</v>
          </cell>
          <cell r="E1802" t="str">
            <v>CS Dr</v>
          </cell>
        </row>
        <row r="1803">
          <cell r="B1803" t="str">
            <v>F4130</v>
          </cell>
          <cell r="D1803" t="str">
            <v>일반 Dr.</v>
          </cell>
          <cell r="E1803" t="str">
            <v>CS Dr</v>
          </cell>
        </row>
        <row r="1804">
          <cell r="B1804" t="str">
            <v>F4130</v>
          </cell>
          <cell r="D1804" t="str">
            <v>일반 Dr.</v>
          </cell>
          <cell r="E1804" t="str">
            <v>CS Dr</v>
          </cell>
        </row>
        <row r="1805">
          <cell r="B1805" t="str">
            <v>F4130</v>
          </cell>
          <cell r="D1805" t="str">
            <v>일반 Dr.</v>
          </cell>
          <cell r="E1805" t="str">
            <v>CS Dr</v>
          </cell>
        </row>
        <row r="1806">
          <cell r="B1806" t="str">
            <v>F4130</v>
          </cell>
          <cell r="D1806" t="str">
            <v>일반 Dr.</v>
          </cell>
          <cell r="E1806" t="str">
            <v>CS Dr</v>
          </cell>
        </row>
        <row r="1807">
          <cell r="B1807" t="str">
            <v>F4130</v>
          </cell>
          <cell r="D1807" t="str">
            <v>일반 Dr.</v>
          </cell>
          <cell r="E1807" t="str">
            <v>CS Dr</v>
          </cell>
        </row>
        <row r="1808">
          <cell r="B1808" t="str">
            <v>F4130</v>
          </cell>
          <cell r="D1808" t="str">
            <v>일반 Dr.</v>
          </cell>
          <cell r="E1808" t="str">
            <v>CS Dr</v>
          </cell>
        </row>
        <row r="1809">
          <cell r="B1809" t="str">
            <v>F4130</v>
          </cell>
          <cell r="D1809" t="str">
            <v>조장</v>
          </cell>
          <cell r="E1809" t="str">
            <v>CS Dr</v>
          </cell>
        </row>
        <row r="1810">
          <cell r="B1810" t="str">
            <v>F4130</v>
          </cell>
          <cell r="D1810" t="str">
            <v>조장</v>
          </cell>
          <cell r="E1810" t="str">
            <v>CS Dr</v>
          </cell>
        </row>
        <row r="1811">
          <cell r="B1811" t="str">
            <v>F4130</v>
          </cell>
          <cell r="D1811" t="str">
            <v>일반 Dr.</v>
          </cell>
          <cell r="E1811" t="str">
            <v>CS Dr</v>
          </cell>
        </row>
        <row r="1812">
          <cell r="B1812" t="str">
            <v>F4130</v>
          </cell>
          <cell r="D1812" t="str">
            <v>일반 Dr.</v>
          </cell>
          <cell r="E1812" t="str">
            <v>CS Dr</v>
          </cell>
        </row>
        <row r="1813">
          <cell r="B1813" t="str">
            <v>F4130</v>
          </cell>
          <cell r="D1813" t="str">
            <v>일반 Dr.</v>
          </cell>
          <cell r="E1813" t="str">
            <v>CS Dr</v>
          </cell>
        </row>
        <row r="1814">
          <cell r="B1814" t="str">
            <v>F4130</v>
          </cell>
          <cell r="D1814" t="str">
            <v>일반 Dr.</v>
          </cell>
          <cell r="E1814" t="str">
            <v>CS Dr</v>
          </cell>
        </row>
        <row r="1815">
          <cell r="B1815" t="str">
            <v>F4130</v>
          </cell>
          <cell r="D1815" t="str">
            <v>일반 Dr.</v>
          </cell>
          <cell r="E1815" t="str">
            <v>CS Dr</v>
          </cell>
        </row>
        <row r="1816">
          <cell r="B1816" t="str">
            <v>F4011</v>
          </cell>
          <cell r="D1816" t="str">
            <v>DDL Master</v>
          </cell>
          <cell r="E1816" t="str">
            <v>도어락전담</v>
          </cell>
        </row>
        <row r="1817">
          <cell r="B1817" t="str">
            <v>F4011</v>
          </cell>
          <cell r="D1817" t="str">
            <v>DDL Dr.</v>
          </cell>
          <cell r="E1817" t="str">
            <v>도어락전담</v>
          </cell>
        </row>
        <row r="1818">
          <cell r="B1818" t="str">
            <v>F4130</v>
          </cell>
          <cell r="D1818" t="str">
            <v>일반 Dr.</v>
          </cell>
          <cell r="E1818" t="str">
            <v>CS Dr</v>
          </cell>
        </row>
        <row r="1819">
          <cell r="B1819" t="str">
            <v>F4130</v>
          </cell>
          <cell r="D1819" t="str">
            <v>일반 Dr.</v>
          </cell>
          <cell r="E1819" t="str">
            <v>CS Dr</v>
          </cell>
        </row>
        <row r="1820">
          <cell r="B1820" t="str">
            <v>F4130</v>
          </cell>
          <cell r="D1820" t="str">
            <v>일반 Dr.</v>
          </cell>
          <cell r="E1820" t="str">
            <v>CS Dr</v>
          </cell>
        </row>
        <row r="1821">
          <cell r="B1821" t="str">
            <v>F4130</v>
          </cell>
          <cell r="D1821" t="str">
            <v>일반 Dr.</v>
          </cell>
          <cell r="E1821" t="str">
            <v>CS Dr</v>
          </cell>
        </row>
        <row r="1822">
          <cell r="B1822" t="str">
            <v>F4130</v>
          </cell>
          <cell r="D1822" t="str">
            <v>일반 Dr.</v>
          </cell>
          <cell r="E1822" t="str">
            <v>CS Dr</v>
          </cell>
        </row>
        <row r="1823">
          <cell r="B1823" t="str">
            <v>F4130</v>
          </cell>
          <cell r="D1823" t="str">
            <v>일반 Dr.</v>
          </cell>
          <cell r="E1823" t="str">
            <v>CS Dr</v>
          </cell>
        </row>
        <row r="1824">
          <cell r="B1824" t="str">
            <v>F4130</v>
          </cell>
          <cell r="D1824" t="str">
            <v>일반 Dr.</v>
          </cell>
          <cell r="E1824" t="str">
            <v>CS Dr</v>
          </cell>
        </row>
        <row r="1825">
          <cell r="B1825" t="str">
            <v>F4130</v>
          </cell>
          <cell r="D1825" t="str">
            <v>일반 Dr.</v>
          </cell>
          <cell r="E1825" t="str">
            <v>CS Dr</v>
          </cell>
        </row>
        <row r="1826">
          <cell r="B1826" t="str">
            <v>F4130</v>
          </cell>
          <cell r="D1826" t="str">
            <v>일반 Dr.</v>
          </cell>
          <cell r="E1826" t="str">
            <v>CS Dr</v>
          </cell>
        </row>
        <row r="1827">
          <cell r="B1827" t="str">
            <v>F4130</v>
          </cell>
          <cell r="D1827" t="str">
            <v>일반 Dr.</v>
          </cell>
          <cell r="E1827" t="str">
            <v>CS Dr</v>
          </cell>
        </row>
        <row r="1828">
          <cell r="B1828" t="str">
            <v>F4130</v>
          </cell>
          <cell r="D1828" t="str">
            <v>일반 Dr.</v>
          </cell>
          <cell r="E1828" t="str">
            <v>CS Dr</v>
          </cell>
        </row>
        <row r="1829">
          <cell r="B1829" t="str">
            <v>F4130</v>
          </cell>
          <cell r="D1829" t="str">
            <v>일반 Dr.</v>
          </cell>
          <cell r="E1829" t="str">
            <v>CS Dr</v>
          </cell>
        </row>
        <row r="1830">
          <cell r="B1830" t="str">
            <v>F4130</v>
          </cell>
          <cell r="D1830" t="str">
            <v>일반 Dr.</v>
          </cell>
          <cell r="E1830" t="str">
            <v>CS Dr</v>
          </cell>
        </row>
        <row r="1831">
          <cell r="B1831" t="str">
            <v>F4130</v>
          </cell>
          <cell r="D1831" t="str">
            <v>일반 Dr.</v>
          </cell>
          <cell r="E1831" t="str">
            <v>CS Dr</v>
          </cell>
        </row>
        <row r="1832">
          <cell r="B1832" t="str">
            <v>F4130</v>
          </cell>
          <cell r="D1832" t="str">
            <v>조장</v>
          </cell>
          <cell r="E1832" t="str">
            <v>CS Dr</v>
          </cell>
        </row>
        <row r="1833">
          <cell r="B1833" t="str">
            <v>F4130</v>
          </cell>
          <cell r="D1833" t="str">
            <v>일반 Dr.</v>
          </cell>
          <cell r="E1833" t="str">
            <v>CS Dr</v>
          </cell>
        </row>
        <row r="1834">
          <cell r="B1834" t="str">
            <v>F4130</v>
          </cell>
          <cell r="D1834" t="str">
            <v>일반 Dr.</v>
          </cell>
          <cell r="E1834" t="str">
            <v>CS Dr</v>
          </cell>
        </row>
        <row r="1835">
          <cell r="B1835" t="str">
            <v>F4130</v>
          </cell>
          <cell r="D1835" t="str">
            <v>일반 Dr.</v>
          </cell>
          <cell r="E1835" t="str">
            <v>CS Dr</v>
          </cell>
        </row>
        <row r="1836">
          <cell r="B1836" t="str">
            <v>F4130</v>
          </cell>
          <cell r="D1836" t="str">
            <v>조장</v>
          </cell>
          <cell r="E1836" t="str">
            <v>CS Dr</v>
          </cell>
        </row>
        <row r="1837">
          <cell r="B1837" t="str">
            <v>F4130</v>
          </cell>
          <cell r="D1837" t="str">
            <v>조장</v>
          </cell>
          <cell r="E1837" t="str">
            <v>CS Dr</v>
          </cell>
        </row>
        <row r="1838">
          <cell r="B1838" t="str">
            <v>F4130</v>
          </cell>
          <cell r="D1838" t="str">
            <v>조장</v>
          </cell>
          <cell r="E1838" t="str">
            <v>CS Dr</v>
          </cell>
        </row>
        <row r="1839">
          <cell r="B1839" t="str">
            <v>F4130</v>
          </cell>
          <cell r="D1839" t="str">
            <v>일반 Dr.</v>
          </cell>
          <cell r="E1839" t="str">
            <v>CS Dr</v>
          </cell>
        </row>
        <row r="1840">
          <cell r="B1840" t="str">
            <v>F4130</v>
          </cell>
          <cell r="D1840" t="str">
            <v>팀장</v>
          </cell>
          <cell r="E1840" t="str">
            <v>CS Dr</v>
          </cell>
        </row>
        <row r="1841">
          <cell r="B1841" t="str">
            <v>F4130</v>
          </cell>
          <cell r="D1841" t="str">
            <v>일반 Dr.</v>
          </cell>
          <cell r="E1841" t="str">
            <v>CS Dr</v>
          </cell>
        </row>
        <row r="1842">
          <cell r="B1842" t="str">
            <v>F4130</v>
          </cell>
          <cell r="D1842" t="str">
            <v>일반 Dr.</v>
          </cell>
          <cell r="E1842" t="str">
            <v>CS Dr</v>
          </cell>
        </row>
        <row r="1843">
          <cell r="B1843" t="str">
            <v>F4130</v>
          </cell>
          <cell r="D1843" t="str">
            <v>조장</v>
          </cell>
          <cell r="E1843" t="str">
            <v>CS Dr</v>
          </cell>
        </row>
        <row r="1844">
          <cell r="B1844" t="str">
            <v>F4130</v>
          </cell>
          <cell r="D1844" t="str">
            <v>일반 Dr.</v>
          </cell>
          <cell r="E1844" t="str">
            <v>CS Dr</v>
          </cell>
        </row>
        <row r="1845">
          <cell r="B1845" t="str">
            <v>F4130</v>
          </cell>
          <cell r="D1845" t="str">
            <v>일반 Dr.</v>
          </cell>
          <cell r="E1845" t="str">
            <v>CS Dr</v>
          </cell>
        </row>
        <row r="1846">
          <cell r="B1846" t="str">
            <v>F4130</v>
          </cell>
          <cell r="D1846" t="str">
            <v>일반 Dr.</v>
          </cell>
          <cell r="E1846" t="str">
            <v>CS Dr</v>
          </cell>
        </row>
        <row r="1847">
          <cell r="B1847" t="str">
            <v>F4130</v>
          </cell>
          <cell r="D1847" t="str">
            <v>일반 Dr.</v>
          </cell>
          <cell r="E1847" t="str">
            <v>CS Dr</v>
          </cell>
        </row>
        <row r="1848">
          <cell r="B1848" t="str">
            <v>F4130</v>
          </cell>
          <cell r="D1848" t="str">
            <v>일반 Dr.</v>
          </cell>
          <cell r="E1848" t="str">
            <v>CS Dr</v>
          </cell>
        </row>
        <row r="1849">
          <cell r="B1849" t="str">
            <v>F4130</v>
          </cell>
          <cell r="D1849" t="str">
            <v>기술사내강사</v>
          </cell>
          <cell r="E1849" t="str">
            <v>CS Dr</v>
          </cell>
        </row>
        <row r="1850">
          <cell r="B1850" t="str">
            <v>F4130</v>
          </cell>
          <cell r="D1850" t="str">
            <v>일반 Dr.</v>
          </cell>
          <cell r="E1850" t="str">
            <v>CS Dr</v>
          </cell>
        </row>
        <row r="1851">
          <cell r="B1851" t="str">
            <v>F4130</v>
          </cell>
          <cell r="D1851" t="str">
            <v>일반 Dr.</v>
          </cell>
          <cell r="E1851" t="str">
            <v>CS Dr</v>
          </cell>
        </row>
        <row r="1852">
          <cell r="B1852" t="str">
            <v>F4130</v>
          </cell>
          <cell r="D1852" t="str">
            <v>일반 Dr.</v>
          </cell>
          <cell r="E1852" t="str">
            <v>CS Dr</v>
          </cell>
        </row>
        <row r="1853">
          <cell r="B1853" t="str">
            <v>F4130</v>
          </cell>
          <cell r="D1853" t="str">
            <v>일반 Dr.</v>
          </cell>
          <cell r="E1853" t="str">
            <v>CS Dr</v>
          </cell>
        </row>
        <row r="1854">
          <cell r="B1854" t="str">
            <v>F4130</v>
          </cell>
          <cell r="D1854" t="str">
            <v>일반 Dr.</v>
          </cell>
          <cell r="E1854" t="str">
            <v>CS Dr</v>
          </cell>
        </row>
        <row r="1855">
          <cell r="B1855" t="str">
            <v>F4130</v>
          </cell>
          <cell r="D1855" t="str">
            <v>일반 Dr.</v>
          </cell>
          <cell r="E1855" t="str">
            <v>CS Dr</v>
          </cell>
        </row>
        <row r="1856">
          <cell r="B1856" t="str">
            <v>F4130</v>
          </cell>
          <cell r="D1856" t="str">
            <v>일반 Dr.</v>
          </cell>
          <cell r="E1856" t="str">
            <v>CS Dr</v>
          </cell>
        </row>
        <row r="1857">
          <cell r="B1857" t="str">
            <v>F4130</v>
          </cell>
          <cell r="D1857" t="str">
            <v>일반 Dr.</v>
          </cell>
          <cell r="E1857" t="str">
            <v>CS Dr</v>
          </cell>
        </row>
        <row r="1858">
          <cell r="B1858" t="str">
            <v>F4130</v>
          </cell>
          <cell r="D1858" t="str">
            <v>일반 Dr.</v>
          </cell>
          <cell r="E1858" t="str">
            <v>CS Dr</v>
          </cell>
        </row>
        <row r="1859">
          <cell r="B1859" t="str">
            <v>F4130</v>
          </cell>
          <cell r="D1859" t="str">
            <v>일반 Dr.</v>
          </cell>
          <cell r="E1859" t="str">
            <v>CS Dr</v>
          </cell>
        </row>
        <row r="1860">
          <cell r="B1860" t="str">
            <v>F4130</v>
          </cell>
          <cell r="D1860" t="str">
            <v>일반 Dr.</v>
          </cell>
          <cell r="E1860" t="str">
            <v>CS Dr</v>
          </cell>
        </row>
        <row r="1861">
          <cell r="B1861" t="str">
            <v>F4130</v>
          </cell>
          <cell r="D1861" t="str">
            <v>일반 Dr.</v>
          </cell>
          <cell r="E1861" t="str">
            <v>CS Dr</v>
          </cell>
        </row>
        <row r="1862">
          <cell r="B1862" t="str">
            <v>F4130</v>
          </cell>
          <cell r="D1862" t="str">
            <v>일반 Dr.</v>
          </cell>
          <cell r="E1862" t="str">
            <v>CS Dr</v>
          </cell>
        </row>
        <row r="1863">
          <cell r="B1863" t="str">
            <v>F4130</v>
          </cell>
          <cell r="D1863" t="str">
            <v>일반 Dr.</v>
          </cell>
          <cell r="E1863" t="str">
            <v>CS Dr</v>
          </cell>
        </row>
        <row r="1864">
          <cell r="B1864" t="str">
            <v>F4130</v>
          </cell>
          <cell r="D1864" t="str">
            <v>일반 Dr.</v>
          </cell>
          <cell r="E1864" t="str">
            <v>CS Dr</v>
          </cell>
        </row>
        <row r="1865">
          <cell r="B1865" t="str">
            <v>F4011</v>
          </cell>
          <cell r="D1865" t="str">
            <v>배달</v>
          </cell>
          <cell r="E1865" t="str">
            <v>용</v>
          </cell>
        </row>
        <row r="1866">
          <cell r="B1866" t="str">
            <v>F4142</v>
          </cell>
          <cell r="D1866" t="str">
            <v>조장</v>
          </cell>
          <cell r="E1866" t="str">
            <v>CS Dr</v>
          </cell>
        </row>
        <row r="1867">
          <cell r="B1867" t="str">
            <v>F4142</v>
          </cell>
          <cell r="D1867" t="str">
            <v>일반 Dr.</v>
          </cell>
          <cell r="E1867" t="str">
            <v>CS Dr</v>
          </cell>
        </row>
        <row r="1868">
          <cell r="B1868" t="str">
            <v>F4142</v>
          </cell>
          <cell r="D1868" t="str">
            <v>일반 Dr.</v>
          </cell>
          <cell r="E1868" t="str">
            <v>CS Dr</v>
          </cell>
        </row>
        <row r="1869">
          <cell r="B1869" t="str">
            <v>F4142</v>
          </cell>
          <cell r="D1869" t="str">
            <v>조장</v>
          </cell>
          <cell r="E1869" t="str">
            <v>CS Dr</v>
          </cell>
        </row>
        <row r="1870">
          <cell r="B1870" t="str">
            <v>F4142</v>
          </cell>
          <cell r="D1870" t="str">
            <v>일반 Dr.</v>
          </cell>
          <cell r="E1870" t="str">
            <v>CS Dr</v>
          </cell>
        </row>
        <row r="1871">
          <cell r="B1871" t="str">
            <v>F4142</v>
          </cell>
          <cell r="D1871" t="str">
            <v>일반 Dr.</v>
          </cell>
          <cell r="E1871" t="str">
            <v>CS Dr</v>
          </cell>
        </row>
        <row r="1872">
          <cell r="B1872" t="str">
            <v>F4142</v>
          </cell>
          <cell r="D1872" t="str">
            <v>일반 Dr.</v>
          </cell>
          <cell r="E1872" t="str">
            <v>CS Dr</v>
          </cell>
        </row>
        <row r="1873">
          <cell r="B1873" t="str">
            <v>F4142</v>
          </cell>
          <cell r="D1873" t="str">
            <v>일반 Dr.</v>
          </cell>
          <cell r="E1873" t="str">
            <v>CS Dr</v>
          </cell>
        </row>
        <row r="1874">
          <cell r="B1874" t="str">
            <v>F4142</v>
          </cell>
          <cell r="D1874" t="str">
            <v>일반 Dr.</v>
          </cell>
          <cell r="E1874" t="str">
            <v>CS Dr</v>
          </cell>
        </row>
        <row r="1875">
          <cell r="B1875" t="str">
            <v>F4142</v>
          </cell>
          <cell r="D1875" t="str">
            <v>일반 Dr.</v>
          </cell>
          <cell r="E1875" t="str">
            <v>CS Dr</v>
          </cell>
        </row>
        <row r="1876">
          <cell r="B1876" t="str">
            <v>F4142</v>
          </cell>
          <cell r="D1876" t="str">
            <v>일반 Dr.</v>
          </cell>
          <cell r="E1876" t="str">
            <v>CS Dr</v>
          </cell>
        </row>
        <row r="1877">
          <cell r="B1877" t="str">
            <v>F4142</v>
          </cell>
          <cell r="D1877" t="str">
            <v>조장</v>
          </cell>
          <cell r="E1877" t="str">
            <v>CS Dr</v>
          </cell>
        </row>
        <row r="1878">
          <cell r="B1878" t="str">
            <v>F4142</v>
          </cell>
          <cell r="D1878" t="str">
            <v>일반 Dr.</v>
          </cell>
          <cell r="E1878" t="str">
            <v>CS Dr</v>
          </cell>
        </row>
        <row r="1879">
          <cell r="B1879" t="str">
            <v>F4142</v>
          </cell>
          <cell r="D1879" t="str">
            <v>조장</v>
          </cell>
          <cell r="E1879" t="str">
            <v>CS Dr</v>
          </cell>
        </row>
        <row r="1880">
          <cell r="B1880" t="str">
            <v>F4142</v>
          </cell>
          <cell r="D1880" t="str">
            <v>기술사내강사</v>
          </cell>
          <cell r="E1880" t="str">
            <v>CS Dr</v>
          </cell>
        </row>
        <row r="1881">
          <cell r="B1881" t="str">
            <v>F4142</v>
          </cell>
          <cell r="D1881" t="str">
            <v>일반 Dr.</v>
          </cell>
          <cell r="E1881" t="str">
            <v>CS Dr</v>
          </cell>
        </row>
        <row r="1882">
          <cell r="B1882" t="str">
            <v>F4142</v>
          </cell>
          <cell r="D1882" t="str">
            <v>일반 Dr.</v>
          </cell>
          <cell r="E1882" t="str">
            <v>CS Dr</v>
          </cell>
        </row>
        <row r="1883">
          <cell r="B1883" t="str">
            <v>F4142</v>
          </cell>
          <cell r="D1883" t="str">
            <v>팀장</v>
          </cell>
          <cell r="E1883" t="str">
            <v>CS Dr</v>
          </cell>
        </row>
        <row r="1884">
          <cell r="B1884" t="str">
            <v>F4142</v>
          </cell>
          <cell r="D1884" t="str">
            <v>일반 Dr.</v>
          </cell>
          <cell r="E1884" t="str">
            <v>CS Dr</v>
          </cell>
        </row>
        <row r="1885">
          <cell r="B1885" t="str">
            <v>F4142</v>
          </cell>
          <cell r="D1885" t="str">
            <v>일반 Dr.</v>
          </cell>
          <cell r="E1885" t="str">
            <v>CS Dr</v>
          </cell>
        </row>
        <row r="1886">
          <cell r="B1886" t="str">
            <v>F4142</v>
          </cell>
          <cell r="D1886" t="str">
            <v>일반 Dr.</v>
          </cell>
          <cell r="E1886" t="str">
            <v>CS Dr</v>
          </cell>
        </row>
        <row r="1887">
          <cell r="B1887" t="str">
            <v>F4142</v>
          </cell>
          <cell r="D1887" t="str">
            <v>일반 Dr.</v>
          </cell>
          <cell r="E1887" t="str">
            <v>CS Dr</v>
          </cell>
        </row>
        <row r="1888">
          <cell r="B1888" t="str">
            <v>F4142</v>
          </cell>
          <cell r="D1888" t="str">
            <v>일반 Dr.</v>
          </cell>
          <cell r="E1888" t="str">
            <v>CS Dr</v>
          </cell>
        </row>
        <row r="1889">
          <cell r="B1889" t="str">
            <v>F4142</v>
          </cell>
          <cell r="D1889" t="str">
            <v>일반 Dr.</v>
          </cell>
          <cell r="E1889" t="str">
            <v>CS Dr</v>
          </cell>
        </row>
        <row r="1890">
          <cell r="B1890" t="str">
            <v>F4142</v>
          </cell>
          <cell r="D1890" t="str">
            <v>일반 Dr.</v>
          </cell>
          <cell r="E1890" t="str">
            <v>CS Dr</v>
          </cell>
        </row>
        <row r="1891">
          <cell r="B1891" t="str">
            <v>F4142</v>
          </cell>
          <cell r="D1891" t="str">
            <v>일반 Dr.</v>
          </cell>
          <cell r="E1891" t="str">
            <v>CS Dr</v>
          </cell>
        </row>
        <row r="1892">
          <cell r="B1892" t="str">
            <v>F4123</v>
          </cell>
          <cell r="D1892" t="str">
            <v>일반 Dr.</v>
          </cell>
          <cell r="E1892" t="str">
            <v>CS Dr</v>
          </cell>
        </row>
        <row r="1893">
          <cell r="B1893" t="str">
            <v>F4123</v>
          </cell>
          <cell r="D1893" t="str">
            <v>일반 Dr.</v>
          </cell>
          <cell r="E1893" t="str">
            <v>CS Dr</v>
          </cell>
        </row>
        <row r="1894">
          <cell r="B1894" t="str">
            <v>F4123</v>
          </cell>
          <cell r="D1894" t="str">
            <v>일반 Dr.</v>
          </cell>
          <cell r="E1894" t="str">
            <v>CS Dr</v>
          </cell>
        </row>
        <row r="1895">
          <cell r="B1895" t="str">
            <v>F4123</v>
          </cell>
          <cell r="D1895" t="str">
            <v>일반 Dr.</v>
          </cell>
          <cell r="E1895" t="str">
            <v>CS Dr</v>
          </cell>
        </row>
        <row r="1896">
          <cell r="B1896" t="str">
            <v>F4123</v>
          </cell>
          <cell r="D1896" t="str">
            <v>일반 Dr.</v>
          </cell>
          <cell r="E1896" t="str">
            <v>CS Dr</v>
          </cell>
        </row>
        <row r="1897">
          <cell r="B1897" t="str">
            <v>F4123</v>
          </cell>
          <cell r="D1897" t="str">
            <v>일반 Dr.</v>
          </cell>
          <cell r="E1897" t="str">
            <v>CS Dr</v>
          </cell>
        </row>
        <row r="1898">
          <cell r="B1898" t="str">
            <v>F4123</v>
          </cell>
          <cell r="D1898" t="str">
            <v>팀장</v>
          </cell>
          <cell r="E1898" t="str">
            <v>CS Dr</v>
          </cell>
        </row>
        <row r="1899">
          <cell r="B1899" t="str">
            <v>F4123</v>
          </cell>
          <cell r="D1899" t="str">
            <v>일반 Dr.</v>
          </cell>
          <cell r="E1899" t="str">
            <v>CS Dr</v>
          </cell>
        </row>
        <row r="1900">
          <cell r="B1900" t="str">
            <v>F4123</v>
          </cell>
          <cell r="D1900" t="str">
            <v>일반 Dr.</v>
          </cell>
          <cell r="E1900" t="str">
            <v>CS Dr</v>
          </cell>
        </row>
        <row r="1901">
          <cell r="B1901" t="str">
            <v>F4123</v>
          </cell>
          <cell r="D1901" t="str">
            <v>일반 Dr.</v>
          </cell>
          <cell r="E1901" t="str">
            <v>CS Dr</v>
          </cell>
        </row>
        <row r="1902">
          <cell r="B1902" t="str">
            <v>F4123</v>
          </cell>
          <cell r="D1902" t="str">
            <v>조장</v>
          </cell>
          <cell r="E1902" t="str">
            <v>CS Dr</v>
          </cell>
        </row>
        <row r="1903">
          <cell r="B1903" t="str">
            <v>F4123</v>
          </cell>
          <cell r="D1903" t="str">
            <v>기술사내강사</v>
          </cell>
          <cell r="E1903" t="str">
            <v>CS Dr</v>
          </cell>
        </row>
        <row r="1904">
          <cell r="B1904" t="str">
            <v>F4123</v>
          </cell>
          <cell r="D1904" t="str">
            <v>조장</v>
          </cell>
          <cell r="E1904" t="str">
            <v>CS Dr</v>
          </cell>
        </row>
        <row r="1905">
          <cell r="B1905" t="str">
            <v>F4123</v>
          </cell>
          <cell r="D1905" t="str">
            <v>조장</v>
          </cell>
          <cell r="E1905" t="str">
            <v>CS Dr</v>
          </cell>
        </row>
        <row r="1906">
          <cell r="B1906" t="str">
            <v>F4123</v>
          </cell>
          <cell r="D1906" t="str">
            <v>일반 Dr.</v>
          </cell>
          <cell r="E1906" t="str">
            <v>CS Dr</v>
          </cell>
        </row>
        <row r="1907">
          <cell r="B1907" t="str">
            <v>F4123</v>
          </cell>
          <cell r="D1907" t="str">
            <v>조장</v>
          </cell>
          <cell r="E1907" t="str">
            <v>CS Dr</v>
          </cell>
        </row>
        <row r="1908">
          <cell r="B1908" t="str">
            <v>F4123</v>
          </cell>
          <cell r="D1908" t="str">
            <v>일반 Dr.</v>
          </cell>
          <cell r="E1908" t="str">
            <v>CS Dr</v>
          </cell>
        </row>
        <row r="1909">
          <cell r="B1909" t="str">
            <v>F4123</v>
          </cell>
          <cell r="D1909" t="str">
            <v>일반 Dr.</v>
          </cell>
          <cell r="E1909" t="str">
            <v>CS Dr</v>
          </cell>
        </row>
        <row r="1910">
          <cell r="B1910" t="str">
            <v>F4123</v>
          </cell>
          <cell r="D1910" t="str">
            <v>일반 Dr.</v>
          </cell>
          <cell r="E1910" t="str">
            <v>CS Dr</v>
          </cell>
        </row>
        <row r="1911">
          <cell r="B1911" t="str">
            <v>F4123</v>
          </cell>
          <cell r="D1911" t="str">
            <v>일반 Dr.</v>
          </cell>
          <cell r="E1911" t="str">
            <v>CS Dr</v>
          </cell>
        </row>
        <row r="1912">
          <cell r="B1912" t="str">
            <v>F4123</v>
          </cell>
          <cell r="D1912" t="str">
            <v>일반 Dr.</v>
          </cell>
          <cell r="E1912" t="str">
            <v>CS Dr</v>
          </cell>
        </row>
        <row r="1913">
          <cell r="B1913" t="str">
            <v>F4123</v>
          </cell>
          <cell r="D1913" t="str">
            <v>일반 Dr.</v>
          </cell>
          <cell r="E1913" t="str">
            <v>CS Dr</v>
          </cell>
        </row>
        <row r="1914">
          <cell r="B1914" t="str">
            <v>F4123</v>
          </cell>
          <cell r="D1914" t="str">
            <v>일반 Dr.</v>
          </cell>
          <cell r="E1914" t="str">
            <v>CS Dr</v>
          </cell>
        </row>
        <row r="1915">
          <cell r="B1915" t="str">
            <v>F4123</v>
          </cell>
          <cell r="D1915" t="str">
            <v>일반 Dr.</v>
          </cell>
          <cell r="E1915" t="str">
            <v>CS Dr</v>
          </cell>
        </row>
        <row r="1916">
          <cell r="B1916" t="str">
            <v>F4123</v>
          </cell>
          <cell r="D1916" t="str">
            <v>일반 Dr.</v>
          </cell>
          <cell r="E1916" t="str">
            <v>CS Dr</v>
          </cell>
        </row>
        <row r="1917">
          <cell r="B1917" t="str">
            <v>F4123</v>
          </cell>
          <cell r="D1917" t="str">
            <v>일반 Dr.</v>
          </cell>
          <cell r="E1917" t="str">
            <v>CS Dr</v>
          </cell>
        </row>
        <row r="1918">
          <cell r="B1918" t="str">
            <v>F4150</v>
          </cell>
          <cell r="D1918" t="str">
            <v>일반 Dr.</v>
          </cell>
          <cell r="E1918" t="str">
            <v>CS Dr</v>
          </cell>
        </row>
        <row r="1919">
          <cell r="B1919" t="str">
            <v>F4150</v>
          </cell>
          <cell r="D1919" t="str">
            <v>일반 Dr.</v>
          </cell>
          <cell r="E1919" t="str">
            <v>CS Dr</v>
          </cell>
        </row>
        <row r="1920">
          <cell r="B1920" t="str">
            <v>F4150</v>
          </cell>
          <cell r="D1920" t="str">
            <v>일반 Dr.</v>
          </cell>
          <cell r="E1920" t="str">
            <v>CS Dr</v>
          </cell>
        </row>
        <row r="1921">
          <cell r="B1921" t="str">
            <v>F4150</v>
          </cell>
          <cell r="D1921" t="str">
            <v>일반 Dr.</v>
          </cell>
          <cell r="E1921" t="str">
            <v>CS Dr</v>
          </cell>
        </row>
        <row r="1922">
          <cell r="B1922" t="str">
            <v>F4150</v>
          </cell>
          <cell r="D1922" t="str">
            <v>팀장</v>
          </cell>
          <cell r="E1922" t="str">
            <v>CS Dr</v>
          </cell>
        </row>
        <row r="1923">
          <cell r="B1923" t="str">
            <v>F4150</v>
          </cell>
          <cell r="D1923" t="str">
            <v>조장</v>
          </cell>
          <cell r="E1923" t="str">
            <v>CS Dr</v>
          </cell>
        </row>
        <row r="1924">
          <cell r="B1924" t="str">
            <v>F4150</v>
          </cell>
          <cell r="D1924" t="str">
            <v>일반 Dr.</v>
          </cell>
          <cell r="E1924" t="str">
            <v>CS Dr</v>
          </cell>
        </row>
        <row r="1925">
          <cell r="B1925" t="str">
            <v>F4150</v>
          </cell>
          <cell r="D1925" t="str">
            <v>일반 Dr.</v>
          </cell>
          <cell r="E1925" t="str">
            <v>CS Dr</v>
          </cell>
        </row>
        <row r="1926">
          <cell r="B1926" t="str">
            <v>F4150</v>
          </cell>
          <cell r="D1926" t="str">
            <v>조장</v>
          </cell>
          <cell r="E1926" t="str">
            <v>CS Dr</v>
          </cell>
        </row>
        <row r="1927">
          <cell r="B1927" t="str">
            <v>F4150</v>
          </cell>
          <cell r="D1927" t="str">
            <v>일반 Dr.</v>
          </cell>
          <cell r="E1927" t="str">
            <v>CS Dr</v>
          </cell>
        </row>
        <row r="1928">
          <cell r="B1928" t="str">
            <v>F4150</v>
          </cell>
          <cell r="D1928" t="str">
            <v>일반 Dr.</v>
          </cell>
          <cell r="E1928" t="str">
            <v>CS Dr</v>
          </cell>
        </row>
        <row r="1929">
          <cell r="B1929" t="str">
            <v>F4150</v>
          </cell>
          <cell r="D1929" t="str">
            <v>일반 Dr.</v>
          </cell>
          <cell r="E1929" t="str">
            <v>CS Dr</v>
          </cell>
        </row>
        <row r="1930">
          <cell r="B1930" t="str">
            <v>F4150</v>
          </cell>
          <cell r="D1930" t="str">
            <v>일반 Dr.</v>
          </cell>
          <cell r="E1930" t="str">
            <v>CS Dr</v>
          </cell>
        </row>
        <row r="1931">
          <cell r="B1931" t="str">
            <v>F4150</v>
          </cell>
          <cell r="D1931" t="str">
            <v>일반 Dr.</v>
          </cell>
          <cell r="E1931" t="str">
            <v>CS Dr</v>
          </cell>
        </row>
        <row r="1932">
          <cell r="B1932" t="str">
            <v>F4124</v>
          </cell>
          <cell r="D1932" t="str">
            <v>일반 Dr.</v>
          </cell>
          <cell r="E1932" t="str">
            <v>CS Dr</v>
          </cell>
        </row>
        <row r="1933">
          <cell r="B1933" t="str">
            <v>F4124</v>
          </cell>
          <cell r="D1933" t="str">
            <v>일반 Dr.</v>
          </cell>
          <cell r="E1933" t="str">
            <v>CS Dr</v>
          </cell>
        </row>
        <row r="1934">
          <cell r="B1934" t="str">
            <v>F4124</v>
          </cell>
          <cell r="D1934" t="str">
            <v>일반 Dr.</v>
          </cell>
          <cell r="E1934" t="str">
            <v>CS Dr</v>
          </cell>
        </row>
        <row r="1935">
          <cell r="B1935" t="str">
            <v>F4124</v>
          </cell>
          <cell r="D1935" t="str">
            <v>일반 Dr.</v>
          </cell>
          <cell r="E1935" t="str">
            <v>CS Dr</v>
          </cell>
        </row>
        <row r="1936">
          <cell r="B1936" t="str">
            <v>F4124</v>
          </cell>
          <cell r="D1936" t="str">
            <v>일반 Dr.</v>
          </cell>
          <cell r="E1936" t="str">
            <v>CS Dr</v>
          </cell>
        </row>
        <row r="1937">
          <cell r="B1937" t="str">
            <v>F4124</v>
          </cell>
          <cell r="D1937" t="str">
            <v>일반 Dr.</v>
          </cell>
          <cell r="E1937" t="str">
            <v>CS Dr</v>
          </cell>
        </row>
        <row r="1938">
          <cell r="B1938" t="str">
            <v>F4124</v>
          </cell>
          <cell r="D1938" t="str">
            <v>일반 Dr.</v>
          </cell>
          <cell r="E1938" t="str">
            <v>CS Dr</v>
          </cell>
        </row>
        <row r="1939">
          <cell r="B1939" t="str">
            <v>F4124</v>
          </cell>
          <cell r="D1939" t="str">
            <v>일반 Dr.</v>
          </cell>
          <cell r="E1939" t="str">
            <v>CS Dr</v>
          </cell>
        </row>
        <row r="1940">
          <cell r="B1940" t="str">
            <v>F4124</v>
          </cell>
          <cell r="D1940" t="str">
            <v>일반 Dr.</v>
          </cell>
          <cell r="E1940" t="str">
            <v>CS Dr</v>
          </cell>
        </row>
        <row r="1941">
          <cell r="B1941" t="str">
            <v>F4124</v>
          </cell>
          <cell r="D1941" t="str">
            <v>일반 Dr.</v>
          </cell>
          <cell r="E1941" t="str">
            <v>CS Dr</v>
          </cell>
        </row>
        <row r="1942">
          <cell r="B1942" t="str">
            <v>F4124</v>
          </cell>
          <cell r="D1942" t="str">
            <v>일반 Dr.</v>
          </cell>
          <cell r="E1942" t="str">
            <v>CS Dr</v>
          </cell>
        </row>
        <row r="1943">
          <cell r="B1943" t="str">
            <v>F4124</v>
          </cell>
          <cell r="D1943" t="str">
            <v>조장</v>
          </cell>
          <cell r="E1943" t="str">
            <v>CS Dr</v>
          </cell>
        </row>
        <row r="1944">
          <cell r="B1944" t="str">
            <v>F4124</v>
          </cell>
          <cell r="D1944" t="str">
            <v>조장</v>
          </cell>
          <cell r="E1944" t="str">
            <v>CS Dr</v>
          </cell>
        </row>
        <row r="1945">
          <cell r="B1945" t="str">
            <v>F4124</v>
          </cell>
          <cell r="D1945" t="str">
            <v>일반 Dr.</v>
          </cell>
          <cell r="E1945" t="str">
            <v>CS Dr</v>
          </cell>
        </row>
        <row r="1946">
          <cell r="B1946" t="str">
            <v>F4124</v>
          </cell>
          <cell r="D1946" t="str">
            <v>일반 Dr.</v>
          </cell>
          <cell r="E1946" t="str">
            <v>CS Dr</v>
          </cell>
        </row>
        <row r="1947">
          <cell r="B1947" t="str">
            <v>F4124</v>
          </cell>
          <cell r="D1947" t="str">
            <v>조장</v>
          </cell>
          <cell r="E1947" t="str">
            <v>CS Dr</v>
          </cell>
        </row>
        <row r="1948">
          <cell r="B1948" t="str">
            <v>F4124</v>
          </cell>
          <cell r="D1948" t="str">
            <v>일반 Dr.</v>
          </cell>
          <cell r="E1948" t="str">
            <v>CS Dr</v>
          </cell>
        </row>
        <row r="1949">
          <cell r="B1949" t="str">
            <v>F4124</v>
          </cell>
          <cell r="D1949" t="str">
            <v>팀장</v>
          </cell>
          <cell r="E1949" t="str">
            <v>CS Dr</v>
          </cell>
        </row>
        <row r="1950">
          <cell r="B1950" t="str">
            <v>F4124</v>
          </cell>
          <cell r="D1950" t="str">
            <v>일반 Dr.</v>
          </cell>
          <cell r="E1950" t="str">
            <v>CS Dr</v>
          </cell>
        </row>
        <row r="1951">
          <cell r="B1951" t="str">
            <v>F4124</v>
          </cell>
          <cell r="D1951" t="str">
            <v>조장</v>
          </cell>
          <cell r="E1951" t="str">
            <v>CS Dr</v>
          </cell>
        </row>
        <row r="1952">
          <cell r="B1952" t="str">
            <v>F4124</v>
          </cell>
          <cell r="D1952" t="str">
            <v>조장</v>
          </cell>
          <cell r="E1952" t="str">
            <v>CS Dr</v>
          </cell>
        </row>
        <row r="1953">
          <cell r="B1953" t="str">
            <v>F4124</v>
          </cell>
          <cell r="D1953" t="str">
            <v>일반 Dr.</v>
          </cell>
          <cell r="E1953" t="str">
            <v>CS Dr</v>
          </cell>
        </row>
        <row r="1954">
          <cell r="B1954" t="str">
            <v>F4124</v>
          </cell>
          <cell r="D1954" t="str">
            <v>일반 Dr.</v>
          </cell>
          <cell r="E1954" t="str">
            <v>CS Dr</v>
          </cell>
        </row>
        <row r="1955">
          <cell r="B1955" t="str">
            <v>F4124</v>
          </cell>
          <cell r="D1955" t="str">
            <v>일반 Dr.</v>
          </cell>
          <cell r="E1955" t="str">
            <v>CS Dr</v>
          </cell>
        </row>
        <row r="1956">
          <cell r="B1956" t="str">
            <v>F4124</v>
          </cell>
          <cell r="D1956" t="str">
            <v>일반 Dr.</v>
          </cell>
          <cell r="E1956" t="str">
            <v>CS Dr</v>
          </cell>
        </row>
        <row r="1957">
          <cell r="B1957" t="str">
            <v>F4124</v>
          </cell>
          <cell r="D1957" t="str">
            <v>기술사내강사</v>
          </cell>
          <cell r="E1957" t="str">
            <v>CS Dr</v>
          </cell>
        </row>
        <row r="1958">
          <cell r="B1958" t="str">
            <v>F4124</v>
          </cell>
          <cell r="D1958" t="str">
            <v>조장</v>
          </cell>
          <cell r="E1958" t="str">
            <v>CS Dr</v>
          </cell>
        </row>
        <row r="1959">
          <cell r="B1959" t="str">
            <v>F4124</v>
          </cell>
          <cell r="D1959" t="str">
            <v>일반 Dr.</v>
          </cell>
          <cell r="E1959" t="str">
            <v>CS Dr</v>
          </cell>
        </row>
        <row r="1960">
          <cell r="B1960" t="str">
            <v>F4124</v>
          </cell>
          <cell r="D1960" t="str">
            <v>일반 Dr.</v>
          </cell>
          <cell r="E1960" t="str">
            <v>CS Dr</v>
          </cell>
        </row>
        <row r="1961">
          <cell r="B1961" t="str">
            <v>F4124</v>
          </cell>
          <cell r="D1961" t="str">
            <v>일반 Dr.</v>
          </cell>
          <cell r="E1961" t="str">
            <v>CS Dr</v>
          </cell>
        </row>
        <row r="1962">
          <cell r="B1962" t="str">
            <v>F4124</v>
          </cell>
          <cell r="D1962" t="str">
            <v>일반 Dr.</v>
          </cell>
          <cell r="E1962" t="str">
            <v>CS Dr</v>
          </cell>
        </row>
        <row r="1963">
          <cell r="B1963" t="str">
            <v>F4124</v>
          </cell>
          <cell r="D1963" t="str">
            <v>일반 Dr.</v>
          </cell>
          <cell r="E1963" t="str">
            <v>CS Dr</v>
          </cell>
        </row>
        <row r="1964">
          <cell r="B1964" t="str">
            <v>F4124</v>
          </cell>
          <cell r="D1964" t="str">
            <v>일반 Dr.</v>
          </cell>
          <cell r="E1964" t="str">
            <v>CS Dr</v>
          </cell>
        </row>
        <row r="1965">
          <cell r="B1965" t="str">
            <v>F4124</v>
          </cell>
          <cell r="D1965" t="str">
            <v>일반 Dr.</v>
          </cell>
          <cell r="E1965" t="str">
            <v>CS Dr</v>
          </cell>
        </row>
        <row r="1966">
          <cell r="B1966" t="str">
            <v>F4124</v>
          </cell>
          <cell r="D1966" t="str">
            <v>일반 Dr.</v>
          </cell>
          <cell r="E1966" t="str">
            <v>CS Dr</v>
          </cell>
        </row>
        <row r="1967">
          <cell r="B1967" t="str">
            <v>F4124</v>
          </cell>
          <cell r="D1967" t="str">
            <v>일반 Dr.</v>
          </cell>
          <cell r="E1967" t="str">
            <v>CS Dr</v>
          </cell>
        </row>
        <row r="1968">
          <cell r="B1968" t="str">
            <v>F4124</v>
          </cell>
          <cell r="D1968" t="str">
            <v>일반 Dr.</v>
          </cell>
          <cell r="E1968" t="str">
            <v>CS Dr</v>
          </cell>
        </row>
        <row r="1969">
          <cell r="B1969" t="str">
            <v>F4124</v>
          </cell>
          <cell r="D1969" t="str">
            <v>일반 Dr.</v>
          </cell>
          <cell r="E1969" t="str">
            <v>CS Dr</v>
          </cell>
        </row>
        <row r="1970">
          <cell r="B1970" t="str">
            <v>F4124</v>
          </cell>
          <cell r="D1970" t="str">
            <v>일반 Dr.</v>
          </cell>
          <cell r="E1970" t="str">
            <v>CS Dr</v>
          </cell>
        </row>
        <row r="1971">
          <cell r="B1971" t="str">
            <v>F4124</v>
          </cell>
          <cell r="D1971" t="str">
            <v>일반 Dr.</v>
          </cell>
          <cell r="E1971" t="str">
            <v>CS Dr</v>
          </cell>
        </row>
        <row r="1972">
          <cell r="B1972" t="str">
            <v>F4124</v>
          </cell>
          <cell r="D1972" t="str">
            <v>일반 Dr.</v>
          </cell>
          <cell r="E1972" t="str">
            <v>CS Dr</v>
          </cell>
        </row>
        <row r="1973">
          <cell r="B1973" t="str">
            <v>F4124</v>
          </cell>
          <cell r="D1973" t="str">
            <v>일반 Dr.</v>
          </cell>
          <cell r="E1973" t="str">
            <v>CS Dr</v>
          </cell>
        </row>
        <row r="1974">
          <cell r="B1974" t="str">
            <v>F4124</v>
          </cell>
          <cell r="D1974" t="str">
            <v>일반 Dr.</v>
          </cell>
          <cell r="E1974" t="str">
            <v>CS Dr</v>
          </cell>
        </row>
        <row r="1975">
          <cell r="B1975" t="str">
            <v>F4124</v>
          </cell>
          <cell r="D1975" t="str">
            <v>조장</v>
          </cell>
          <cell r="E1975" t="str">
            <v>CS Dr</v>
          </cell>
        </row>
        <row r="1976">
          <cell r="B1976" t="str">
            <v>F4124</v>
          </cell>
          <cell r="D1976" t="str">
            <v>일반 Dr.</v>
          </cell>
          <cell r="E1976" t="str">
            <v>CS Dr</v>
          </cell>
        </row>
        <row r="1977">
          <cell r="B1977" t="str">
            <v>F4124</v>
          </cell>
          <cell r="D1977" t="str">
            <v>팀장</v>
          </cell>
          <cell r="E1977" t="str">
            <v>CS Dr</v>
          </cell>
        </row>
        <row r="1978">
          <cell r="B1978" t="str">
            <v>F4124</v>
          </cell>
          <cell r="D1978" t="str">
            <v>조장</v>
          </cell>
          <cell r="E1978" t="str">
            <v>CS Dr</v>
          </cell>
        </row>
        <row r="1979">
          <cell r="B1979" t="str">
            <v>F4124</v>
          </cell>
          <cell r="D1979" t="str">
            <v>일반 Dr.</v>
          </cell>
          <cell r="E1979" t="str">
            <v>CS Dr</v>
          </cell>
        </row>
        <row r="1980">
          <cell r="B1980" t="str">
            <v>F4124</v>
          </cell>
          <cell r="D1980" t="str">
            <v>조장</v>
          </cell>
          <cell r="E1980" t="str">
            <v>CS Dr</v>
          </cell>
        </row>
        <row r="1981">
          <cell r="B1981" t="str">
            <v>F4124</v>
          </cell>
          <cell r="D1981" t="str">
            <v>일반 Dr.</v>
          </cell>
          <cell r="E1981" t="str">
            <v>CS Dr</v>
          </cell>
        </row>
        <row r="1982">
          <cell r="B1982" t="str">
            <v>F4124</v>
          </cell>
          <cell r="D1982" t="str">
            <v>조장</v>
          </cell>
          <cell r="E1982" t="str">
            <v>CS Dr</v>
          </cell>
        </row>
        <row r="1983">
          <cell r="B1983" t="str">
            <v>F4124</v>
          </cell>
          <cell r="D1983" t="str">
            <v>조장</v>
          </cell>
          <cell r="E1983" t="str">
            <v>CS Dr</v>
          </cell>
        </row>
        <row r="1984">
          <cell r="B1984" t="str">
            <v>F4124</v>
          </cell>
          <cell r="D1984" t="str">
            <v>일반 Dr.</v>
          </cell>
          <cell r="E1984" t="str">
            <v>CS Dr</v>
          </cell>
        </row>
        <row r="1985">
          <cell r="B1985" t="str">
            <v>F4124</v>
          </cell>
          <cell r="D1985" t="str">
            <v>일반 Dr.</v>
          </cell>
          <cell r="E1985" t="str">
            <v>CS Dr</v>
          </cell>
        </row>
        <row r="1986">
          <cell r="B1986" t="str">
            <v>F4124</v>
          </cell>
          <cell r="D1986" t="str">
            <v>일반 Dr.</v>
          </cell>
          <cell r="E1986" t="str">
            <v>CS Dr</v>
          </cell>
        </row>
        <row r="1987">
          <cell r="B1987" t="str">
            <v>F4124</v>
          </cell>
          <cell r="D1987" t="str">
            <v>일반 Dr.</v>
          </cell>
          <cell r="E1987" t="str">
            <v>CS Dr</v>
          </cell>
        </row>
        <row r="1988">
          <cell r="B1988" t="str">
            <v>F4124</v>
          </cell>
          <cell r="D1988" t="str">
            <v>일반 Dr.</v>
          </cell>
          <cell r="E1988" t="str">
            <v>CS Dr</v>
          </cell>
        </row>
        <row r="1989">
          <cell r="B1989" t="str">
            <v>F4124</v>
          </cell>
          <cell r="D1989" t="str">
            <v>일반 Dr.</v>
          </cell>
          <cell r="E1989" t="str">
            <v>CS Dr</v>
          </cell>
        </row>
        <row r="1990">
          <cell r="B1990" t="str">
            <v>F4124</v>
          </cell>
          <cell r="D1990" t="str">
            <v>일반 Dr.</v>
          </cell>
          <cell r="E1990" t="str">
            <v>CS Dr</v>
          </cell>
        </row>
        <row r="1991">
          <cell r="B1991" t="str">
            <v>F4124</v>
          </cell>
          <cell r="D1991" t="str">
            <v>일반 Dr.</v>
          </cell>
          <cell r="E1991" t="str">
            <v>CS Dr</v>
          </cell>
        </row>
        <row r="1992">
          <cell r="B1992" t="str">
            <v>F4124</v>
          </cell>
          <cell r="D1992" t="str">
            <v>일반 Dr.</v>
          </cell>
          <cell r="E1992" t="str">
            <v>CS Dr</v>
          </cell>
        </row>
        <row r="1993">
          <cell r="B1993" t="str">
            <v>F4124</v>
          </cell>
          <cell r="D1993" t="str">
            <v>일반 Dr.</v>
          </cell>
          <cell r="E1993" t="str">
            <v>CS Dr</v>
          </cell>
        </row>
        <row r="1994">
          <cell r="B1994" t="str">
            <v>F4124</v>
          </cell>
          <cell r="D1994" t="str">
            <v>일반 Dr.</v>
          </cell>
          <cell r="E1994" t="str">
            <v>CS Dr</v>
          </cell>
        </row>
        <row r="1995">
          <cell r="B1995" t="str">
            <v>F4124</v>
          </cell>
          <cell r="D1995" t="str">
            <v>일반 Dr.</v>
          </cell>
          <cell r="E1995" t="str">
            <v>CS Dr</v>
          </cell>
        </row>
        <row r="1996">
          <cell r="B1996" t="str">
            <v>F4124</v>
          </cell>
          <cell r="D1996" t="str">
            <v>일반 Dr.</v>
          </cell>
          <cell r="E1996" t="str">
            <v>CS Dr</v>
          </cell>
        </row>
        <row r="1997">
          <cell r="B1997" t="str">
            <v>F4124</v>
          </cell>
          <cell r="D1997" t="str">
            <v>일반 Dr.</v>
          </cell>
          <cell r="E1997" t="str">
            <v>CS Dr</v>
          </cell>
        </row>
        <row r="1998">
          <cell r="B1998" t="str">
            <v>F4124</v>
          </cell>
          <cell r="D1998" t="str">
            <v>일반 Dr.</v>
          </cell>
          <cell r="E1998" t="str">
            <v>CS Dr</v>
          </cell>
        </row>
        <row r="1999">
          <cell r="B1999" t="str">
            <v>F4124</v>
          </cell>
          <cell r="D1999" t="str">
            <v>일반 Dr.</v>
          </cell>
          <cell r="E1999" t="str">
            <v>CS Dr</v>
          </cell>
        </row>
        <row r="2000">
          <cell r="B2000" t="str">
            <v>F4010</v>
          </cell>
          <cell r="D2000" t="str">
            <v>배달</v>
          </cell>
          <cell r="E2000" t="str">
            <v>용</v>
          </cell>
        </row>
        <row r="2001">
          <cell r="B2001" t="str">
            <v>F4111</v>
          </cell>
          <cell r="D2001" t="str">
            <v>조장</v>
          </cell>
          <cell r="E2001" t="str">
            <v>CS Dr</v>
          </cell>
        </row>
        <row r="2002">
          <cell r="B2002" t="str">
            <v>F4111</v>
          </cell>
          <cell r="D2002" t="str">
            <v>일반 Dr.</v>
          </cell>
          <cell r="E2002" t="str">
            <v>CS Dr</v>
          </cell>
        </row>
        <row r="2003">
          <cell r="B2003" t="str">
            <v>F4111</v>
          </cell>
          <cell r="D2003" t="str">
            <v>일반 Dr.</v>
          </cell>
          <cell r="E2003" t="str">
            <v>CS Dr</v>
          </cell>
        </row>
        <row r="2004">
          <cell r="B2004" t="str">
            <v>F4111</v>
          </cell>
          <cell r="D2004" t="str">
            <v>일반 Dr.</v>
          </cell>
          <cell r="E2004" t="str">
            <v>CS Dr</v>
          </cell>
        </row>
        <row r="2005">
          <cell r="B2005" t="str">
            <v>F4111</v>
          </cell>
          <cell r="D2005" t="str">
            <v>일반 Dr.</v>
          </cell>
          <cell r="E2005" t="str">
            <v>CS Dr</v>
          </cell>
        </row>
        <row r="2006">
          <cell r="B2006" t="str">
            <v>F4111</v>
          </cell>
          <cell r="D2006" t="str">
            <v>일반 Dr.</v>
          </cell>
          <cell r="E2006" t="str">
            <v>CS Dr</v>
          </cell>
        </row>
        <row r="2007">
          <cell r="B2007" t="str">
            <v>F4111</v>
          </cell>
          <cell r="D2007" t="str">
            <v>일반 Dr.</v>
          </cell>
          <cell r="E2007" t="str">
            <v>CS Dr</v>
          </cell>
        </row>
        <row r="2008">
          <cell r="B2008" t="str">
            <v>F4111</v>
          </cell>
          <cell r="D2008" t="str">
            <v>일반 Dr.</v>
          </cell>
          <cell r="E2008" t="str">
            <v>CS Dr</v>
          </cell>
        </row>
        <row r="2009">
          <cell r="B2009" t="str">
            <v>F4111</v>
          </cell>
          <cell r="D2009" t="str">
            <v>일반 Dr.</v>
          </cell>
          <cell r="E2009" t="str">
            <v>CS Dr</v>
          </cell>
        </row>
        <row r="2010">
          <cell r="B2010" t="str">
            <v>F4111</v>
          </cell>
          <cell r="D2010" t="str">
            <v>일반 Dr.</v>
          </cell>
          <cell r="E2010" t="str">
            <v>CS Dr</v>
          </cell>
        </row>
        <row r="2011">
          <cell r="B2011" t="str">
            <v>F4111</v>
          </cell>
          <cell r="D2011" t="str">
            <v>일반 Dr.</v>
          </cell>
          <cell r="E2011" t="str">
            <v>CS Dr</v>
          </cell>
        </row>
        <row r="2012">
          <cell r="B2012" t="str">
            <v>F4111</v>
          </cell>
          <cell r="D2012" t="str">
            <v>일반 Dr.</v>
          </cell>
          <cell r="E2012" t="str">
            <v>CS Dr</v>
          </cell>
        </row>
        <row r="2013">
          <cell r="B2013" t="str">
            <v>F4111</v>
          </cell>
          <cell r="D2013" t="str">
            <v>일반 Dr.</v>
          </cell>
          <cell r="E2013" t="str">
            <v>CS Dr</v>
          </cell>
        </row>
        <row r="2014">
          <cell r="B2014" t="str">
            <v>F4111</v>
          </cell>
          <cell r="D2014" t="str">
            <v>조장</v>
          </cell>
          <cell r="E2014" t="str">
            <v>CS Dr</v>
          </cell>
        </row>
        <row r="2015">
          <cell r="B2015" t="str">
            <v>F4111</v>
          </cell>
          <cell r="D2015" t="str">
            <v>일반 Dr.</v>
          </cell>
          <cell r="E2015" t="str">
            <v>CS Dr</v>
          </cell>
        </row>
        <row r="2016">
          <cell r="B2016" t="str">
            <v>F4111</v>
          </cell>
          <cell r="D2016" t="str">
            <v>조장</v>
          </cell>
          <cell r="E2016" t="str">
            <v>CS Dr</v>
          </cell>
        </row>
        <row r="2017">
          <cell r="B2017" t="str">
            <v>F4111</v>
          </cell>
          <cell r="D2017" t="str">
            <v>일반 Dr.</v>
          </cell>
          <cell r="E2017" t="str">
            <v>CS Dr</v>
          </cell>
        </row>
        <row r="2018">
          <cell r="B2018" t="str">
            <v>F4111</v>
          </cell>
          <cell r="D2018" t="str">
            <v>조장</v>
          </cell>
          <cell r="E2018" t="str">
            <v>CS Dr</v>
          </cell>
        </row>
        <row r="2019">
          <cell r="B2019" t="str">
            <v>F4111</v>
          </cell>
          <cell r="D2019" t="str">
            <v>조장</v>
          </cell>
          <cell r="E2019" t="str">
            <v>CS Dr</v>
          </cell>
        </row>
        <row r="2020">
          <cell r="B2020" t="str">
            <v>F4111</v>
          </cell>
          <cell r="D2020" t="str">
            <v>일반 Dr.</v>
          </cell>
          <cell r="E2020" t="str">
            <v>CS Dr</v>
          </cell>
        </row>
        <row r="2021">
          <cell r="B2021" t="str">
            <v>F4111</v>
          </cell>
          <cell r="D2021" t="str">
            <v>팀장</v>
          </cell>
          <cell r="E2021" t="str">
            <v>CS Dr</v>
          </cell>
        </row>
        <row r="2022">
          <cell r="B2022" t="str">
            <v>F4111</v>
          </cell>
          <cell r="D2022" t="str">
            <v>일반 Dr.</v>
          </cell>
          <cell r="E2022" t="str">
            <v>CS Dr</v>
          </cell>
        </row>
        <row r="2023">
          <cell r="B2023" t="str">
            <v>F4111</v>
          </cell>
          <cell r="D2023" t="str">
            <v>일반 Dr.</v>
          </cell>
          <cell r="E2023" t="str">
            <v>CS Dr</v>
          </cell>
        </row>
        <row r="2024">
          <cell r="B2024" t="str">
            <v>F4111</v>
          </cell>
          <cell r="D2024" t="str">
            <v>일반 Dr.</v>
          </cell>
          <cell r="E2024" t="str">
            <v>CS Dr</v>
          </cell>
        </row>
        <row r="2025">
          <cell r="B2025" t="str">
            <v>F4111</v>
          </cell>
          <cell r="D2025" t="str">
            <v>일반 Dr.</v>
          </cell>
          <cell r="E2025" t="str">
            <v>CS Dr</v>
          </cell>
        </row>
        <row r="2026">
          <cell r="B2026" t="str">
            <v>F4111</v>
          </cell>
          <cell r="D2026" t="str">
            <v>일반 Dr.</v>
          </cell>
          <cell r="E2026" t="str">
            <v>CS Dr</v>
          </cell>
        </row>
        <row r="2027">
          <cell r="B2027" t="str">
            <v>F4111</v>
          </cell>
          <cell r="D2027" t="str">
            <v>일반 Dr.</v>
          </cell>
          <cell r="E2027" t="str">
            <v>CS Dr</v>
          </cell>
        </row>
        <row r="2028">
          <cell r="B2028" t="str">
            <v>F4111</v>
          </cell>
          <cell r="D2028" t="str">
            <v>일반 Dr.</v>
          </cell>
          <cell r="E2028" t="str">
            <v>CS Dr</v>
          </cell>
        </row>
        <row r="2029">
          <cell r="B2029" t="str">
            <v>F4111</v>
          </cell>
          <cell r="D2029" t="str">
            <v>일반 Dr.</v>
          </cell>
          <cell r="E2029" t="str">
            <v>CS Dr</v>
          </cell>
        </row>
        <row r="2030">
          <cell r="B2030" t="str">
            <v>F4111</v>
          </cell>
          <cell r="D2030" t="str">
            <v>일반 Dr.</v>
          </cell>
          <cell r="E2030" t="str">
            <v>CS Dr</v>
          </cell>
        </row>
        <row r="2031">
          <cell r="B2031" t="str">
            <v>F4112</v>
          </cell>
          <cell r="D2031" t="str">
            <v>일반 Dr.</v>
          </cell>
          <cell r="E2031" t="str">
            <v>CS Dr</v>
          </cell>
        </row>
        <row r="2032">
          <cell r="B2032" t="str">
            <v>F4112</v>
          </cell>
          <cell r="D2032" t="str">
            <v>일반 Dr.</v>
          </cell>
          <cell r="E2032" t="str">
            <v>CS Dr</v>
          </cell>
        </row>
        <row r="2033">
          <cell r="B2033" t="str">
            <v>F4112</v>
          </cell>
          <cell r="D2033" t="str">
            <v>일반 Dr.</v>
          </cell>
          <cell r="E2033" t="str">
            <v>CS Dr</v>
          </cell>
        </row>
        <row r="2034">
          <cell r="B2034" t="str">
            <v>F4112</v>
          </cell>
          <cell r="D2034" t="str">
            <v>일반 Dr.</v>
          </cell>
          <cell r="E2034" t="str">
            <v>CS Dr</v>
          </cell>
        </row>
        <row r="2035">
          <cell r="B2035" t="str">
            <v>F4112</v>
          </cell>
          <cell r="D2035" t="str">
            <v>일반 Dr.</v>
          </cell>
          <cell r="E2035" t="str">
            <v>CS Dr</v>
          </cell>
        </row>
        <row r="2036">
          <cell r="B2036" t="str">
            <v>F4112</v>
          </cell>
          <cell r="D2036" t="str">
            <v>일반 Dr.</v>
          </cell>
          <cell r="E2036" t="str">
            <v>CS Dr</v>
          </cell>
        </row>
        <row r="2037">
          <cell r="B2037" t="str">
            <v>F4112</v>
          </cell>
          <cell r="D2037" t="str">
            <v>일반 Dr.</v>
          </cell>
          <cell r="E2037" t="str">
            <v>CS Dr</v>
          </cell>
        </row>
        <row r="2038">
          <cell r="B2038" t="str">
            <v>F4112</v>
          </cell>
          <cell r="D2038" t="str">
            <v>일반 Dr.</v>
          </cell>
          <cell r="E2038" t="str">
            <v>CS Dr</v>
          </cell>
        </row>
        <row r="2039">
          <cell r="B2039" t="str">
            <v>F4112</v>
          </cell>
          <cell r="D2039" t="str">
            <v>일반 Dr.</v>
          </cell>
          <cell r="E2039" t="str">
            <v>CS Dr</v>
          </cell>
        </row>
        <row r="2040">
          <cell r="B2040" t="str">
            <v>F4112</v>
          </cell>
          <cell r="D2040" t="str">
            <v>팀장</v>
          </cell>
          <cell r="E2040" t="str">
            <v>CS Dr</v>
          </cell>
        </row>
        <row r="2041">
          <cell r="B2041" t="str">
            <v>F4112</v>
          </cell>
          <cell r="D2041" t="str">
            <v>조장</v>
          </cell>
          <cell r="E2041" t="str">
            <v>CS Dr</v>
          </cell>
        </row>
        <row r="2042">
          <cell r="B2042" t="str">
            <v>F4112</v>
          </cell>
          <cell r="D2042" t="str">
            <v>조장</v>
          </cell>
          <cell r="E2042" t="str">
            <v>CS Dr</v>
          </cell>
        </row>
        <row r="2043">
          <cell r="B2043" t="str">
            <v>F4112</v>
          </cell>
          <cell r="D2043" t="str">
            <v>일반 Dr.</v>
          </cell>
          <cell r="E2043" t="str">
            <v>CS Dr</v>
          </cell>
        </row>
        <row r="2044">
          <cell r="B2044" t="str">
            <v>F4112</v>
          </cell>
          <cell r="D2044" t="str">
            <v>일반 Dr.</v>
          </cell>
          <cell r="E2044" t="str">
            <v>CS Dr</v>
          </cell>
        </row>
        <row r="2045">
          <cell r="B2045" t="str">
            <v>F4112</v>
          </cell>
          <cell r="D2045" t="str">
            <v>조장</v>
          </cell>
          <cell r="E2045" t="str">
            <v>CS Dr</v>
          </cell>
        </row>
        <row r="2046">
          <cell r="B2046" t="str">
            <v>F4112</v>
          </cell>
          <cell r="D2046" t="str">
            <v>일반 Dr.</v>
          </cell>
          <cell r="E2046" t="str">
            <v>CS Dr</v>
          </cell>
        </row>
        <row r="2047">
          <cell r="B2047" t="str">
            <v>F4112</v>
          </cell>
          <cell r="D2047" t="str">
            <v>조장</v>
          </cell>
          <cell r="E2047" t="str">
            <v>CS Dr</v>
          </cell>
        </row>
        <row r="2048">
          <cell r="B2048" t="str">
            <v>F4112</v>
          </cell>
          <cell r="D2048" t="str">
            <v>일반 Dr.</v>
          </cell>
          <cell r="E2048" t="str">
            <v>CS Dr</v>
          </cell>
        </row>
        <row r="2049">
          <cell r="B2049" t="str">
            <v>F4112</v>
          </cell>
          <cell r="D2049" t="str">
            <v>일반 Dr.</v>
          </cell>
          <cell r="E2049" t="str">
            <v>CS Dr</v>
          </cell>
        </row>
        <row r="2050">
          <cell r="B2050" t="str">
            <v>F4112</v>
          </cell>
          <cell r="D2050" t="str">
            <v>일반 Dr.</v>
          </cell>
          <cell r="E2050" t="str">
            <v>CS Dr</v>
          </cell>
        </row>
        <row r="2051">
          <cell r="B2051" t="str">
            <v>F4112</v>
          </cell>
          <cell r="D2051" t="str">
            <v>일반 Dr.</v>
          </cell>
          <cell r="E2051" t="str">
            <v>CS Dr</v>
          </cell>
        </row>
        <row r="2052">
          <cell r="B2052" t="str">
            <v>F4112</v>
          </cell>
          <cell r="D2052" t="str">
            <v>일반 Dr.</v>
          </cell>
          <cell r="E2052" t="str">
            <v>CS Dr</v>
          </cell>
        </row>
        <row r="2053">
          <cell r="B2053" t="str">
            <v>F4112</v>
          </cell>
          <cell r="D2053" t="str">
            <v>일반 Dr.</v>
          </cell>
          <cell r="E2053" t="str">
            <v>CS Dr</v>
          </cell>
        </row>
        <row r="2054">
          <cell r="B2054" t="str">
            <v>F4112</v>
          </cell>
          <cell r="D2054" t="str">
            <v>일반 Dr.</v>
          </cell>
          <cell r="E2054" t="str">
            <v>CS Dr</v>
          </cell>
        </row>
        <row r="2055">
          <cell r="B2055" t="str">
            <v>F4112</v>
          </cell>
          <cell r="D2055" t="str">
            <v>일반 Dr.</v>
          </cell>
          <cell r="E2055" t="str">
            <v>CS Dr</v>
          </cell>
        </row>
        <row r="2056">
          <cell r="B2056" t="str">
            <v>F4112</v>
          </cell>
          <cell r="D2056" t="str">
            <v>일반 Dr.</v>
          </cell>
          <cell r="E2056" t="str">
            <v>CS Dr</v>
          </cell>
        </row>
        <row r="2057">
          <cell r="B2057" t="str">
            <v>F4112</v>
          </cell>
          <cell r="D2057" t="str">
            <v>일반 Dr.</v>
          </cell>
          <cell r="E2057" t="str">
            <v>CS Dr</v>
          </cell>
        </row>
        <row r="2058">
          <cell r="B2058" t="str">
            <v>F4112</v>
          </cell>
          <cell r="D2058" t="str">
            <v>일반 Dr.</v>
          </cell>
          <cell r="E2058" t="str">
            <v>CS Dr</v>
          </cell>
        </row>
        <row r="2059">
          <cell r="B2059" t="str">
            <v>F4112</v>
          </cell>
          <cell r="D2059" t="str">
            <v>일반 Dr.</v>
          </cell>
          <cell r="E2059" t="str">
            <v>CS Dr</v>
          </cell>
        </row>
        <row r="2060">
          <cell r="B2060" t="str">
            <v>F4112</v>
          </cell>
          <cell r="D2060" t="str">
            <v>일반 Dr.</v>
          </cell>
          <cell r="E2060" t="str">
            <v>CS Dr</v>
          </cell>
        </row>
        <row r="2061">
          <cell r="B2061" t="str">
            <v>F4112</v>
          </cell>
          <cell r="D2061" t="str">
            <v>일반 Dr.</v>
          </cell>
          <cell r="E2061" t="str">
            <v>CS Dr</v>
          </cell>
        </row>
        <row r="2062">
          <cell r="B2062" t="str">
            <v>F4112</v>
          </cell>
          <cell r="D2062" t="str">
            <v>일반 Dr.</v>
          </cell>
          <cell r="E2062" t="str">
            <v>CS Dr</v>
          </cell>
        </row>
        <row r="2063">
          <cell r="B2063" t="str">
            <v>F4112</v>
          </cell>
          <cell r="D2063" t="str">
            <v>일반 Dr.</v>
          </cell>
          <cell r="E2063" t="str">
            <v>CS Dr</v>
          </cell>
        </row>
        <row r="2064">
          <cell r="B2064" t="str">
            <v>F4112</v>
          </cell>
          <cell r="D2064" t="str">
            <v>일반 Dr.</v>
          </cell>
          <cell r="E2064" t="str">
            <v>CS Dr</v>
          </cell>
        </row>
        <row r="2065">
          <cell r="B2065" t="str">
            <v>F4112</v>
          </cell>
          <cell r="D2065" t="str">
            <v>일반 Dr.</v>
          </cell>
          <cell r="E2065" t="str">
            <v>CS Dr</v>
          </cell>
        </row>
        <row r="2066">
          <cell r="B2066" t="str">
            <v>F4112</v>
          </cell>
          <cell r="D2066" t="str">
            <v>조장</v>
          </cell>
          <cell r="E2066" t="str">
            <v>CS Dr</v>
          </cell>
        </row>
        <row r="2067">
          <cell r="B2067" t="str">
            <v>F4112</v>
          </cell>
          <cell r="D2067" t="str">
            <v>기술사내강사</v>
          </cell>
          <cell r="E2067" t="str">
            <v>CS Dr</v>
          </cell>
        </row>
        <row r="2068">
          <cell r="B2068" t="str">
            <v>F4112</v>
          </cell>
          <cell r="D2068" t="str">
            <v>조장</v>
          </cell>
          <cell r="E2068" t="str">
            <v>CS Dr</v>
          </cell>
        </row>
        <row r="2069">
          <cell r="B2069" t="str">
            <v>F4112</v>
          </cell>
          <cell r="D2069" t="str">
            <v>조장</v>
          </cell>
          <cell r="E2069" t="str">
            <v>CS Dr</v>
          </cell>
        </row>
        <row r="2070">
          <cell r="B2070" t="str">
            <v>F4112</v>
          </cell>
          <cell r="D2070" t="str">
            <v>일반 Dr.</v>
          </cell>
          <cell r="E2070" t="str">
            <v>CS Dr</v>
          </cell>
        </row>
        <row r="2071">
          <cell r="B2071" t="str">
            <v>F4112</v>
          </cell>
          <cell r="D2071" t="str">
            <v>조장</v>
          </cell>
          <cell r="E2071" t="str">
            <v>CS Dr</v>
          </cell>
        </row>
        <row r="2072">
          <cell r="B2072" t="str">
            <v>F4112</v>
          </cell>
          <cell r="D2072" t="str">
            <v>팀장</v>
          </cell>
          <cell r="E2072" t="str">
            <v>CS Dr</v>
          </cell>
        </row>
        <row r="2073">
          <cell r="B2073" t="str">
            <v>F4112</v>
          </cell>
          <cell r="D2073" t="str">
            <v>조장</v>
          </cell>
          <cell r="E2073" t="str">
            <v>CS Dr</v>
          </cell>
        </row>
        <row r="2074">
          <cell r="B2074" t="str">
            <v>F4112</v>
          </cell>
          <cell r="D2074" t="str">
            <v>일반 Dr.</v>
          </cell>
          <cell r="E2074" t="str">
            <v>CS Dr</v>
          </cell>
        </row>
        <row r="2075">
          <cell r="B2075" t="str">
            <v>F4112</v>
          </cell>
          <cell r="D2075" t="str">
            <v>일반 Dr.</v>
          </cell>
          <cell r="E2075" t="str">
            <v>CS Dr</v>
          </cell>
        </row>
        <row r="2076">
          <cell r="B2076" t="str">
            <v>F4112</v>
          </cell>
          <cell r="D2076" t="str">
            <v>일반 Dr.</v>
          </cell>
          <cell r="E2076" t="str">
            <v>CS Dr</v>
          </cell>
        </row>
        <row r="2077">
          <cell r="B2077" t="str">
            <v>F4112</v>
          </cell>
          <cell r="D2077" t="str">
            <v>일반 Dr.</v>
          </cell>
          <cell r="E2077" t="str">
            <v>CS Dr</v>
          </cell>
        </row>
        <row r="2078">
          <cell r="B2078" t="str">
            <v>F4112</v>
          </cell>
          <cell r="D2078" t="str">
            <v>일반 Dr.</v>
          </cell>
          <cell r="E2078" t="str">
            <v>CS Dr</v>
          </cell>
        </row>
        <row r="2079">
          <cell r="B2079" t="str">
            <v>F4112</v>
          </cell>
          <cell r="D2079" t="str">
            <v>일반 Dr.</v>
          </cell>
          <cell r="E2079" t="str">
            <v>CS Dr</v>
          </cell>
        </row>
        <row r="2080">
          <cell r="B2080" t="str">
            <v>F4112</v>
          </cell>
          <cell r="D2080" t="str">
            <v>일반 Dr.</v>
          </cell>
          <cell r="E2080" t="str">
            <v>CS Dr</v>
          </cell>
        </row>
        <row r="2081">
          <cell r="B2081" t="str">
            <v>F4112</v>
          </cell>
          <cell r="D2081" t="str">
            <v>일반 Dr.</v>
          </cell>
          <cell r="E2081" t="str">
            <v>CS Dr</v>
          </cell>
        </row>
        <row r="2082">
          <cell r="B2082" t="str">
            <v>F4112</v>
          </cell>
          <cell r="D2082" t="str">
            <v>일반 Dr.</v>
          </cell>
          <cell r="E2082" t="str">
            <v>CS Dr</v>
          </cell>
        </row>
        <row r="2083">
          <cell r="B2083" t="str">
            <v>F4112</v>
          </cell>
          <cell r="D2083" t="str">
            <v>일반 Dr.</v>
          </cell>
          <cell r="E2083" t="str">
            <v>CS Dr</v>
          </cell>
        </row>
        <row r="2084">
          <cell r="B2084" t="str">
            <v>F4112</v>
          </cell>
          <cell r="D2084" t="str">
            <v>일반 Dr.</v>
          </cell>
          <cell r="E2084" t="str">
            <v>CS Dr</v>
          </cell>
        </row>
        <row r="2085">
          <cell r="B2085" t="str">
            <v>F4129</v>
          </cell>
          <cell r="D2085" t="str">
            <v>일반 Dr.</v>
          </cell>
          <cell r="E2085" t="str">
            <v>CS Dr</v>
          </cell>
        </row>
        <row r="2086">
          <cell r="B2086" t="str">
            <v>F4129</v>
          </cell>
          <cell r="D2086" t="str">
            <v>일반 Dr.</v>
          </cell>
          <cell r="E2086" t="str">
            <v>CS Dr</v>
          </cell>
        </row>
        <row r="2087">
          <cell r="B2087" t="str">
            <v>F4129</v>
          </cell>
          <cell r="D2087" t="str">
            <v>일반 Dr.</v>
          </cell>
          <cell r="E2087" t="str">
            <v>CS Dr</v>
          </cell>
        </row>
        <row r="2088">
          <cell r="B2088" t="str">
            <v>F4129</v>
          </cell>
          <cell r="D2088" t="str">
            <v>일반 Dr.</v>
          </cell>
          <cell r="E2088" t="str">
            <v>CS Dr</v>
          </cell>
        </row>
        <row r="2089">
          <cell r="B2089" t="str">
            <v>F4129</v>
          </cell>
          <cell r="D2089" t="str">
            <v>조장</v>
          </cell>
          <cell r="E2089" t="str">
            <v>CS Dr</v>
          </cell>
        </row>
        <row r="2090">
          <cell r="B2090" t="str">
            <v>F4129</v>
          </cell>
          <cell r="D2090" t="str">
            <v>일반 Dr.</v>
          </cell>
          <cell r="E2090" t="str">
            <v>CS Dr</v>
          </cell>
        </row>
        <row r="2091">
          <cell r="B2091" t="str">
            <v>F4129</v>
          </cell>
          <cell r="D2091" t="str">
            <v>일반 Dr.</v>
          </cell>
          <cell r="E2091" t="str">
            <v>CS Dr</v>
          </cell>
        </row>
        <row r="2092">
          <cell r="B2092" t="str">
            <v>F4129</v>
          </cell>
          <cell r="D2092" t="str">
            <v>일반 Dr.</v>
          </cell>
          <cell r="E2092" t="str">
            <v>CS Dr</v>
          </cell>
        </row>
        <row r="2093">
          <cell r="B2093" t="str">
            <v>F4129</v>
          </cell>
          <cell r="D2093" t="str">
            <v>일반 Dr.</v>
          </cell>
          <cell r="E2093" t="str">
            <v>CS Dr</v>
          </cell>
        </row>
        <row r="2094">
          <cell r="B2094" t="str">
            <v>F4129</v>
          </cell>
          <cell r="D2094" t="str">
            <v>일반 Dr.</v>
          </cell>
          <cell r="E2094" t="str">
            <v>CS Dr</v>
          </cell>
        </row>
        <row r="2095">
          <cell r="B2095" t="str">
            <v>F4129</v>
          </cell>
          <cell r="D2095" t="str">
            <v>일반 Dr.</v>
          </cell>
          <cell r="E2095" t="str">
            <v>CS Dr</v>
          </cell>
        </row>
        <row r="2096">
          <cell r="B2096" t="str">
            <v>F4129</v>
          </cell>
          <cell r="D2096" t="str">
            <v>일반 Dr.</v>
          </cell>
          <cell r="E2096" t="str">
            <v>CS Dr</v>
          </cell>
        </row>
        <row r="2097">
          <cell r="B2097" t="str">
            <v>F4129</v>
          </cell>
          <cell r="D2097" t="str">
            <v>일반 Dr.</v>
          </cell>
          <cell r="E2097" t="str">
            <v>CS Dr</v>
          </cell>
        </row>
        <row r="2098">
          <cell r="B2098" t="str">
            <v>F4129</v>
          </cell>
          <cell r="D2098" t="str">
            <v>일반 Dr.</v>
          </cell>
          <cell r="E2098" t="str">
            <v>CS Dr</v>
          </cell>
        </row>
        <row r="2099">
          <cell r="B2099" t="str">
            <v>F4129</v>
          </cell>
          <cell r="D2099" t="str">
            <v>일반 Dr.</v>
          </cell>
          <cell r="E2099" t="str">
            <v>CS Dr</v>
          </cell>
        </row>
        <row r="2100">
          <cell r="B2100" t="str">
            <v>F4129</v>
          </cell>
          <cell r="D2100" t="str">
            <v>일반 Dr.</v>
          </cell>
          <cell r="E2100" t="str">
            <v>CS Dr</v>
          </cell>
        </row>
        <row r="2101">
          <cell r="B2101" t="str">
            <v>F4129</v>
          </cell>
          <cell r="D2101" t="str">
            <v>일반 Dr.</v>
          </cell>
          <cell r="E2101" t="str">
            <v>CS Dr</v>
          </cell>
        </row>
        <row r="2102">
          <cell r="B2102" t="str">
            <v>F4129</v>
          </cell>
          <cell r="D2102" t="str">
            <v>팀장</v>
          </cell>
          <cell r="E2102" t="str">
            <v>CS Dr</v>
          </cell>
        </row>
        <row r="2103">
          <cell r="B2103" t="str">
            <v>F4129</v>
          </cell>
          <cell r="D2103" t="str">
            <v>일반 Dr.</v>
          </cell>
          <cell r="E2103" t="str">
            <v>CS Dr</v>
          </cell>
        </row>
        <row r="2104">
          <cell r="B2104" t="str">
            <v>F4129</v>
          </cell>
          <cell r="D2104" t="str">
            <v>일반 Dr.</v>
          </cell>
          <cell r="E2104" t="str">
            <v>CS Dr</v>
          </cell>
        </row>
        <row r="2105">
          <cell r="B2105" t="str">
            <v>F4129</v>
          </cell>
          <cell r="D2105" t="str">
            <v>일반 Dr.</v>
          </cell>
          <cell r="E2105" t="str">
            <v>CS Dr</v>
          </cell>
        </row>
        <row r="2106">
          <cell r="B2106" t="str">
            <v>F4129</v>
          </cell>
          <cell r="D2106" t="str">
            <v>일반 Dr.</v>
          </cell>
          <cell r="E2106" t="str">
            <v>CS Dr</v>
          </cell>
        </row>
        <row r="2107">
          <cell r="B2107" t="str">
            <v>F4129</v>
          </cell>
          <cell r="D2107" t="str">
            <v>조장</v>
          </cell>
          <cell r="E2107" t="str">
            <v>CS Dr</v>
          </cell>
        </row>
        <row r="2108">
          <cell r="B2108" t="str">
            <v>F4129</v>
          </cell>
          <cell r="D2108" t="str">
            <v>조장</v>
          </cell>
          <cell r="E2108" t="str">
            <v>CS Dr</v>
          </cell>
        </row>
        <row r="2109">
          <cell r="B2109" t="str">
            <v>F4129</v>
          </cell>
          <cell r="D2109" t="str">
            <v>조장</v>
          </cell>
          <cell r="E2109" t="str">
            <v>CS Dr</v>
          </cell>
        </row>
        <row r="2110">
          <cell r="B2110" t="str">
            <v>F4129</v>
          </cell>
          <cell r="D2110" t="str">
            <v>일반 Dr.</v>
          </cell>
          <cell r="E2110" t="str">
            <v>CS Dr</v>
          </cell>
        </row>
        <row r="2111">
          <cell r="B2111" t="str">
            <v>F4129</v>
          </cell>
          <cell r="D2111" t="str">
            <v>일반 Dr.</v>
          </cell>
          <cell r="E2111" t="str">
            <v>CS Dr</v>
          </cell>
        </row>
        <row r="2112">
          <cell r="B2112" t="str">
            <v>F4129</v>
          </cell>
          <cell r="D2112" t="str">
            <v>일반 Dr.</v>
          </cell>
          <cell r="E2112" t="str">
            <v>CS Dr</v>
          </cell>
        </row>
        <row r="2113">
          <cell r="B2113" t="str">
            <v>F4129</v>
          </cell>
          <cell r="D2113" t="str">
            <v>일반 Dr.</v>
          </cell>
          <cell r="E2113" t="str">
            <v>CS Dr</v>
          </cell>
        </row>
        <row r="2114">
          <cell r="B2114" t="str">
            <v>F4129</v>
          </cell>
          <cell r="D2114" t="str">
            <v>일반 Dr.</v>
          </cell>
          <cell r="E2114" t="str">
            <v>CS Dr</v>
          </cell>
        </row>
        <row r="2115">
          <cell r="B2115" t="str">
            <v>F4129</v>
          </cell>
          <cell r="D2115" t="str">
            <v>일반 Dr.</v>
          </cell>
          <cell r="E2115" t="str">
            <v>CS Dr</v>
          </cell>
        </row>
        <row r="2116">
          <cell r="B2116" t="str">
            <v>F4129</v>
          </cell>
          <cell r="D2116" t="str">
            <v>일반 Dr.</v>
          </cell>
          <cell r="E2116" t="str">
            <v>CS Dr</v>
          </cell>
        </row>
        <row r="2117">
          <cell r="B2117" t="str">
            <v>F4129</v>
          </cell>
          <cell r="D2117" t="str">
            <v>일반 Dr.</v>
          </cell>
          <cell r="E2117" t="str">
            <v>CS Dr</v>
          </cell>
        </row>
        <row r="2118">
          <cell r="B2118" t="str">
            <v>F4129</v>
          </cell>
          <cell r="D2118" t="str">
            <v>일반 Dr.</v>
          </cell>
          <cell r="E2118" t="str">
            <v>CS Dr</v>
          </cell>
        </row>
        <row r="2119">
          <cell r="B2119" t="str">
            <v>F4129</v>
          </cell>
          <cell r="D2119" t="str">
            <v>일반 Dr.</v>
          </cell>
          <cell r="E2119" t="str">
            <v>CS Dr</v>
          </cell>
        </row>
        <row r="2120">
          <cell r="B2120" t="str">
            <v>F4156</v>
          </cell>
          <cell r="D2120" t="str">
            <v>일반 Dr.</v>
          </cell>
          <cell r="E2120" t="str">
            <v>CS Dr</v>
          </cell>
        </row>
        <row r="2121">
          <cell r="B2121" t="str">
            <v>F4156</v>
          </cell>
          <cell r="D2121" t="str">
            <v>일반 Dr.</v>
          </cell>
          <cell r="E2121" t="str">
            <v>CS Dr</v>
          </cell>
        </row>
        <row r="2122">
          <cell r="B2122" t="str">
            <v>F4156</v>
          </cell>
          <cell r="D2122" t="str">
            <v>일반 Dr.</v>
          </cell>
          <cell r="E2122" t="str">
            <v>CS Dr</v>
          </cell>
        </row>
        <row r="2123">
          <cell r="B2123" t="str">
            <v>F4156</v>
          </cell>
          <cell r="D2123" t="str">
            <v>조장</v>
          </cell>
          <cell r="E2123" t="str">
            <v>CS Dr</v>
          </cell>
        </row>
        <row r="2124">
          <cell r="B2124" t="str">
            <v>F4156</v>
          </cell>
          <cell r="D2124" t="str">
            <v>일반 Dr.</v>
          </cell>
          <cell r="E2124" t="str">
            <v>CS Dr</v>
          </cell>
        </row>
        <row r="2125">
          <cell r="B2125" t="str">
            <v>F4156</v>
          </cell>
          <cell r="D2125" t="str">
            <v>일반 Dr.</v>
          </cell>
          <cell r="E2125" t="str">
            <v>CS Dr</v>
          </cell>
        </row>
        <row r="2126">
          <cell r="B2126" t="str">
            <v>F4156</v>
          </cell>
          <cell r="D2126" t="str">
            <v>일반 Dr.</v>
          </cell>
          <cell r="E2126" t="str">
            <v>CS Dr</v>
          </cell>
        </row>
        <row r="2127">
          <cell r="B2127" t="str">
            <v>F4156</v>
          </cell>
          <cell r="D2127" t="str">
            <v>일반 Dr.</v>
          </cell>
          <cell r="E2127" t="str">
            <v>CS Dr</v>
          </cell>
        </row>
        <row r="2128">
          <cell r="B2128" t="str">
            <v>F4156</v>
          </cell>
          <cell r="D2128" t="str">
            <v>일반 Dr.</v>
          </cell>
          <cell r="E2128" t="str">
            <v>CS Dr</v>
          </cell>
        </row>
        <row r="2129">
          <cell r="B2129" t="str">
            <v>F4156</v>
          </cell>
          <cell r="D2129" t="str">
            <v>일반 Dr.</v>
          </cell>
          <cell r="E2129" t="str">
            <v>CS Dr</v>
          </cell>
        </row>
        <row r="2130">
          <cell r="B2130" t="str">
            <v>F4156</v>
          </cell>
          <cell r="D2130" t="str">
            <v>일반 Dr.</v>
          </cell>
          <cell r="E2130" t="str">
            <v>CS Dr</v>
          </cell>
        </row>
        <row r="2131">
          <cell r="B2131" t="str">
            <v>F4156</v>
          </cell>
          <cell r="D2131" t="str">
            <v>일반 Dr.</v>
          </cell>
          <cell r="E2131" t="str">
            <v>CS Dr</v>
          </cell>
        </row>
        <row r="2132">
          <cell r="B2132" t="str">
            <v>F4156</v>
          </cell>
          <cell r="D2132" t="str">
            <v>일반 Dr.</v>
          </cell>
          <cell r="E2132" t="str">
            <v>CS Dr</v>
          </cell>
        </row>
        <row r="2133">
          <cell r="B2133" t="str">
            <v>F4156</v>
          </cell>
          <cell r="D2133" t="str">
            <v>일반 Dr.</v>
          </cell>
          <cell r="E2133" t="str">
            <v>CS Dr</v>
          </cell>
        </row>
        <row r="2134">
          <cell r="B2134" t="str">
            <v>F4156</v>
          </cell>
          <cell r="D2134" t="str">
            <v>팀장</v>
          </cell>
          <cell r="E2134" t="str">
            <v>CS Dr</v>
          </cell>
        </row>
        <row r="2135">
          <cell r="B2135" t="str">
            <v>F4156</v>
          </cell>
          <cell r="D2135" t="str">
            <v>기술사내강사</v>
          </cell>
          <cell r="E2135" t="str">
            <v>CS Dr</v>
          </cell>
        </row>
        <row r="2136">
          <cell r="B2136" t="str">
            <v>F4156</v>
          </cell>
          <cell r="D2136" t="str">
            <v>조장</v>
          </cell>
          <cell r="E2136" t="str">
            <v>CS Dr</v>
          </cell>
        </row>
        <row r="2137">
          <cell r="B2137" t="str">
            <v>F4156</v>
          </cell>
          <cell r="D2137" t="str">
            <v>조장</v>
          </cell>
          <cell r="E2137" t="str">
            <v>CS Dr</v>
          </cell>
        </row>
        <row r="2138">
          <cell r="B2138" t="str">
            <v>F4156</v>
          </cell>
          <cell r="D2138" t="str">
            <v>일반 Dr.</v>
          </cell>
          <cell r="E2138" t="str">
            <v>CS Dr</v>
          </cell>
        </row>
        <row r="2139">
          <cell r="B2139" t="str">
            <v>F4156</v>
          </cell>
          <cell r="D2139" t="str">
            <v>조장</v>
          </cell>
          <cell r="E2139" t="str">
            <v>CS Dr</v>
          </cell>
        </row>
        <row r="2140">
          <cell r="B2140" t="str">
            <v>F4156</v>
          </cell>
          <cell r="D2140" t="str">
            <v>조장</v>
          </cell>
          <cell r="E2140" t="str">
            <v>CS Dr</v>
          </cell>
        </row>
        <row r="2141">
          <cell r="B2141" t="str">
            <v>F4156</v>
          </cell>
          <cell r="D2141" t="str">
            <v>일반 Dr.</v>
          </cell>
          <cell r="E2141" t="str">
            <v>CS Dr</v>
          </cell>
        </row>
        <row r="2142">
          <cell r="B2142" t="str">
            <v>F4156</v>
          </cell>
          <cell r="D2142" t="str">
            <v>일반 Dr.</v>
          </cell>
          <cell r="E2142" t="str">
            <v>CS Dr</v>
          </cell>
        </row>
        <row r="2143">
          <cell r="B2143" t="str">
            <v>F4156</v>
          </cell>
          <cell r="D2143" t="str">
            <v>조장</v>
          </cell>
          <cell r="E2143" t="str">
            <v>CS Dr</v>
          </cell>
        </row>
        <row r="2144">
          <cell r="B2144" t="str">
            <v>F4156</v>
          </cell>
          <cell r="D2144" t="str">
            <v>일반 Dr.</v>
          </cell>
          <cell r="E2144" t="str">
            <v>CS Dr</v>
          </cell>
        </row>
        <row r="2145">
          <cell r="B2145" t="str">
            <v>F4156</v>
          </cell>
          <cell r="D2145" t="str">
            <v>일반 Dr.</v>
          </cell>
          <cell r="E2145" t="str">
            <v>CS Dr</v>
          </cell>
        </row>
        <row r="2146">
          <cell r="B2146" t="str">
            <v>F4156</v>
          </cell>
          <cell r="D2146" t="str">
            <v>일반 Dr.</v>
          </cell>
          <cell r="E2146" t="str">
            <v>CS Dr</v>
          </cell>
        </row>
        <row r="2147">
          <cell r="B2147" t="str">
            <v>F4156</v>
          </cell>
          <cell r="D2147" t="str">
            <v>일반 Dr.</v>
          </cell>
          <cell r="E2147" t="str">
            <v>CS Dr</v>
          </cell>
        </row>
        <row r="2148">
          <cell r="B2148" t="str">
            <v>F4156</v>
          </cell>
          <cell r="D2148" t="str">
            <v>일반 Dr.</v>
          </cell>
          <cell r="E2148" t="str">
            <v>CS Dr</v>
          </cell>
        </row>
        <row r="2149">
          <cell r="B2149" t="str">
            <v>F4156</v>
          </cell>
          <cell r="D2149" t="str">
            <v>일반 Dr.</v>
          </cell>
          <cell r="E2149" t="str">
            <v>CS Dr</v>
          </cell>
        </row>
        <row r="2150">
          <cell r="B2150" t="str">
            <v>F4156</v>
          </cell>
          <cell r="D2150" t="str">
            <v>일반 Dr.</v>
          </cell>
          <cell r="E2150" t="str">
            <v>CS Dr</v>
          </cell>
        </row>
        <row r="2151">
          <cell r="B2151" t="str">
            <v>F4156</v>
          </cell>
          <cell r="D2151" t="str">
            <v>일반 Dr.</v>
          </cell>
          <cell r="E2151" t="str">
            <v>CS Dr</v>
          </cell>
        </row>
        <row r="2152">
          <cell r="B2152" t="str">
            <v>F4156</v>
          </cell>
          <cell r="D2152" t="str">
            <v>일반 Dr.</v>
          </cell>
          <cell r="E2152" t="str">
            <v>CS Dr</v>
          </cell>
        </row>
        <row r="2153">
          <cell r="B2153" t="str">
            <v>F4156</v>
          </cell>
          <cell r="D2153" t="str">
            <v>일반 Dr.</v>
          </cell>
          <cell r="E2153" t="str">
            <v>CS Dr</v>
          </cell>
        </row>
        <row r="2154">
          <cell r="B2154" t="str">
            <v>F4156</v>
          </cell>
          <cell r="D2154" t="str">
            <v>일반 Dr.</v>
          </cell>
          <cell r="E2154" t="str">
            <v>CS Dr</v>
          </cell>
        </row>
        <row r="2155">
          <cell r="B2155" t="str">
            <v>F4156</v>
          </cell>
          <cell r="D2155" t="str">
            <v>일반 Dr.</v>
          </cell>
          <cell r="E2155" t="str">
            <v>CS Dr</v>
          </cell>
        </row>
        <row r="2156">
          <cell r="B2156" t="str">
            <v>F4156</v>
          </cell>
          <cell r="D2156" t="str">
            <v>일반 Dr.</v>
          </cell>
          <cell r="E2156" t="str">
            <v>CS Dr</v>
          </cell>
        </row>
        <row r="2157">
          <cell r="B2157" t="str">
            <v>F4156</v>
          </cell>
          <cell r="D2157" t="str">
            <v>일반 Dr.</v>
          </cell>
          <cell r="E2157" t="str">
            <v>CS Dr</v>
          </cell>
        </row>
        <row r="2158">
          <cell r="B2158" t="str">
            <v>F4156</v>
          </cell>
          <cell r="D2158" t="str">
            <v>일반 Dr.</v>
          </cell>
          <cell r="E2158" t="str">
            <v>CS Dr</v>
          </cell>
        </row>
        <row r="2159">
          <cell r="B2159" t="str">
            <v>F4156</v>
          </cell>
          <cell r="D2159" t="str">
            <v>일반 Dr.</v>
          </cell>
          <cell r="E2159" t="str">
            <v>CS Dr</v>
          </cell>
        </row>
        <row r="2160">
          <cell r="B2160" t="str">
            <v>F4156</v>
          </cell>
          <cell r="D2160" t="str">
            <v>일반 Dr.</v>
          </cell>
          <cell r="E2160" t="str">
            <v>CS Dr</v>
          </cell>
        </row>
        <row r="2161">
          <cell r="B2161" t="str">
            <v>F4156</v>
          </cell>
          <cell r="D2161" t="str">
            <v>일반 Dr.</v>
          </cell>
          <cell r="E2161" t="str">
            <v>CS Dr</v>
          </cell>
        </row>
        <row r="2162">
          <cell r="B2162" t="str">
            <v>F4156</v>
          </cell>
          <cell r="D2162" t="str">
            <v>일반 Dr.</v>
          </cell>
          <cell r="E2162" t="str">
            <v>CS Dr</v>
          </cell>
        </row>
        <row r="2163">
          <cell r="B2163" t="str">
            <v>F4019</v>
          </cell>
          <cell r="D2163" t="str">
            <v>DDL Dr.</v>
          </cell>
          <cell r="E2163" t="str">
            <v>도어락전담</v>
          </cell>
        </row>
        <row r="2164">
          <cell r="B2164" t="str">
            <v>F4117</v>
          </cell>
          <cell r="D2164" t="str">
            <v>조장</v>
          </cell>
          <cell r="E2164" t="str">
            <v>CS Dr</v>
          </cell>
        </row>
        <row r="2165">
          <cell r="B2165" t="str">
            <v>F4117</v>
          </cell>
          <cell r="D2165" t="str">
            <v>일반 Dr.</v>
          </cell>
          <cell r="E2165" t="str">
            <v>CS Dr</v>
          </cell>
        </row>
        <row r="2166">
          <cell r="B2166" t="str">
            <v>F4117</v>
          </cell>
          <cell r="D2166" t="str">
            <v>일반 Dr.</v>
          </cell>
          <cell r="E2166" t="str">
            <v>CS Dr</v>
          </cell>
        </row>
        <row r="2167">
          <cell r="B2167" t="str">
            <v>F4117</v>
          </cell>
          <cell r="D2167" t="str">
            <v>일반 Dr.</v>
          </cell>
          <cell r="E2167" t="str">
            <v>CS Dr</v>
          </cell>
        </row>
        <row r="2168">
          <cell r="B2168" t="str">
            <v>F4117</v>
          </cell>
          <cell r="D2168" t="str">
            <v>일반 Dr.</v>
          </cell>
          <cell r="E2168" t="str">
            <v>CS Dr</v>
          </cell>
        </row>
        <row r="2169">
          <cell r="B2169" t="str">
            <v>F4117</v>
          </cell>
          <cell r="D2169" t="str">
            <v>일반 Dr.</v>
          </cell>
          <cell r="E2169" t="str">
            <v>CS Dr</v>
          </cell>
        </row>
        <row r="2170">
          <cell r="B2170" t="str">
            <v>F4117</v>
          </cell>
          <cell r="D2170" t="str">
            <v>일반 Dr.</v>
          </cell>
          <cell r="E2170" t="str">
            <v>CS Dr</v>
          </cell>
        </row>
        <row r="2171">
          <cell r="B2171" t="str">
            <v>F4117</v>
          </cell>
          <cell r="D2171" t="str">
            <v>기술사내강사</v>
          </cell>
          <cell r="E2171" t="str">
            <v>CS Dr</v>
          </cell>
        </row>
        <row r="2172">
          <cell r="B2172" t="str">
            <v>F4117</v>
          </cell>
          <cell r="D2172" t="str">
            <v>일반 Dr.</v>
          </cell>
          <cell r="E2172" t="str">
            <v>CS Dr</v>
          </cell>
        </row>
        <row r="2173">
          <cell r="B2173" t="str">
            <v>F4117</v>
          </cell>
          <cell r="D2173" t="str">
            <v>일반 Dr.</v>
          </cell>
          <cell r="E2173" t="str">
            <v>CS Dr</v>
          </cell>
        </row>
        <row r="2174">
          <cell r="B2174" t="str">
            <v>F4117</v>
          </cell>
          <cell r="D2174" t="str">
            <v>일반 Dr.</v>
          </cell>
          <cell r="E2174" t="str">
            <v>CS Dr</v>
          </cell>
        </row>
        <row r="2175">
          <cell r="B2175" t="str">
            <v>F4117</v>
          </cell>
          <cell r="D2175" t="str">
            <v>일반 Dr.</v>
          </cell>
          <cell r="E2175" t="str">
            <v>CS Dr</v>
          </cell>
        </row>
        <row r="2176">
          <cell r="B2176" t="str">
            <v>F4117</v>
          </cell>
          <cell r="D2176" t="str">
            <v>일반 Dr.</v>
          </cell>
          <cell r="E2176" t="str">
            <v>CS Dr</v>
          </cell>
        </row>
        <row r="2177">
          <cell r="B2177" t="str">
            <v>F4117</v>
          </cell>
          <cell r="D2177" t="str">
            <v>일반 Dr.</v>
          </cell>
          <cell r="E2177" t="str">
            <v>CS Dr</v>
          </cell>
        </row>
        <row r="2178">
          <cell r="B2178" t="str">
            <v>F4117</v>
          </cell>
          <cell r="D2178" t="str">
            <v>조장</v>
          </cell>
          <cell r="E2178" t="str">
            <v>CS Dr</v>
          </cell>
        </row>
        <row r="2179">
          <cell r="B2179" t="str">
            <v>F4117</v>
          </cell>
          <cell r="D2179" t="str">
            <v>팀장</v>
          </cell>
          <cell r="E2179" t="str">
            <v>CS Dr</v>
          </cell>
        </row>
        <row r="2180">
          <cell r="B2180" t="str">
            <v>F4117</v>
          </cell>
          <cell r="D2180" t="str">
            <v>조장</v>
          </cell>
          <cell r="E2180" t="str">
            <v>CS Dr</v>
          </cell>
        </row>
        <row r="2181">
          <cell r="B2181" t="str">
            <v>F4117</v>
          </cell>
          <cell r="D2181" t="str">
            <v>조장</v>
          </cell>
          <cell r="E2181" t="str">
            <v>CS Dr</v>
          </cell>
        </row>
        <row r="2182">
          <cell r="B2182" t="str">
            <v>F4117</v>
          </cell>
          <cell r="D2182" t="str">
            <v>조장</v>
          </cell>
          <cell r="E2182" t="str">
            <v>CS Dr</v>
          </cell>
        </row>
        <row r="2183">
          <cell r="B2183" t="str">
            <v>F4117</v>
          </cell>
          <cell r="D2183" t="str">
            <v>일반 Dr.</v>
          </cell>
          <cell r="E2183" t="str">
            <v>CS Dr</v>
          </cell>
        </row>
        <row r="2184">
          <cell r="B2184" t="str">
            <v>F4117</v>
          </cell>
          <cell r="D2184" t="str">
            <v>조장</v>
          </cell>
          <cell r="E2184" t="str">
            <v>CS Dr</v>
          </cell>
        </row>
        <row r="2185">
          <cell r="B2185" t="str">
            <v>F4117</v>
          </cell>
          <cell r="D2185" t="str">
            <v>일반 Dr.</v>
          </cell>
          <cell r="E2185" t="str">
            <v>CS Dr</v>
          </cell>
        </row>
        <row r="2186">
          <cell r="B2186" t="str">
            <v>F4117</v>
          </cell>
          <cell r="D2186" t="str">
            <v>일반 Dr.</v>
          </cell>
          <cell r="E2186" t="str">
            <v>CS Dr</v>
          </cell>
        </row>
        <row r="2187">
          <cell r="B2187" t="str">
            <v>F4117</v>
          </cell>
          <cell r="D2187" t="str">
            <v>일반 Dr.</v>
          </cell>
          <cell r="E2187" t="str">
            <v>CS Dr</v>
          </cell>
        </row>
        <row r="2188">
          <cell r="B2188" t="str">
            <v>F4117</v>
          </cell>
          <cell r="D2188" t="str">
            <v>일반 Dr.</v>
          </cell>
          <cell r="E2188" t="str">
            <v>CS Dr</v>
          </cell>
        </row>
        <row r="2189">
          <cell r="B2189" t="str">
            <v>F4117</v>
          </cell>
          <cell r="D2189" t="str">
            <v>조장</v>
          </cell>
          <cell r="E2189" t="str">
            <v>CS Dr</v>
          </cell>
        </row>
        <row r="2190">
          <cell r="B2190" t="str">
            <v>F4117</v>
          </cell>
          <cell r="D2190" t="str">
            <v>일반 Dr.</v>
          </cell>
          <cell r="E2190" t="str">
            <v>CS Dr</v>
          </cell>
        </row>
        <row r="2191">
          <cell r="B2191" t="str">
            <v>F4117</v>
          </cell>
          <cell r="D2191" t="str">
            <v>일반 Dr.</v>
          </cell>
          <cell r="E2191" t="str">
            <v>CS Dr</v>
          </cell>
        </row>
        <row r="2192">
          <cell r="B2192" t="str">
            <v>F4117</v>
          </cell>
          <cell r="D2192" t="str">
            <v>일반 Dr.</v>
          </cell>
          <cell r="E2192" t="str">
            <v>CS Dr</v>
          </cell>
        </row>
        <row r="2193">
          <cell r="B2193" t="str">
            <v>F4117</v>
          </cell>
          <cell r="D2193" t="str">
            <v>일반 Dr.</v>
          </cell>
          <cell r="E2193" t="str">
            <v>CS Dr</v>
          </cell>
        </row>
        <row r="2194">
          <cell r="B2194" t="str">
            <v>F4117</v>
          </cell>
          <cell r="D2194" t="str">
            <v>일반 Dr.</v>
          </cell>
          <cell r="E2194" t="str">
            <v>CS Dr</v>
          </cell>
        </row>
        <row r="2195">
          <cell r="B2195" t="str">
            <v>F4117</v>
          </cell>
          <cell r="D2195" t="str">
            <v>일반 Dr.</v>
          </cell>
          <cell r="E2195" t="str">
            <v>CS Dr</v>
          </cell>
        </row>
        <row r="2196">
          <cell r="B2196" t="str">
            <v>F4117</v>
          </cell>
          <cell r="D2196" t="str">
            <v>일반 Dr.</v>
          </cell>
          <cell r="E2196" t="str">
            <v>CS Dr</v>
          </cell>
        </row>
        <row r="2197">
          <cell r="B2197" t="str">
            <v>F4117</v>
          </cell>
          <cell r="D2197" t="str">
            <v>일반 Dr.</v>
          </cell>
          <cell r="E2197" t="str">
            <v>CS Dr</v>
          </cell>
        </row>
        <row r="2198">
          <cell r="B2198" t="str">
            <v>F4117</v>
          </cell>
          <cell r="D2198" t="str">
            <v>일반 Dr.</v>
          </cell>
          <cell r="E2198" t="str">
            <v>CS Dr</v>
          </cell>
        </row>
        <row r="2199">
          <cell r="B2199" t="str">
            <v>F4117</v>
          </cell>
          <cell r="D2199" t="str">
            <v>일반 Dr.</v>
          </cell>
          <cell r="E2199" t="str">
            <v>CS Dr</v>
          </cell>
        </row>
        <row r="2200">
          <cell r="B2200" t="str">
            <v>F4117</v>
          </cell>
          <cell r="D2200" t="str">
            <v>일반 Dr.</v>
          </cell>
          <cell r="E2200" t="str">
            <v>CS Dr</v>
          </cell>
        </row>
        <row r="2201">
          <cell r="B2201" t="str">
            <v>F4117</v>
          </cell>
          <cell r="D2201" t="str">
            <v>일반 Dr.</v>
          </cell>
          <cell r="E2201" t="str">
            <v>CS Dr</v>
          </cell>
        </row>
        <row r="2202">
          <cell r="B2202" t="str">
            <v>F4117</v>
          </cell>
          <cell r="D2202" t="str">
            <v>일반 Dr.</v>
          </cell>
          <cell r="E2202" t="str">
            <v>CS Dr</v>
          </cell>
        </row>
        <row r="2203">
          <cell r="B2203" t="str">
            <v>F4117</v>
          </cell>
          <cell r="D2203" t="str">
            <v>일반 Dr.</v>
          </cell>
          <cell r="E2203" t="str">
            <v>CS Dr</v>
          </cell>
        </row>
        <row r="2204">
          <cell r="B2204" t="str">
            <v>F4117</v>
          </cell>
          <cell r="D2204" t="str">
            <v>일반 Dr.</v>
          </cell>
          <cell r="E2204" t="str">
            <v>CS Dr</v>
          </cell>
        </row>
        <row r="2205">
          <cell r="B2205" t="str">
            <v>F4117</v>
          </cell>
          <cell r="D2205" t="str">
            <v>일반 Dr.</v>
          </cell>
          <cell r="E2205" t="str">
            <v>CS Dr</v>
          </cell>
        </row>
        <row r="2206">
          <cell r="B2206" t="str">
            <v>F4016</v>
          </cell>
          <cell r="D2206" t="str">
            <v>배달</v>
          </cell>
          <cell r="E2206" t="str">
            <v>용</v>
          </cell>
        </row>
        <row r="2207">
          <cell r="B2207" t="str">
            <v>F4134</v>
          </cell>
          <cell r="D2207" t="str">
            <v>일반 Dr.</v>
          </cell>
          <cell r="E2207" t="str">
            <v>CS Dr</v>
          </cell>
        </row>
        <row r="2208">
          <cell r="B2208" t="str">
            <v>F4134</v>
          </cell>
          <cell r="D2208" t="str">
            <v>일반 Dr.</v>
          </cell>
          <cell r="E2208" t="str">
            <v>CS Dr</v>
          </cell>
        </row>
        <row r="2209">
          <cell r="B2209" t="str">
            <v>F4134</v>
          </cell>
          <cell r="D2209" t="str">
            <v>일반 Dr.</v>
          </cell>
          <cell r="E2209" t="str">
            <v>CS Dr</v>
          </cell>
        </row>
        <row r="2210">
          <cell r="B2210" t="str">
            <v>F4134</v>
          </cell>
          <cell r="D2210" t="str">
            <v>일반 Dr.</v>
          </cell>
          <cell r="E2210" t="str">
            <v>CS Dr</v>
          </cell>
        </row>
        <row r="2211">
          <cell r="B2211" t="str">
            <v>F4134</v>
          </cell>
          <cell r="D2211" t="str">
            <v>일반 Dr.</v>
          </cell>
          <cell r="E2211" t="str">
            <v>CS Dr</v>
          </cell>
        </row>
        <row r="2212">
          <cell r="B2212" t="str">
            <v>F4134</v>
          </cell>
          <cell r="D2212" t="str">
            <v>일반 Dr.</v>
          </cell>
          <cell r="E2212" t="str">
            <v>CS Dr</v>
          </cell>
        </row>
        <row r="2213">
          <cell r="B2213" t="str">
            <v>F4134</v>
          </cell>
          <cell r="D2213" t="str">
            <v>일반 Dr.</v>
          </cell>
          <cell r="E2213" t="str">
            <v>CS Dr</v>
          </cell>
        </row>
        <row r="2214">
          <cell r="B2214" t="str">
            <v>F4134</v>
          </cell>
          <cell r="D2214" t="str">
            <v>일반 Dr.</v>
          </cell>
          <cell r="E2214" t="str">
            <v>CS Dr</v>
          </cell>
        </row>
        <row r="2215">
          <cell r="B2215" t="str">
            <v>F4134</v>
          </cell>
          <cell r="D2215" t="str">
            <v>일반 Dr.</v>
          </cell>
          <cell r="E2215" t="str">
            <v>CS Dr</v>
          </cell>
        </row>
        <row r="2216">
          <cell r="B2216" t="str">
            <v>F4134</v>
          </cell>
          <cell r="D2216" t="str">
            <v>조장</v>
          </cell>
          <cell r="E2216" t="str">
            <v>CS Dr</v>
          </cell>
        </row>
        <row r="2217">
          <cell r="B2217" t="str">
            <v>F4134</v>
          </cell>
          <cell r="D2217" t="str">
            <v>일반 Dr.</v>
          </cell>
          <cell r="E2217" t="str">
            <v>CS Dr</v>
          </cell>
        </row>
        <row r="2218">
          <cell r="B2218" t="str">
            <v>F4134</v>
          </cell>
          <cell r="D2218" t="str">
            <v>조장</v>
          </cell>
          <cell r="E2218" t="str">
            <v>CS Dr</v>
          </cell>
        </row>
        <row r="2219">
          <cell r="B2219" t="str">
            <v>F4134</v>
          </cell>
          <cell r="D2219" t="str">
            <v>조장</v>
          </cell>
          <cell r="E2219" t="str">
            <v>CS Dr</v>
          </cell>
        </row>
        <row r="2220">
          <cell r="B2220" t="str">
            <v>F4134</v>
          </cell>
          <cell r="D2220" t="str">
            <v>조장</v>
          </cell>
          <cell r="E2220" t="str">
            <v>CS Dr</v>
          </cell>
        </row>
        <row r="2221">
          <cell r="B2221" t="str">
            <v>F4134</v>
          </cell>
          <cell r="D2221" t="str">
            <v>일반 Dr.</v>
          </cell>
          <cell r="E2221" t="str">
            <v>CS Dr</v>
          </cell>
        </row>
        <row r="2222">
          <cell r="B2222" t="str">
            <v>F4134</v>
          </cell>
          <cell r="D2222" t="str">
            <v>일반 Dr.</v>
          </cell>
          <cell r="E2222" t="str">
            <v>CS Dr</v>
          </cell>
        </row>
        <row r="2223">
          <cell r="B2223" t="str">
            <v>F4134</v>
          </cell>
          <cell r="D2223" t="str">
            <v>일반 Dr.</v>
          </cell>
          <cell r="E2223" t="str">
            <v>CS Dr</v>
          </cell>
        </row>
        <row r="2224">
          <cell r="B2224" t="str">
            <v>F4134</v>
          </cell>
          <cell r="D2224" t="str">
            <v>조장</v>
          </cell>
          <cell r="E2224" t="str">
            <v>CS Dr</v>
          </cell>
        </row>
        <row r="2225">
          <cell r="B2225" t="str">
            <v>F4134</v>
          </cell>
          <cell r="D2225" t="str">
            <v>일반 Dr.</v>
          </cell>
          <cell r="E2225" t="str">
            <v>CS Dr</v>
          </cell>
        </row>
        <row r="2226">
          <cell r="B2226" t="str">
            <v>F4134</v>
          </cell>
          <cell r="D2226" t="str">
            <v>일반 Dr.</v>
          </cell>
          <cell r="E2226" t="str">
            <v>CS Dr</v>
          </cell>
        </row>
        <row r="2227">
          <cell r="B2227" t="str">
            <v>F4134</v>
          </cell>
          <cell r="D2227" t="str">
            <v>일반 Dr.</v>
          </cell>
          <cell r="E2227" t="str">
            <v>CS Dr</v>
          </cell>
        </row>
        <row r="2228">
          <cell r="B2228" t="str">
            <v>F4134</v>
          </cell>
          <cell r="D2228" t="str">
            <v>일반 Dr.</v>
          </cell>
          <cell r="E2228" t="str">
            <v>CS Dr</v>
          </cell>
        </row>
        <row r="2229">
          <cell r="B2229" t="str">
            <v>F4134</v>
          </cell>
          <cell r="D2229" t="str">
            <v>팀장</v>
          </cell>
          <cell r="E2229" t="str">
            <v>CS Dr</v>
          </cell>
        </row>
        <row r="2230">
          <cell r="B2230" t="str">
            <v>F4134</v>
          </cell>
          <cell r="D2230" t="str">
            <v>조장</v>
          </cell>
          <cell r="E2230" t="str">
            <v>CS Dr</v>
          </cell>
        </row>
        <row r="2231">
          <cell r="B2231" t="str">
            <v>F4134</v>
          </cell>
          <cell r="D2231" t="str">
            <v>일반 Dr.</v>
          </cell>
          <cell r="E2231" t="str">
            <v>CS Dr</v>
          </cell>
        </row>
        <row r="2232">
          <cell r="B2232" t="str">
            <v>F4134</v>
          </cell>
          <cell r="D2232" t="str">
            <v>일반 Dr.</v>
          </cell>
          <cell r="E2232" t="str">
            <v>CS Dr</v>
          </cell>
        </row>
        <row r="2233">
          <cell r="B2233" t="str">
            <v>F4134</v>
          </cell>
          <cell r="D2233" t="str">
            <v>일반 Dr.</v>
          </cell>
          <cell r="E2233" t="str">
            <v>CS Dr</v>
          </cell>
        </row>
        <row r="2234">
          <cell r="B2234" t="str">
            <v>F4134</v>
          </cell>
          <cell r="D2234" t="str">
            <v>일반 Dr.</v>
          </cell>
          <cell r="E2234" t="str">
            <v>CS Dr</v>
          </cell>
        </row>
        <row r="2235">
          <cell r="B2235" t="str">
            <v>F4134</v>
          </cell>
          <cell r="D2235" t="str">
            <v>일반 Dr.</v>
          </cell>
          <cell r="E2235" t="str">
            <v>CS Dr</v>
          </cell>
        </row>
        <row r="2236">
          <cell r="B2236" t="str">
            <v>F4134</v>
          </cell>
          <cell r="D2236" t="str">
            <v>일반 Dr.</v>
          </cell>
          <cell r="E2236" t="str">
            <v>CS Dr</v>
          </cell>
        </row>
        <row r="2237">
          <cell r="B2237" t="str">
            <v>F4134</v>
          </cell>
          <cell r="D2237" t="str">
            <v>일반 Dr.</v>
          </cell>
          <cell r="E2237" t="str">
            <v>CS Dr</v>
          </cell>
        </row>
        <row r="2238">
          <cell r="B2238" t="str">
            <v>F4134</v>
          </cell>
          <cell r="D2238" t="str">
            <v>일반 Dr.</v>
          </cell>
          <cell r="E2238" t="str">
            <v>CS Dr</v>
          </cell>
        </row>
        <row r="2239">
          <cell r="B2239" t="str">
            <v>F4134</v>
          </cell>
          <cell r="D2239" t="str">
            <v>일반 Dr.</v>
          </cell>
          <cell r="E2239" t="str">
            <v>CS Dr</v>
          </cell>
        </row>
        <row r="2240">
          <cell r="B2240" t="str">
            <v>F4134</v>
          </cell>
          <cell r="D2240" t="str">
            <v>일반 Dr.</v>
          </cell>
          <cell r="E2240" t="str">
            <v>CS Dr</v>
          </cell>
        </row>
        <row r="2241">
          <cell r="B2241" t="str">
            <v>F4134</v>
          </cell>
          <cell r="D2241" t="str">
            <v>일반 Dr.</v>
          </cell>
          <cell r="E2241" t="str">
            <v>CS Dr</v>
          </cell>
        </row>
        <row r="2242">
          <cell r="B2242" t="str">
            <v>F4134</v>
          </cell>
          <cell r="D2242" t="str">
            <v>일반 Dr.</v>
          </cell>
          <cell r="E2242" t="str">
            <v>CS Dr</v>
          </cell>
        </row>
        <row r="2243">
          <cell r="B2243" t="str">
            <v>F4134</v>
          </cell>
          <cell r="D2243" t="str">
            <v>일반 Dr.</v>
          </cell>
          <cell r="E2243" t="str">
            <v>CS Dr</v>
          </cell>
        </row>
        <row r="2244">
          <cell r="B2244" t="str">
            <v>F4134</v>
          </cell>
          <cell r="D2244" t="str">
            <v>일반 Dr.</v>
          </cell>
          <cell r="E2244" t="str">
            <v>CS Dr</v>
          </cell>
        </row>
        <row r="2245">
          <cell r="B2245" t="str">
            <v>F4134</v>
          </cell>
          <cell r="D2245" t="str">
            <v>일반 Dr.</v>
          </cell>
          <cell r="E2245" t="str">
            <v>CS Dr</v>
          </cell>
        </row>
        <row r="2246">
          <cell r="B2246" t="str">
            <v>F4134</v>
          </cell>
          <cell r="D2246" t="str">
            <v>일반 Dr.</v>
          </cell>
          <cell r="E2246" t="str">
            <v>CS Dr</v>
          </cell>
        </row>
        <row r="2247">
          <cell r="B2247" t="str">
            <v>F4134</v>
          </cell>
          <cell r="D2247" t="str">
            <v>일반 Dr.</v>
          </cell>
          <cell r="E2247" t="str">
            <v>CS Dr</v>
          </cell>
        </row>
        <row r="2248">
          <cell r="B2248" t="str">
            <v>F4134</v>
          </cell>
          <cell r="D2248" t="str">
            <v>일반 Dr.</v>
          </cell>
          <cell r="E2248" t="str">
            <v>CS Dr</v>
          </cell>
        </row>
        <row r="2249">
          <cell r="B2249" t="str">
            <v>F4134</v>
          </cell>
          <cell r="D2249" t="str">
            <v>일반 Dr.</v>
          </cell>
          <cell r="E2249" t="str">
            <v>CS Dr</v>
          </cell>
        </row>
        <row r="2250">
          <cell r="B2250" t="str">
            <v>F4134</v>
          </cell>
          <cell r="D2250" t="str">
            <v>일반 Dr.</v>
          </cell>
          <cell r="E2250" t="str">
            <v>CS Dr</v>
          </cell>
        </row>
        <row r="2251">
          <cell r="B2251" t="str">
            <v>F4134</v>
          </cell>
          <cell r="D2251" t="str">
            <v>일반 Dr.</v>
          </cell>
          <cell r="E2251" t="str">
            <v>CS Dr</v>
          </cell>
        </row>
        <row r="2252">
          <cell r="B2252" t="str">
            <v>F4134</v>
          </cell>
          <cell r="D2252" t="str">
            <v>일반 Dr.</v>
          </cell>
          <cell r="E2252" t="str">
            <v>CS Dr</v>
          </cell>
        </row>
        <row r="2253">
          <cell r="B2253" t="str">
            <v>F4134</v>
          </cell>
          <cell r="D2253" t="str">
            <v>일반 Dr.</v>
          </cell>
          <cell r="E2253" t="str">
            <v>CS Dr</v>
          </cell>
        </row>
        <row r="2254">
          <cell r="B2254" t="str">
            <v>F4134</v>
          </cell>
          <cell r="D2254" t="str">
            <v>일반 Dr.</v>
          </cell>
          <cell r="E2254" t="str">
            <v>CS Dr</v>
          </cell>
        </row>
        <row r="2255">
          <cell r="B2255" t="str">
            <v>F4134</v>
          </cell>
          <cell r="D2255" t="str">
            <v>일반 Dr.</v>
          </cell>
          <cell r="E2255" t="str">
            <v>CS Dr</v>
          </cell>
        </row>
        <row r="2256">
          <cell r="B2256" t="str">
            <v>F4134</v>
          </cell>
          <cell r="D2256" t="str">
            <v>일반 Dr.</v>
          </cell>
          <cell r="E2256" t="str">
            <v>CS Dr</v>
          </cell>
        </row>
        <row r="2257">
          <cell r="B2257" t="str">
            <v>F4134</v>
          </cell>
          <cell r="D2257" t="str">
            <v>조장</v>
          </cell>
          <cell r="E2257" t="str">
            <v>CS Dr</v>
          </cell>
        </row>
        <row r="2258">
          <cell r="B2258" t="str">
            <v>F4134</v>
          </cell>
          <cell r="D2258" t="str">
            <v>조장</v>
          </cell>
          <cell r="E2258" t="str">
            <v>CS Dr</v>
          </cell>
        </row>
        <row r="2259">
          <cell r="B2259" t="str">
            <v>F4134</v>
          </cell>
          <cell r="D2259" t="str">
            <v>일반 Dr.</v>
          </cell>
          <cell r="E2259" t="str">
            <v>CS Dr</v>
          </cell>
        </row>
        <row r="2260">
          <cell r="B2260" t="str">
            <v>F4134</v>
          </cell>
          <cell r="D2260" t="str">
            <v>조장</v>
          </cell>
          <cell r="E2260" t="str">
            <v>CS Dr</v>
          </cell>
        </row>
        <row r="2261">
          <cell r="B2261" t="str">
            <v>F4134</v>
          </cell>
          <cell r="D2261" t="str">
            <v>조장</v>
          </cell>
          <cell r="E2261" t="str">
            <v>CS Dr</v>
          </cell>
        </row>
        <row r="2262">
          <cell r="B2262" t="str">
            <v>F4134</v>
          </cell>
          <cell r="D2262" t="str">
            <v>조장</v>
          </cell>
          <cell r="E2262" t="str">
            <v>CS Dr</v>
          </cell>
        </row>
        <row r="2263">
          <cell r="B2263" t="str">
            <v>F4134</v>
          </cell>
          <cell r="D2263" t="str">
            <v>일반 Dr.</v>
          </cell>
          <cell r="E2263" t="str">
            <v>CS Dr</v>
          </cell>
        </row>
        <row r="2264">
          <cell r="B2264" t="str">
            <v>F4134</v>
          </cell>
          <cell r="D2264" t="str">
            <v>일반 Dr.</v>
          </cell>
          <cell r="E2264" t="str">
            <v>CS Dr</v>
          </cell>
        </row>
        <row r="2265">
          <cell r="B2265" t="str">
            <v>F4134</v>
          </cell>
          <cell r="D2265" t="str">
            <v>조장</v>
          </cell>
          <cell r="E2265" t="str">
            <v>CS Dr</v>
          </cell>
        </row>
        <row r="2266">
          <cell r="B2266" t="str">
            <v>F4134</v>
          </cell>
          <cell r="D2266" t="str">
            <v>일반 Dr.</v>
          </cell>
          <cell r="E2266" t="str">
            <v>CS Dr</v>
          </cell>
        </row>
        <row r="2267">
          <cell r="B2267" t="str">
            <v>F4134</v>
          </cell>
          <cell r="D2267" t="str">
            <v>일반 Dr.</v>
          </cell>
          <cell r="E2267" t="str">
            <v>CS Dr</v>
          </cell>
        </row>
        <row r="2268">
          <cell r="B2268" t="str">
            <v>F4134</v>
          </cell>
          <cell r="D2268" t="str">
            <v>일반 Dr.</v>
          </cell>
          <cell r="E2268" t="str">
            <v>CS Dr</v>
          </cell>
        </row>
        <row r="2269">
          <cell r="B2269" t="str">
            <v>F4134</v>
          </cell>
          <cell r="D2269" t="str">
            <v>일반 Dr.</v>
          </cell>
          <cell r="E2269" t="str">
            <v>CS Dr</v>
          </cell>
        </row>
        <row r="2270">
          <cell r="B2270" t="str">
            <v>F4134</v>
          </cell>
          <cell r="D2270" t="str">
            <v>일반 Dr.</v>
          </cell>
          <cell r="E2270" t="str">
            <v>CS Dr</v>
          </cell>
        </row>
        <row r="2271">
          <cell r="B2271" t="str">
            <v>F4134</v>
          </cell>
          <cell r="D2271" t="str">
            <v>일반 Dr.</v>
          </cell>
          <cell r="E2271" t="str">
            <v>CS Dr</v>
          </cell>
        </row>
        <row r="2272">
          <cell r="B2272" t="str">
            <v>F4134</v>
          </cell>
          <cell r="D2272" t="str">
            <v>일반 Dr.</v>
          </cell>
          <cell r="E2272" t="str">
            <v>CS Dr</v>
          </cell>
        </row>
        <row r="2273">
          <cell r="B2273" t="str">
            <v>F4134</v>
          </cell>
          <cell r="D2273" t="str">
            <v>일반 Dr.</v>
          </cell>
          <cell r="E2273" t="str">
            <v>CS Dr</v>
          </cell>
        </row>
        <row r="2274">
          <cell r="B2274" t="str">
            <v>F4134</v>
          </cell>
          <cell r="D2274" t="str">
            <v>팀장</v>
          </cell>
          <cell r="E2274" t="str">
            <v>CS Dr</v>
          </cell>
        </row>
        <row r="2275">
          <cell r="B2275" t="str">
            <v>F4134</v>
          </cell>
          <cell r="D2275" t="str">
            <v>일반 Dr.</v>
          </cell>
          <cell r="E2275" t="str">
            <v>CS Dr</v>
          </cell>
        </row>
        <row r="2276">
          <cell r="B2276" t="str">
            <v>F4134</v>
          </cell>
          <cell r="D2276" t="str">
            <v>일반 Dr.</v>
          </cell>
          <cell r="E2276" t="str">
            <v>CS Dr</v>
          </cell>
        </row>
        <row r="2277">
          <cell r="B2277" t="str">
            <v>F4134</v>
          </cell>
          <cell r="D2277" t="str">
            <v>일반 Dr.</v>
          </cell>
          <cell r="E2277" t="str">
            <v>CS Dr</v>
          </cell>
        </row>
        <row r="2278">
          <cell r="B2278" t="str">
            <v>F4134</v>
          </cell>
          <cell r="D2278" t="str">
            <v>일반 Dr.</v>
          </cell>
          <cell r="E2278" t="str">
            <v>CS Dr</v>
          </cell>
        </row>
        <row r="2279">
          <cell r="B2279" t="str">
            <v>F4134</v>
          </cell>
          <cell r="D2279" t="str">
            <v>일반 Dr.</v>
          </cell>
          <cell r="E2279" t="str">
            <v>CS Dr</v>
          </cell>
        </row>
        <row r="2280">
          <cell r="B2280" t="str">
            <v>F4134</v>
          </cell>
          <cell r="D2280" t="str">
            <v>일반 Dr.</v>
          </cell>
          <cell r="E2280" t="str">
            <v>CS Dr</v>
          </cell>
        </row>
        <row r="2281">
          <cell r="B2281" t="str">
            <v>F4134</v>
          </cell>
          <cell r="D2281" t="str">
            <v>일반 Dr.</v>
          </cell>
          <cell r="E2281" t="str">
            <v>CS Dr</v>
          </cell>
        </row>
        <row r="2282">
          <cell r="B2282" t="str">
            <v>F4134</v>
          </cell>
          <cell r="D2282" t="str">
            <v>일반 Dr.</v>
          </cell>
          <cell r="E2282" t="str">
            <v>CS Dr</v>
          </cell>
        </row>
        <row r="2283">
          <cell r="B2283" t="str">
            <v>F4134</v>
          </cell>
          <cell r="D2283" t="str">
            <v>일반 Dr.</v>
          </cell>
          <cell r="E2283" t="str">
            <v>CS Dr</v>
          </cell>
        </row>
        <row r="2284">
          <cell r="B2284" t="str">
            <v>F4134</v>
          </cell>
          <cell r="D2284" t="str">
            <v>일반 Dr.</v>
          </cell>
          <cell r="E2284" t="str">
            <v>CS Dr</v>
          </cell>
        </row>
        <row r="2285">
          <cell r="B2285" t="str">
            <v>F4134</v>
          </cell>
          <cell r="D2285" t="str">
            <v>일반 Dr.</v>
          </cell>
          <cell r="E2285" t="str">
            <v>CS Dr</v>
          </cell>
        </row>
        <row r="2286">
          <cell r="B2286" t="str">
            <v>F4134</v>
          </cell>
          <cell r="D2286" t="str">
            <v>일반 Dr.</v>
          </cell>
          <cell r="E2286" t="str">
            <v>CS Dr</v>
          </cell>
        </row>
        <row r="2287">
          <cell r="B2287" t="str">
            <v>F4134</v>
          </cell>
          <cell r="D2287" t="str">
            <v>일반 Dr.</v>
          </cell>
          <cell r="E2287" t="str">
            <v>CS Dr</v>
          </cell>
        </row>
        <row r="2288">
          <cell r="B2288" t="str">
            <v>F4134</v>
          </cell>
          <cell r="D2288" t="str">
            <v>일반 Dr.</v>
          </cell>
          <cell r="E2288" t="str">
            <v>CS Dr</v>
          </cell>
        </row>
        <row r="2289">
          <cell r="B2289" t="str">
            <v>F4134</v>
          </cell>
          <cell r="D2289" t="str">
            <v>일반 Dr.</v>
          </cell>
          <cell r="E2289" t="str">
            <v>CS Dr</v>
          </cell>
        </row>
        <row r="2290">
          <cell r="B2290" t="str">
            <v>F4134</v>
          </cell>
          <cell r="D2290" t="str">
            <v>일반 Dr.</v>
          </cell>
          <cell r="E2290" t="str">
            <v>CS Dr</v>
          </cell>
        </row>
        <row r="2291">
          <cell r="B2291" t="str">
            <v>F4125</v>
          </cell>
          <cell r="D2291" t="str">
            <v>일반 Dr.</v>
          </cell>
          <cell r="E2291" t="str">
            <v>CS Dr</v>
          </cell>
        </row>
        <row r="2292">
          <cell r="B2292" t="str">
            <v>F4125</v>
          </cell>
          <cell r="D2292" t="str">
            <v>조장</v>
          </cell>
          <cell r="E2292" t="str">
            <v>CS Dr</v>
          </cell>
        </row>
        <row r="2293">
          <cell r="B2293" t="str">
            <v>F4125</v>
          </cell>
          <cell r="D2293" t="str">
            <v>일반 Dr.</v>
          </cell>
          <cell r="E2293" t="str">
            <v>CS Dr</v>
          </cell>
        </row>
        <row r="2294">
          <cell r="B2294" t="str">
            <v>F4125</v>
          </cell>
          <cell r="D2294" t="str">
            <v>일반 Dr.</v>
          </cell>
          <cell r="E2294" t="str">
            <v>CS Dr</v>
          </cell>
        </row>
        <row r="2295">
          <cell r="B2295" t="str">
            <v>F4125</v>
          </cell>
          <cell r="D2295" t="str">
            <v>일반 Dr.</v>
          </cell>
          <cell r="E2295" t="str">
            <v>CS Dr</v>
          </cell>
        </row>
        <row r="2296">
          <cell r="B2296" t="str">
            <v>F4125</v>
          </cell>
          <cell r="D2296" t="str">
            <v>일반 Dr.</v>
          </cell>
          <cell r="E2296" t="str">
            <v>CS Dr</v>
          </cell>
        </row>
        <row r="2297">
          <cell r="B2297" t="str">
            <v>F4125</v>
          </cell>
          <cell r="D2297" t="str">
            <v>일반 Dr.</v>
          </cell>
          <cell r="E2297" t="str">
            <v>CS Dr</v>
          </cell>
        </row>
        <row r="2298">
          <cell r="B2298" t="str">
            <v>F4125</v>
          </cell>
          <cell r="D2298" t="str">
            <v>일반 Dr.</v>
          </cell>
          <cell r="E2298" t="str">
            <v>CS Dr</v>
          </cell>
        </row>
        <row r="2299">
          <cell r="B2299" t="str">
            <v>F4125</v>
          </cell>
          <cell r="D2299" t="str">
            <v>일반 Dr.</v>
          </cell>
          <cell r="E2299" t="str">
            <v>CS Dr</v>
          </cell>
        </row>
        <row r="2300">
          <cell r="B2300" t="str">
            <v>F4125</v>
          </cell>
          <cell r="D2300" t="str">
            <v>일반 Dr.</v>
          </cell>
          <cell r="E2300" t="str">
            <v>CS Dr</v>
          </cell>
        </row>
        <row r="2301">
          <cell r="B2301" t="str">
            <v>F4125</v>
          </cell>
          <cell r="D2301" t="str">
            <v>일반 Dr.</v>
          </cell>
          <cell r="E2301" t="str">
            <v>CS Dr</v>
          </cell>
        </row>
        <row r="2302">
          <cell r="B2302" t="str">
            <v>F4125</v>
          </cell>
          <cell r="D2302" t="str">
            <v>팀장</v>
          </cell>
          <cell r="E2302" t="str">
            <v>CS Dr</v>
          </cell>
        </row>
        <row r="2303">
          <cell r="B2303" t="str">
            <v>F4125</v>
          </cell>
          <cell r="D2303" t="str">
            <v>일반 Dr.</v>
          </cell>
          <cell r="E2303" t="str">
            <v>CS Dr</v>
          </cell>
        </row>
        <row r="2304">
          <cell r="B2304" t="str">
            <v>F4125</v>
          </cell>
          <cell r="D2304" t="str">
            <v>일반 Dr.</v>
          </cell>
          <cell r="E2304" t="str">
            <v>CS Dr</v>
          </cell>
        </row>
        <row r="2305">
          <cell r="B2305" t="str">
            <v>F4125</v>
          </cell>
          <cell r="D2305" t="str">
            <v>일반 Dr.</v>
          </cell>
          <cell r="E2305" t="str">
            <v>CS Dr</v>
          </cell>
        </row>
        <row r="2306">
          <cell r="B2306" t="str">
            <v>F4125</v>
          </cell>
          <cell r="D2306" t="str">
            <v>조장</v>
          </cell>
          <cell r="E2306" t="str">
            <v>CS Dr</v>
          </cell>
        </row>
        <row r="2307">
          <cell r="B2307" t="str">
            <v>F4125</v>
          </cell>
          <cell r="D2307" t="str">
            <v>조장</v>
          </cell>
          <cell r="E2307" t="str">
            <v>CS Dr</v>
          </cell>
        </row>
        <row r="2308">
          <cell r="B2308" t="str">
            <v>F4125</v>
          </cell>
          <cell r="D2308" t="str">
            <v>조장</v>
          </cell>
          <cell r="E2308" t="str">
            <v>CS Dr</v>
          </cell>
        </row>
        <row r="2309">
          <cell r="B2309" t="str">
            <v>F4125</v>
          </cell>
          <cell r="D2309" t="str">
            <v>일반 Dr.</v>
          </cell>
          <cell r="E2309" t="str">
            <v>CS Dr</v>
          </cell>
        </row>
        <row r="2310">
          <cell r="B2310" t="str">
            <v>F4125</v>
          </cell>
          <cell r="D2310" t="str">
            <v>조장</v>
          </cell>
          <cell r="E2310" t="str">
            <v>CS Dr</v>
          </cell>
        </row>
        <row r="2311">
          <cell r="B2311" t="str">
            <v>F4125</v>
          </cell>
          <cell r="D2311" t="str">
            <v>기술사내강사</v>
          </cell>
          <cell r="E2311" t="str">
            <v>CS Dr</v>
          </cell>
        </row>
        <row r="2312">
          <cell r="B2312" t="str">
            <v>F4125</v>
          </cell>
          <cell r="D2312" t="str">
            <v>일반 Dr.</v>
          </cell>
          <cell r="E2312" t="str">
            <v>CS Dr</v>
          </cell>
        </row>
        <row r="2313">
          <cell r="B2313" t="str">
            <v>F4125</v>
          </cell>
          <cell r="D2313" t="str">
            <v>조장</v>
          </cell>
          <cell r="E2313" t="str">
            <v>CS Dr</v>
          </cell>
        </row>
        <row r="2314">
          <cell r="B2314" t="str">
            <v>F4125</v>
          </cell>
          <cell r="D2314" t="str">
            <v>일반 Dr.</v>
          </cell>
          <cell r="E2314" t="str">
            <v>CS Dr</v>
          </cell>
        </row>
        <row r="2315">
          <cell r="B2315" t="str">
            <v>F4125</v>
          </cell>
          <cell r="D2315" t="str">
            <v>일반 Dr.</v>
          </cell>
          <cell r="E2315" t="str">
            <v>CS Dr</v>
          </cell>
        </row>
        <row r="2316">
          <cell r="B2316" t="str">
            <v>F4125</v>
          </cell>
          <cell r="D2316" t="str">
            <v>일반 Dr.</v>
          </cell>
          <cell r="E2316" t="str">
            <v>CS Dr</v>
          </cell>
        </row>
        <row r="2317">
          <cell r="B2317" t="str">
            <v>F4125</v>
          </cell>
          <cell r="D2317" t="str">
            <v>일반 Dr.</v>
          </cell>
          <cell r="E2317" t="str">
            <v>CS Dr</v>
          </cell>
        </row>
        <row r="2318">
          <cell r="B2318" t="str">
            <v>F4125</v>
          </cell>
          <cell r="D2318" t="str">
            <v>일반 Dr.</v>
          </cell>
          <cell r="E2318" t="str">
            <v>CS Dr</v>
          </cell>
        </row>
        <row r="2319">
          <cell r="B2319" t="str">
            <v>F4125</v>
          </cell>
          <cell r="D2319" t="str">
            <v>일반 Dr.</v>
          </cell>
          <cell r="E2319" t="str">
            <v>CS Dr</v>
          </cell>
        </row>
        <row r="2320">
          <cell r="B2320" t="str">
            <v>F4125</v>
          </cell>
          <cell r="D2320" t="str">
            <v>일반 Dr.</v>
          </cell>
          <cell r="E2320" t="str">
            <v>CS Dr</v>
          </cell>
        </row>
        <row r="2321">
          <cell r="B2321" t="str">
            <v>F4125</v>
          </cell>
          <cell r="D2321" t="str">
            <v>일반 Dr.</v>
          </cell>
          <cell r="E2321" t="str">
            <v>CS Dr</v>
          </cell>
        </row>
        <row r="2322">
          <cell r="B2322" t="str">
            <v>F4010</v>
          </cell>
          <cell r="D2322" t="str">
            <v>DDL Master</v>
          </cell>
          <cell r="E2322" t="str">
            <v>도어락전담</v>
          </cell>
        </row>
        <row r="2323">
          <cell r="B2323" t="str">
            <v>F4010</v>
          </cell>
          <cell r="D2323" t="str">
            <v>DDL Dr.</v>
          </cell>
          <cell r="E2323" t="str">
            <v>도어락전담</v>
          </cell>
        </row>
        <row r="2324">
          <cell r="B2324" t="str">
            <v>F4010</v>
          </cell>
          <cell r="D2324" t="str">
            <v>DDL Dr.</v>
          </cell>
          <cell r="E2324" t="str">
            <v>도어락전담</v>
          </cell>
        </row>
        <row r="2325">
          <cell r="B2325" t="str">
            <v>F4010</v>
          </cell>
          <cell r="D2325" t="str">
            <v>DDL Dr.</v>
          </cell>
          <cell r="E2325" t="str">
            <v>도어락전담</v>
          </cell>
        </row>
        <row r="2326">
          <cell r="B2326" t="str">
            <v>F4010</v>
          </cell>
          <cell r="D2326" t="str">
            <v>DDL Dr.</v>
          </cell>
          <cell r="E2326" t="str">
            <v>도어락전담</v>
          </cell>
        </row>
        <row r="2327">
          <cell r="B2327" t="str">
            <v>F4010</v>
          </cell>
          <cell r="D2327" t="str">
            <v>DDL Dr.</v>
          </cell>
          <cell r="E2327" t="str">
            <v>도어락전담</v>
          </cell>
        </row>
        <row r="2328">
          <cell r="B2328" t="str">
            <v>F4010</v>
          </cell>
          <cell r="D2328" t="str">
            <v>DDL Dr.</v>
          </cell>
          <cell r="E2328" t="str">
            <v>도어락전담</v>
          </cell>
        </row>
        <row r="2329">
          <cell r="B2329" t="str">
            <v>F4010</v>
          </cell>
          <cell r="D2329" t="str">
            <v>DDL Dr.</v>
          </cell>
          <cell r="E2329" t="str">
            <v>도어락전담</v>
          </cell>
        </row>
        <row r="2330">
          <cell r="B2330" t="str">
            <v>F4010</v>
          </cell>
          <cell r="D2330" t="str">
            <v>DDL Dr.</v>
          </cell>
          <cell r="E2330" t="str">
            <v>도어락전담</v>
          </cell>
        </row>
        <row r="2331">
          <cell r="B2331" t="str">
            <v>F4010</v>
          </cell>
          <cell r="D2331" t="str">
            <v>DDL Dr.</v>
          </cell>
          <cell r="E2331" t="str">
            <v>도어락전담</v>
          </cell>
        </row>
        <row r="2332">
          <cell r="B2332" t="str">
            <v>F4010</v>
          </cell>
          <cell r="D2332" t="str">
            <v>DDL Dr.</v>
          </cell>
          <cell r="E2332" t="str">
            <v>도어락전담</v>
          </cell>
        </row>
        <row r="2333">
          <cell r="B2333" t="str">
            <v>F4010</v>
          </cell>
          <cell r="D2333" t="str">
            <v>DDL Dr.</v>
          </cell>
          <cell r="E2333" t="str">
            <v>도어락전담</v>
          </cell>
        </row>
        <row r="2334">
          <cell r="B2334" t="str">
            <v>F4010</v>
          </cell>
          <cell r="D2334" t="str">
            <v>DDL Dr.</v>
          </cell>
          <cell r="E2334" t="str">
            <v>도어락전담</v>
          </cell>
        </row>
        <row r="2335">
          <cell r="B2335" t="str">
            <v>F4125</v>
          </cell>
          <cell r="D2335" t="str">
            <v>일반 Dr.</v>
          </cell>
          <cell r="E2335" t="str">
            <v>CS Dr</v>
          </cell>
        </row>
        <row r="2336">
          <cell r="B2336" t="str">
            <v>F4120</v>
          </cell>
          <cell r="D2336" t="str">
            <v>일반 Dr.</v>
          </cell>
          <cell r="E2336" t="str">
            <v>CS Dr</v>
          </cell>
        </row>
        <row r="2337">
          <cell r="B2337" t="str">
            <v>F4120</v>
          </cell>
          <cell r="D2337" t="str">
            <v>일반 Dr.</v>
          </cell>
          <cell r="E2337" t="str">
            <v>CS Dr</v>
          </cell>
        </row>
        <row r="2338">
          <cell r="B2338" t="str">
            <v>F4120</v>
          </cell>
          <cell r="D2338" t="str">
            <v>조장</v>
          </cell>
          <cell r="E2338" t="str">
            <v>CS Dr</v>
          </cell>
        </row>
        <row r="2339">
          <cell r="B2339" t="str">
            <v>F4120</v>
          </cell>
          <cell r="D2339" t="str">
            <v>일반 Dr.</v>
          </cell>
          <cell r="E2339" t="str">
            <v>CS Dr</v>
          </cell>
        </row>
        <row r="2340">
          <cell r="B2340" t="str">
            <v>F4120</v>
          </cell>
          <cell r="D2340" t="str">
            <v>일반 Dr.</v>
          </cell>
          <cell r="E2340" t="str">
            <v>CS Dr</v>
          </cell>
        </row>
        <row r="2341">
          <cell r="B2341" t="str">
            <v>F4120</v>
          </cell>
          <cell r="D2341" t="str">
            <v>일반 Dr.</v>
          </cell>
          <cell r="E2341" t="str">
            <v>CS Dr</v>
          </cell>
        </row>
        <row r="2342">
          <cell r="B2342" t="str">
            <v>F4120</v>
          </cell>
          <cell r="D2342" t="str">
            <v>일반 Dr.</v>
          </cell>
          <cell r="E2342" t="str">
            <v>CS Dr</v>
          </cell>
        </row>
        <row r="2343">
          <cell r="B2343" t="str">
            <v>F4120</v>
          </cell>
          <cell r="D2343" t="str">
            <v>일반 Dr.</v>
          </cell>
          <cell r="E2343" t="str">
            <v>CS Dr</v>
          </cell>
        </row>
        <row r="2344">
          <cell r="B2344" t="str">
            <v>F4120</v>
          </cell>
          <cell r="D2344" t="str">
            <v>일반 Dr.</v>
          </cell>
          <cell r="E2344" t="str">
            <v>CS Dr</v>
          </cell>
        </row>
        <row r="2345">
          <cell r="B2345" t="str">
            <v>F4120</v>
          </cell>
          <cell r="D2345" t="str">
            <v>일반 Dr.</v>
          </cell>
          <cell r="E2345" t="str">
            <v>CS Dr</v>
          </cell>
        </row>
        <row r="2346">
          <cell r="B2346" t="str">
            <v>F4120</v>
          </cell>
          <cell r="D2346" t="str">
            <v>팀장</v>
          </cell>
          <cell r="E2346" t="str">
            <v>CS Dr</v>
          </cell>
        </row>
        <row r="2347">
          <cell r="B2347" t="str">
            <v>F4120</v>
          </cell>
          <cell r="D2347" t="str">
            <v>일반 Dr.</v>
          </cell>
          <cell r="E2347" t="str">
            <v>CS Dr</v>
          </cell>
        </row>
        <row r="2348">
          <cell r="B2348" t="str">
            <v>F4120</v>
          </cell>
          <cell r="D2348" t="str">
            <v>일반 Dr.</v>
          </cell>
          <cell r="E2348" t="str">
            <v>CS Dr</v>
          </cell>
        </row>
        <row r="2349">
          <cell r="B2349" t="str">
            <v>F4120</v>
          </cell>
          <cell r="D2349" t="str">
            <v>조장</v>
          </cell>
          <cell r="E2349" t="str">
            <v>CS Dr</v>
          </cell>
        </row>
        <row r="2350">
          <cell r="B2350" t="str">
            <v>F4120</v>
          </cell>
          <cell r="D2350" t="str">
            <v>일반 Dr.</v>
          </cell>
          <cell r="E2350" t="str">
            <v>CS Dr</v>
          </cell>
        </row>
        <row r="2351">
          <cell r="B2351" t="str">
            <v>F4120</v>
          </cell>
          <cell r="D2351" t="str">
            <v>일반 Dr.</v>
          </cell>
          <cell r="E2351" t="str">
            <v>CS Dr</v>
          </cell>
        </row>
        <row r="2352">
          <cell r="B2352" t="str">
            <v>F4120</v>
          </cell>
          <cell r="D2352" t="str">
            <v>조장</v>
          </cell>
          <cell r="E2352" t="str">
            <v>CS Dr</v>
          </cell>
        </row>
        <row r="2353">
          <cell r="B2353" t="str">
            <v>F4120</v>
          </cell>
          <cell r="D2353" t="str">
            <v>조장</v>
          </cell>
          <cell r="E2353" t="str">
            <v>CS Dr</v>
          </cell>
        </row>
        <row r="2354">
          <cell r="B2354" t="str">
            <v>F4120</v>
          </cell>
          <cell r="D2354" t="str">
            <v>일반 Dr.</v>
          </cell>
          <cell r="E2354" t="str">
            <v>CS Dr</v>
          </cell>
        </row>
        <row r="2355">
          <cell r="B2355" t="str">
            <v>F4120</v>
          </cell>
          <cell r="D2355" t="str">
            <v>조장</v>
          </cell>
          <cell r="E2355" t="str">
            <v>CS Dr</v>
          </cell>
        </row>
        <row r="2356">
          <cell r="B2356" t="str">
            <v>F4120</v>
          </cell>
          <cell r="D2356" t="str">
            <v>일반 Dr.</v>
          </cell>
          <cell r="E2356" t="str">
            <v>CS Dr</v>
          </cell>
        </row>
        <row r="2357">
          <cell r="B2357" t="str">
            <v>F4120</v>
          </cell>
          <cell r="D2357" t="str">
            <v>일반 Dr.</v>
          </cell>
          <cell r="E2357" t="str">
            <v>CS Dr</v>
          </cell>
        </row>
        <row r="2358">
          <cell r="B2358" t="str">
            <v>F4120</v>
          </cell>
          <cell r="D2358" t="str">
            <v>일반 Dr.</v>
          </cell>
          <cell r="E2358" t="str">
            <v>CS Dr</v>
          </cell>
        </row>
        <row r="2359">
          <cell r="B2359" t="str">
            <v>F4120</v>
          </cell>
          <cell r="D2359" t="str">
            <v>일반 Dr.</v>
          </cell>
          <cell r="E2359" t="str">
            <v>CS Dr</v>
          </cell>
        </row>
        <row r="2360">
          <cell r="B2360" t="str">
            <v>F4120</v>
          </cell>
          <cell r="D2360" t="str">
            <v>일반 Dr.</v>
          </cell>
          <cell r="E2360" t="str">
            <v>CS Dr</v>
          </cell>
        </row>
        <row r="2361">
          <cell r="B2361" t="str">
            <v>F4120</v>
          </cell>
          <cell r="D2361" t="str">
            <v>일반 Dr.</v>
          </cell>
          <cell r="E2361" t="str">
            <v>CS Dr</v>
          </cell>
        </row>
        <row r="2362">
          <cell r="B2362" t="str">
            <v>F4120</v>
          </cell>
          <cell r="D2362" t="str">
            <v>일반 Dr.</v>
          </cell>
          <cell r="E2362" t="str">
            <v>CS Dr</v>
          </cell>
        </row>
        <row r="2363">
          <cell r="B2363" t="str">
            <v>F4120</v>
          </cell>
          <cell r="D2363" t="str">
            <v>일반 Dr.</v>
          </cell>
          <cell r="E2363" t="str">
            <v>CS Dr</v>
          </cell>
        </row>
        <row r="2364">
          <cell r="B2364" t="str">
            <v>F4120</v>
          </cell>
          <cell r="D2364" t="str">
            <v>일반 Dr.</v>
          </cell>
          <cell r="E2364" t="str">
            <v>CS Dr</v>
          </cell>
        </row>
        <row r="2365">
          <cell r="B2365" t="str">
            <v>F4120</v>
          </cell>
          <cell r="D2365" t="str">
            <v>일반 Dr.</v>
          </cell>
          <cell r="E2365" t="str">
            <v>CS Dr</v>
          </cell>
        </row>
        <row r="2366">
          <cell r="B2366" t="str">
            <v>F4120</v>
          </cell>
          <cell r="D2366" t="str">
            <v>일반 Dr.</v>
          </cell>
          <cell r="E2366" t="str">
            <v>CS Dr</v>
          </cell>
        </row>
        <row r="2367">
          <cell r="B2367" t="str">
            <v>F4120</v>
          </cell>
          <cell r="D2367" t="str">
            <v>일반 Dr.</v>
          </cell>
          <cell r="E2367" t="str">
            <v>CS Dr</v>
          </cell>
        </row>
        <row r="2368">
          <cell r="B2368" t="str">
            <v>F4120</v>
          </cell>
          <cell r="D2368" t="str">
            <v>일반 Dr.</v>
          </cell>
          <cell r="E2368" t="str">
            <v>CS Dr</v>
          </cell>
        </row>
        <row r="2369">
          <cell r="B2369" t="str">
            <v>F4120</v>
          </cell>
          <cell r="D2369" t="str">
            <v>일반 Dr.</v>
          </cell>
          <cell r="E2369" t="str">
            <v>CS Dr</v>
          </cell>
        </row>
        <row r="2370">
          <cell r="B2370" t="str">
            <v>F4120</v>
          </cell>
          <cell r="D2370" t="str">
            <v>일반 Dr.</v>
          </cell>
          <cell r="E2370" t="str">
            <v>CS Dr</v>
          </cell>
        </row>
        <row r="2371">
          <cell r="B2371" t="str">
            <v>F4120</v>
          </cell>
          <cell r="D2371" t="str">
            <v>일반 Dr.</v>
          </cell>
          <cell r="E2371" t="str">
            <v>CS Dr</v>
          </cell>
        </row>
        <row r="2372">
          <cell r="B2372" t="str">
            <v>F4120</v>
          </cell>
          <cell r="D2372" t="str">
            <v>일반 Dr.</v>
          </cell>
          <cell r="E2372" t="str">
            <v>CS Dr</v>
          </cell>
        </row>
        <row r="2373">
          <cell r="B2373" t="str">
            <v>F4120</v>
          </cell>
          <cell r="D2373" t="str">
            <v>일반 Dr.</v>
          </cell>
          <cell r="E2373" t="str">
            <v>CS Dr</v>
          </cell>
        </row>
        <row r="2374">
          <cell r="B2374" t="str">
            <v>F4120</v>
          </cell>
          <cell r="D2374" t="str">
            <v>일반 Dr.</v>
          </cell>
          <cell r="E2374" t="str">
            <v>CS Dr</v>
          </cell>
        </row>
        <row r="2375">
          <cell r="B2375" t="str">
            <v>F4120</v>
          </cell>
          <cell r="D2375" t="str">
            <v>조장</v>
          </cell>
          <cell r="E2375" t="str">
            <v>CS Dr</v>
          </cell>
        </row>
        <row r="2376">
          <cell r="B2376" t="str">
            <v>F4120</v>
          </cell>
          <cell r="D2376" t="str">
            <v>일반 Dr.</v>
          </cell>
          <cell r="E2376" t="str">
            <v>CS Dr</v>
          </cell>
        </row>
        <row r="2377">
          <cell r="B2377" t="str">
            <v>F4120</v>
          </cell>
          <cell r="D2377" t="str">
            <v>일반 Dr.</v>
          </cell>
          <cell r="E2377" t="str">
            <v>CS Dr</v>
          </cell>
        </row>
        <row r="2378">
          <cell r="B2378" t="str">
            <v>F4120</v>
          </cell>
          <cell r="D2378" t="str">
            <v>일반 Dr.</v>
          </cell>
          <cell r="E2378" t="str">
            <v>CS Dr</v>
          </cell>
        </row>
        <row r="2379">
          <cell r="B2379" t="str">
            <v>F4120</v>
          </cell>
          <cell r="D2379" t="str">
            <v>일반 Dr.</v>
          </cell>
          <cell r="E2379" t="str">
            <v>CS Dr</v>
          </cell>
        </row>
        <row r="2380">
          <cell r="B2380" t="str">
            <v>F4120</v>
          </cell>
          <cell r="D2380" t="str">
            <v>일반 Dr.</v>
          </cell>
          <cell r="E2380" t="str">
            <v>CS Dr</v>
          </cell>
        </row>
        <row r="2381">
          <cell r="B2381" t="str">
            <v>F4120</v>
          </cell>
          <cell r="D2381" t="str">
            <v>일반 Dr.</v>
          </cell>
          <cell r="E2381" t="str">
            <v>CS Dr</v>
          </cell>
        </row>
        <row r="2382">
          <cell r="B2382" t="str">
            <v>F4120</v>
          </cell>
          <cell r="D2382" t="str">
            <v>일반 Dr.</v>
          </cell>
          <cell r="E2382" t="str">
            <v>CS Dr</v>
          </cell>
        </row>
        <row r="2383">
          <cell r="B2383" t="str">
            <v>F4120</v>
          </cell>
          <cell r="D2383" t="str">
            <v>일반 Dr.</v>
          </cell>
          <cell r="E2383" t="str">
            <v>CS Dr</v>
          </cell>
        </row>
        <row r="2384">
          <cell r="B2384" t="str">
            <v>F4120</v>
          </cell>
          <cell r="D2384" t="str">
            <v>기술사내강사</v>
          </cell>
          <cell r="E2384" t="str">
            <v>CS Dr</v>
          </cell>
        </row>
        <row r="2385">
          <cell r="B2385" t="str">
            <v>F4120</v>
          </cell>
          <cell r="D2385" t="str">
            <v>팀장</v>
          </cell>
          <cell r="E2385" t="str">
            <v>CS Dr</v>
          </cell>
        </row>
        <row r="2386">
          <cell r="B2386" t="str">
            <v>F4120</v>
          </cell>
          <cell r="D2386" t="str">
            <v>일반 Dr.</v>
          </cell>
          <cell r="E2386" t="str">
            <v>CS Dr</v>
          </cell>
        </row>
        <row r="2387">
          <cell r="B2387" t="str">
            <v>F4120</v>
          </cell>
          <cell r="D2387" t="str">
            <v>일반 Dr.</v>
          </cell>
          <cell r="E2387" t="str">
            <v>CS Dr</v>
          </cell>
        </row>
        <row r="2388">
          <cell r="B2388" t="str">
            <v>F4120</v>
          </cell>
          <cell r="D2388" t="str">
            <v>조장</v>
          </cell>
          <cell r="E2388" t="str">
            <v>CS Dr</v>
          </cell>
        </row>
        <row r="2389">
          <cell r="B2389" t="str">
            <v>F4120</v>
          </cell>
          <cell r="D2389" t="str">
            <v>일반 Dr.</v>
          </cell>
          <cell r="E2389" t="str">
            <v>CS Dr</v>
          </cell>
        </row>
        <row r="2390">
          <cell r="B2390" t="str">
            <v>F4120</v>
          </cell>
          <cell r="D2390" t="str">
            <v>조장</v>
          </cell>
          <cell r="E2390" t="str">
            <v>CS Dr</v>
          </cell>
        </row>
        <row r="2391">
          <cell r="B2391" t="str">
            <v>F4120</v>
          </cell>
          <cell r="D2391" t="str">
            <v>조장</v>
          </cell>
          <cell r="E2391" t="str">
            <v>CS Dr</v>
          </cell>
        </row>
        <row r="2392">
          <cell r="B2392" t="str">
            <v>F4120</v>
          </cell>
          <cell r="D2392" t="str">
            <v>조장</v>
          </cell>
          <cell r="E2392" t="str">
            <v>CS Dr</v>
          </cell>
        </row>
        <row r="2393">
          <cell r="B2393" t="str">
            <v>F4120</v>
          </cell>
          <cell r="D2393" t="str">
            <v>일반 Dr.</v>
          </cell>
          <cell r="E2393" t="str">
            <v>CS Dr</v>
          </cell>
        </row>
        <row r="2394">
          <cell r="B2394" t="str">
            <v>F4120</v>
          </cell>
          <cell r="D2394" t="str">
            <v>일반 Dr.</v>
          </cell>
          <cell r="E2394" t="str">
            <v>CS Dr</v>
          </cell>
        </row>
        <row r="2395">
          <cell r="B2395" t="str">
            <v>F4120</v>
          </cell>
          <cell r="D2395" t="str">
            <v>일반 Dr.</v>
          </cell>
          <cell r="E2395" t="str">
            <v>CS Dr</v>
          </cell>
        </row>
        <row r="2396">
          <cell r="B2396" t="str">
            <v>F4120</v>
          </cell>
          <cell r="D2396" t="str">
            <v>일반 Dr.</v>
          </cell>
          <cell r="E2396" t="str">
            <v>CS Dr</v>
          </cell>
        </row>
        <row r="2397">
          <cell r="B2397" t="str">
            <v>F4120</v>
          </cell>
          <cell r="D2397" t="str">
            <v>일반 Dr.</v>
          </cell>
          <cell r="E2397" t="str">
            <v>CS Dr</v>
          </cell>
        </row>
        <row r="2398">
          <cell r="B2398" t="str">
            <v>F4120</v>
          </cell>
          <cell r="D2398" t="str">
            <v>일반 Dr.</v>
          </cell>
          <cell r="E2398" t="str">
            <v>CS Dr</v>
          </cell>
        </row>
        <row r="2399">
          <cell r="B2399" t="str">
            <v>F4120</v>
          </cell>
          <cell r="D2399" t="str">
            <v>일반 Dr.</v>
          </cell>
          <cell r="E2399" t="str">
            <v>CS Dr</v>
          </cell>
        </row>
        <row r="2400">
          <cell r="B2400" t="str">
            <v>F4120</v>
          </cell>
          <cell r="D2400" t="str">
            <v>일반 Dr.</v>
          </cell>
          <cell r="E2400" t="str">
            <v>CS Dr</v>
          </cell>
        </row>
        <row r="2401">
          <cell r="B2401" t="str">
            <v>F4120</v>
          </cell>
          <cell r="D2401" t="str">
            <v>일반 Dr.</v>
          </cell>
          <cell r="E2401" t="str">
            <v>CS Dr</v>
          </cell>
        </row>
        <row r="2402">
          <cell r="B2402" t="str">
            <v>F4120</v>
          </cell>
          <cell r="D2402" t="str">
            <v>일반 Dr.</v>
          </cell>
          <cell r="E2402" t="str">
            <v>CS Dr</v>
          </cell>
        </row>
        <row r="2403">
          <cell r="B2403" t="str">
            <v>F4120</v>
          </cell>
          <cell r="D2403" t="str">
            <v>일반 Dr.</v>
          </cell>
          <cell r="E2403" t="str">
            <v>CS Dr</v>
          </cell>
        </row>
        <row r="2404">
          <cell r="B2404" t="str">
            <v>F4120</v>
          </cell>
          <cell r="D2404" t="str">
            <v>일반 Dr.</v>
          </cell>
          <cell r="E2404" t="str">
            <v>CS Dr</v>
          </cell>
        </row>
        <row r="2405">
          <cell r="B2405" t="str">
            <v>F4120</v>
          </cell>
          <cell r="D2405" t="str">
            <v>일반 Dr.</v>
          </cell>
          <cell r="E2405" t="str">
            <v>CS Dr</v>
          </cell>
        </row>
        <row r="2406">
          <cell r="B2406" t="str">
            <v>F4120</v>
          </cell>
          <cell r="D2406" t="str">
            <v>일반 Dr.</v>
          </cell>
          <cell r="E2406" t="str">
            <v>CS Dr</v>
          </cell>
        </row>
        <row r="2407">
          <cell r="B2407" t="str">
            <v>F4120</v>
          </cell>
          <cell r="D2407" t="str">
            <v>일반 Dr.</v>
          </cell>
          <cell r="E2407" t="str">
            <v>CS Dr</v>
          </cell>
        </row>
        <row r="2408">
          <cell r="B2408" t="str">
            <v>F4143</v>
          </cell>
          <cell r="D2408" t="str">
            <v>일반 Dr.</v>
          </cell>
          <cell r="E2408" t="str">
            <v>CS Dr</v>
          </cell>
        </row>
        <row r="2409">
          <cell r="B2409" t="str">
            <v>F4143</v>
          </cell>
          <cell r="D2409" t="str">
            <v>일반 Dr.</v>
          </cell>
          <cell r="E2409" t="str">
            <v>CS Dr</v>
          </cell>
        </row>
        <row r="2410">
          <cell r="B2410" t="str">
            <v>F4143</v>
          </cell>
          <cell r="D2410" t="str">
            <v>조장</v>
          </cell>
          <cell r="E2410" t="str">
            <v>CS Dr</v>
          </cell>
        </row>
        <row r="2411">
          <cell r="B2411" t="str">
            <v>F4143</v>
          </cell>
          <cell r="D2411" t="str">
            <v>일반 Dr.</v>
          </cell>
          <cell r="E2411" t="str">
            <v>CS Dr</v>
          </cell>
        </row>
        <row r="2412">
          <cell r="B2412" t="str">
            <v>F4143</v>
          </cell>
          <cell r="D2412" t="str">
            <v>일반 Dr.</v>
          </cell>
          <cell r="E2412" t="str">
            <v>CS Dr</v>
          </cell>
        </row>
        <row r="2413">
          <cell r="B2413" t="str">
            <v>F4143</v>
          </cell>
          <cell r="D2413" t="str">
            <v>팀장</v>
          </cell>
          <cell r="E2413" t="str">
            <v>CS Dr</v>
          </cell>
        </row>
        <row r="2414">
          <cell r="B2414" t="str">
            <v>F4143</v>
          </cell>
          <cell r="D2414" t="str">
            <v>조장</v>
          </cell>
          <cell r="E2414" t="str">
            <v>CS Dr</v>
          </cell>
        </row>
        <row r="2415">
          <cell r="B2415" t="str">
            <v>F4143</v>
          </cell>
          <cell r="D2415" t="str">
            <v>일반 Dr.</v>
          </cell>
          <cell r="E2415" t="str">
            <v>CS Dr</v>
          </cell>
        </row>
        <row r="2416">
          <cell r="B2416" t="str">
            <v>F4143</v>
          </cell>
          <cell r="D2416" t="str">
            <v>조장</v>
          </cell>
          <cell r="E2416" t="str">
            <v>CS Dr</v>
          </cell>
        </row>
        <row r="2417">
          <cell r="B2417" t="str">
            <v>F4143</v>
          </cell>
          <cell r="D2417" t="str">
            <v>일반 Dr.</v>
          </cell>
          <cell r="E2417" t="str">
            <v>CS Dr</v>
          </cell>
        </row>
        <row r="2418">
          <cell r="B2418" t="str">
            <v>F4143</v>
          </cell>
          <cell r="D2418" t="str">
            <v>일반 Dr.</v>
          </cell>
          <cell r="E2418" t="str">
            <v>CS Dr</v>
          </cell>
        </row>
        <row r="2419">
          <cell r="B2419" t="str">
            <v>F4143</v>
          </cell>
          <cell r="D2419" t="str">
            <v>일반 Dr.</v>
          </cell>
          <cell r="E2419" t="str">
            <v>CS Dr</v>
          </cell>
        </row>
        <row r="2420">
          <cell r="B2420" t="str">
            <v>F4143</v>
          </cell>
          <cell r="D2420" t="str">
            <v>일반 Dr.</v>
          </cell>
          <cell r="E2420" t="str">
            <v>CS Dr</v>
          </cell>
        </row>
        <row r="2421">
          <cell r="B2421" t="str">
            <v>F4143</v>
          </cell>
          <cell r="D2421" t="str">
            <v>일반 Dr.</v>
          </cell>
          <cell r="E2421" t="str">
            <v>CS Dr</v>
          </cell>
        </row>
        <row r="2422">
          <cell r="B2422" t="str">
            <v>F4143</v>
          </cell>
          <cell r="D2422" t="str">
            <v>일반 Dr.</v>
          </cell>
          <cell r="E2422" t="str">
            <v>CS Dr</v>
          </cell>
        </row>
        <row r="2423">
          <cell r="B2423" t="str">
            <v>F4143</v>
          </cell>
          <cell r="D2423" t="str">
            <v>일반 Dr.</v>
          </cell>
          <cell r="E2423" t="str">
            <v>CS Dr</v>
          </cell>
        </row>
        <row r="2424">
          <cell r="B2424" t="str">
            <v>F4143</v>
          </cell>
          <cell r="D2424" t="str">
            <v>일반 Dr.</v>
          </cell>
          <cell r="E2424" t="str">
            <v>CS Dr</v>
          </cell>
        </row>
        <row r="2425">
          <cell r="B2425" t="str">
            <v>F4143</v>
          </cell>
          <cell r="D2425" t="str">
            <v>조장</v>
          </cell>
          <cell r="E2425" t="str">
            <v>CS Dr</v>
          </cell>
        </row>
        <row r="2426">
          <cell r="B2426" t="str">
            <v>F4143</v>
          </cell>
          <cell r="D2426" t="str">
            <v>일반 Dr.</v>
          </cell>
          <cell r="E2426" t="str">
            <v>CS Dr</v>
          </cell>
        </row>
        <row r="2427">
          <cell r="B2427" t="str">
            <v>F4143</v>
          </cell>
          <cell r="D2427" t="str">
            <v>일반 Dr.</v>
          </cell>
          <cell r="E2427" t="str">
            <v>CS Dr</v>
          </cell>
        </row>
        <row r="2428">
          <cell r="B2428" t="str">
            <v>F4143</v>
          </cell>
          <cell r="D2428" t="str">
            <v>일반 Dr.</v>
          </cell>
          <cell r="E2428" t="str">
            <v>CS Dr</v>
          </cell>
        </row>
        <row r="2429">
          <cell r="B2429" t="str">
            <v>F4143</v>
          </cell>
          <cell r="D2429" t="str">
            <v>일반 Dr.</v>
          </cell>
          <cell r="E2429" t="str">
            <v>CS Dr</v>
          </cell>
        </row>
        <row r="2430">
          <cell r="B2430" t="str">
            <v>F4143</v>
          </cell>
          <cell r="D2430" t="str">
            <v>일반 Dr.</v>
          </cell>
          <cell r="E2430" t="str">
            <v>CS Dr</v>
          </cell>
        </row>
        <row r="2431">
          <cell r="B2431" t="str">
            <v>F4018</v>
          </cell>
          <cell r="D2431" t="str">
            <v>DDL Dr.</v>
          </cell>
          <cell r="E2431" t="str">
            <v>도어락전담</v>
          </cell>
        </row>
        <row r="2432">
          <cell r="B2432" t="str">
            <v>F4143</v>
          </cell>
          <cell r="D2432" t="str">
            <v>일반 Dr.</v>
          </cell>
          <cell r="E2432" t="str">
            <v>CS Dr</v>
          </cell>
        </row>
        <row r="2433">
          <cell r="B2433" t="str">
            <v>F4143</v>
          </cell>
          <cell r="D2433" t="str">
            <v>일반 Dr.</v>
          </cell>
          <cell r="E2433" t="str">
            <v>CS Dr</v>
          </cell>
        </row>
        <row r="2434">
          <cell r="B2434" t="str">
            <v>F4143</v>
          </cell>
          <cell r="D2434" t="str">
            <v>일반 Dr.</v>
          </cell>
          <cell r="E2434" t="str">
            <v>CS Dr</v>
          </cell>
        </row>
        <row r="2435">
          <cell r="B2435" t="str">
            <v>F4143</v>
          </cell>
          <cell r="D2435" t="str">
            <v>일반 Dr.</v>
          </cell>
          <cell r="E2435" t="str">
            <v>CS Dr</v>
          </cell>
        </row>
        <row r="2436">
          <cell r="B2436" t="str">
            <v>F4146</v>
          </cell>
          <cell r="D2436" t="str">
            <v>조장</v>
          </cell>
          <cell r="E2436" t="str">
            <v>CS Dr</v>
          </cell>
        </row>
        <row r="2437">
          <cell r="B2437" t="str">
            <v>F4146</v>
          </cell>
          <cell r="D2437" t="str">
            <v>팀장</v>
          </cell>
          <cell r="E2437" t="str">
            <v>CS Dr</v>
          </cell>
        </row>
        <row r="2438">
          <cell r="B2438" t="str">
            <v>F4146</v>
          </cell>
          <cell r="D2438" t="str">
            <v>일반 Dr.</v>
          </cell>
          <cell r="E2438" t="str">
            <v>CS Dr</v>
          </cell>
        </row>
        <row r="2439">
          <cell r="B2439" t="str">
            <v>F4146</v>
          </cell>
          <cell r="D2439" t="str">
            <v>조장</v>
          </cell>
          <cell r="E2439" t="str">
            <v>CS Dr</v>
          </cell>
        </row>
        <row r="2440">
          <cell r="B2440" t="str">
            <v>F4146</v>
          </cell>
          <cell r="D2440" t="str">
            <v>일반 Dr.</v>
          </cell>
          <cell r="E2440" t="str">
            <v>CS Dr</v>
          </cell>
        </row>
        <row r="2441">
          <cell r="B2441" t="str">
            <v>F4146</v>
          </cell>
          <cell r="D2441" t="str">
            <v>일반 Dr.</v>
          </cell>
          <cell r="E2441" t="str">
            <v>CS Dr</v>
          </cell>
        </row>
        <row r="2442">
          <cell r="B2442" t="str">
            <v>F4146</v>
          </cell>
          <cell r="D2442" t="str">
            <v>일반 Dr.</v>
          </cell>
          <cell r="E2442" t="str">
            <v>CS Dr</v>
          </cell>
        </row>
        <row r="2443">
          <cell r="B2443" t="str">
            <v>F4146</v>
          </cell>
          <cell r="D2443" t="str">
            <v>일반 Dr.</v>
          </cell>
          <cell r="E2443" t="str">
            <v>CS Dr</v>
          </cell>
        </row>
        <row r="2444">
          <cell r="B2444" t="str">
            <v>F4146</v>
          </cell>
          <cell r="D2444" t="str">
            <v>일반 Dr.</v>
          </cell>
          <cell r="E2444" t="str">
            <v>CS Dr</v>
          </cell>
        </row>
        <row r="2445">
          <cell r="B2445" t="str">
            <v>F4146</v>
          </cell>
          <cell r="D2445" t="str">
            <v>일반 Dr.</v>
          </cell>
          <cell r="E2445" t="str">
            <v>CS Dr</v>
          </cell>
        </row>
        <row r="2446">
          <cell r="B2446" t="str">
            <v>F4121</v>
          </cell>
          <cell r="D2446" t="str">
            <v>일반 Dr.</v>
          </cell>
          <cell r="E2446" t="str">
            <v>CS Dr</v>
          </cell>
        </row>
        <row r="2447">
          <cell r="B2447" t="str">
            <v>F4121</v>
          </cell>
          <cell r="D2447" t="str">
            <v>조장</v>
          </cell>
          <cell r="E2447" t="str">
            <v>CS Dr</v>
          </cell>
        </row>
        <row r="2448">
          <cell r="B2448" t="str">
            <v>F4121</v>
          </cell>
          <cell r="D2448" t="str">
            <v>일반 Dr.</v>
          </cell>
          <cell r="E2448" t="str">
            <v>CS Dr</v>
          </cell>
        </row>
        <row r="2449">
          <cell r="B2449" t="str">
            <v>F4121</v>
          </cell>
          <cell r="D2449" t="str">
            <v>일반 Dr.</v>
          </cell>
          <cell r="E2449" t="str">
            <v>CS Dr</v>
          </cell>
        </row>
        <row r="2450">
          <cell r="B2450" t="str">
            <v>F4121</v>
          </cell>
          <cell r="D2450" t="str">
            <v>팀장</v>
          </cell>
          <cell r="E2450" t="str">
            <v>CS Dr</v>
          </cell>
        </row>
        <row r="2451">
          <cell r="B2451" t="str">
            <v>F4121</v>
          </cell>
          <cell r="D2451" t="str">
            <v>기술사내강사</v>
          </cell>
          <cell r="E2451" t="str">
            <v>CS Dr</v>
          </cell>
        </row>
        <row r="2452">
          <cell r="B2452" t="str">
            <v>F4121</v>
          </cell>
          <cell r="D2452" t="str">
            <v>일반 Dr.</v>
          </cell>
          <cell r="E2452" t="str">
            <v>CS Dr</v>
          </cell>
        </row>
        <row r="2453">
          <cell r="B2453" t="str">
            <v>F4121</v>
          </cell>
          <cell r="D2453" t="str">
            <v>조장</v>
          </cell>
          <cell r="E2453" t="str">
            <v>CS Dr</v>
          </cell>
        </row>
        <row r="2454">
          <cell r="B2454" t="str">
            <v>F4121</v>
          </cell>
          <cell r="D2454" t="str">
            <v>조장</v>
          </cell>
          <cell r="E2454" t="str">
            <v>CS Dr</v>
          </cell>
        </row>
        <row r="2455">
          <cell r="B2455" t="str">
            <v>F4121</v>
          </cell>
          <cell r="D2455" t="str">
            <v>조장</v>
          </cell>
          <cell r="E2455" t="str">
            <v>CS Dr</v>
          </cell>
        </row>
        <row r="2456">
          <cell r="B2456" t="str">
            <v>F4121</v>
          </cell>
          <cell r="D2456" t="str">
            <v>일반 Dr.</v>
          </cell>
          <cell r="E2456" t="str">
            <v>CS Dr</v>
          </cell>
        </row>
        <row r="2457">
          <cell r="B2457" t="str">
            <v>F4121</v>
          </cell>
          <cell r="D2457" t="str">
            <v>일반 Dr.</v>
          </cell>
          <cell r="E2457" t="str">
            <v>CS Dr</v>
          </cell>
        </row>
        <row r="2458">
          <cell r="B2458" t="str">
            <v>F4121</v>
          </cell>
          <cell r="D2458" t="str">
            <v>일반 Dr.</v>
          </cell>
          <cell r="E2458" t="str">
            <v>CS Dr</v>
          </cell>
        </row>
        <row r="2459">
          <cell r="B2459" t="str">
            <v>F4121</v>
          </cell>
          <cell r="D2459" t="str">
            <v>일반 Dr.</v>
          </cell>
          <cell r="E2459" t="str">
            <v>CS Dr</v>
          </cell>
        </row>
        <row r="2460">
          <cell r="B2460" t="str">
            <v>F4121</v>
          </cell>
          <cell r="D2460" t="str">
            <v>일반 Dr.</v>
          </cell>
          <cell r="E2460" t="str">
            <v>CS Dr</v>
          </cell>
        </row>
        <row r="2461">
          <cell r="B2461" t="str">
            <v>F4121</v>
          </cell>
          <cell r="D2461" t="str">
            <v>일반 Dr.</v>
          </cell>
          <cell r="E2461" t="str">
            <v>CS Dr</v>
          </cell>
        </row>
        <row r="2462">
          <cell r="B2462" t="str">
            <v>F4121</v>
          </cell>
          <cell r="D2462" t="str">
            <v>일반 Dr.</v>
          </cell>
          <cell r="E2462" t="str">
            <v>CS Dr</v>
          </cell>
        </row>
        <row r="2463">
          <cell r="B2463" t="str">
            <v>F4121</v>
          </cell>
          <cell r="D2463" t="str">
            <v>일반 Dr.</v>
          </cell>
          <cell r="E2463" t="str">
            <v>CS Dr</v>
          </cell>
        </row>
        <row r="2464">
          <cell r="B2464" t="str">
            <v>F4121</v>
          </cell>
          <cell r="D2464" t="str">
            <v>일반 Dr.</v>
          </cell>
          <cell r="E2464" t="str">
            <v>CS Dr</v>
          </cell>
        </row>
        <row r="2465">
          <cell r="B2465" t="str">
            <v>F4121</v>
          </cell>
          <cell r="D2465" t="str">
            <v>일반 Dr.</v>
          </cell>
          <cell r="E2465" t="str">
            <v>CS Dr</v>
          </cell>
        </row>
        <row r="2466">
          <cell r="B2466" t="str">
            <v>F4016</v>
          </cell>
          <cell r="D2466" t="str">
            <v>DDL Master</v>
          </cell>
          <cell r="E2466" t="str">
            <v>도어락전담</v>
          </cell>
        </row>
        <row r="2467">
          <cell r="B2467" t="str">
            <v>F4016</v>
          </cell>
          <cell r="D2467" t="str">
            <v>DDL Dr.</v>
          </cell>
          <cell r="E2467" t="str">
            <v>도어락전담</v>
          </cell>
        </row>
        <row r="2468">
          <cell r="B2468" t="str">
            <v>F4121</v>
          </cell>
          <cell r="D2468" t="str">
            <v>일반 Dr.</v>
          </cell>
          <cell r="E2468" t="str">
            <v>CS Dr</v>
          </cell>
        </row>
        <row r="2469">
          <cell r="B2469" t="str">
            <v>F4121</v>
          </cell>
          <cell r="D2469" t="str">
            <v>일반 Dr.</v>
          </cell>
          <cell r="E2469" t="str">
            <v>CS Dr</v>
          </cell>
        </row>
        <row r="2470">
          <cell r="B2470" t="str">
            <v>F4121</v>
          </cell>
          <cell r="D2470" t="str">
            <v>일반 Dr.</v>
          </cell>
          <cell r="E2470" t="str">
            <v>CS Dr</v>
          </cell>
        </row>
        <row r="2471">
          <cell r="B2471" t="str">
            <v>F4121</v>
          </cell>
          <cell r="D2471" t="str">
            <v>일반 Dr.</v>
          </cell>
          <cell r="E2471" t="str">
            <v>CS Dr</v>
          </cell>
        </row>
        <row r="2472">
          <cell r="B2472" t="str">
            <v>F4017</v>
          </cell>
          <cell r="D2472" t="str">
            <v>배달</v>
          </cell>
          <cell r="E2472" t="str">
            <v>용</v>
          </cell>
        </row>
        <row r="2473">
          <cell r="B2473" t="str">
            <v>F4017</v>
          </cell>
          <cell r="D2473" t="str">
            <v>배달</v>
          </cell>
          <cell r="E2473" t="str">
            <v>용</v>
          </cell>
        </row>
        <row r="2474">
          <cell r="B2474" t="str">
            <v>F4160</v>
          </cell>
          <cell r="D2474" t="str">
            <v>조장</v>
          </cell>
          <cell r="E2474" t="str">
            <v>CS Dr</v>
          </cell>
        </row>
        <row r="2475">
          <cell r="B2475" t="str">
            <v>F4160</v>
          </cell>
          <cell r="D2475" t="str">
            <v>일반 Dr.</v>
          </cell>
          <cell r="E2475" t="str">
            <v>CS Dr</v>
          </cell>
        </row>
        <row r="2476">
          <cell r="B2476" t="str">
            <v>F4160</v>
          </cell>
          <cell r="D2476" t="str">
            <v>일반 Dr.</v>
          </cell>
          <cell r="E2476" t="str">
            <v>CS Dr</v>
          </cell>
        </row>
        <row r="2477">
          <cell r="B2477" t="str">
            <v>F4160</v>
          </cell>
          <cell r="D2477" t="str">
            <v>일반 Dr.</v>
          </cell>
          <cell r="E2477" t="str">
            <v>CS Dr</v>
          </cell>
        </row>
        <row r="2478">
          <cell r="B2478" t="str">
            <v>F4160</v>
          </cell>
          <cell r="D2478" t="str">
            <v>일반 Dr.</v>
          </cell>
          <cell r="E2478" t="str">
            <v>CS Dr</v>
          </cell>
        </row>
        <row r="2479">
          <cell r="B2479" t="str">
            <v>F4160</v>
          </cell>
          <cell r="D2479" t="str">
            <v>기술사내강사</v>
          </cell>
          <cell r="E2479" t="str">
            <v>CS Dr</v>
          </cell>
        </row>
        <row r="2480">
          <cell r="B2480" t="str">
            <v>F4160</v>
          </cell>
          <cell r="D2480" t="str">
            <v>팀장</v>
          </cell>
          <cell r="E2480" t="str">
            <v>CS Dr</v>
          </cell>
        </row>
        <row r="2481">
          <cell r="B2481" t="str">
            <v>F4160</v>
          </cell>
          <cell r="D2481" t="str">
            <v>조장</v>
          </cell>
          <cell r="E2481" t="str">
            <v>CS Dr</v>
          </cell>
        </row>
        <row r="2482">
          <cell r="B2482" t="str">
            <v>F4160</v>
          </cell>
          <cell r="D2482" t="str">
            <v>일반 Dr.</v>
          </cell>
          <cell r="E2482" t="str">
            <v>CS Dr</v>
          </cell>
        </row>
        <row r="2483">
          <cell r="B2483" t="str">
            <v>F4160</v>
          </cell>
          <cell r="D2483" t="str">
            <v>일반 Dr.</v>
          </cell>
          <cell r="E2483" t="str">
            <v>CS Dr</v>
          </cell>
        </row>
        <row r="2484">
          <cell r="B2484" t="str">
            <v>F4160</v>
          </cell>
          <cell r="D2484" t="str">
            <v>일반 Dr.</v>
          </cell>
          <cell r="E2484" t="str">
            <v>CS Dr</v>
          </cell>
        </row>
        <row r="2485">
          <cell r="B2485" t="str">
            <v>F4160</v>
          </cell>
          <cell r="D2485" t="str">
            <v>일반 Dr.</v>
          </cell>
          <cell r="E2485" t="str">
            <v>CS Dr</v>
          </cell>
        </row>
        <row r="2486">
          <cell r="B2486" t="str">
            <v>F4160</v>
          </cell>
          <cell r="D2486" t="str">
            <v>일반 Dr.</v>
          </cell>
          <cell r="E2486" t="str">
            <v>CS Dr</v>
          </cell>
        </row>
        <row r="2487">
          <cell r="B2487" t="str">
            <v>F4160</v>
          </cell>
          <cell r="D2487" t="str">
            <v>일반 Dr.</v>
          </cell>
          <cell r="E2487" t="str">
            <v>CS Dr</v>
          </cell>
        </row>
        <row r="2488">
          <cell r="B2488" t="str">
            <v>F4160</v>
          </cell>
          <cell r="D2488" t="str">
            <v>조장</v>
          </cell>
          <cell r="E2488" t="str">
            <v>CS Dr</v>
          </cell>
        </row>
        <row r="2489">
          <cell r="B2489" t="str">
            <v>F4160</v>
          </cell>
          <cell r="D2489" t="str">
            <v>일반 Dr.</v>
          </cell>
          <cell r="E2489" t="str">
            <v>CS Dr</v>
          </cell>
        </row>
        <row r="2490">
          <cell r="B2490" t="str">
            <v>F4160</v>
          </cell>
          <cell r="D2490" t="str">
            <v>일반 Dr.</v>
          </cell>
          <cell r="E2490" t="str">
            <v>CS Dr</v>
          </cell>
        </row>
        <row r="2491">
          <cell r="B2491" t="str">
            <v>F4160</v>
          </cell>
          <cell r="D2491" t="str">
            <v>일반 Dr.</v>
          </cell>
          <cell r="E2491" t="str">
            <v>CS Dr</v>
          </cell>
        </row>
        <row r="2492">
          <cell r="B2492" t="str">
            <v>F4160</v>
          </cell>
          <cell r="D2492" t="str">
            <v>일반 Dr.</v>
          </cell>
          <cell r="E2492" t="str">
            <v>CS Dr</v>
          </cell>
        </row>
        <row r="2493">
          <cell r="B2493" t="str">
            <v>F4140</v>
          </cell>
          <cell r="D2493" t="str">
            <v>일반 Dr.</v>
          </cell>
          <cell r="E2493" t="str">
            <v>CS Dr</v>
          </cell>
        </row>
        <row r="2494">
          <cell r="B2494" t="str">
            <v>F4140</v>
          </cell>
          <cell r="D2494" t="str">
            <v>일반 Dr.</v>
          </cell>
          <cell r="E2494" t="str">
            <v>CS Dr</v>
          </cell>
        </row>
        <row r="2495">
          <cell r="B2495" t="str">
            <v>F4140</v>
          </cell>
          <cell r="D2495" t="str">
            <v>일반 Dr.</v>
          </cell>
          <cell r="E2495" t="str">
            <v>CS Dr</v>
          </cell>
        </row>
        <row r="2496">
          <cell r="B2496" t="str">
            <v>F4140</v>
          </cell>
          <cell r="D2496" t="str">
            <v>일반 Dr.</v>
          </cell>
          <cell r="E2496" t="str">
            <v>CS Dr</v>
          </cell>
        </row>
        <row r="2497">
          <cell r="B2497" t="str">
            <v>F4140</v>
          </cell>
          <cell r="D2497" t="str">
            <v>일반 Dr.</v>
          </cell>
          <cell r="E2497" t="str">
            <v>CS Dr</v>
          </cell>
        </row>
        <row r="2498">
          <cell r="B2498" t="str">
            <v>F4140</v>
          </cell>
          <cell r="D2498" t="str">
            <v>일반 Dr.</v>
          </cell>
          <cell r="E2498" t="str">
            <v>CS Dr</v>
          </cell>
        </row>
        <row r="2499">
          <cell r="B2499" t="str">
            <v>F4140</v>
          </cell>
          <cell r="D2499" t="str">
            <v>일반 Dr.</v>
          </cell>
          <cell r="E2499" t="str">
            <v>CS Dr</v>
          </cell>
        </row>
        <row r="2500">
          <cell r="B2500" t="str">
            <v>F4140</v>
          </cell>
          <cell r="D2500" t="str">
            <v>일반 Dr.</v>
          </cell>
          <cell r="E2500" t="str">
            <v>CS Dr</v>
          </cell>
        </row>
        <row r="2501">
          <cell r="B2501" t="str">
            <v>F4140</v>
          </cell>
          <cell r="D2501" t="str">
            <v>조장</v>
          </cell>
          <cell r="E2501" t="str">
            <v>CS Dr</v>
          </cell>
        </row>
        <row r="2502">
          <cell r="B2502" t="str">
            <v>F4140</v>
          </cell>
          <cell r="D2502" t="str">
            <v>일반 Dr.</v>
          </cell>
          <cell r="E2502" t="str">
            <v>CS Dr</v>
          </cell>
        </row>
        <row r="2503">
          <cell r="B2503" t="str">
            <v>F4140</v>
          </cell>
          <cell r="D2503" t="str">
            <v>조장</v>
          </cell>
          <cell r="E2503" t="str">
            <v>CS Dr</v>
          </cell>
        </row>
        <row r="2504">
          <cell r="B2504" t="str">
            <v>F4140</v>
          </cell>
          <cell r="D2504" t="str">
            <v>조장</v>
          </cell>
          <cell r="E2504" t="str">
            <v>CS Dr</v>
          </cell>
        </row>
        <row r="2505">
          <cell r="B2505" t="str">
            <v>F4140</v>
          </cell>
          <cell r="D2505" t="str">
            <v>일반 Dr.</v>
          </cell>
          <cell r="E2505" t="str">
            <v>CS Dr</v>
          </cell>
        </row>
        <row r="2506">
          <cell r="B2506" t="str">
            <v>F4140</v>
          </cell>
          <cell r="D2506" t="str">
            <v>일반 Dr.</v>
          </cell>
          <cell r="E2506" t="str">
            <v>CS Dr</v>
          </cell>
        </row>
        <row r="2507">
          <cell r="B2507" t="str">
            <v>F4140</v>
          </cell>
          <cell r="D2507" t="str">
            <v>팀장</v>
          </cell>
          <cell r="E2507" t="str">
            <v>CS Dr</v>
          </cell>
        </row>
        <row r="2508">
          <cell r="B2508" t="str">
            <v>F4140</v>
          </cell>
          <cell r="D2508" t="str">
            <v>조장</v>
          </cell>
          <cell r="E2508" t="str">
            <v>CS Dr</v>
          </cell>
        </row>
        <row r="2509">
          <cell r="B2509" t="str">
            <v>F4140</v>
          </cell>
          <cell r="D2509" t="str">
            <v>일반 Dr.</v>
          </cell>
          <cell r="E2509" t="str">
            <v>CS Dr</v>
          </cell>
        </row>
        <row r="2510">
          <cell r="B2510" t="str">
            <v>F4140</v>
          </cell>
          <cell r="D2510" t="str">
            <v>일반 Dr.</v>
          </cell>
          <cell r="E2510" t="str">
            <v>CS Dr</v>
          </cell>
        </row>
        <row r="2511">
          <cell r="B2511" t="str">
            <v>F4140</v>
          </cell>
          <cell r="D2511" t="str">
            <v>일반 Dr.</v>
          </cell>
          <cell r="E2511" t="str">
            <v>CS Dr</v>
          </cell>
        </row>
        <row r="2512">
          <cell r="B2512" t="str">
            <v>F4140</v>
          </cell>
          <cell r="D2512" t="str">
            <v>일반 Dr.</v>
          </cell>
          <cell r="E2512" t="str">
            <v>CS Dr</v>
          </cell>
        </row>
        <row r="2513">
          <cell r="B2513" t="str">
            <v>F4140</v>
          </cell>
          <cell r="D2513" t="str">
            <v>일반 Dr.</v>
          </cell>
          <cell r="E2513" t="str">
            <v>CS Dr</v>
          </cell>
        </row>
        <row r="2514">
          <cell r="B2514" t="str">
            <v>F4140</v>
          </cell>
          <cell r="D2514" t="str">
            <v>일반 Dr.</v>
          </cell>
          <cell r="E2514" t="str">
            <v>CS Dr</v>
          </cell>
        </row>
        <row r="2515">
          <cell r="B2515" t="str">
            <v>F4140</v>
          </cell>
          <cell r="D2515" t="str">
            <v>일반 Dr.</v>
          </cell>
          <cell r="E2515" t="str">
            <v>CS Dr</v>
          </cell>
        </row>
        <row r="2516">
          <cell r="B2516" t="str">
            <v>F4140</v>
          </cell>
          <cell r="D2516" t="str">
            <v>일반 Dr.</v>
          </cell>
          <cell r="E2516" t="str">
            <v>CS Dr</v>
          </cell>
        </row>
        <row r="2517">
          <cell r="B2517" t="str">
            <v>F4140</v>
          </cell>
          <cell r="D2517" t="str">
            <v>일반 Dr.</v>
          </cell>
          <cell r="E2517" t="str">
            <v>CS Dr</v>
          </cell>
        </row>
        <row r="2518">
          <cell r="B2518" t="str">
            <v>F4140</v>
          </cell>
          <cell r="D2518" t="str">
            <v>일반 Dr.</v>
          </cell>
          <cell r="E2518" t="str">
            <v>CS Dr</v>
          </cell>
        </row>
        <row r="2519">
          <cell r="B2519" t="str">
            <v>F4140</v>
          </cell>
          <cell r="D2519" t="str">
            <v>일반 Dr.</v>
          </cell>
          <cell r="E2519" t="str">
            <v>CS Dr</v>
          </cell>
        </row>
        <row r="2520">
          <cell r="B2520" t="str">
            <v>F4138</v>
          </cell>
          <cell r="D2520" t="str">
            <v>일반 Dr.</v>
          </cell>
          <cell r="E2520" t="str">
            <v>CS Dr</v>
          </cell>
        </row>
        <row r="2521">
          <cell r="B2521" t="str">
            <v>F4138</v>
          </cell>
          <cell r="D2521" t="str">
            <v>기술사내강사</v>
          </cell>
          <cell r="E2521" t="str">
            <v>CS Dr</v>
          </cell>
        </row>
        <row r="2522">
          <cell r="B2522" t="str">
            <v>F4138</v>
          </cell>
          <cell r="D2522" t="str">
            <v>조장</v>
          </cell>
          <cell r="E2522" t="str">
            <v>CS Dr</v>
          </cell>
        </row>
        <row r="2523">
          <cell r="B2523" t="str">
            <v>F4138</v>
          </cell>
          <cell r="D2523" t="str">
            <v>일반 Dr.</v>
          </cell>
          <cell r="E2523" t="str">
            <v>CS Dr</v>
          </cell>
        </row>
        <row r="2524">
          <cell r="B2524" t="str">
            <v>F4138</v>
          </cell>
          <cell r="D2524" t="str">
            <v>일반 Dr.</v>
          </cell>
          <cell r="E2524" t="str">
            <v>CS Dr</v>
          </cell>
        </row>
        <row r="2525">
          <cell r="B2525" t="str">
            <v>F4138</v>
          </cell>
          <cell r="D2525" t="str">
            <v>일반 Dr.</v>
          </cell>
          <cell r="E2525" t="str">
            <v>CS Dr</v>
          </cell>
        </row>
        <row r="2526">
          <cell r="B2526" t="str">
            <v>F4138</v>
          </cell>
          <cell r="D2526" t="str">
            <v>일반 Dr.</v>
          </cell>
          <cell r="E2526" t="str">
            <v>CS Dr</v>
          </cell>
        </row>
        <row r="2527">
          <cell r="B2527" t="str">
            <v>F4138</v>
          </cell>
          <cell r="D2527" t="str">
            <v>팀장</v>
          </cell>
          <cell r="E2527" t="str">
            <v>CS Dr</v>
          </cell>
        </row>
        <row r="2528">
          <cell r="B2528" t="str">
            <v>F4138</v>
          </cell>
          <cell r="D2528" t="str">
            <v>조장</v>
          </cell>
          <cell r="E2528" t="str">
            <v>CS Dr</v>
          </cell>
        </row>
        <row r="2529">
          <cell r="B2529" t="str">
            <v>F4138</v>
          </cell>
          <cell r="D2529" t="str">
            <v>조장</v>
          </cell>
          <cell r="E2529" t="str">
            <v>CS Dr</v>
          </cell>
        </row>
        <row r="2530">
          <cell r="B2530" t="str">
            <v>F4138</v>
          </cell>
          <cell r="D2530" t="str">
            <v>일반 Dr.</v>
          </cell>
          <cell r="E2530" t="str">
            <v>CS Dr</v>
          </cell>
        </row>
        <row r="2531">
          <cell r="B2531" t="str">
            <v>F4138</v>
          </cell>
          <cell r="D2531" t="str">
            <v>일반 Dr.</v>
          </cell>
          <cell r="E2531" t="str">
            <v>CS Dr</v>
          </cell>
        </row>
        <row r="2532">
          <cell r="B2532" t="str">
            <v>F4138</v>
          </cell>
          <cell r="D2532" t="str">
            <v>일반 Dr.</v>
          </cell>
          <cell r="E2532" t="str">
            <v>CS Dr</v>
          </cell>
        </row>
        <row r="2533">
          <cell r="B2533" t="str">
            <v>F4138</v>
          </cell>
          <cell r="D2533" t="str">
            <v>일반 Dr.</v>
          </cell>
          <cell r="E2533" t="str">
            <v>CS Dr</v>
          </cell>
        </row>
        <row r="2534">
          <cell r="B2534" t="str">
            <v>F4138</v>
          </cell>
          <cell r="D2534" t="str">
            <v>조장</v>
          </cell>
          <cell r="E2534" t="str">
            <v>CS Dr</v>
          </cell>
        </row>
        <row r="2535">
          <cell r="B2535" t="str">
            <v>F4138</v>
          </cell>
          <cell r="D2535" t="str">
            <v>일반 Dr.</v>
          </cell>
          <cell r="E2535" t="str">
            <v>CS Dr</v>
          </cell>
        </row>
        <row r="2536">
          <cell r="B2536" t="str">
            <v>F4138</v>
          </cell>
          <cell r="D2536" t="str">
            <v>일반 Dr.</v>
          </cell>
          <cell r="E2536" t="str">
            <v>CS Dr</v>
          </cell>
        </row>
        <row r="2537">
          <cell r="B2537" t="str">
            <v>F4138</v>
          </cell>
          <cell r="D2537" t="str">
            <v>일반 Dr.</v>
          </cell>
          <cell r="E2537" t="str">
            <v>CS Dr</v>
          </cell>
        </row>
        <row r="2538">
          <cell r="B2538" t="str">
            <v>F4138</v>
          </cell>
          <cell r="D2538" t="str">
            <v>일반 Dr.</v>
          </cell>
          <cell r="E2538" t="str">
            <v>CS Dr</v>
          </cell>
        </row>
        <row r="2539">
          <cell r="B2539" t="str">
            <v>F4138</v>
          </cell>
          <cell r="D2539" t="str">
            <v>일반 Dr.</v>
          </cell>
          <cell r="E2539" t="str">
            <v>CS Dr</v>
          </cell>
        </row>
        <row r="2540">
          <cell r="B2540" t="str">
            <v>F4138</v>
          </cell>
          <cell r="D2540" t="str">
            <v>일반 Dr.</v>
          </cell>
          <cell r="E2540" t="str">
            <v>CS Dr</v>
          </cell>
        </row>
        <row r="2541">
          <cell r="B2541" t="str">
            <v>F4138</v>
          </cell>
          <cell r="D2541" t="str">
            <v>일반 Dr.</v>
          </cell>
          <cell r="E2541" t="str">
            <v>CS Dr</v>
          </cell>
        </row>
        <row r="2542">
          <cell r="B2542" t="str">
            <v>F4138</v>
          </cell>
          <cell r="D2542" t="str">
            <v>일반 Dr.</v>
          </cell>
          <cell r="E2542" t="str">
            <v>CS Dr</v>
          </cell>
        </row>
        <row r="2543">
          <cell r="B2543" t="str">
            <v>F4138</v>
          </cell>
          <cell r="D2543" t="str">
            <v>일반 Dr.</v>
          </cell>
          <cell r="E2543" t="str">
            <v>CS Dr</v>
          </cell>
        </row>
        <row r="2544">
          <cell r="B2544" t="str">
            <v>F4138</v>
          </cell>
          <cell r="D2544" t="str">
            <v>일반 Dr.</v>
          </cell>
          <cell r="E2544" t="str">
            <v>CS Dr</v>
          </cell>
        </row>
        <row r="2545">
          <cell r="B2545" t="str">
            <v>F4138</v>
          </cell>
          <cell r="D2545" t="str">
            <v>일반 Dr.</v>
          </cell>
          <cell r="E2545" t="str">
            <v>CS Dr</v>
          </cell>
        </row>
        <row r="2546">
          <cell r="B2546" t="str">
            <v>F4138</v>
          </cell>
          <cell r="D2546" t="str">
            <v>일반 Dr.</v>
          </cell>
          <cell r="E2546" t="str">
            <v>CS Dr</v>
          </cell>
        </row>
        <row r="2547">
          <cell r="B2547" t="str">
            <v>F4138</v>
          </cell>
          <cell r="D2547" t="str">
            <v>일반 Dr.</v>
          </cell>
          <cell r="E2547" t="str">
            <v>CS Dr</v>
          </cell>
        </row>
        <row r="2548">
          <cell r="B2548" t="str">
            <v>F4138</v>
          </cell>
          <cell r="D2548" t="str">
            <v>일반 Dr.</v>
          </cell>
          <cell r="E2548" t="str">
            <v>CS Dr</v>
          </cell>
        </row>
        <row r="2549">
          <cell r="B2549" t="str">
            <v>F4138</v>
          </cell>
          <cell r="D2549" t="str">
            <v>일반 Dr.</v>
          </cell>
          <cell r="E2549" t="str">
            <v>CS Dr</v>
          </cell>
        </row>
        <row r="2550">
          <cell r="B2550" t="str">
            <v>F4138</v>
          </cell>
          <cell r="D2550" t="str">
            <v>일반 Dr.</v>
          </cell>
          <cell r="E2550" t="str">
            <v>CS Dr</v>
          </cell>
        </row>
        <row r="2551">
          <cell r="B2551" t="str">
            <v>F4138</v>
          </cell>
          <cell r="D2551" t="str">
            <v>일반 Dr.</v>
          </cell>
          <cell r="E2551" t="str">
            <v>CS Dr</v>
          </cell>
        </row>
        <row r="2552">
          <cell r="B2552" t="str">
            <v>F4138</v>
          </cell>
          <cell r="D2552" t="str">
            <v>일반 Dr.</v>
          </cell>
          <cell r="E2552" t="str">
            <v>CS Dr</v>
          </cell>
        </row>
        <row r="2553">
          <cell r="B2553" t="str">
            <v>F4138</v>
          </cell>
          <cell r="D2553" t="str">
            <v>일반 Dr.</v>
          </cell>
          <cell r="E2553" t="str">
            <v>CS Dr</v>
          </cell>
        </row>
        <row r="2554">
          <cell r="B2554" t="str">
            <v>F4159</v>
          </cell>
          <cell r="D2554" t="str">
            <v>팀장</v>
          </cell>
          <cell r="E2554" t="str">
            <v>CS Dr</v>
          </cell>
        </row>
        <row r="2555">
          <cell r="B2555" t="str">
            <v>F4159</v>
          </cell>
          <cell r="D2555" t="str">
            <v>일반 Dr.</v>
          </cell>
          <cell r="E2555" t="str">
            <v>CS Dr</v>
          </cell>
        </row>
        <row r="2556">
          <cell r="B2556" t="str">
            <v>F4159</v>
          </cell>
          <cell r="D2556" t="str">
            <v>일반 Dr.</v>
          </cell>
          <cell r="E2556" t="str">
            <v>CS Dr</v>
          </cell>
        </row>
        <row r="2557">
          <cell r="B2557" t="str">
            <v>F4159</v>
          </cell>
          <cell r="D2557" t="str">
            <v>일반 Dr.</v>
          </cell>
          <cell r="E2557" t="str">
            <v>CS Dr</v>
          </cell>
        </row>
        <row r="2558">
          <cell r="B2558" t="str">
            <v>F4159</v>
          </cell>
          <cell r="D2558" t="str">
            <v>조장</v>
          </cell>
          <cell r="E2558" t="str">
            <v>CS Dr</v>
          </cell>
        </row>
        <row r="2559">
          <cell r="B2559" t="str">
            <v>F4159</v>
          </cell>
          <cell r="D2559" t="str">
            <v>일반 Dr.</v>
          </cell>
          <cell r="E2559" t="str">
            <v>CS Dr</v>
          </cell>
        </row>
        <row r="2560">
          <cell r="B2560" t="str">
            <v>F4159</v>
          </cell>
          <cell r="D2560" t="str">
            <v>일반 Dr.</v>
          </cell>
          <cell r="E2560" t="str">
            <v>CS Dr</v>
          </cell>
        </row>
        <row r="2561">
          <cell r="B2561" t="str">
            <v>F4159</v>
          </cell>
          <cell r="D2561" t="str">
            <v>일반 Dr.</v>
          </cell>
          <cell r="E2561" t="str">
            <v>CS Dr</v>
          </cell>
        </row>
        <row r="2562">
          <cell r="B2562" t="str">
            <v>F4159</v>
          </cell>
          <cell r="D2562" t="str">
            <v>조장</v>
          </cell>
          <cell r="E2562" t="str">
            <v>CS Dr</v>
          </cell>
        </row>
        <row r="2563">
          <cell r="B2563" t="str">
            <v>F4159</v>
          </cell>
          <cell r="D2563" t="str">
            <v>일반 Dr.</v>
          </cell>
          <cell r="E2563" t="str">
            <v>CS Dr</v>
          </cell>
        </row>
        <row r="2564">
          <cell r="B2564" t="str">
            <v>F4159</v>
          </cell>
          <cell r="D2564" t="str">
            <v>일반 Dr.</v>
          </cell>
          <cell r="E2564" t="str">
            <v>CS Dr</v>
          </cell>
        </row>
        <row r="2565">
          <cell r="B2565" t="str">
            <v>F4159</v>
          </cell>
          <cell r="D2565" t="str">
            <v>일반 Dr.</v>
          </cell>
          <cell r="E2565" t="str">
            <v>CS Dr</v>
          </cell>
        </row>
        <row r="2566">
          <cell r="B2566" t="str">
            <v>F4159</v>
          </cell>
          <cell r="D2566" t="str">
            <v>일반 Dr.</v>
          </cell>
          <cell r="E2566" t="str">
            <v>CS Dr</v>
          </cell>
        </row>
        <row r="2567">
          <cell r="B2567" t="str">
            <v>F4159</v>
          </cell>
          <cell r="D2567" t="str">
            <v>일반 Dr.</v>
          </cell>
          <cell r="E2567" t="str">
            <v>CS Dr</v>
          </cell>
        </row>
        <row r="2568">
          <cell r="B2568" t="str">
            <v>F4128</v>
          </cell>
          <cell r="D2568" t="str">
            <v>조장</v>
          </cell>
          <cell r="E2568" t="str">
            <v>CS Dr</v>
          </cell>
        </row>
        <row r="2569">
          <cell r="B2569" t="str">
            <v>F4128</v>
          </cell>
          <cell r="D2569" t="str">
            <v>일반 Dr.</v>
          </cell>
          <cell r="E2569" t="str">
            <v>CS Dr</v>
          </cell>
        </row>
        <row r="2570">
          <cell r="B2570" t="str">
            <v>F4128</v>
          </cell>
          <cell r="D2570" t="str">
            <v>조장</v>
          </cell>
          <cell r="E2570" t="str">
            <v>CS Dr</v>
          </cell>
        </row>
        <row r="2571">
          <cell r="B2571" t="str">
            <v>F4128</v>
          </cell>
          <cell r="D2571" t="str">
            <v>일반 Dr.</v>
          </cell>
          <cell r="E2571" t="str">
            <v>CS Dr</v>
          </cell>
        </row>
        <row r="2572">
          <cell r="B2572" t="str">
            <v>F4128</v>
          </cell>
          <cell r="D2572" t="str">
            <v>조장</v>
          </cell>
          <cell r="E2572" t="str">
            <v>CS Dr</v>
          </cell>
        </row>
        <row r="2573">
          <cell r="B2573" t="str">
            <v>F4128</v>
          </cell>
          <cell r="D2573" t="str">
            <v>일반 Dr.</v>
          </cell>
          <cell r="E2573" t="str">
            <v>CS Dr</v>
          </cell>
        </row>
        <row r="2574">
          <cell r="B2574" t="str">
            <v>F4128</v>
          </cell>
          <cell r="D2574" t="str">
            <v>팀장</v>
          </cell>
          <cell r="E2574" t="str">
            <v>CS Dr</v>
          </cell>
        </row>
        <row r="2575">
          <cell r="B2575" t="str">
            <v>F4128</v>
          </cell>
          <cell r="D2575" t="str">
            <v>일반 Dr.</v>
          </cell>
          <cell r="E2575" t="str">
            <v>CS Dr</v>
          </cell>
        </row>
        <row r="2576">
          <cell r="B2576" t="str">
            <v>F4128</v>
          </cell>
          <cell r="D2576" t="str">
            <v>일반 Dr.</v>
          </cell>
          <cell r="E2576" t="str">
            <v>CS Dr</v>
          </cell>
        </row>
        <row r="2577">
          <cell r="B2577" t="str">
            <v>F4128</v>
          </cell>
          <cell r="D2577" t="str">
            <v>일반 Dr.</v>
          </cell>
          <cell r="E2577" t="str">
            <v>CS Dr</v>
          </cell>
        </row>
        <row r="2578">
          <cell r="B2578" t="str">
            <v>F4128</v>
          </cell>
          <cell r="D2578" t="str">
            <v>일반 Dr.</v>
          </cell>
          <cell r="E2578" t="str">
            <v>CS Dr</v>
          </cell>
        </row>
        <row r="2579">
          <cell r="B2579" t="str">
            <v>F4128</v>
          </cell>
          <cell r="D2579" t="str">
            <v>일반 Dr.</v>
          </cell>
          <cell r="E2579" t="str">
            <v>CS Dr</v>
          </cell>
        </row>
        <row r="2580">
          <cell r="B2580" t="str">
            <v>F4128</v>
          </cell>
          <cell r="D2580" t="str">
            <v>일반 Dr.</v>
          </cell>
          <cell r="E2580" t="str">
            <v>CS Dr</v>
          </cell>
        </row>
        <row r="2581">
          <cell r="B2581" t="str">
            <v>F4128</v>
          </cell>
          <cell r="D2581" t="str">
            <v>일반 Dr.</v>
          </cell>
          <cell r="E2581" t="str">
            <v>CS Dr</v>
          </cell>
        </row>
        <row r="2582">
          <cell r="B2582" t="str">
            <v>F4128</v>
          </cell>
          <cell r="D2582" t="str">
            <v>일반 Dr.</v>
          </cell>
          <cell r="E2582" t="str">
            <v>CS Dr</v>
          </cell>
        </row>
        <row r="2583">
          <cell r="B2583" t="str">
            <v>F4128</v>
          </cell>
          <cell r="D2583" t="str">
            <v>일반 Dr.</v>
          </cell>
          <cell r="E2583" t="str">
            <v>CS Dr</v>
          </cell>
        </row>
        <row r="2584">
          <cell r="B2584" t="str">
            <v>F4128</v>
          </cell>
          <cell r="D2584" t="str">
            <v>일반 Dr.</v>
          </cell>
          <cell r="E2584" t="str">
            <v>CS Dr</v>
          </cell>
        </row>
        <row r="2585">
          <cell r="B2585" t="str">
            <v>F4128</v>
          </cell>
          <cell r="D2585" t="str">
            <v>일반 Dr.</v>
          </cell>
          <cell r="E2585" t="str">
            <v>CS Dr</v>
          </cell>
        </row>
        <row r="2586">
          <cell r="B2586" t="str">
            <v>F4128</v>
          </cell>
          <cell r="D2586" t="str">
            <v>일반 Dr.</v>
          </cell>
          <cell r="E2586" t="str">
            <v>CS Dr</v>
          </cell>
        </row>
        <row r="2587">
          <cell r="B2587" t="str">
            <v>F4128</v>
          </cell>
          <cell r="D2587" t="str">
            <v>일반 Dr.</v>
          </cell>
          <cell r="E2587" t="str">
            <v>CS Dr</v>
          </cell>
        </row>
        <row r="2588">
          <cell r="B2588" t="str">
            <v>F4128</v>
          </cell>
          <cell r="D2588" t="str">
            <v>일반 Dr.</v>
          </cell>
          <cell r="E2588" t="str">
            <v>CS Dr</v>
          </cell>
        </row>
        <row r="2589">
          <cell r="B2589" t="str">
            <v>F4128</v>
          </cell>
          <cell r="D2589" t="str">
            <v>일반 Dr.</v>
          </cell>
          <cell r="E2589" t="str">
            <v>CS Dr</v>
          </cell>
        </row>
        <row r="2590">
          <cell r="B2590" t="str">
            <v>F4128</v>
          </cell>
          <cell r="D2590" t="str">
            <v>일반 Dr.</v>
          </cell>
          <cell r="E2590" t="str">
            <v>CS Dr</v>
          </cell>
        </row>
        <row r="2591">
          <cell r="B2591" t="str">
            <v>F4151</v>
          </cell>
          <cell r="D2591" t="str">
            <v>일반 Dr.</v>
          </cell>
          <cell r="E2591" t="str">
            <v>CS Dr</v>
          </cell>
        </row>
        <row r="2592">
          <cell r="B2592" t="str">
            <v>F4151</v>
          </cell>
          <cell r="D2592" t="str">
            <v>일반 Dr.</v>
          </cell>
          <cell r="E2592" t="str">
            <v>CS Dr</v>
          </cell>
        </row>
        <row r="2593">
          <cell r="B2593" t="str">
            <v>F4151</v>
          </cell>
          <cell r="D2593" t="str">
            <v>일반 Dr.</v>
          </cell>
          <cell r="E2593" t="str">
            <v>CS Dr</v>
          </cell>
        </row>
        <row r="2594">
          <cell r="B2594" t="str">
            <v>F4151</v>
          </cell>
          <cell r="D2594" t="str">
            <v>일반 Dr.</v>
          </cell>
          <cell r="E2594" t="str">
            <v>CS Dr</v>
          </cell>
        </row>
        <row r="2595">
          <cell r="B2595" t="str">
            <v>F4151</v>
          </cell>
          <cell r="D2595" t="str">
            <v>일반 Dr.</v>
          </cell>
          <cell r="E2595" t="str">
            <v>CS Dr</v>
          </cell>
        </row>
        <row r="2596">
          <cell r="B2596" t="str">
            <v>F4151</v>
          </cell>
          <cell r="D2596" t="str">
            <v>일반 Dr.</v>
          </cell>
          <cell r="E2596" t="str">
            <v>CS Dr</v>
          </cell>
        </row>
        <row r="2597">
          <cell r="B2597" t="str">
            <v>F4151</v>
          </cell>
          <cell r="D2597" t="str">
            <v>일반 Dr.</v>
          </cell>
          <cell r="E2597" t="str">
            <v>CS Dr</v>
          </cell>
        </row>
        <row r="2598">
          <cell r="B2598" t="str">
            <v>F4151</v>
          </cell>
          <cell r="D2598" t="str">
            <v>일반 Dr.</v>
          </cell>
          <cell r="E2598" t="str">
            <v>CS Dr</v>
          </cell>
        </row>
        <row r="2599">
          <cell r="B2599" t="str">
            <v>F4151</v>
          </cell>
          <cell r="D2599" t="str">
            <v>일반 Dr.</v>
          </cell>
          <cell r="E2599" t="str">
            <v>CS Dr</v>
          </cell>
        </row>
        <row r="2600">
          <cell r="B2600" t="str">
            <v>F4151</v>
          </cell>
          <cell r="D2600" t="str">
            <v>팀장</v>
          </cell>
          <cell r="E2600" t="str">
            <v>CS Dr</v>
          </cell>
        </row>
        <row r="2601">
          <cell r="B2601" t="str">
            <v>F4151</v>
          </cell>
          <cell r="D2601" t="str">
            <v>기술사내강사</v>
          </cell>
          <cell r="E2601" t="str">
            <v>CS Dr</v>
          </cell>
        </row>
        <row r="2602">
          <cell r="B2602" t="str">
            <v>F4151</v>
          </cell>
          <cell r="D2602" t="str">
            <v>일반 Dr.</v>
          </cell>
          <cell r="E2602" t="str">
            <v>CS Dr</v>
          </cell>
        </row>
        <row r="2603">
          <cell r="B2603" t="str">
            <v>F4151</v>
          </cell>
          <cell r="D2603" t="str">
            <v>일반 Dr.</v>
          </cell>
          <cell r="E2603" t="str">
            <v>CS Dr</v>
          </cell>
        </row>
        <row r="2604">
          <cell r="B2604" t="str">
            <v>F4151</v>
          </cell>
          <cell r="D2604" t="str">
            <v>조장</v>
          </cell>
          <cell r="E2604" t="str">
            <v>CS Dr</v>
          </cell>
        </row>
        <row r="2605">
          <cell r="B2605" t="str">
            <v>F4151</v>
          </cell>
          <cell r="D2605" t="str">
            <v>일반 Dr.</v>
          </cell>
          <cell r="E2605" t="str">
            <v>CS Dr</v>
          </cell>
        </row>
        <row r="2606">
          <cell r="B2606" t="str">
            <v>F4151</v>
          </cell>
          <cell r="D2606" t="str">
            <v>조장</v>
          </cell>
          <cell r="E2606" t="str">
            <v>CS Dr</v>
          </cell>
        </row>
        <row r="2607">
          <cell r="B2607" t="str">
            <v>F4151</v>
          </cell>
          <cell r="D2607" t="str">
            <v>조장</v>
          </cell>
          <cell r="E2607" t="str">
            <v>CS Dr</v>
          </cell>
        </row>
        <row r="2608">
          <cell r="B2608" t="str">
            <v>F4151</v>
          </cell>
          <cell r="D2608" t="str">
            <v>일반 Dr.</v>
          </cell>
          <cell r="E2608" t="str">
            <v>CS Dr</v>
          </cell>
        </row>
        <row r="2609">
          <cell r="B2609" t="str">
            <v>F4151</v>
          </cell>
          <cell r="D2609" t="str">
            <v>조장</v>
          </cell>
          <cell r="E2609" t="str">
            <v>CS Dr</v>
          </cell>
        </row>
        <row r="2610">
          <cell r="B2610" t="str">
            <v>F4151</v>
          </cell>
          <cell r="D2610" t="str">
            <v>일반 Dr.</v>
          </cell>
          <cell r="E2610" t="str">
            <v>CS Dr</v>
          </cell>
        </row>
        <row r="2611">
          <cell r="B2611" t="str">
            <v>F4151</v>
          </cell>
          <cell r="D2611" t="str">
            <v>일반 Dr.</v>
          </cell>
          <cell r="E2611" t="str">
            <v>CS Dr</v>
          </cell>
        </row>
        <row r="2612">
          <cell r="B2612" t="str">
            <v>F4151</v>
          </cell>
          <cell r="D2612" t="str">
            <v>일반 Dr.</v>
          </cell>
          <cell r="E2612" t="str">
            <v>CS Dr</v>
          </cell>
        </row>
        <row r="2613">
          <cell r="B2613" t="str">
            <v>F4151</v>
          </cell>
          <cell r="D2613" t="str">
            <v>일반 Dr.</v>
          </cell>
          <cell r="E2613" t="str">
            <v>CS Dr</v>
          </cell>
        </row>
        <row r="2614">
          <cell r="B2614" t="str">
            <v>F4151</v>
          </cell>
          <cell r="D2614" t="str">
            <v>일반 Dr.</v>
          </cell>
          <cell r="E2614" t="str">
            <v>CS Dr</v>
          </cell>
        </row>
        <row r="2615">
          <cell r="B2615" t="str">
            <v>F4151</v>
          </cell>
          <cell r="D2615" t="str">
            <v>일반 Dr.</v>
          </cell>
          <cell r="E2615" t="str">
            <v>CS Dr</v>
          </cell>
        </row>
        <row r="2616">
          <cell r="B2616" t="str">
            <v>F4151</v>
          </cell>
          <cell r="D2616" t="str">
            <v>일반 Dr.</v>
          </cell>
          <cell r="E2616" t="str">
            <v>CS Dr</v>
          </cell>
        </row>
        <row r="2617">
          <cell r="B2617" t="str">
            <v>F4151</v>
          </cell>
          <cell r="D2617" t="str">
            <v>조장</v>
          </cell>
          <cell r="E2617" t="str">
            <v>CS Dr</v>
          </cell>
        </row>
        <row r="2618">
          <cell r="B2618" t="str">
            <v>F4151</v>
          </cell>
          <cell r="D2618" t="str">
            <v>일반 Dr.</v>
          </cell>
          <cell r="E2618" t="str">
            <v>CS Dr</v>
          </cell>
        </row>
        <row r="2619">
          <cell r="B2619" t="str">
            <v>F4151</v>
          </cell>
          <cell r="D2619" t="str">
            <v>일반 Dr.</v>
          </cell>
          <cell r="E2619" t="str">
            <v>CS Dr</v>
          </cell>
        </row>
        <row r="2620">
          <cell r="B2620" t="str">
            <v>F4151</v>
          </cell>
          <cell r="D2620" t="str">
            <v>일반 Dr.</v>
          </cell>
          <cell r="E2620" t="str">
            <v>CS Dr</v>
          </cell>
        </row>
        <row r="2621">
          <cell r="B2621" t="str">
            <v>F4151</v>
          </cell>
          <cell r="D2621" t="str">
            <v>일반 Dr.</v>
          </cell>
          <cell r="E2621" t="str">
            <v>CS Dr</v>
          </cell>
        </row>
        <row r="2622">
          <cell r="B2622" t="str">
            <v>F4151</v>
          </cell>
          <cell r="D2622" t="str">
            <v>일반 Dr.</v>
          </cell>
          <cell r="E2622" t="str">
            <v>CS Dr</v>
          </cell>
        </row>
        <row r="2623">
          <cell r="B2623" t="str">
            <v>F4151</v>
          </cell>
          <cell r="D2623" t="str">
            <v>일반 Dr.</v>
          </cell>
          <cell r="E2623" t="str">
            <v>CS Dr</v>
          </cell>
        </row>
        <row r="2624">
          <cell r="B2624" t="str">
            <v>F4151</v>
          </cell>
          <cell r="D2624" t="str">
            <v>일반 Dr.</v>
          </cell>
          <cell r="E2624" t="str">
            <v>CS Dr</v>
          </cell>
        </row>
        <row r="2625">
          <cell r="B2625" t="str">
            <v>F4151</v>
          </cell>
          <cell r="D2625" t="str">
            <v>일반 Dr.</v>
          </cell>
          <cell r="E2625" t="str">
            <v>CS Dr</v>
          </cell>
        </row>
        <row r="2626">
          <cell r="B2626" t="str">
            <v>F4151</v>
          </cell>
          <cell r="D2626" t="str">
            <v>일반 Dr.</v>
          </cell>
          <cell r="E2626" t="str">
            <v>CS Dr</v>
          </cell>
        </row>
        <row r="2627">
          <cell r="B2627" t="str">
            <v>F4018</v>
          </cell>
          <cell r="D2627" t="str">
            <v>배달</v>
          </cell>
          <cell r="E2627" t="str">
            <v>용</v>
          </cell>
        </row>
        <row r="2628">
          <cell r="B2628" t="str">
            <v>F4018</v>
          </cell>
          <cell r="D2628" t="str">
            <v>배달</v>
          </cell>
          <cell r="E2628" t="str">
            <v>용</v>
          </cell>
        </row>
        <row r="2629">
          <cell r="B2629" t="str">
            <v>F4018</v>
          </cell>
          <cell r="D2629" t="str">
            <v>배달</v>
          </cell>
          <cell r="E2629" t="str">
            <v>용</v>
          </cell>
        </row>
        <row r="2630">
          <cell r="B2630" t="str">
            <v>F4139</v>
          </cell>
          <cell r="D2630" t="str">
            <v>일반 Dr.</v>
          </cell>
          <cell r="E2630" t="str">
            <v>CS Dr</v>
          </cell>
        </row>
        <row r="2631">
          <cell r="B2631" t="str">
            <v>F4139</v>
          </cell>
          <cell r="D2631" t="str">
            <v>일반 Dr.</v>
          </cell>
          <cell r="E2631" t="str">
            <v>CS Dr</v>
          </cell>
        </row>
        <row r="2632">
          <cell r="B2632" t="str">
            <v>F4139</v>
          </cell>
          <cell r="D2632" t="str">
            <v>일반 Dr.</v>
          </cell>
          <cell r="E2632" t="str">
            <v>CS Dr</v>
          </cell>
        </row>
        <row r="2633">
          <cell r="B2633" t="str">
            <v>F4139</v>
          </cell>
          <cell r="D2633" t="str">
            <v>조장</v>
          </cell>
          <cell r="E2633" t="str">
            <v>CS Dr</v>
          </cell>
        </row>
        <row r="2634">
          <cell r="B2634" t="str">
            <v>F4139</v>
          </cell>
          <cell r="D2634" t="str">
            <v>일반 Dr.</v>
          </cell>
          <cell r="E2634" t="str">
            <v>CS Dr</v>
          </cell>
        </row>
        <row r="2635">
          <cell r="B2635" t="str">
            <v>F4139</v>
          </cell>
          <cell r="D2635" t="str">
            <v>일반 Dr.</v>
          </cell>
          <cell r="E2635" t="str">
            <v>CS Dr</v>
          </cell>
        </row>
        <row r="2636">
          <cell r="B2636" t="str">
            <v>F4139</v>
          </cell>
          <cell r="D2636" t="str">
            <v>일반 Dr.</v>
          </cell>
          <cell r="E2636" t="str">
            <v>CS Dr</v>
          </cell>
        </row>
        <row r="2637">
          <cell r="B2637" t="str">
            <v>F4139</v>
          </cell>
          <cell r="D2637" t="str">
            <v>일반 Dr.</v>
          </cell>
          <cell r="E2637" t="str">
            <v>CS Dr</v>
          </cell>
        </row>
        <row r="2638">
          <cell r="B2638" t="str">
            <v>F4139</v>
          </cell>
          <cell r="D2638" t="str">
            <v>조장</v>
          </cell>
          <cell r="E2638" t="str">
            <v>CS Dr</v>
          </cell>
        </row>
        <row r="2639">
          <cell r="B2639" t="str">
            <v>F4139</v>
          </cell>
          <cell r="D2639" t="str">
            <v>일반 Dr.</v>
          </cell>
          <cell r="E2639" t="str">
            <v>CS Dr</v>
          </cell>
        </row>
        <row r="2640">
          <cell r="B2640" t="str">
            <v>F4139</v>
          </cell>
          <cell r="D2640" t="str">
            <v>일반 Dr.</v>
          </cell>
          <cell r="E2640" t="str">
            <v>CS Dr</v>
          </cell>
        </row>
        <row r="2641">
          <cell r="B2641" t="str">
            <v>F4139</v>
          </cell>
          <cell r="D2641" t="str">
            <v>일반 Dr.</v>
          </cell>
          <cell r="E2641" t="str">
            <v>CS Dr</v>
          </cell>
        </row>
        <row r="2642">
          <cell r="B2642" t="str">
            <v>F4139</v>
          </cell>
          <cell r="D2642" t="str">
            <v>조장</v>
          </cell>
          <cell r="E2642" t="str">
            <v>CS Dr</v>
          </cell>
        </row>
        <row r="2643">
          <cell r="B2643" t="str">
            <v>F4139</v>
          </cell>
          <cell r="D2643" t="str">
            <v>일반 Dr.</v>
          </cell>
          <cell r="E2643" t="str">
            <v>CS Dr</v>
          </cell>
        </row>
        <row r="2644">
          <cell r="B2644" t="str">
            <v>F4139</v>
          </cell>
          <cell r="D2644" t="str">
            <v>팀장</v>
          </cell>
          <cell r="E2644" t="str">
            <v>CS Dr</v>
          </cell>
        </row>
        <row r="2645">
          <cell r="B2645" t="str">
            <v>F4139</v>
          </cell>
          <cell r="D2645" t="str">
            <v>일반 Dr.</v>
          </cell>
          <cell r="E2645" t="str">
            <v>CS Dr</v>
          </cell>
        </row>
        <row r="2646">
          <cell r="B2646" t="str">
            <v>F4139</v>
          </cell>
          <cell r="D2646" t="str">
            <v>일반 Dr.</v>
          </cell>
          <cell r="E2646" t="str">
            <v>CS Dr</v>
          </cell>
        </row>
        <row r="2647">
          <cell r="B2647" t="str">
            <v>F4139</v>
          </cell>
          <cell r="D2647" t="str">
            <v>일반 Dr.</v>
          </cell>
          <cell r="E2647" t="str">
            <v>CS Dr</v>
          </cell>
        </row>
        <row r="2648">
          <cell r="B2648" t="str">
            <v>F4139</v>
          </cell>
          <cell r="D2648" t="str">
            <v>일반 Dr.</v>
          </cell>
          <cell r="E2648" t="str">
            <v>CS Dr</v>
          </cell>
        </row>
      </sheetData>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실사조정)총괄"/>
      <sheetName val="실사후분석(내역서단가기준)"/>
    </sheetNames>
    <sheetDataSet>
      <sheetData sheetId="0"/>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1-1)근무시간 내 콜수"/>
      <sheetName val="1-2)근무시간 외 콜수"/>
      <sheetName val="2.3.상품주문(전체)"/>
      <sheetName val="2.3.상품주문(콜센터_회원)"/>
      <sheetName val="2.3.상품주문(콜센터_비회원)"/>
      <sheetName val="2,3.상품주문(로데이터)"/>
      <sheetName val="4-1)일일 문의유형 세부1"/>
      <sheetName val="4-2)일일 문의유형 세부2(상담이력상)"/>
      <sheetName val="4-3)문의요형(로데이터)"/>
      <sheetName val="4-4)문의유형(참조데이터)"/>
      <sheetName val="5-1)회원가입수"/>
      <sheetName val="5-2)비회원_주문(건수)"/>
      <sheetName val="5-3)비회원_나눔포인트"/>
      <sheetName val="6.업무내용&amp;이슈"/>
      <sheetName val="7.클레임"/>
      <sheetName val="회원가입서 유효성검사"/>
      <sheetName val="유효성검사"/>
      <sheetName val="근태코드"/>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A2" t="str">
            <v>신규탈퇴회원관련</v>
          </cell>
        </row>
        <row r="3">
          <cell r="A3" t="str">
            <v>고객정보관련</v>
          </cell>
        </row>
        <row r="4">
          <cell r="A4" t="str">
            <v>주문관련</v>
          </cell>
        </row>
        <row r="5">
          <cell r="A5" t="str">
            <v>제품관련</v>
          </cell>
        </row>
        <row r="6">
          <cell r="A6" t="str">
            <v>AS관련</v>
          </cell>
        </row>
        <row r="7">
          <cell r="A7" t="str">
            <v>입금관련</v>
          </cell>
        </row>
        <row r="8">
          <cell r="A8" t="str">
            <v>배송관련</v>
          </cell>
        </row>
        <row r="9">
          <cell r="A9" t="str">
            <v>기타</v>
          </cell>
        </row>
        <row r="10">
          <cell r="A10" t="str">
            <v>불만관련</v>
          </cell>
        </row>
        <row r="11">
          <cell r="A11" t="str">
            <v>고객과재통화</v>
          </cell>
        </row>
        <row r="12">
          <cell r="A12" t="str">
            <v>해피콜</v>
          </cell>
        </row>
      </sheetData>
      <sheetData sheetId="1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인원현황"/>
      <sheetName val="(월) 일 실적현황"/>
      <sheetName val="시간대별 현황"/>
      <sheetName val="업무사항 및 Issue 내용"/>
      <sheetName val="시간대별"/>
      <sheetName val="인바운드"/>
      <sheetName val="아웃바운드"/>
      <sheetName val="이석시간,후처리시간"/>
      <sheetName val="단기계약건수"/>
      <sheetName val="로우데이터"/>
      <sheetName val="로우데이터(시간)"/>
      <sheetName val="클레임(관리자접수분)"/>
      <sheetName val="근무일수"/>
    </sheetNames>
    <sheetDataSet>
      <sheetData sheetId="0"/>
      <sheetData sheetId="1"/>
      <sheetData sheetId="2">
        <row r="7">
          <cell r="B7">
            <v>42493</v>
          </cell>
        </row>
      </sheetData>
      <sheetData sheetId="3"/>
      <sheetData sheetId="4">
        <row r="2">
          <cell r="A2" t="str">
            <v>날짜</v>
          </cell>
        </row>
        <row r="3">
          <cell r="A3">
            <v>42493</v>
          </cell>
        </row>
        <row r="9">
          <cell r="A9">
            <v>42495</v>
          </cell>
        </row>
        <row r="15">
          <cell r="A15">
            <v>42496</v>
          </cell>
        </row>
        <row r="21">
          <cell r="A21">
            <v>42497</v>
          </cell>
        </row>
        <row r="27">
          <cell r="A27">
            <v>42500</v>
          </cell>
        </row>
        <row r="33">
          <cell r="A33">
            <v>42501</v>
          </cell>
        </row>
        <row r="39">
          <cell r="A39">
            <v>42502</v>
          </cell>
        </row>
        <row r="45">
          <cell r="A45">
            <v>42503</v>
          </cell>
        </row>
        <row r="51">
          <cell r="A51">
            <v>42504</v>
          </cell>
        </row>
        <row r="57">
          <cell r="A57">
            <v>42507</v>
          </cell>
        </row>
        <row r="63">
          <cell r="A63">
            <v>42508</v>
          </cell>
        </row>
        <row r="69">
          <cell r="A69">
            <v>42509</v>
          </cell>
        </row>
        <row r="75">
          <cell r="A75">
            <v>42510</v>
          </cell>
        </row>
        <row r="81">
          <cell r="A81">
            <v>42511</v>
          </cell>
        </row>
        <row r="87">
          <cell r="A87">
            <v>42514</v>
          </cell>
        </row>
        <row r="93">
          <cell r="A93">
            <v>42515</v>
          </cell>
        </row>
        <row r="99">
          <cell r="A99">
            <v>42516</v>
          </cell>
        </row>
        <row r="105">
          <cell r="A105">
            <v>42517</v>
          </cell>
        </row>
        <row r="111">
          <cell r="A111">
            <v>42518</v>
          </cell>
        </row>
      </sheetData>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id="1" name="표1" displayName="표1" ref="A1:S2" insertRow="1" totalsRowShown="0">
  <autoFilter ref="A1:S2"/>
  <tableColumns count="19">
    <tableColumn id="1" name="날짜"/>
    <tableColumn id="2" name="시간"/>
    <tableColumn id="3" name="인입"/>
    <tableColumn id="4" name="응답"/>
    <tableColumn id="5" name="응답률"/>
    <tableColumn id="6" name="포기"/>
    <tableColumn id="7" name="포기률"/>
    <tableColumn id="8" name="서비스레벨"/>
    <tableColumn id="9" name="투입인력"/>
    <tableColumn id="10" name="CPD"/>
    <tableColumn id="11" name="O/B콜수"/>
    <tableColumn id="12" name="O/B비율 (%)"/>
    <tableColumn id="13" name="I/B통화시간"/>
    <tableColumn id="14" name="O/B통화시간"/>
    <tableColumn id="15" name="인별평균"/>
    <tableColumn id="16" name="(I/B+O/B)"/>
    <tableColumn id="17" name="(I/B+O/B)-인별평균"/>
    <tableColumn id="18" name="I/B"/>
    <tableColumn id="19" name="O/B"/>
  </tableColumns>
  <tableStyleInfo name="TableStyleMedium9"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1:U51"/>
  <sheetViews>
    <sheetView showGridLines="0" tabSelected="1" zoomScale="90" zoomScaleNormal="90" workbookViewId="0">
      <selection activeCell="B13" sqref="B13"/>
    </sheetView>
  </sheetViews>
  <sheetFormatPr defaultRowHeight="16.5"/>
  <cols>
    <col min="1" max="1" width="1.125" customWidth="1"/>
    <col min="2" max="2" width="11.375" customWidth="1"/>
    <col min="3" max="7" width="8.625" customWidth="1"/>
    <col min="8" max="8" width="9.5" customWidth="1"/>
    <col min="9" max="18" width="8.625" customWidth="1"/>
    <col min="19" max="19" width="12.375" customWidth="1"/>
    <col min="20" max="24" width="9.625" customWidth="1"/>
  </cols>
  <sheetData>
    <row r="1" spans="2:19" ht="16.5" customHeight="1">
      <c r="B1" s="489" t="s">
        <v>138</v>
      </c>
      <c r="C1" s="490"/>
      <c r="D1" s="490"/>
      <c r="E1" s="490"/>
      <c r="F1" s="490"/>
      <c r="G1" s="490"/>
      <c r="H1" s="490"/>
      <c r="I1" s="490"/>
      <c r="J1" s="490"/>
      <c r="K1" s="490"/>
      <c r="L1" s="490"/>
      <c r="M1" s="490"/>
      <c r="N1" s="490"/>
      <c r="O1" s="490"/>
      <c r="P1" s="490"/>
      <c r="Q1" s="490"/>
      <c r="R1" s="491"/>
      <c r="S1" s="476">
        <v>44527</v>
      </c>
    </row>
    <row r="2" spans="2:19" ht="17.25" customHeight="1">
      <c r="B2" s="492"/>
      <c r="C2" s="493"/>
      <c r="D2" s="493"/>
      <c r="E2" s="493"/>
      <c r="F2" s="493"/>
      <c r="G2" s="493"/>
      <c r="H2" s="493"/>
      <c r="I2" s="493"/>
      <c r="J2" s="493"/>
      <c r="K2" s="493"/>
      <c r="L2" s="493"/>
      <c r="M2" s="493"/>
      <c r="N2" s="493"/>
      <c r="O2" s="493"/>
      <c r="P2" s="493"/>
      <c r="Q2" s="493"/>
      <c r="R2" s="494"/>
      <c r="S2" s="477"/>
    </row>
    <row r="3" spans="2:19" ht="16.5" customHeight="1" thickBot="1">
      <c r="B3" s="495"/>
      <c r="C3" s="496"/>
      <c r="D3" s="496"/>
      <c r="E3" s="496"/>
      <c r="F3" s="496"/>
      <c r="G3" s="496"/>
      <c r="H3" s="496"/>
      <c r="I3" s="496"/>
      <c r="J3" s="496"/>
      <c r="K3" s="496"/>
      <c r="L3" s="496"/>
      <c r="M3" s="496"/>
      <c r="N3" s="496"/>
      <c r="O3" s="496"/>
      <c r="P3" s="496"/>
      <c r="Q3" s="496"/>
      <c r="R3" s="497"/>
      <c r="S3" s="478"/>
    </row>
    <row r="4" spans="2:19" ht="15.75" hidden="1" customHeight="1">
      <c r="B4" s="152"/>
      <c r="C4" s="152"/>
      <c r="D4" s="152"/>
      <c r="E4" s="152"/>
      <c r="F4" s="152"/>
      <c r="G4" s="152"/>
      <c r="H4" s="152"/>
      <c r="I4" s="152"/>
      <c r="J4" s="152"/>
      <c r="K4" s="152"/>
      <c r="L4" s="152"/>
      <c r="M4" s="152"/>
      <c r="N4" s="152"/>
      <c r="O4" s="152"/>
      <c r="P4" s="152"/>
      <c r="Q4" s="152"/>
      <c r="R4" s="152"/>
      <c r="S4" s="77"/>
    </row>
    <row r="5" spans="2:19" s="5" customFormat="1" ht="16.5" hidden="1" customHeight="1">
      <c r="B5" s="153"/>
      <c r="C5" s="153"/>
      <c r="D5" s="153"/>
      <c r="E5" s="153"/>
      <c r="F5" s="153"/>
      <c r="G5" s="153"/>
      <c r="H5" s="153"/>
      <c r="I5" s="153"/>
      <c r="J5" s="153"/>
      <c r="K5" s="153"/>
      <c r="L5" s="153"/>
      <c r="M5" s="153"/>
      <c r="N5" s="153"/>
      <c r="O5" s="153"/>
      <c r="P5" s="153"/>
      <c r="Q5" s="153"/>
      <c r="R5" s="153"/>
      <c r="S5" s="78"/>
    </row>
    <row r="6" spans="2:19" s="5" customFormat="1" ht="16.5" hidden="1" customHeight="1" thickBot="1">
      <c r="B6" s="163" t="s">
        <v>136</v>
      </c>
      <c r="C6" s="153"/>
      <c r="D6" s="153"/>
      <c r="E6" s="153"/>
      <c r="F6" s="153"/>
      <c r="G6" s="153"/>
      <c r="H6" s="153"/>
      <c r="I6" s="153"/>
      <c r="J6" s="153"/>
      <c r="K6" s="153"/>
      <c r="L6" s="153"/>
      <c r="M6" s="153"/>
      <c r="N6" s="153"/>
      <c r="O6" s="153"/>
      <c r="P6" s="153"/>
      <c r="Q6" s="153"/>
      <c r="R6" s="153"/>
      <c r="S6" s="78"/>
    </row>
    <row r="7" spans="2:19" s="5" customFormat="1" ht="24.75" hidden="1" customHeight="1">
      <c r="B7" s="175" t="s">
        <v>103</v>
      </c>
      <c r="C7" s="502" t="s">
        <v>106</v>
      </c>
      <c r="D7" s="502"/>
      <c r="E7" s="502"/>
      <c r="F7" s="502"/>
      <c r="G7" s="502"/>
      <c r="H7" s="502"/>
      <c r="I7" s="502"/>
      <c r="J7" s="502"/>
      <c r="K7" s="502"/>
      <c r="L7" s="502"/>
      <c r="M7" s="503" t="s">
        <v>105</v>
      </c>
      <c r="N7" s="484"/>
      <c r="O7" s="504"/>
      <c r="P7" s="78"/>
      <c r="Q7" s="78"/>
      <c r="S7" s="78"/>
    </row>
    <row r="8" spans="2:19" s="5" customFormat="1" ht="62.25" hidden="1" customHeight="1">
      <c r="B8" s="176" t="s">
        <v>112</v>
      </c>
      <c r="C8" s="459" t="s">
        <v>137</v>
      </c>
      <c r="D8" s="460"/>
      <c r="E8" s="460"/>
      <c r="F8" s="460"/>
      <c r="G8" s="460"/>
      <c r="H8" s="460"/>
      <c r="I8" s="460"/>
      <c r="J8" s="460"/>
      <c r="K8" s="460"/>
      <c r="L8" s="461"/>
      <c r="M8" s="505"/>
      <c r="N8" s="506"/>
      <c r="O8" s="507"/>
      <c r="P8" s="78"/>
      <c r="Q8" s="78"/>
      <c r="S8" s="78"/>
    </row>
    <row r="9" spans="2:19" s="5" customFormat="1" ht="29.25" hidden="1" customHeight="1" thickBot="1">
      <c r="B9" s="177" t="s">
        <v>104</v>
      </c>
      <c r="C9" s="462" t="s">
        <v>131</v>
      </c>
      <c r="D9" s="463"/>
      <c r="E9" s="463"/>
      <c r="F9" s="463"/>
      <c r="G9" s="463"/>
      <c r="H9" s="463"/>
      <c r="I9" s="463"/>
      <c r="J9" s="463"/>
      <c r="K9" s="463"/>
      <c r="L9" s="464"/>
      <c r="M9" s="508"/>
      <c r="N9" s="509"/>
      <c r="O9" s="510"/>
      <c r="P9" s="78"/>
      <c r="Q9" s="78"/>
      <c r="S9" s="78"/>
    </row>
    <row r="10" spans="2:19" s="5" customFormat="1" ht="16.5" hidden="1" customHeight="1">
      <c r="B10" s="153"/>
      <c r="C10" s="153"/>
      <c r="D10" s="153"/>
      <c r="E10" s="153"/>
      <c r="F10" s="153"/>
      <c r="G10" s="153"/>
      <c r="H10" s="153"/>
      <c r="I10" s="153"/>
      <c r="J10" s="153"/>
      <c r="K10" s="153"/>
      <c r="L10" s="153"/>
      <c r="M10" s="153"/>
      <c r="N10" s="153"/>
      <c r="O10" s="153"/>
      <c r="P10" s="153"/>
      <c r="Q10" s="153"/>
      <c r="R10" s="153"/>
      <c r="S10" s="78"/>
    </row>
    <row r="11" spans="2:19" s="5" customFormat="1" ht="16.5" customHeight="1">
      <c r="B11" s="153"/>
      <c r="C11" s="153"/>
      <c r="D11" s="153"/>
      <c r="E11" s="153"/>
      <c r="F11" s="153"/>
      <c r="G11" s="153"/>
      <c r="H11" s="153"/>
      <c r="I11" s="153"/>
      <c r="J11" s="153"/>
      <c r="K11" s="153"/>
      <c r="L11" s="153"/>
      <c r="M11" s="153"/>
      <c r="N11" s="153"/>
      <c r="O11" s="153"/>
      <c r="P11" s="153"/>
      <c r="Q11" s="153"/>
      <c r="R11" s="153"/>
      <c r="S11" s="78"/>
    </row>
    <row r="12" spans="2:19" s="44" customFormat="1" ht="21.6" customHeight="1" thickBot="1">
      <c r="B12" s="344" t="s">
        <v>1507</v>
      </c>
      <c r="C12" s="153"/>
      <c r="D12" s="153"/>
      <c r="E12" s="153"/>
      <c r="F12" s="153"/>
      <c r="G12" s="153"/>
      <c r="H12" s="153"/>
      <c r="I12" s="153"/>
      <c r="J12" s="153"/>
      <c r="K12" s="153"/>
      <c r="L12" s="153"/>
      <c r="M12" s="153"/>
      <c r="N12" s="153"/>
      <c r="O12" s="153"/>
      <c r="P12" s="153"/>
      <c r="Q12" s="153"/>
      <c r="R12" s="153"/>
      <c r="S12" s="78"/>
    </row>
    <row r="13" spans="2:19" ht="21" customHeight="1">
      <c r="B13" s="164" t="s">
        <v>111</v>
      </c>
      <c r="C13" s="457" t="s">
        <v>9</v>
      </c>
      <c r="D13" s="500" t="s">
        <v>10</v>
      </c>
      <c r="E13" s="498" t="s">
        <v>11</v>
      </c>
      <c r="F13" s="483" t="s">
        <v>12</v>
      </c>
      <c r="G13" s="484"/>
      <c r="H13" s="484"/>
      <c r="I13" s="484"/>
      <c r="J13" s="484"/>
      <c r="K13" s="484"/>
      <c r="L13" s="484"/>
      <c r="M13" s="484"/>
      <c r="N13" s="484"/>
      <c r="O13" s="485"/>
      <c r="P13" s="479" t="s">
        <v>53</v>
      </c>
      <c r="Q13" s="479"/>
      <c r="R13" s="480"/>
      <c r="S13" s="78"/>
    </row>
    <row r="14" spans="2:19" ht="21" customHeight="1">
      <c r="B14" s="165">
        <f>S1</f>
        <v>44527</v>
      </c>
      <c r="C14" s="458"/>
      <c r="D14" s="501"/>
      <c r="E14" s="499"/>
      <c r="F14" s="99" t="s">
        <v>132</v>
      </c>
      <c r="G14" s="100" t="s">
        <v>13</v>
      </c>
      <c r="H14" s="100" t="s">
        <v>14</v>
      </c>
      <c r="I14" s="100" t="s">
        <v>15</v>
      </c>
      <c r="J14" s="100" t="s">
        <v>44</v>
      </c>
      <c r="K14" s="100" t="s">
        <v>7</v>
      </c>
      <c r="L14" s="100" t="s">
        <v>17</v>
      </c>
      <c r="M14" s="100" t="s">
        <v>133</v>
      </c>
      <c r="N14" s="100" t="s">
        <v>93</v>
      </c>
      <c r="O14" s="101" t="s">
        <v>20</v>
      </c>
      <c r="P14" s="481"/>
      <c r="Q14" s="481"/>
      <c r="R14" s="482"/>
      <c r="S14" s="78"/>
    </row>
    <row r="15" spans="2:19" ht="21" customHeight="1">
      <c r="B15" s="166" t="s">
        <v>21</v>
      </c>
      <c r="C15" s="471">
        <f>D17</f>
        <v>3</v>
      </c>
      <c r="D15" s="388">
        <v>1</v>
      </c>
      <c r="E15" s="388">
        <v>1</v>
      </c>
      <c r="F15" s="74">
        <v>0</v>
      </c>
      <c r="G15" s="41">
        <v>0</v>
      </c>
      <c r="H15" s="41">
        <v>0</v>
      </c>
      <c r="I15" s="41">
        <v>0</v>
      </c>
      <c r="J15" s="41">
        <v>0</v>
      </c>
      <c r="K15" s="41">
        <v>0</v>
      </c>
      <c r="L15" s="41">
        <v>0</v>
      </c>
      <c r="M15" s="41">
        <v>0</v>
      </c>
      <c r="N15" s="41">
        <v>0</v>
      </c>
      <c r="O15" s="76">
        <v>0</v>
      </c>
      <c r="P15" s="486"/>
      <c r="Q15" s="487"/>
      <c r="R15" s="488"/>
      <c r="S15" s="78"/>
    </row>
    <row r="16" spans="2:19" ht="21" customHeight="1">
      <c r="B16" s="167" t="s">
        <v>331</v>
      </c>
      <c r="C16" s="472"/>
      <c r="D16" s="73">
        <v>2</v>
      </c>
      <c r="E16" s="75">
        <v>2</v>
      </c>
      <c r="F16" s="74">
        <v>0</v>
      </c>
      <c r="G16" s="40">
        <v>0</v>
      </c>
      <c r="H16" s="40">
        <v>0</v>
      </c>
      <c r="I16" s="40">
        <v>0</v>
      </c>
      <c r="J16" s="40">
        <v>0</v>
      </c>
      <c r="K16" s="40">
        <v>0</v>
      </c>
      <c r="L16" s="40">
        <v>0</v>
      </c>
      <c r="M16" s="40">
        <v>0</v>
      </c>
      <c r="N16" s="40">
        <v>0</v>
      </c>
      <c r="O16" s="76">
        <v>0</v>
      </c>
      <c r="P16" s="486"/>
      <c r="Q16" s="487"/>
      <c r="R16" s="488"/>
      <c r="S16" s="78"/>
    </row>
    <row r="17" spans="2:20" ht="21" customHeight="1" thickBot="1">
      <c r="B17" s="168" t="s">
        <v>22</v>
      </c>
      <c r="C17" s="473"/>
      <c r="D17" s="169">
        <f>SUM(D15:D16)</f>
        <v>3</v>
      </c>
      <c r="E17" s="169">
        <f>SUM(E15:E16)</f>
        <v>3</v>
      </c>
      <c r="F17" s="170">
        <f>SUM(F15:F16)</f>
        <v>0</v>
      </c>
      <c r="G17" s="171">
        <f t="shared" ref="G17:O17" si="0">SUM(G15:G16)</f>
        <v>0</v>
      </c>
      <c r="H17" s="171">
        <f t="shared" si="0"/>
        <v>0</v>
      </c>
      <c r="I17" s="171">
        <f t="shared" si="0"/>
        <v>0</v>
      </c>
      <c r="J17" s="171">
        <f>SUM(J15:J16)</f>
        <v>0</v>
      </c>
      <c r="K17" s="171">
        <f t="shared" si="0"/>
        <v>0</v>
      </c>
      <c r="L17" s="171">
        <f t="shared" si="0"/>
        <v>0</v>
      </c>
      <c r="M17" s="171">
        <f t="shared" si="0"/>
        <v>0</v>
      </c>
      <c r="N17" s="172">
        <v>0</v>
      </c>
      <c r="O17" s="173">
        <f t="shared" si="0"/>
        <v>0</v>
      </c>
      <c r="P17" s="474"/>
      <c r="Q17" s="474"/>
      <c r="R17" s="475"/>
      <c r="S17" s="78"/>
    </row>
    <row r="18" spans="2:20" ht="16.5" customHeight="1">
      <c r="B18" s="153"/>
      <c r="C18" s="153"/>
      <c r="D18" s="153"/>
      <c r="E18" s="153"/>
      <c r="F18" s="153"/>
      <c r="G18" s="153"/>
      <c r="H18" s="153"/>
      <c r="I18" s="153"/>
      <c r="J18" s="153"/>
      <c r="K18" s="153"/>
      <c r="L18" s="153"/>
      <c r="M18" s="153"/>
      <c r="N18" s="153"/>
      <c r="O18" s="153"/>
      <c r="P18" s="153"/>
      <c r="Q18" s="153"/>
      <c r="R18" s="153"/>
      <c r="S18" s="78"/>
      <c r="T18" t="s">
        <v>107</v>
      </c>
    </row>
    <row r="19" spans="2:20" s="44" customFormat="1" ht="19.899999999999999" customHeight="1" thickBot="1">
      <c r="B19" s="344" t="s">
        <v>1508</v>
      </c>
      <c r="C19" s="153"/>
      <c r="D19" s="153"/>
      <c r="E19" s="153"/>
      <c r="F19" s="153"/>
      <c r="G19" s="153"/>
      <c r="H19" s="153"/>
      <c r="I19" s="153"/>
      <c r="J19" s="153"/>
      <c r="K19" s="153"/>
      <c r="L19" s="153"/>
      <c r="M19" s="153"/>
      <c r="N19" s="153"/>
      <c r="O19" s="153"/>
      <c r="P19" s="153"/>
      <c r="Q19" s="153"/>
      <c r="R19" s="153"/>
      <c r="S19" s="78"/>
    </row>
    <row r="20" spans="2:20" ht="23.1" customHeight="1">
      <c r="B20" s="639" t="s">
        <v>23</v>
      </c>
      <c r="C20" s="640"/>
      <c r="D20" s="641" t="s">
        <v>333</v>
      </c>
      <c r="E20" s="439"/>
      <c r="F20" s="439"/>
      <c r="G20" s="439"/>
      <c r="H20" s="439"/>
      <c r="I20" s="439"/>
      <c r="J20" s="642"/>
      <c r="K20" s="643" t="s">
        <v>4365</v>
      </c>
      <c r="L20" s="644"/>
      <c r="M20" s="644"/>
      <c r="N20" s="645"/>
      <c r="O20" s="78"/>
    </row>
    <row r="21" spans="2:20" s="5" customFormat="1" ht="23.1" customHeight="1">
      <c r="B21" s="646"/>
      <c r="C21" s="469"/>
      <c r="D21" s="467"/>
      <c r="E21" s="445"/>
      <c r="F21" s="445"/>
      <c r="G21" s="445"/>
      <c r="H21" s="445"/>
      <c r="I21" s="445"/>
      <c r="J21" s="468"/>
      <c r="K21" s="422" t="s">
        <v>24</v>
      </c>
      <c r="L21" s="423"/>
      <c r="M21" s="423" t="s">
        <v>25</v>
      </c>
      <c r="N21" s="647"/>
      <c r="O21" s="78"/>
    </row>
    <row r="22" spans="2:20" ht="23.1" customHeight="1">
      <c r="B22" s="648"/>
      <c r="C22" s="470"/>
      <c r="D22" s="85" t="s">
        <v>52</v>
      </c>
      <c r="E22" s="188" t="s">
        <v>51</v>
      </c>
      <c r="F22" s="188" t="s">
        <v>99</v>
      </c>
      <c r="G22" s="188" t="s">
        <v>50</v>
      </c>
      <c r="H22" s="188" t="s">
        <v>49</v>
      </c>
      <c r="I22" s="188" t="s">
        <v>100</v>
      </c>
      <c r="J22" s="188" t="s">
        <v>66</v>
      </c>
      <c r="K22" s="156" t="s">
        <v>63</v>
      </c>
      <c r="L22" s="157" t="s">
        <v>64</v>
      </c>
      <c r="M22" s="86" t="s">
        <v>40</v>
      </c>
      <c r="N22" s="649" t="s">
        <v>65</v>
      </c>
      <c r="O22" s="97"/>
    </row>
    <row r="23" spans="2:20" ht="21" customHeight="1">
      <c r="B23" s="650">
        <f>S1</f>
        <v>44527</v>
      </c>
      <c r="C23" s="465"/>
      <c r="D23" s="340">
        <v>2</v>
      </c>
      <c r="E23" s="341">
        <v>2</v>
      </c>
      <c r="F23" s="341">
        <v>0</v>
      </c>
      <c r="G23" s="216">
        <v>1</v>
      </c>
      <c r="H23" s="215">
        <v>1</v>
      </c>
      <c r="I23" s="217">
        <v>0</v>
      </c>
      <c r="J23" s="339">
        <v>21</v>
      </c>
      <c r="K23" s="411">
        <v>2</v>
      </c>
      <c r="L23" s="412">
        <v>5.8680555555555543E-3</v>
      </c>
      <c r="M23" s="413">
        <v>21</v>
      </c>
      <c r="N23" s="414">
        <v>2.359953703703704E-2</v>
      </c>
      <c r="O23" s="97"/>
      <c r="P23" s="5"/>
    </row>
    <row r="24" spans="2:20" ht="21" customHeight="1">
      <c r="B24" s="651" t="s">
        <v>67</v>
      </c>
      <c r="C24" s="466"/>
      <c r="D24" s="340">
        <v>1</v>
      </c>
      <c r="E24" s="341">
        <v>1</v>
      </c>
      <c r="F24" s="341">
        <v>0</v>
      </c>
      <c r="G24" s="216">
        <v>1</v>
      </c>
      <c r="H24" s="215">
        <v>1</v>
      </c>
      <c r="I24" s="217">
        <v>0</v>
      </c>
      <c r="J24" s="339">
        <v>62</v>
      </c>
      <c r="K24" s="411">
        <v>1</v>
      </c>
      <c r="L24" s="412">
        <v>2.5578703703703705E-3</v>
      </c>
      <c r="M24" s="413">
        <v>62</v>
      </c>
      <c r="N24" s="414">
        <v>9.3831018518518508E-2</v>
      </c>
      <c r="O24" s="97"/>
    </row>
    <row r="25" spans="2:20" s="44" customFormat="1" ht="21" customHeight="1" thickBot="1">
      <c r="B25" s="652" t="s">
        <v>26</v>
      </c>
      <c r="C25" s="456"/>
      <c r="D25" s="342">
        <f>D23-D24</f>
        <v>1</v>
      </c>
      <c r="E25" s="221">
        <f t="shared" ref="E25:N25" si="1">E23-E24</f>
        <v>1</v>
      </c>
      <c r="F25" s="343">
        <v>0</v>
      </c>
      <c r="G25" s="218">
        <f>G23-G24</f>
        <v>0</v>
      </c>
      <c r="H25" s="219">
        <f>H23-H24</f>
        <v>0</v>
      </c>
      <c r="I25" s="220">
        <f>I23-I24</f>
        <v>0</v>
      </c>
      <c r="J25" s="221">
        <f>J23-J24</f>
        <v>-41</v>
      </c>
      <c r="K25" s="222">
        <f t="shared" si="1"/>
        <v>1</v>
      </c>
      <c r="L25" s="223">
        <f t="shared" si="1"/>
        <v>3.3101851851851838E-3</v>
      </c>
      <c r="M25" s="224">
        <f t="shared" si="1"/>
        <v>-41</v>
      </c>
      <c r="N25" s="653">
        <f t="shared" si="1"/>
        <v>-7.0231481481481464E-2</v>
      </c>
      <c r="O25" s="144"/>
    </row>
    <row r="26" spans="2:20" ht="16.5" customHeight="1">
      <c r="B26" s="43"/>
      <c r="C26" s="43"/>
      <c r="D26" s="43"/>
      <c r="E26" s="43"/>
      <c r="G26" s="43"/>
      <c r="H26" s="42"/>
      <c r="I26" s="43"/>
      <c r="J26" s="43"/>
      <c r="K26" s="42"/>
      <c r="L26" s="43"/>
      <c r="M26" s="43"/>
      <c r="N26" s="43"/>
      <c r="O26" s="42"/>
      <c r="P26" s="43"/>
      <c r="S26" s="145"/>
    </row>
    <row r="27" spans="2:20" s="5" customFormat="1" ht="22.5" customHeight="1" thickBot="1">
      <c r="B27" s="345" t="s">
        <v>1642</v>
      </c>
      <c r="C27" s="43"/>
      <c r="D27" s="43"/>
      <c r="E27" s="43"/>
      <c r="G27" s="43"/>
      <c r="H27" s="42"/>
      <c r="I27" s="43"/>
      <c r="J27" s="43"/>
      <c r="K27" s="42"/>
      <c r="L27" s="43"/>
      <c r="M27" s="43"/>
      <c r="N27" s="43"/>
      <c r="O27" s="42"/>
      <c r="P27" s="43"/>
      <c r="S27" s="145"/>
    </row>
    <row r="28" spans="2:20" s="5" customFormat="1" ht="11.25" customHeight="1">
      <c r="B28" s="432" t="s">
        <v>6</v>
      </c>
      <c r="C28" s="435" t="s">
        <v>70</v>
      </c>
      <c r="D28" s="438" t="s">
        <v>352</v>
      </c>
      <c r="E28" s="439"/>
      <c r="F28" s="439"/>
      <c r="G28" s="439"/>
      <c r="H28" s="440"/>
      <c r="I28" s="43"/>
      <c r="J28" s="43"/>
      <c r="K28" s="42"/>
      <c r="L28" s="43"/>
      <c r="O28" s="145"/>
    </row>
    <row r="29" spans="2:20" s="5" customFormat="1" ht="11.25" customHeight="1">
      <c r="B29" s="433"/>
      <c r="C29" s="436"/>
      <c r="D29" s="441"/>
      <c r="E29" s="442"/>
      <c r="F29" s="442"/>
      <c r="G29" s="442"/>
      <c r="H29" s="443"/>
      <c r="I29" s="43"/>
      <c r="J29" s="43"/>
      <c r="K29" s="42"/>
      <c r="L29" s="43"/>
      <c r="O29" s="145"/>
    </row>
    <row r="30" spans="2:20" s="5" customFormat="1" ht="11.25" customHeight="1">
      <c r="B30" s="433"/>
      <c r="C30" s="436"/>
      <c r="D30" s="444"/>
      <c r="E30" s="445"/>
      <c r="F30" s="445"/>
      <c r="G30" s="445"/>
      <c r="H30" s="446"/>
      <c r="I30" s="43"/>
      <c r="J30" s="43"/>
      <c r="K30" s="42"/>
      <c r="L30" s="43"/>
      <c r="O30" s="145"/>
    </row>
    <row r="31" spans="2:20" s="5" customFormat="1" ht="23.25" customHeight="1">
      <c r="B31" s="434"/>
      <c r="C31" s="437"/>
      <c r="D31" s="205" t="s">
        <v>347</v>
      </c>
      <c r="E31" s="188" t="s">
        <v>348</v>
      </c>
      <c r="F31" s="188" t="s">
        <v>350</v>
      </c>
      <c r="G31" s="206" t="s">
        <v>440</v>
      </c>
      <c r="H31" s="203" t="s">
        <v>342</v>
      </c>
      <c r="I31" s="43"/>
      <c r="J31" s="43"/>
      <c r="K31" s="42"/>
      <c r="L31" s="43"/>
      <c r="O31" s="145"/>
    </row>
    <row r="32" spans="2:20" s="5" customFormat="1" ht="24" customHeight="1" thickBot="1">
      <c r="B32" s="225">
        <f>S1</f>
        <v>44527</v>
      </c>
      <c r="C32" s="204" t="s">
        <v>4349</v>
      </c>
      <c r="D32" s="210">
        <v>11</v>
      </c>
      <c r="E32" s="201">
        <v>7</v>
      </c>
      <c r="F32" s="201">
        <v>0</v>
      </c>
      <c r="G32" s="211">
        <v>3</v>
      </c>
      <c r="H32" s="212">
        <v>21</v>
      </c>
      <c r="I32" s="43"/>
      <c r="J32" s="43"/>
      <c r="K32" s="42"/>
      <c r="L32" s="43"/>
    </row>
    <row r="33" spans="2:21" s="5" customFormat="1" ht="16.5" customHeight="1">
      <c r="B33" s="197"/>
      <c r="C33" s="198"/>
      <c r="D33" s="199"/>
      <c r="E33" s="199"/>
      <c r="F33" s="199"/>
      <c r="G33" s="199"/>
      <c r="H33" s="199"/>
      <c r="I33" s="199"/>
      <c r="J33" s="200"/>
      <c r="K33" s="42"/>
      <c r="L33" s="43"/>
      <c r="M33" s="43"/>
      <c r="N33" s="43"/>
      <c r="O33" s="42"/>
      <c r="P33" s="43"/>
    </row>
    <row r="34" spans="2:21" s="44" customFormat="1" ht="20.25" customHeight="1" thickBot="1">
      <c r="B34" s="431" t="s">
        <v>3697</v>
      </c>
      <c r="C34" s="431"/>
      <c r="D34" s="431"/>
      <c r="E34" s="431"/>
      <c r="F34" s="93"/>
      <c r="G34" s="93"/>
      <c r="H34" s="93"/>
      <c r="I34" s="93"/>
      <c r="J34" s="3"/>
      <c r="K34" s="93"/>
      <c r="L34" s="162"/>
      <c r="M34" s="93"/>
      <c r="N34" s="93"/>
      <c r="O34" s="93"/>
      <c r="P34" s="93"/>
      <c r="Q34" s="93"/>
      <c r="R34" s="93"/>
      <c r="S34" s="97" t="e">
        <f>MATCH(R1,'[9]업무사항 및 Issue 내용'!A:A,0)</f>
        <v>#N/A</v>
      </c>
    </row>
    <row r="35" spans="2:21" ht="19.899999999999999" customHeight="1" thickBot="1">
      <c r="B35" s="174" t="s">
        <v>27</v>
      </c>
      <c r="C35" s="450" t="s">
        <v>3698</v>
      </c>
      <c r="D35" s="451"/>
      <c r="E35" s="451"/>
      <c r="F35" s="451"/>
      <c r="G35" s="451"/>
      <c r="H35" s="451"/>
      <c r="I35" s="451"/>
      <c r="J35" s="451"/>
      <c r="K35" s="451"/>
      <c r="L35" s="451"/>
      <c r="M35" s="451"/>
      <c r="N35" s="451"/>
      <c r="O35" s="451"/>
      <c r="P35" s="451"/>
      <c r="Q35" s="451"/>
      <c r="R35" s="452"/>
      <c r="S35" s="96"/>
      <c r="T35" s="92"/>
      <c r="U35" s="78"/>
    </row>
    <row r="36" spans="2:21" ht="20.100000000000001" customHeight="1">
      <c r="B36" s="447">
        <f>S1</f>
        <v>44527</v>
      </c>
      <c r="C36" s="453"/>
      <c r="D36" s="454"/>
      <c r="E36" s="454"/>
      <c r="F36" s="454"/>
      <c r="G36" s="454"/>
      <c r="H36" s="454"/>
      <c r="I36" s="454"/>
      <c r="J36" s="454"/>
      <c r="K36" s="454"/>
      <c r="L36" s="454"/>
      <c r="M36" s="454"/>
      <c r="N36" s="454"/>
      <c r="O36" s="454"/>
      <c r="P36" s="454"/>
      <c r="Q36" s="454"/>
      <c r="R36" s="455"/>
      <c r="S36" s="96"/>
      <c r="T36" s="92"/>
      <c r="U36" s="78"/>
    </row>
    <row r="37" spans="2:21" ht="20.100000000000001" customHeight="1">
      <c r="B37" s="448"/>
      <c r="C37" s="428" t="s">
        <v>4355</v>
      </c>
      <c r="D37" s="429"/>
      <c r="E37" s="429"/>
      <c r="F37" s="429"/>
      <c r="G37" s="429"/>
      <c r="H37" s="429"/>
      <c r="I37" s="429"/>
      <c r="J37" s="429"/>
      <c r="K37" s="429"/>
      <c r="L37" s="429"/>
      <c r="M37" s="429"/>
      <c r="N37" s="429"/>
      <c r="O37" s="429"/>
      <c r="P37" s="429"/>
      <c r="Q37" s="429"/>
      <c r="R37" s="430"/>
      <c r="S37" s="96"/>
      <c r="T37" s="92"/>
      <c r="U37" s="78"/>
    </row>
    <row r="38" spans="2:21" ht="20.100000000000001" customHeight="1">
      <c r="B38" s="448"/>
      <c r="C38" s="424" t="s">
        <v>4356</v>
      </c>
      <c r="D38" s="426"/>
      <c r="E38" s="426"/>
      <c r="F38" s="426"/>
      <c r="G38" s="426"/>
      <c r="H38" s="426"/>
      <c r="I38" s="426"/>
      <c r="J38" s="426"/>
      <c r="K38" s="426"/>
      <c r="L38" s="426"/>
      <c r="M38" s="426"/>
      <c r="N38" s="426"/>
      <c r="O38" s="426"/>
      <c r="P38" s="426"/>
      <c r="Q38" s="426"/>
      <c r="R38" s="427"/>
      <c r="S38" s="96"/>
      <c r="T38" s="92"/>
      <c r="U38" s="78"/>
    </row>
    <row r="39" spans="2:21" s="5" customFormat="1" ht="20.100000000000001" customHeight="1">
      <c r="B39" s="448"/>
      <c r="C39" s="424" t="s">
        <v>4357</v>
      </c>
      <c r="D39" s="425"/>
      <c r="E39" s="425"/>
      <c r="F39" s="425"/>
      <c r="G39" s="425"/>
      <c r="H39" s="425"/>
      <c r="I39" s="425"/>
      <c r="J39" s="425"/>
      <c r="K39" s="425"/>
      <c r="L39" s="425"/>
      <c r="M39" s="425"/>
      <c r="N39" s="425"/>
      <c r="O39" s="425"/>
      <c r="P39" s="425"/>
      <c r="Q39" s="425"/>
      <c r="R39" s="511"/>
      <c r="S39" s="96"/>
      <c r="T39" s="92"/>
      <c r="U39" s="78"/>
    </row>
    <row r="40" spans="2:21" s="5" customFormat="1" ht="20.100000000000001" customHeight="1">
      <c r="B40" s="448"/>
      <c r="C40" s="424" t="s">
        <v>4358</v>
      </c>
      <c r="D40" s="425"/>
      <c r="E40" s="425"/>
      <c r="F40" s="425"/>
      <c r="G40" s="425"/>
      <c r="H40" s="425"/>
      <c r="I40" s="425"/>
      <c r="J40" s="425"/>
      <c r="K40" s="425"/>
      <c r="L40" s="425"/>
      <c r="M40" s="425"/>
      <c r="N40" s="425"/>
      <c r="O40" s="425"/>
      <c r="P40" s="425"/>
      <c r="Q40" s="425"/>
      <c r="R40" s="511"/>
      <c r="S40" s="96"/>
      <c r="T40" s="92"/>
      <c r="U40" s="78"/>
    </row>
    <row r="41" spans="2:21" s="5" customFormat="1" ht="20.100000000000001" customHeight="1">
      <c r="B41" s="448"/>
      <c r="C41" s="424" t="s">
        <v>4364</v>
      </c>
      <c r="D41" s="425"/>
      <c r="E41" s="425"/>
      <c r="F41" s="425"/>
      <c r="G41" s="425"/>
      <c r="H41" s="425"/>
      <c r="I41" s="425"/>
      <c r="J41" s="425"/>
      <c r="K41" s="425"/>
      <c r="L41" s="425"/>
      <c r="M41" s="425"/>
      <c r="N41" s="425"/>
      <c r="O41" s="425"/>
      <c r="P41" s="425"/>
      <c r="Q41" s="425"/>
      <c r="R41" s="511"/>
      <c r="S41" s="96"/>
      <c r="T41" s="92"/>
      <c r="U41" s="78"/>
    </row>
    <row r="42" spans="2:21" s="5" customFormat="1" ht="20.100000000000001" customHeight="1">
      <c r="B42" s="448"/>
      <c r="C42" s="424"/>
      <c r="D42" s="425"/>
      <c r="E42" s="425"/>
      <c r="F42" s="425"/>
      <c r="G42" s="425"/>
      <c r="H42" s="425"/>
      <c r="I42" s="425"/>
      <c r="J42" s="425"/>
      <c r="K42" s="425"/>
      <c r="L42" s="425"/>
      <c r="M42" s="425"/>
      <c r="N42" s="425"/>
      <c r="O42" s="425"/>
      <c r="P42" s="425"/>
      <c r="Q42" s="425"/>
      <c r="R42" s="416"/>
      <c r="S42" s="96"/>
      <c r="T42" s="92"/>
      <c r="U42" s="78"/>
    </row>
    <row r="43" spans="2:21" s="5" customFormat="1" ht="20.100000000000001" customHeight="1">
      <c r="B43" s="448"/>
      <c r="C43" s="424" t="s">
        <v>4359</v>
      </c>
      <c r="D43" s="425"/>
      <c r="E43" s="425"/>
      <c r="F43" s="425"/>
      <c r="G43" s="425"/>
      <c r="H43" s="425"/>
      <c r="I43" s="425"/>
      <c r="J43" s="425"/>
      <c r="K43" s="425"/>
      <c r="L43" s="425"/>
      <c r="M43" s="425"/>
      <c r="N43" s="425"/>
      <c r="O43" s="425"/>
      <c r="P43" s="425"/>
      <c r="Q43" s="425"/>
      <c r="R43" s="511"/>
      <c r="S43" s="96"/>
      <c r="T43" s="92"/>
      <c r="U43" s="78"/>
    </row>
    <row r="44" spans="2:21" s="5" customFormat="1" ht="20.100000000000001" customHeight="1" thickBot="1">
      <c r="B44" s="449"/>
      <c r="C44" s="419"/>
      <c r="D44" s="420"/>
      <c r="E44" s="420"/>
      <c r="F44" s="420"/>
      <c r="G44" s="420"/>
      <c r="H44" s="420"/>
      <c r="I44" s="420"/>
      <c r="J44" s="420"/>
      <c r="K44" s="420"/>
      <c r="L44" s="420"/>
      <c r="M44" s="420"/>
      <c r="N44" s="420"/>
      <c r="O44" s="420"/>
      <c r="P44" s="420"/>
      <c r="Q44" s="420"/>
      <c r="R44" s="421"/>
      <c r="S44" s="96"/>
      <c r="T44" s="92"/>
      <c r="U44" s="78"/>
    </row>
    <row r="45" spans="2:21">
      <c r="C45" t="s">
        <v>94</v>
      </c>
      <c r="S45" s="98"/>
    </row>
    <row r="47" spans="2:21">
      <c r="C47" s="5"/>
    </row>
    <row r="48" spans="2:21">
      <c r="B48" s="44"/>
      <c r="C48" s="44"/>
      <c r="D48" s="44"/>
      <c r="E48" s="44"/>
      <c r="F48" s="44"/>
      <c r="G48" s="44"/>
      <c r="H48" s="44"/>
      <c r="I48" s="44"/>
      <c r="J48" s="44"/>
      <c r="K48" s="44"/>
      <c r="L48" s="44"/>
    </row>
    <row r="49" spans="2:12">
      <c r="B49" s="44"/>
      <c r="C49" s="124"/>
      <c r="D49" s="124"/>
      <c r="E49" s="124"/>
      <c r="F49" s="124"/>
      <c r="G49" s="124"/>
      <c r="H49" s="124"/>
      <c r="I49" s="124"/>
      <c r="J49" s="124"/>
      <c r="K49" s="44"/>
      <c r="L49" s="44"/>
    </row>
    <row r="50" spans="2:12">
      <c r="B50" s="44"/>
      <c r="C50" s="124"/>
      <c r="D50" s="124"/>
      <c r="E50" s="124"/>
      <c r="F50" s="124"/>
      <c r="G50" s="124"/>
      <c r="H50" s="124"/>
      <c r="I50" s="124"/>
      <c r="J50" s="124"/>
      <c r="K50" s="44"/>
      <c r="L50" s="44"/>
    </row>
    <row r="51" spans="2:12">
      <c r="B51" s="44"/>
      <c r="C51" s="44"/>
      <c r="D51" s="44"/>
      <c r="E51" s="44"/>
      <c r="F51" s="44"/>
      <c r="G51" s="44"/>
      <c r="H51" s="44"/>
      <c r="I51" s="44"/>
      <c r="J51" s="44"/>
      <c r="K51" s="44"/>
      <c r="L51" s="44"/>
    </row>
  </sheetData>
  <mergeCells count="40">
    <mergeCell ref="C41:R41"/>
    <mergeCell ref="C39:R39"/>
    <mergeCell ref="C40:R40"/>
    <mergeCell ref="C43:R43"/>
    <mergeCell ref="M21:N21"/>
    <mergeCell ref="K20:N20"/>
    <mergeCell ref="P17:R17"/>
    <mergeCell ref="S1:S3"/>
    <mergeCell ref="P13:R14"/>
    <mergeCell ref="F13:O13"/>
    <mergeCell ref="P15:R15"/>
    <mergeCell ref="P16:R16"/>
    <mergeCell ref="B1:R3"/>
    <mergeCell ref="E13:E14"/>
    <mergeCell ref="D13:D14"/>
    <mergeCell ref="C7:L7"/>
    <mergeCell ref="M7:O7"/>
    <mergeCell ref="M8:O8"/>
    <mergeCell ref="M9:O9"/>
    <mergeCell ref="C13:C14"/>
    <mergeCell ref="C8:L8"/>
    <mergeCell ref="C9:L9"/>
    <mergeCell ref="B23:C23"/>
    <mergeCell ref="B24:C24"/>
    <mergeCell ref="D20:J21"/>
    <mergeCell ref="B20:C22"/>
    <mergeCell ref="C15:C17"/>
    <mergeCell ref="C44:R44"/>
    <mergeCell ref="K21:L21"/>
    <mergeCell ref="C42:Q42"/>
    <mergeCell ref="C37:R37"/>
    <mergeCell ref="C38:R38"/>
    <mergeCell ref="B34:E34"/>
    <mergeCell ref="B28:B31"/>
    <mergeCell ref="C28:C31"/>
    <mergeCell ref="D28:H30"/>
    <mergeCell ref="B36:B44"/>
    <mergeCell ref="C35:R35"/>
    <mergeCell ref="C36:R36"/>
    <mergeCell ref="B25:C25"/>
  </mergeCells>
  <phoneticPr fontId="19" type="noConversion"/>
  <pageMargins left="0.7" right="0.7" top="0.75" bottom="0.75" header="0.3" footer="0.3"/>
  <pageSetup paperSize="9" orientation="portrait" r:id="rId1"/>
  <ignoredErrors>
    <ignoredError sqref="S34"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pageSetUpPr fitToPage="1"/>
  </sheetPr>
  <dimension ref="A1:AB67"/>
  <sheetViews>
    <sheetView showGridLines="0" zoomScaleNormal="100" workbookViewId="0">
      <selection activeCell="B5" sqref="B5:B8"/>
    </sheetView>
  </sheetViews>
  <sheetFormatPr defaultColWidth="9" defaultRowHeight="15"/>
  <cols>
    <col min="1" max="1" width="1.125" style="4" customWidth="1"/>
    <col min="2" max="2" width="10" style="4" customWidth="1"/>
    <col min="3" max="3" width="5.625" style="4" customWidth="1"/>
    <col min="4" max="10" width="8.25" style="37" customWidth="1"/>
    <col min="11" max="11" width="8.25" style="4" customWidth="1"/>
    <col min="12" max="12" width="8.5" style="4" customWidth="1"/>
    <col min="13" max="13" width="7.125" style="37" customWidth="1"/>
    <col min="14" max="14" width="8.5" style="37" customWidth="1"/>
    <col min="15" max="15" width="8" style="37" customWidth="1"/>
    <col min="16" max="16" width="9.125" style="37" customWidth="1"/>
    <col min="17" max="17" width="2.375" style="4" customWidth="1"/>
    <col min="18" max="18" width="9.375" style="4" hidden="1" customWidth="1"/>
    <col min="19" max="19" width="10.125" style="4" hidden="1" customWidth="1"/>
    <col min="20" max="22" width="9" style="4" hidden="1" customWidth="1"/>
    <col min="23" max="16384" width="9" style="4"/>
  </cols>
  <sheetData>
    <row r="1" spans="2:22" s="36" customFormat="1" ht="12" customHeight="1">
      <c r="B1" s="39"/>
      <c r="C1" s="39"/>
      <c r="D1" s="67"/>
      <c r="E1" s="67"/>
      <c r="F1" s="67"/>
      <c r="G1" s="67"/>
      <c r="H1" s="68"/>
      <c r="I1" s="68"/>
      <c r="J1" s="68"/>
      <c r="K1" s="39"/>
      <c r="L1" s="39"/>
      <c r="M1" s="68"/>
      <c r="N1" s="68"/>
      <c r="O1" s="68"/>
      <c r="P1" s="68"/>
    </row>
    <row r="2" spans="2:22" ht="20.25">
      <c r="B2" s="532" t="s">
        <v>1073</v>
      </c>
      <c r="C2" s="532"/>
      <c r="D2" s="532"/>
      <c r="E2" s="532"/>
      <c r="F2" s="532"/>
      <c r="G2" s="532"/>
      <c r="H2" s="532"/>
      <c r="I2" s="532"/>
      <c r="J2" s="532"/>
      <c r="K2" s="532"/>
      <c r="L2" s="532"/>
      <c r="M2" s="532"/>
      <c r="N2" s="532"/>
      <c r="O2" s="532"/>
      <c r="P2" s="532"/>
    </row>
    <row r="3" spans="2:22" ht="9.6" customHeight="1">
      <c r="B3" s="533"/>
      <c r="C3" s="533"/>
      <c r="D3" s="533"/>
      <c r="E3" s="533"/>
      <c r="F3" s="533"/>
      <c r="G3" s="533"/>
      <c r="H3" s="533"/>
      <c r="I3" s="533"/>
      <c r="J3" s="533"/>
      <c r="K3" s="533"/>
      <c r="L3" s="533"/>
      <c r="M3" s="533"/>
      <c r="N3" s="247"/>
      <c r="O3" s="247"/>
    </row>
    <row r="4" spans="2:22" ht="18.600000000000001" customHeight="1" thickBot="1">
      <c r="B4" s="154" t="s">
        <v>1072</v>
      </c>
      <c r="C4" s="155"/>
      <c r="D4" s="155"/>
      <c r="E4" s="155"/>
      <c r="F4" s="155"/>
      <c r="G4" s="247"/>
      <c r="H4" s="247"/>
      <c r="I4" s="247"/>
      <c r="J4" s="247"/>
      <c r="K4" s="247"/>
      <c r="L4" s="247"/>
      <c r="M4" s="247"/>
      <c r="N4" s="247"/>
      <c r="O4" s="247"/>
    </row>
    <row r="5" spans="2:22" ht="19.149999999999999" customHeight="1">
      <c r="B5" s="529" t="s">
        <v>6</v>
      </c>
      <c r="C5" s="534" t="s">
        <v>70</v>
      </c>
      <c r="D5" s="537" t="s">
        <v>349</v>
      </c>
      <c r="E5" s="515"/>
      <c r="F5" s="515"/>
      <c r="G5" s="515"/>
      <c r="H5" s="515"/>
      <c r="I5" s="515"/>
      <c r="J5" s="538"/>
      <c r="K5" s="534" t="s">
        <v>2710</v>
      </c>
      <c r="L5" s="534" t="s">
        <v>54</v>
      </c>
      <c r="M5" s="543" t="s">
        <v>4365</v>
      </c>
      <c r="N5" s="544"/>
      <c r="O5" s="544"/>
      <c r="P5" s="615"/>
    </row>
    <row r="6" spans="2:22" ht="14.25" customHeight="1">
      <c r="B6" s="530"/>
      <c r="C6" s="535"/>
      <c r="D6" s="539"/>
      <c r="E6" s="518"/>
      <c r="F6" s="518"/>
      <c r="G6" s="518"/>
      <c r="H6" s="518"/>
      <c r="I6" s="518"/>
      <c r="J6" s="540"/>
      <c r="K6" s="535"/>
      <c r="L6" s="535"/>
      <c r="M6" s="545" t="s">
        <v>0</v>
      </c>
      <c r="N6" s="546"/>
      <c r="O6" s="545" t="s">
        <v>1</v>
      </c>
      <c r="P6" s="616"/>
    </row>
    <row r="7" spans="2:22" ht="15.75" customHeight="1">
      <c r="B7" s="530"/>
      <c r="C7" s="535"/>
      <c r="D7" s="541"/>
      <c r="E7" s="521"/>
      <c r="F7" s="521"/>
      <c r="G7" s="521"/>
      <c r="H7" s="521"/>
      <c r="I7" s="521"/>
      <c r="J7" s="542"/>
      <c r="K7" s="535"/>
      <c r="L7" s="535"/>
      <c r="M7" s="547"/>
      <c r="N7" s="548"/>
      <c r="O7" s="547"/>
      <c r="P7" s="617"/>
    </row>
    <row r="8" spans="2:22" ht="19.5" customHeight="1">
      <c r="B8" s="531"/>
      <c r="C8" s="536"/>
      <c r="D8" s="189" t="s">
        <v>39</v>
      </c>
      <c r="E8" s="189" t="s">
        <v>40</v>
      </c>
      <c r="F8" s="189" t="s">
        <v>98</v>
      </c>
      <c r="G8" s="189" t="s">
        <v>41</v>
      </c>
      <c r="H8" s="189" t="s">
        <v>42</v>
      </c>
      <c r="I8" s="189" t="s">
        <v>101</v>
      </c>
      <c r="J8" s="189" t="s">
        <v>62</v>
      </c>
      <c r="K8" s="536"/>
      <c r="L8" s="536"/>
      <c r="M8" s="183" t="s">
        <v>40</v>
      </c>
      <c r="N8" s="183" t="s">
        <v>59</v>
      </c>
      <c r="O8" s="183" t="s">
        <v>40</v>
      </c>
      <c r="P8" s="618" t="s">
        <v>61</v>
      </c>
      <c r="R8" s="83" t="s">
        <v>68</v>
      </c>
      <c r="S8" s="83" t="s">
        <v>80</v>
      </c>
      <c r="T8" s="83" t="s">
        <v>89</v>
      </c>
      <c r="U8" s="139" t="s">
        <v>97</v>
      </c>
    </row>
    <row r="9" spans="2:22" s="38" customFormat="1" ht="17.45" customHeight="1">
      <c r="B9" s="329">
        <v>44502</v>
      </c>
      <c r="C9" s="325" t="s">
        <v>976</v>
      </c>
      <c r="D9" s="348">
        <v>2</v>
      </c>
      <c r="E9" s="348">
        <v>2</v>
      </c>
      <c r="F9" s="348">
        <v>0</v>
      </c>
      <c r="G9" s="326">
        <v>1</v>
      </c>
      <c r="H9" s="327">
        <v>1</v>
      </c>
      <c r="I9" s="327">
        <v>0</v>
      </c>
      <c r="J9" s="346">
        <v>24</v>
      </c>
      <c r="K9" s="383">
        <v>3</v>
      </c>
      <c r="L9" s="383">
        <v>3</v>
      </c>
      <c r="M9" s="346">
        <v>2</v>
      </c>
      <c r="N9" s="328">
        <v>2.9398148148148148E-3</v>
      </c>
      <c r="O9" s="346">
        <v>24</v>
      </c>
      <c r="P9" s="619">
        <v>1.9884259259259258E-2</v>
      </c>
      <c r="R9" s="134">
        <v>20200702</v>
      </c>
      <c r="S9" s="135">
        <v>1027</v>
      </c>
      <c r="T9" s="135">
        <v>1010</v>
      </c>
      <c r="U9" s="136">
        <f t="shared" ref="U9:U33" si="0">T9/S9</f>
        <v>0.9834469328140214</v>
      </c>
      <c r="V9" s="136">
        <v>89</v>
      </c>
    </row>
    <row r="10" spans="2:22" s="38" customFormat="1" ht="17.45" customHeight="1">
      <c r="B10" s="329">
        <v>44503</v>
      </c>
      <c r="C10" s="325" t="s">
        <v>45</v>
      </c>
      <c r="D10" s="348">
        <v>1</v>
      </c>
      <c r="E10" s="348">
        <v>1</v>
      </c>
      <c r="F10" s="348">
        <v>0</v>
      </c>
      <c r="G10" s="326">
        <v>1</v>
      </c>
      <c r="H10" s="327">
        <v>1</v>
      </c>
      <c r="I10" s="327">
        <v>0</v>
      </c>
      <c r="J10" s="346">
        <v>12</v>
      </c>
      <c r="K10" s="383">
        <v>3</v>
      </c>
      <c r="L10" s="383">
        <v>3</v>
      </c>
      <c r="M10" s="346">
        <v>1</v>
      </c>
      <c r="N10" s="328">
        <v>2.2453703703703702E-3</v>
      </c>
      <c r="O10" s="346">
        <v>12</v>
      </c>
      <c r="P10" s="620">
        <v>1.4386574074074072E-2</v>
      </c>
      <c r="R10" s="134">
        <v>20200703</v>
      </c>
      <c r="S10" s="135">
        <v>1059</v>
      </c>
      <c r="T10" s="135">
        <v>1047</v>
      </c>
      <c r="U10" s="136">
        <f t="shared" si="0"/>
        <v>0.98866855524079322</v>
      </c>
      <c r="V10" s="136">
        <v>86.69</v>
      </c>
    </row>
    <row r="11" spans="2:22" s="38" customFormat="1" ht="17.45" customHeight="1">
      <c r="B11" s="329">
        <v>44504</v>
      </c>
      <c r="C11" s="325" t="s">
        <v>46</v>
      </c>
      <c r="D11" s="348">
        <v>1</v>
      </c>
      <c r="E11" s="348">
        <v>1</v>
      </c>
      <c r="F11" s="348">
        <v>0</v>
      </c>
      <c r="G11" s="326">
        <v>1</v>
      </c>
      <c r="H11" s="327">
        <v>1</v>
      </c>
      <c r="I11" s="327">
        <v>0</v>
      </c>
      <c r="J11" s="346">
        <v>21</v>
      </c>
      <c r="K11" s="383">
        <v>3</v>
      </c>
      <c r="L11" s="383">
        <v>2</v>
      </c>
      <c r="M11" s="346">
        <v>1</v>
      </c>
      <c r="N11" s="328">
        <v>3.1249999999999997E-3</v>
      </c>
      <c r="O11" s="346">
        <v>21</v>
      </c>
      <c r="P11" s="620">
        <v>2.3402777777777783E-2</v>
      </c>
      <c r="R11" s="134">
        <v>20200706</v>
      </c>
      <c r="S11" s="135">
        <v>1448</v>
      </c>
      <c r="T11" s="135">
        <v>1393</v>
      </c>
      <c r="U11" s="136">
        <f t="shared" si="0"/>
        <v>0.96201657458563539</v>
      </c>
      <c r="V11" s="136">
        <v>75.97</v>
      </c>
    </row>
    <row r="12" spans="2:22" s="38" customFormat="1" ht="17.45" customHeight="1">
      <c r="B12" s="338">
        <v>44505</v>
      </c>
      <c r="C12" s="312" t="s">
        <v>47</v>
      </c>
      <c r="D12" s="349">
        <v>2</v>
      </c>
      <c r="E12" s="349">
        <v>2</v>
      </c>
      <c r="F12" s="349">
        <v>0</v>
      </c>
      <c r="G12" s="313">
        <v>1</v>
      </c>
      <c r="H12" s="314">
        <v>1</v>
      </c>
      <c r="I12" s="314">
        <v>0</v>
      </c>
      <c r="J12" s="347">
        <v>28</v>
      </c>
      <c r="K12" s="384">
        <v>3</v>
      </c>
      <c r="L12" s="384">
        <v>2</v>
      </c>
      <c r="M12" s="347">
        <v>2</v>
      </c>
      <c r="N12" s="315">
        <v>4.6296296296296302E-3</v>
      </c>
      <c r="O12" s="347">
        <v>28</v>
      </c>
      <c r="P12" s="621">
        <v>2.884259259259259E-2</v>
      </c>
      <c r="R12" s="134">
        <v>20200707</v>
      </c>
      <c r="S12" s="135">
        <v>1154</v>
      </c>
      <c r="T12" s="135">
        <v>1138</v>
      </c>
      <c r="U12" s="136">
        <f t="shared" si="0"/>
        <v>0.98613518197573657</v>
      </c>
      <c r="V12" s="136">
        <v>86.48</v>
      </c>
    </row>
    <row r="13" spans="2:22" s="38" customFormat="1" ht="17.45" customHeight="1">
      <c r="B13" s="338">
        <v>44506</v>
      </c>
      <c r="C13" s="312" t="s">
        <v>1313</v>
      </c>
      <c r="D13" s="349">
        <v>0</v>
      </c>
      <c r="E13" s="349">
        <v>0</v>
      </c>
      <c r="F13" s="349">
        <v>0</v>
      </c>
      <c r="G13" s="313">
        <v>1</v>
      </c>
      <c r="H13" s="314">
        <v>1</v>
      </c>
      <c r="I13" s="314">
        <v>0</v>
      </c>
      <c r="J13" s="347">
        <v>25</v>
      </c>
      <c r="K13" s="384">
        <v>3</v>
      </c>
      <c r="L13" s="384">
        <v>2</v>
      </c>
      <c r="M13" s="347">
        <v>0</v>
      </c>
      <c r="N13" s="315">
        <v>0</v>
      </c>
      <c r="O13" s="347">
        <v>25</v>
      </c>
      <c r="P13" s="621">
        <v>1.96875E-2</v>
      </c>
      <c r="R13" s="134">
        <v>20200708</v>
      </c>
      <c r="S13" s="135">
        <v>1140</v>
      </c>
      <c r="T13" s="135">
        <v>1070</v>
      </c>
      <c r="U13" s="136">
        <f t="shared" si="0"/>
        <v>0.93859649122807021</v>
      </c>
      <c r="V13" s="136">
        <v>70.349999999999994</v>
      </c>
    </row>
    <row r="14" spans="2:22" s="38" customFormat="1" ht="17.45" customHeight="1">
      <c r="B14" s="622" t="s">
        <v>1407</v>
      </c>
      <c r="C14" s="526"/>
      <c r="D14" s="352">
        <f>SUM(D9:D13)</f>
        <v>6</v>
      </c>
      <c r="E14" s="352">
        <f t="shared" ref="E14:F14" si="1">SUM(E9:E13)</f>
        <v>6</v>
      </c>
      <c r="F14" s="352">
        <f t="shared" si="1"/>
        <v>0</v>
      </c>
      <c r="G14" s="353">
        <f>AVERAGE(G9:G13)</f>
        <v>1</v>
      </c>
      <c r="H14" s="353">
        <f t="shared" ref="H14:I14" si="2">AVERAGE(H9:H13)</f>
        <v>1</v>
      </c>
      <c r="I14" s="353">
        <f t="shared" si="2"/>
        <v>0</v>
      </c>
      <c r="J14" s="354">
        <f>SUM(J9:J13)</f>
        <v>110</v>
      </c>
      <c r="K14" s="385">
        <f>AVERAGE(K9:K13)</f>
        <v>3</v>
      </c>
      <c r="L14" s="385">
        <f>AVERAGE(L9:L13)</f>
        <v>2.4</v>
      </c>
      <c r="M14" s="354">
        <f>SUM(M9:M13)</f>
        <v>6</v>
      </c>
      <c r="N14" s="355">
        <f t="shared" ref="N14:P14" si="3">SUM(N9:N13)</f>
        <v>1.2939814814814814E-2</v>
      </c>
      <c r="O14" s="354">
        <f t="shared" si="3"/>
        <v>110</v>
      </c>
      <c r="P14" s="623">
        <f t="shared" si="3"/>
        <v>0.1062037037037037</v>
      </c>
      <c r="R14" s="134">
        <v>20200709</v>
      </c>
      <c r="S14" s="135">
        <v>1097</v>
      </c>
      <c r="T14" s="135">
        <v>1068</v>
      </c>
      <c r="U14" s="136">
        <f t="shared" si="0"/>
        <v>0.9735642661804923</v>
      </c>
      <c r="V14" s="136">
        <v>84.23</v>
      </c>
    </row>
    <row r="15" spans="2:22" s="38" customFormat="1" ht="17.45" customHeight="1">
      <c r="B15" s="338">
        <v>44509</v>
      </c>
      <c r="C15" s="312" t="s">
        <v>1409</v>
      </c>
      <c r="D15" s="349">
        <v>3</v>
      </c>
      <c r="E15" s="349">
        <v>3</v>
      </c>
      <c r="F15" s="349">
        <v>0</v>
      </c>
      <c r="G15" s="313">
        <v>1</v>
      </c>
      <c r="H15" s="314">
        <v>1</v>
      </c>
      <c r="I15" s="314">
        <v>0</v>
      </c>
      <c r="J15" s="347">
        <v>23</v>
      </c>
      <c r="K15" s="384">
        <v>3</v>
      </c>
      <c r="L15" s="384">
        <v>3</v>
      </c>
      <c r="M15" s="347">
        <v>3</v>
      </c>
      <c r="N15" s="315">
        <v>3.8310185185185183E-3</v>
      </c>
      <c r="O15" s="347">
        <v>23</v>
      </c>
      <c r="P15" s="621">
        <v>1.556712962962963E-2</v>
      </c>
      <c r="R15" s="134">
        <v>20200710</v>
      </c>
      <c r="S15" s="135">
        <v>989</v>
      </c>
      <c r="T15" s="135">
        <v>978</v>
      </c>
      <c r="U15" s="136">
        <f t="shared" si="0"/>
        <v>0.9888776541961577</v>
      </c>
      <c r="V15" s="136">
        <v>89.69</v>
      </c>
    </row>
    <row r="16" spans="2:22" s="38" customFormat="1" ht="17.45" customHeight="1">
      <c r="B16" s="338">
        <v>44510</v>
      </c>
      <c r="C16" s="312" t="s">
        <v>1640</v>
      </c>
      <c r="D16" s="349">
        <v>2</v>
      </c>
      <c r="E16" s="349">
        <v>2</v>
      </c>
      <c r="F16" s="349">
        <v>0</v>
      </c>
      <c r="G16" s="313">
        <v>1</v>
      </c>
      <c r="H16" s="314">
        <v>1</v>
      </c>
      <c r="I16" s="314">
        <v>0</v>
      </c>
      <c r="J16" s="347">
        <v>34</v>
      </c>
      <c r="K16" s="384">
        <v>3</v>
      </c>
      <c r="L16" s="384">
        <v>3</v>
      </c>
      <c r="M16" s="347">
        <v>2</v>
      </c>
      <c r="N16" s="315">
        <v>1.6087962962962963E-3</v>
      </c>
      <c r="O16" s="347">
        <v>34</v>
      </c>
      <c r="P16" s="621">
        <v>3.6990740740740741E-2</v>
      </c>
      <c r="Q16" s="116"/>
      <c r="R16" s="134">
        <v>20200713</v>
      </c>
      <c r="S16" s="135">
        <v>1444</v>
      </c>
      <c r="T16" s="135">
        <v>1362</v>
      </c>
      <c r="U16" s="136">
        <f t="shared" si="0"/>
        <v>0.94321329639889195</v>
      </c>
      <c r="V16" s="136">
        <v>65.930000000000007</v>
      </c>
    </row>
    <row r="17" spans="2:22" s="38" customFormat="1" ht="17.45" customHeight="1">
      <c r="B17" s="338">
        <v>44511</v>
      </c>
      <c r="C17" s="312" t="s">
        <v>1643</v>
      </c>
      <c r="D17" s="349">
        <v>2</v>
      </c>
      <c r="E17" s="349">
        <v>2</v>
      </c>
      <c r="F17" s="349">
        <v>0</v>
      </c>
      <c r="G17" s="313">
        <v>1</v>
      </c>
      <c r="H17" s="314">
        <v>1</v>
      </c>
      <c r="I17" s="314">
        <v>0</v>
      </c>
      <c r="J17" s="347">
        <v>26</v>
      </c>
      <c r="K17" s="384">
        <v>3</v>
      </c>
      <c r="L17" s="384">
        <v>3</v>
      </c>
      <c r="M17" s="347">
        <v>2</v>
      </c>
      <c r="N17" s="315">
        <v>1.1574074074074073E-3</v>
      </c>
      <c r="O17" s="347">
        <v>26</v>
      </c>
      <c r="P17" s="621">
        <v>1.8958333333333334E-2</v>
      </c>
      <c r="Q17" s="117"/>
      <c r="R17" s="134">
        <v>20200714</v>
      </c>
      <c r="S17" s="135">
        <v>1338</v>
      </c>
      <c r="T17" s="135">
        <v>1276</v>
      </c>
      <c r="U17" s="136">
        <f t="shared" si="0"/>
        <v>0.95366218236173395</v>
      </c>
      <c r="V17" s="136">
        <v>69.430000000000007</v>
      </c>
    </row>
    <row r="18" spans="2:22" s="38" customFormat="1" ht="17.45" customHeight="1">
      <c r="B18" s="338">
        <v>44512</v>
      </c>
      <c r="C18" s="312" t="s">
        <v>1932</v>
      </c>
      <c r="D18" s="349">
        <v>2</v>
      </c>
      <c r="E18" s="349">
        <v>2</v>
      </c>
      <c r="F18" s="349">
        <v>0</v>
      </c>
      <c r="G18" s="313">
        <v>1</v>
      </c>
      <c r="H18" s="314">
        <v>1</v>
      </c>
      <c r="I18" s="314">
        <v>0</v>
      </c>
      <c r="J18" s="347">
        <v>51</v>
      </c>
      <c r="K18" s="384">
        <v>3</v>
      </c>
      <c r="L18" s="384">
        <v>3</v>
      </c>
      <c r="M18" s="347">
        <v>1</v>
      </c>
      <c r="N18" s="315">
        <v>3.7037037037037035E-4</v>
      </c>
      <c r="O18" s="347">
        <v>51</v>
      </c>
      <c r="P18" s="624">
        <v>4.2256944444444444E-2</v>
      </c>
      <c r="R18" s="134">
        <v>20200715</v>
      </c>
      <c r="S18" s="135">
        <v>1211</v>
      </c>
      <c r="T18" s="135">
        <v>1178</v>
      </c>
      <c r="U18" s="136">
        <f t="shared" si="0"/>
        <v>0.97274979355904212</v>
      </c>
      <c r="V18" s="136">
        <v>81.59</v>
      </c>
    </row>
    <row r="19" spans="2:22" s="38" customFormat="1" ht="16.5" customHeight="1">
      <c r="B19" s="338">
        <v>44513</v>
      </c>
      <c r="C19" s="312" t="s">
        <v>1934</v>
      </c>
      <c r="D19" s="349">
        <v>4</v>
      </c>
      <c r="E19" s="349">
        <v>4</v>
      </c>
      <c r="F19" s="349">
        <v>0</v>
      </c>
      <c r="G19" s="313">
        <v>1</v>
      </c>
      <c r="H19" s="314">
        <v>1</v>
      </c>
      <c r="I19" s="314">
        <v>0</v>
      </c>
      <c r="J19" s="347">
        <v>39</v>
      </c>
      <c r="K19" s="384">
        <v>3</v>
      </c>
      <c r="L19" s="384">
        <v>3</v>
      </c>
      <c r="M19" s="347">
        <v>4</v>
      </c>
      <c r="N19" s="315">
        <v>8.726851851851852E-3</v>
      </c>
      <c r="O19" s="347">
        <v>39</v>
      </c>
      <c r="P19" s="621">
        <v>5.4108796296296301E-2</v>
      </c>
      <c r="R19" s="134">
        <v>20200716</v>
      </c>
      <c r="S19" s="137">
        <v>1122</v>
      </c>
      <c r="T19" s="137">
        <v>1100</v>
      </c>
      <c r="U19" s="136">
        <f t="shared" si="0"/>
        <v>0.98039215686274506</v>
      </c>
      <c r="V19" s="136">
        <v>86.72</v>
      </c>
    </row>
    <row r="20" spans="2:22" ht="17.45" customHeight="1">
      <c r="B20" s="622" t="s">
        <v>2079</v>
      </c>
      <c r="C20" s="526"/>
      <c r="D20" s="352">
        <f>SUM(D15:D19)</f>
        <v>13</v>
      </c>
      <c r="E20" s="352">
        <f>SUM(E15:E19)</f>
        <v>13</v>
      </c>
      <c r="F20" s="352">
        <v>0</v>
      </c>
      <c r="G20" s="353">
        <v>1</v>
      </c>
      <c r="H20" s="387">
        <v>1</v>
      </c>
      <c r="I20" s="387">
        <v>0</v>
      </c>
      <c r="J20" s="354">
        <f>SUM(J15:J19)</f>
        <v>173</v>
      </c>
      <c r="K20" s="385">
        <f>AVERAGE(K15:K19)</f>
        <v>3</v>
      </c>
      <c r="L20" s="385">
        <f>AVERAGE(L15:L19)</f>
        <v>3</v>
      </c>
      <c r="M20" s="354">
        <f>SUM(M15:M19)</f>
        <v>12</v>
      </c>
      <c r="N20" s="355">
        <f t="shared" ref="N20:P20" si="4">SUM(N15:N19)</f>
        <v>1.5694444444444445E-2</v>
      </c>
      <c r="O20" s="354">
        <f t="shared" si="4"/>
        <v>173</v>
      </c>
      <c r="P20" s="623">
        <f t="shared" si="4"/>
        <v>0.16788194444444446</v>
      </c>
      <c r="R20" s="134">
        <v>20200717</v>
      </c>
      <c r="S20" s="137">
        <v>1030</v>
      </c>
      <c r="T20" s="137">
        <v>1015</v>
      </c>
      <c r="U20" s="137">
        <f t="shared" si="0"/>
        <v>0.9854368932038835</v>
      </c>
      <c r="V20" s="137">
        <v>91.75</v>
      </c>
    </row>
    <row r="21" spans="2:22" ht="17.45" customHeight="1">
      <c r="B21" s="338">
        <v>44516</v>
      </c>
      <c r="C21" s="312" t="s">
        <v>2275</v>
      </c>
      <c r="D21" s="349">
        <v>3</v>
      </c>
      <c r="E21" s="349">
        <v>3</v>
      </c>
      <c r="F21" s="349">
        <v>0</v>
      </c>
      <c r="G21" s="313">
        <v>1</v>
      </c>
      <c r="H21" s="314">
        <v>1</v>
      </c>
      <c r="I21" s="314">
        <v>0</v>
      </c>
      <c r="J21" s="347">
        <v>59</v>
      </c>
      <c r="K21" s="384">
        <v>4</v>
      </c>
      <c r="L21" s="384">
        <v>4</v>
      </c>
      <c r="M21" s="347">
        <v>3</v>
      </c>
      <c r="N21" s="315">
        <v>2.6967592592592594E-3</v>
      </c>
      <c r="O21" s="347">
        <v>59</v>
      </c>
      <c r="P21" s="621">
        <v>5.7627314814814812E-2</v>
      </c>
      <c r="R21" s="134">
        <v>20200720</v>
      </c>
      <c r="S21" s="137">
        <v>1531</v>
      </c>
      <c r="T21" s="137">
        <v>1219</v>
      </c>
      <c r="U21" s="137">
        <f t="shared" si="0"/>
        <v>0.79621162638798171</v>
      </c>
      <c r="V21" s="137">
        <v>35.619999999999997</v>
      </c>
    </row>
    <row r="22" spans="2:22" ht="17.45" customHeight="1">
      <c r="B22" s="338">
        <v>44517</v>
      </c>
      <c r="C22" s="312" t="s">
        <v>2276</v>
      </c>
      <c r="D22" s="349">
        <v>1</v>
      </c>
      <c r="E22" s="349">
        <v>1</v>
      </c>
      <c r="F22" s="349">
        <v>0</v>
      </c>
      <c r="G22" s="313">
        <v>1</v>
      </c>
      <c r="H22" s="314">
        <v>1</v>
      </c>
      <c r="I22" s="314">
        <v>0</v>
      </c>
      <c r="J22" s="347">
        <v>86</v>
      </c>
      <c r="K22" s="384">
        <v>4</v>
      </c>
      <c r="L22" s="384">
        <v>4</v>
      </c>
      <c r="M22" s="347">
        <v>1</v>
      </c>
      <c r="N22" s="315">
        <v>1.6550925925925926E-3</v>
      </c>
      <c r="O22" s="347">
        <v>86</v>
      </c>
      <c r="P22" s="621">
        <v>7.1944444444444436E-2</v>
      </c>
      <c r="R22" s="134">
        <v>20200721</v>
      </c>
      <c r="S22" s="137">
        <v>1169</v>
      </c>
      <c r="T22" s="137">
        <v>1097</v>
      </c>
      <c r="U22" s="137">
        <f t="shared" si="0"/>
        <v>0.93840889649272885</v>
      </c>
      <c r="V22" s="137">
        <v>59.79</v>
      </c>
    </row>
    <row r="23" spans="2:22" ht="17.45" customHeight="1">
      <c r="B23" s="338">
        <v>44518</v>
      </c>
      <c r="C23" s="312" t="s">
        <v>2709</v>
      </c>
      <c r="D23" s="349">
        <v>4</v>
      </c>
      <c r="E23" s="349">
        <v>4</v>
      </c>
      <c r="F23" s="349">
        <v>0</v>
      </c>
      <c r="G23" s="313">
        <v>1</v>
      </c>
      <c r="H23" s="314">
        <v>1</v>
      </c>
      <c r="I23" s="314">
        <v>0</v>
      </c>
      <c r="J23" s="347">
        <v>54</v>
      </c>
      <c r="K23" s="384">
        <v>4</v>
      </c>
      <c r="L23" s="384">
        <v>4</v>
      </c>
      <c r="M23" s="347">
        <v>4</v>
      </c>
      <c r="N23" s="315">
        <v>4.9074074074074072E-3</v>
      </c>
      <c r="O23" s="347">
        <v>54</v>
      </c>
      <c r="P23" s="621">
        <v>5.4976851851851853E-2</v>
      </c>
      <c r="R23" s="134">
        <v>20200722</v>
      </c>
      <c r="S23" s="137">
        <v>1026</v>
      </c>
      <c r="T23" s="137">
        <v>994</v>
      </c>
      <c r="U23" s="137">
        <f t="shared" si="0"/>
        <v>0.96881091617933723</v>
      </c>
      <c r="V23" s="137">
        <v>80.989999999999995</v>
      </c>
    </row>
    <row r="24" spans="2:22" ht="17.45" customHeight="1">
      <c r="B24" s="338">
        <v>44519</v>
      </c>
      <c r="C24" s="312" t="s">
        <v>1932</v>
      </c>
      <c r="D24" s="349">
        <v>1</v>
      </c>
      <c r="E24" s="349">
        <v>1</v>
      </c>
      <c r="F24" s="349">
        <v>0</v>
      </c>
      <c r="G24" s="313">
        <v>1</v>
      </c>
      <c r="H24" s="314">
        <v>1</v>
      </c>
      <c r="I24" s="314">
        <v>0</v>
      </c>
      <c r="J24" s="347">
        <v>35</v>
      </c>
      <c r="K24" s="384">
        <v>4</v>
      </c>
      <c r="L24" s="384">
        <v>4</v>
      </c>
      <c r="M24" s="347">
        <v>1</v>
      </c>
      <c r="N24" s="315">
        <v>2.1296296296296298E-3</v>
      </c>
      <c r="O24" s="347">
        <v>35</v>
      </c>
      <c r="P24" s="621">
        <v>6.7789351851851851E-2</v>
      </c>
      <c r="R24" s="134">
        <v>20200723</v>
      </c>
      <c r="S24" s="137">
        <v>1013</v>
      </c>
      <c r="T24" s="137">
        <v>964</v>
      </c>
      <c r="U24" s="137">
        <f t="shared" si="0"/>
        <v>0.95162882527147086</v>
      </c>
      <c r="V24" s="137">
        <v>76.510000000000005</v>
      </c>
    </row>
    <row r="25" spans="2:22" ht="17.45" customHeight="1">
      <c r="B25" s="338">
        <v>44520</v>
      </c>
      <c r="C25" s="312" t="s">
        <v>2965</v>
      </c>
      <c r="D25" s="349">
        <v>2</v>
      </c>
      <c r="E25" s="349">
        <v>2</v>
      </c>
      <c r="F25" s="349">
        <v>0</v>
      </c>
      <c r="G25" s="313">
        <v>1</v>
      </c>
      <c r="H25" s="314">
        <v>1</v>
      </c>
      <c r="I25" s="314">
        <v>0</v>
      </c>
      <c r="J25" s="347">
        <v>75</v>
      </c>
      <c r="K25" s="384">
        <v>4</v>
      </c>
      <c r="L25" s="384">
        <v>4</v>
      </c>
      <c r="M25" s="347">
        <v>2</v>
      </c>
      <c r="N25" s="315">
        <v>3.0787037037037037E-3</v>
      </c>
      <c r="O25" s="347">
        <v>75</v>
      </c>
      <c r="P25" s="621">
        <v>6.6064814814814812E-2</v>
      </c>
      <c r="R25" s="134">
        <v>20200724</v>
      </c>
      <c r="S25" s="137">
        <v>997</v>
      </c>
      <c r="T25" s="137">
        <v>918</v>
      </c>
      <c r="U25" s="137">
        <f t="shared" si="0"/>
        <v>0.9207622868605817</v>
      </c>
      <c r="V25" s="137">
        <v>69.709999999999994</v>
      </c>
    </row>
    <row r="26" spans="2:22" ht="17.45" customHeight="1">
      <c r="B26" s="622" t="s">
        <v>2966</v>
      </c>
      <c r="C26" s="526"/>
      <c r="D26" s="352">
        <f>SUM(D21:D25)</f>
        <v>11</v>
      </c>
      <c r="E26" s="352">
        <f>SUM(E21:E25)</f>
        <v>11</v>
      </c>
      <c r="F26" s="352">
        <v>0</v>
      </c>
      <c r="G26" s="353">
        <v>1</v>
      </c>
      <c r="H26" s="387">
        <v>1</v>
      </c>
      <c r="I26" s="387">
        <v>0</v>
      </c>
      <c r="J26" s="354">
        <f>SUM(J21:J25)</f>
        <v>309</v>
      </c>
      <c r="K26" s="385">
        <f>AVERAGE(K21:K25)</f>
        <v>4</v>
      </c>
      <c r="L26" s="385">
        <f>AVERAGE(L21:L25)</f>
        <v>4</v>
      </c>
      <c r="M26" s="354">
        <f>SUM(M21:M25)</f>
        <v>11</v>
      </c>
      <c r="N26" s="355">
        <f t="shared" ref="N26:P26" si="5">SUM(N21:N25)</f>
        <v>1.4467592592592593E-2</v>
      </c>
      <c r="O26" s="354">
        <f t="shared" si="5"/>
        <v>309</v>
      </c>
      <c r="P26" s="623">
        <f t="shared" si="5"/>
        <v>0.31840277777777776</v>
      </c>
      <c r="R26" s="134">
        <v>20200727</v>
      </c>
      <c r="S26" s="137">
        <v>1259</v>
      </c>
      <c r="T26" s="137">
        <v>1175</v>
      </c>
      <c r="U26" s="137">
        <f t="shared" si="0"/>
        <v>0.93328038125496426</v>
      </c>
      <c r="V26" s="137">
        <v>68.78</v>
      </c>
    </row>
    <row r="27" spans="2:22" ht="17.45" customHeight="1">
      <c r="B27" s="338">
        <v>44523</v>
      </c>
      <c r="C27" s="312" t="s">
        <v>3326</v>
      </c>
      <c r="D27" s="349">
        <v>5</v>
      </c>
      <c r="E27" s="349">
        <v>5</v>
      </c>
      <c r="F27" s="349">
        <v>0</v>
      </c>
      <c r="G27" s="313">
        <v>1</v>
      </c>
      <c r="H27" s="314">
        <v>1</v>
      </c>
      <c r="I27" s="314">
        <v>0</v>
      </c>
      <c r="J27" s="347">
        <v>76</v>
      </c>
      <c r="K27" s="384">
        <v>4</v>
      </c>
      <c r="L27" s="384">
        <v>4</v>
      </c>
      <c r="M27" s="347">
        <v>5</v>
      </c>
      <c r="N27" s="315">
        <v>6.4814814814814813E-3</v>
      </c>
      <c r="O27" s="347">
        <v>76</v>
      </c>
      <c r="P27" s="621">
        <v>6.896990740740741E-2</v>
      </c>
      <c r="R27" s="134">
        <v>20200728</v>
      </c>
      <c r="S27" s="137">
        <v>1186</v>
      </c>
      <c r="T27" s="137">
        <v>1137</v>
      </c>
      <c r="U27" s="137">
        <f t="shared" si="0"/>
        <v>0.95868465430016858</v>
      </c>
      <c r="V27" s="137">
        <v>81.2</v>
      </c>
    </row>
    <row r="28" spans="2:22" ht="17.45" customHeight="1">
      <c r="B28" s="338">
        <v>44524</v>
      </c>
      <c r="C28" s="312" t="s">
        <v>3492</v>
      </c>
      <c r="D28" s="349">
        <v>1</v>
      </c>
      <c r="E28" s="349">
        <v>1</v>
      </c>
      <c r="F28" s="349">
        <v>0</v>
      </c>
      <c r="G28" s="313">
        <v>1</v>
      </c>
      <c r="H28" s="314">
        <v>1</v>
      </c>
      <c r="I28" s="314">
        <v>0</v>
      </c>
      <c r="J28" s="347">
        <v>53</v>
      </c>
      <c r="K28" s="384">
        <v>4</v>
      </c>
      <c r="L28" s="384">
        <v>4</v>
      </c>
      <c r="M28" s="347">
        <v>1</v>
      </c>
      <c r="N28" s="315">
        <v>1.2384259259259258E-3</v>
      </c>
      <c r="O28" s="347">
        <v>53</v>
      </c>
      <c r="P28" s="621">
        <v>7.0671296296296301E-2</v>
      </c>
      <c r="R28" s="134">
        <v>20200723</v>
      </c>
      <c r="S28" s="137">
        <v>1013</v>
      </c>
      <c r="T28" s="137">
        <v>964</v>
      </c>
      <c r="U28" s="137">
        <f t="shared" ref="U28:U32" si="6">T28/S28</f>
        <v>0.95162882527147086</v>
      </c>
      <c r="V28" s="137">
        <v>76.510000000000005</v>
      </c>
    </row>
    <row r="29" spans="2:22" ht="17.45" customHeight="1">
      <c r="B29" s="338">
        <v>44525</v>
      </c>
      <c r="C29" s="312" t="s">
        <v>3496</v>
      </c>
      <c r="D29" s="349">
        <v>2</v>
      </c>
      <c r="E29" s="349">
        <v>2</v>
      </c>
      <c r="F29" s="349">
        <v>0</v>
      </c>
      <c r="G29" s="313">
        <v>1</v>
      </c>
      <c r="H29" s="314">
        <v>1</v>
      </c>
      <c r="I29" s="314">
        <v>0</v>
      </c>
      <c r="J29" s="347">
        <v>63</v>
      </c>
      <c r="K29" s="384">
        <v>4</v>
      </c>
      <c r="L29" s="384">
        <v>4</v>
      </c>
      <c r="M29" s="347">
        <v>2</v>
      </c>
      <c r="N29" s="315">
        <v>1.4814814814814814E-3</v>
      </c>
      <c r="O29" s="347">
        <v>63</v>
      </c>
      <c r="P29" s="621">
        <v>6.458333333333334E-2</v>
      </c>
      <c r="R29" s="134">
        <v>20200724</v>
      </c>
      <c r="S29" s="137">
        <v>997</v>
      </c>
      <c r="T29" s="137">
        <v>918</v>
      </c>
      <c r="U29" s="137">
        <f t="shared" si="6"/>
        <v>0.9207622868605817</v>
      </c>
      <c r="V29" s="137">
        <v>69.709999999999994</v>
      </c>
    </row>
    <row r="30" spans="2:22" ht="17.45" customHeight="1">
      <c r="B30" s="338">
        <v>44526</v>
      </c>
      <c r="C30" s="312" t="s">
        <v>3977</v>
      </c>
      <c r="D30" s="349">
        <v>1</v>
      </c>
      <c r="E30" s="349">
        <v>1</v>
      </c>
      <c r="F30" s="349">
        <v>0</v>
      </c>
      <c r="G30" s="313">
        <v>1</v>
      </c>
      <c r="H30" s="314">
        <v>1</v>
      </c>
      <c r="I30" s="314">
        <v>0</v>
      </c>
      <c r="J30" s="347">
        <v>62</v>
      </c>
      <c r="K30" s="384">
        <v>3</v>
      </c>
      <c r="L30" s="384">
        <v>3</v>
      </c>
      <c r="M30" s="347">
        <v>1</v>
      </c>
      <c r="N30" s="315">
        <v>2.5578703703703705E-3</v>
      </c>
      <c r="O30" s="347">
        <v>62</v>
      </c>
      <c r="P30" s="621">
        <v>9.3831018518518508E-2</v>
      </c>
      <c r="R30" s="134">
        <v>20200727</v>
      </c>
      <c r="S30" s="137">
        <v>1259</v>
      </c>
      <c r="T30" s="137">
        <v>1175</v>
      </c>
      <c r="U30" s="137">
        <f t="shared" si="6"/>
        <v>0.93328038125496426</v>
      </c>
      <c r="V30" s="137">
        <v>68.78</v>
      </c>
    </row>
    <row r="31" spans="2:22" ht="17.45" customHeight="1">
      <c r="B31" s="625">
        <v>44527</v>
      </c>
      <c r="C31" s="316" t="s">
        <v>4347</v>
      </c>
      <c r="D31" s="350">
        <v>2</v>
      </c>
      <c r="E31" s="350">
        <v>2</v>
      </c>
      <c r="F31" s="349">
        <v>0</v>
      </c>
      <c r="G31" s="313">
        <v>1</v>
      </c>
      <c r="H31" s="314">
        <v>1</v>
      </c>
      <c r="I31" s="314">
        <v>0</v>
      </c>
      <c r="J31" s="351">
        <v>21</v>
      </c>
      <c r="K31" s="386">
        <v>3</v>
      </c>
      <c r="L31" s="386">
        <v>3</v>
      </c>
      <c r="M31" s="351">
        <v>2</v>
      </c>
      <c r="N31" s="317">
        <v>5.8680555555555543E-3</v>
      </c>
      <c r="O31" s="351">
        <v>21</v>
      </c>
      <c r="P31" s="626">
        <v>2.359953703703704E-2</v>
      </c>
      <c r="R31" s="134">
        <v>20200728</v>
      </c>
      <c r="S31" s="137">
        <v>1186</v>
      </c>
      <c r="T31" s="137">
        <v>1137</v>
      </c>
      <c r="U31" s="137">
        <f t="shared" si="6"/>
        <v>0.95868465430016858</v>
      </c>
      <c r="V31" s="137">
        <v>81.2</v>
      </c>
    </row>
    <row r="32" spans="2:22" ht="17.45" customHeight="1">
      <c r="B32" s="627" t="s">
        <v>4360</v>
      </c>
      <c r="C32" s="591"/>
      <c r="D32" s="592">
        <f>SUM(D27:D31)</f>
        <v>11</v>
      </c>
      <c r="E32" s="592">
        <f>SUM(E27:E31)</f>
        <v>11</v>
      </c>
      <c r="F32" s="592">
        <v>0</v>
      </c>
      <c r="G32" s="593">
        <v>1</v>
      </c>
      <c r="H32" s="594">
        <v>1</v>
      </c>
      <c r="I32" s="594">
        <v>0</v>
      </c>
      <c r="J32" s="595">
        <f>SUM(J27:J31)</f>
        <v>275</v>
      </c>
      <c r="K32" s="596">
        <f>AVERAGE(K27:K31)</f>
        <v>3.6</v>
      </c>
      <c r="L32" s="596">
        <f>AVERAGE(L27:L31)</f>
        <v>3.6</v>
      </c>
      <c r="M32" s="595">
        <f>SUM(M27:M31)</f>
        <v>11</v>
      </c>
      <c r="N32" s="597">
        <f>SUM(N27:N31)</f>
        <v>1.7627314814814814E-2</v>
      </c>
      <c r="O32" s="595">
        <f>SUM(O27:O31)</f>
        <v>275</v>
      </c>
      <c r="P32" s="628">
        <f>SUM(P27:P31)</f>
        <v>0.32165509259259256</v>
      </c>
      <c r="R32" s="137"/>
      <c r="S32" s="137"/>
      <c r="T32" s="137"/>
      <c r="U32" s="137" t="e">
        <f t="shared" si="6"/>
        <v>#DIV/0!</v>
      </c>
      <c r="V32" s="137"/>
    </row>
    <row r="33" spans="1:22" ht="27.75" customHeight="1" thickBot="1">
      <c r="B33" s="629" t="s">
        <v>4361</v>
      </c>
      <c r="C33" s="630"/>
      <c r="D33" s="631">
        <f>SUM(D14,D20,D26,D32)</f>
        <v>41</v>
      </c>
      <c r="E33" s="631">
        <f>SUM(E14,E20,E26,E32)</f>
        <v>41</v>
      </c>
      <c r="F33" s="631">
        <v>0</v>
      </c>
      <c r="G33" s="632">
        <v>1</v>
      </c>
      <c r="H33" s="633">
        <v>1</v>
      </c>
      <c r="I33" s="633">
        <v>0</v>
      </c>
      <c r="J33" s="634">
        <f>SUM(J14,J20,J26,J32)</f>
        <v>867</v>
      </c>
      <c r="K33" s="635">
        <f>AVERAGE(K14,K20,K26,K32)</f>
        <v>3.4</v>
      </c>
      <c r="L33" s="635">
        <f>AVERAGE(L14,L20,L26,L32)</f>
        <v>3.25</v>
      </c>
      <c r="M33" s="636">
        <f>SUM(N14,N20,N26,N32)</f>
        <v>6.0729166666666667E-2</v>
      </c>
      <c r="N33" s="637">
        <f>SUM(N14,N20,N26,N32)</f>
        <v>6.0729166666666667E-2</v>
      </c>
      <c r="O33" s="636">
        <f t="shared" ref="O33:P33" si="7">SUM(O14,O20,O26,O32)</f>
        <v>867</v>
      </c>
      <c r="P33" s="638">
        <f t="shared" si="7"/>
        <v>0.91414351851851849</v>
      </c>
      <c r="R33" s="137"/>
      <c r="S33" s="137"/>
      <c r="T33" s="137"/>
      <c r="U33" s="137" t="e">
        <f t="shared" si="0"/>
        <v>#DIV/0!</v>
      </c>
      <c r="V33" s="137"/>
    </row>
    <row r="34" spans="1:22" ht="17.25" hidden="1" customHeight="1" thickBot="1">
      <c r="B34" s="608" t="s">
        <v>344</v>
      </c>
      <c r="C34" s="609"/>
      <c r="D34" s="610">
        <f>SUM(D12)</f>
        <v>2</v>
      </c>
      <c r="E34" s="610">
        <f>SUM(E12)</f>
        <v>2</v>
      </c>
      <c r="F34" s="610">
        <f>SUM(F12)</f>
        <v>0</v>
      </c>
      <c r="G34" s="611">
        <f>E34/D34</f>
        <v>1</v>
      </c>
      <c r="H34" s="612">
        <f>AVERAGE(H9:H33)</f>
        <v>1</v>
      </c>
      <c r="I34" s="612">
        <f>F34/D34</f>
        <v>0</v>
      </c>
      <c r="J34" s="610">
        <f>SUM(J12)</f>
        <v>28</v>
      </c>
      <c r="K34" s="613">
        <f>AVERAGE(K9:K33)</f>
        <v>3.4</v>
      </c>
      <c r="L34" s="613">
        <f>AVERAGE(L9:L33)</f>
        <v>3.25</v>
      </c>
      <c r="M34" s="613">
        <f>AVERAGE(M9:M33)</f>
        <v>3.2024291666666667</v>
      </c>
      <c r="N34" s="614">
        <f>AVERAGE(N9:N33)</f>
        <v>7.2874999999999997E-3</v>
      </c>
      <c r="O34" s="613">
        <f>AVERAGE(O9:O33)</f>
        <v>104.04</v>
      </c>
      <c r="P34" s="614">
        <f>AVERAGE(P9:P33)</f>
        <v>0.10969722222222224</v>
      </c>
      <c r="R34" s="137"/>
      <c r="S34" s="137">
        <f>SUM(S9:S33)</f>
        <v>26695</v>
      </c>
      <c r="T34" s="137">
        <f>SUM(T9:T33)</f>
        <v>25333</v>
      </c>
      <c r="U34" s="138">
        <f>T34/S34</f>
        <v>0.94897920958981086</v>
      </c>
      <c r="V34" s="137"/>
    </row>
    <row r="35" spans="1:22" ht="16.149999999999999" customHeight="1">
      <c r="B35" s="252"/>
      <c r="C35" s="252"/>
      <c r="D35" s="253"/>
      <c r="E35" s="254"/>
      <c r="F35" s="254"/>
      <c r="G35" s="254"/>
      <c r="H35" s="254"/>
      <c r="I35" s="254"/>
      <c r="J35" s="254"/>
      <c r="K35" s="255"/>
      <c r="L35" s="255"/>
      <c r="M35" s="254"/>
      <c r="N35" s="254"/>
      <c r="O35" s="254"/>
      <c r="P35" s="256"/>
      <c r="S35" s="133"/>
    </row>
    <row r="36" spans="1:22" ht="16.149999999999999" customHeight="1">
      <c r="B36" s="5"/>
      <c r="C36" s="5"/>
      <c r="D36" s="141"/>
      <c r="E36" s="70"/>
      <c r="F36" s="70"/>
      <c r="G36" s="70"/>
      <c r="H36" s="70"/>
      <c r="I36" s="70"/>
      <c r="J36" s="70"/>
      <c r="K36" s="83"/>
      <c r="L36" s="83"/>
      <c r="M36" s="70"/>
      <c r="N36" s="70"/>
      <c r="O36" s="70"/>
      <c r="S36" s="133"/>
    </row>
    <row r="37" spans="1:22" ht="18.600000000000001" customHeight="1" thickBot="1">
      <c r="B37" s="154" t="s">
        <v>346</v>
      </c>
      <c r="C37" s="155"/>
      <c r="D37" s="155"/>
      <c r="E37" s="155"/>
      <c r="F37" s="155"/>
      <c r="G37" s="247"/>
      <c r="H37" s="247"/>
      <c r="I37" s="247"/>
      <c r="J37" s="247"/>
      <c r="K37" s="247"/>
      <c r="L37" s="247"/>
      <c r="M37" s="247"/>
      <c r="N37" s="247"/>
      <c r="O37" s="247"/>
    </row>
    <row r="38" spans="1:22" ht="16.5" customHeight="1">
      <c r="B38" s="529" t="s">
        <v>6</v>
      </c>
      <c r="C38" s="523" t="s">
        <v>70</v>
      </c>
      <c r="D38" s="514" t="s">
        <v>353</v>
      </c>
      <c r="E38" s="515"/>
      <c r="F38" s="515"/>
      <c r="G38" s="515"/>
      <c r="H38" s="516"/>
      <c r="I38" s="4"/>
      <c r="K38" s="37"/>
      <c r="L38" s="37"/>
    </row>
    <row r="39" spans="1:22">
      <c r="B39" s="530"/>
      <c r="C39" s="524"/>
      <c r="D39" s="517"/>
      <c r="E39" s="518"/>
      <c r="F39" s="518"/>
      <c r="G39" s="518"/>
      <c r="H39" s="519"/>
      <c r="I39" s="4"/>
      <c r="J39" s="233"/>
      <c r="K39" s="37"/>
      <c r="L39" s="37"/>
    </row>
    <row r="40" spans="1:22">
      <c r="B40" s="530"/>
      <c r="C40" s="524"/>
      <c r="D40" s="520"/>
      <c r="E40" s="521"/>
      <c r="F40" s="521"/>
      <c r="G40" s="521"/>
      <c r="H40" s="522"/>
      <c r="I40" s="4"/>
      <c r="K40" s="37"/>
      <c r="L40" s="37"/>
    </row>
    <row r="41" spans="1:22">
      <c r="B41" s="531"/>
      <c r="C41" s="525"/>
      <c r="D41" s="195" t="s">
        <v>347</v>
      </c>
      <c r="E41" s="189" t="s">
        <v>348</v>
      </c>
      <c r="F41" s="189" t="s">
        <v>350</v>
      </c>
      <c r="G41" s="208" t="s">
        <v>351</v>
      </c>
      <c r="H41" s="207" t="s">
        <v>342</v>
      </c>
      <c r="I41" s="4"/>
      <c r="K41" s="37"/>
      <c r="L41" s="37"/>
    </row>
    <row r="42" spans="1:22">
      <c r="B42" s="329">
        <v>44502</v>
      </c>
      <c r="C42" s="330" t="s">
        <v>976</v>
      </c>
      <c r="D42" s="356">
        <v>2</v>
      </c>
      <c r="E42" s="357">
        <v>16</v>
      </c>
      <c r="F42" s="357">
        <v>0</v>
      </c>
      <c r="G42" s="358">
        <v>6</v>
      </c>
      <c r="H42" s="359">
        <v>24</v>
      </c>
      <c r="I42" s="4"/>
      <c r="K42" s="37"/>
      <c r="L42" s="37"/>
    </row>
    <row r="43" spans="1:22">
      <c r="B43" s="329">
        <v>44503</v>
      </c>
      <c r="C43" s="330" t="s">
        <v>45</v>
      </c>
      <c r="D43" s="356">
        <v>0</v>
      </c>
      <c r="E43" s="357">
        <v>9</v>
      </c>
      <c r="F43" s="357">
        <v>0</v>
      </c>
      <c r="G43" s="360">
        <v>3</v>
      </c>
      <c r="H43" s="359">
        <v>12</v>
      </c>
      <c r="I43" s="4"/>
      <c r="K43" s="37"/>
      <c r="L43" s="37"/>
    </row>
    <row r="44" spans="1:22">
      <c r="B44" s="329">
        <v>44504</v>
      </c>
      <c r="C44" s="330" t="s">
        <v>46</v>
      </c>
      <c r="D44" s="356">
        <v>0</v>
      </c>
      <c r="E44" s="357">
        <v>19</v>
      </c>
      <c r="F44" s="357"/>
      <c r="G44" s="360">
        <v>2</v>
      </c>
      <c r="H44" s="361">
        <v>21</v>
      </c>
      <c r="I44" s="4"/>
      <c r="K44" s="37"/>
      <c r="L44" s="37"/>
    </row>
    <row r="45" spans="1:22">
      <c r="B45" s="338">
        <v>44505</v>
      </c>
      <c r="C45" s="269" t="s">
        <v>47</v>
      </c>
      <c r="D45" s="362">
        <v>2</v>
      </c>
      <c r="E45" s="363">
        <v>24</v>
      </c>
      <c r="F45" s="363">
        <v>0</v>
      </c>
      <c r="G45" s="364">
        <v>2</v>
      </c>
      <c r="H45" s="365">
        <v>28</v>
      </c>
      <c r="I45" s="231"/>
      <c r="K45" s="37"/>
      <c r="L45" s="37"/>
    </row>
    <row r="46" spans="1:22">
      <c r="A46" s="202"/>
      <c r="B46" s="262">
        <v>44506</v>
      </c>
      <c r="C46" s="263" t="s">
        <v>1313</v>
      </c>
      <c r="D46" s="362">
        <v>2</v>
      </c>
      <c r="E46" s="362">
        <v>20</v>
      </c>
      <c r="F46" s="362">
        <v>0</v>
      </c>
      <c r="G46" s="366">
        <v>3</v>
      </c>
      <c r="H46" s="367">
        <v>25</v>
      </c>
      <c r="K46" s="37"/>
      <c r="L46" s="37"/>
    </row>
    <row r="47" spans="1:22">
      <c r="A47" s="202"/>
      <c r="B47" s="512" t="s">
        <v>1408</v>
      </c>
      <c r="C47" s="513"/>
      <c r="D47" s="368">
        <f>SUM(D42:D46)</f>
        <v>6</v>
      </c>
      <c r="E47" s="368">
        <f t="shared" ref="E47:F47" si="8">SUM(E42:E46)</f>
        <v>88</v>
      </c>
      <c r="F47" s="368">
        <f t="shared" si="8"/>
        <v>0</v>
      </c>
      <c r="G47" s="368">
        <f>SUM(G42:G46)</f>
        <v>16</v>
      </c>
      <c r="H47" s="369">
        <f>SUM(H42:H46)</f>
        <v>110</v>
      </c>
      <c r="K47" s="37"/>
      <c r="L47" s="37"/>
    </row>
    <row r="48" spans="1:22">
      <c r="A48" s="202"/>
      <c r="B48" s="318">
        <v>44509</v>
      </c>
      <c r="C48" s="263" t="s">
        <v>1409</v>
      </c>
      <c r="D48" s="370">
        <v>3</v>
      </c>
      <c r="E48" s="370">
        <v>14</v>
      </c>
      <c r="F48" s="370">
        <v>0</v>
      </c>
      <c r="G48" s="372">
        <v>6</v>
      </c>
      <c r="H48" s="373">
        <v>23</v>
      </c>
      <c r="K48" s="37"/>
      <c r="L48" s="37"/>
    </row>
    <row r="49" spans="1:12">
      <c r="A49" s="202"/>
      <c r="B49" s="318">
        <v>44510</v>
      </c>
      <c r="C49" s="263" t="s">
        <v>1641</v>
      </c>
      <c r="D49" s="370">
        <v>15</v>
      </c>
      <c r="E49" s="370">
        <v>10</v>
      </c>
      <c r="F49" s="370">
        <v>1</v>
      </c>
      <c r="G49" s="378">
        <v>7</v>
      </c>
      <c r="H49" s="371">
        <v>34</v>
      </c>
      <c r="K49" s="37"/>
      <c r="L49" s="37"/>
    </row>
    <row r="50" spans="1:12">
      <c r="A50" s="202"/>
      <c r="B50" s="318">
        <v>44511</v>
      </c>
      <c r="C50" s="263" t="s">
        <v>1765</v>
      </c>
      <c r="D50" s="370">
        <v>7</v>
      </c>
      <c r="E50" s="370">
        <v>18</v>
      </c>
      <c r="F50" s="370">
        <v>0</v>
      </c>
      <c r="G50" s="372">
        <v>1</v>
      </c>
      <c r="H50" s="371">
        <v>26</v>
      </c>
      <c r="K50" s="37"/>
      <c r="L50" s="37"/>
    </row>
    <row r="51" spans="1:12">
      <c r="A51" s="202"/>
      <c r="B51" s="318">
        <v>44512</v>
      </c>
      <c r="C51" s="263" t="s">
        <v>1933</v>
      </c>
      <c r="D51" s="370">
        <v>20</v>
      </c>
      <c r="E51" s="370">
        <v>30</v>
      </c>
      <c r="F51" s="370">
        <v>0</v>
      </c>
      <c r="G51" s="370">
        <v>1</v>
      </c>
      <c r="H51" s="371">
        <v>51</v>
      </c>
      <c r="K51" s="37"/>
      <c r="L51" s="37"/>
    </row>
    <row r="52" spans="1:12" ht="13.5" customHeight="1">
      <c r="A52" s="202"/>
      <c r="B52" s="318">
        <v>44513</v>
      </c>
      <c r="C52" s="263" t="s">
        <v>1934</v>
      </c>
      <c r="D52" s="370">
        <v>6</v>
      </c>
      <c r="E52" s="370">
        <v>29</v>
      </c>
      <c r="F52" s="370">
        <v>2</v>
      </c>
      <c r="G52" s="372">
        <v>2</v>
      </c>
      <c r="H52" s="371">
        <v>39</v>
      </c>
      <c r="K52" s="37"/>
      <c r="L52" s="37"/>
    </row>
    <row r="53" spans="1:12">
      <c r="A53" s="202"/>
      <c r="B53" s="512" t="s">
        <v>2080</v>
      </c>
      <c r="C53" s="513"/>
      <c r="D53" s="389">
        <f>SUM(D48:D52)</f>
        <v>51</v>
      </c>
      <c r="E53" s="389">
        <f t="shared" ref="E53:H53" si="9">SUM(E48:E52)</f>
        <v>101</v>
      </c>
      <c r="F53" s="389">
        <f t="shared" si="9"/>
        <v>3</v>
      </c>
      <c r="G53" s="390">
        <f>SUM(G48:G52)</f>
        <v>17</v>
      </c>
      <c r="H53" s="391">
        <f>SUM(H48:H52)</f>
        <v>173</v>
      </c>
      <c r="K53" s="37"/>
      <c r="L53" s="37"/>
    </row>
    <row r="54" spans="1:12">
      <c r="A54" s="202"/>
      <c r="B54" s="262">
        <v>44516</v>
      </c>
      <c r="C54" s="263" t="s">
        <v>2275</v>
      </c>
      <c r="D54" s="370">
        <v>11</v>
      </c>
      <c r="E54" s="370">
        <v>29</v>
      </c>
      <c r="F54" s="370">
        <v>0</v>
      </c>
      <c r="G54" s="372">
        <v>19</v>
      </c>
      <c r="H54" s="371">
        <v>59</v>
      </c>
      <c r="K54" s="37"/>
      <c r="L54" s="37"/>
    </row>
    <row r="55" spans="1:12">
      <c r="A55" s="202"/>
      <c r="B55" s="396">
        <v>44517</v>
      </c>
      <c r="C55" s="397" t="s">
        <v>2276</v>
      </c>
      <c r="D55" s="398">
        <v>34</v>
      </c>
      <c r="E55" s="399">
        <v>45</v>
      </c>
      <c r="F55" s="399">
        <v>0</v>
      </c>
      <c r="G55" s="378">
        <v>7</v>
      </c>
      <c r="H55" s="373">
        <v>86</v>
      </c>
      <c r="K55" s="37"/>
      <c r="L55" s="37"/>
    </row>
    <row r="56" spans="1:12">
      <c r="A56" s="202"/>
      <c r="B56" s="396">
        <v>44518</v>
      </c>
      <c r="C56" s="397" t="s">
        <v>1643</v>
      </c>
      <c r="D56" s="398">
        <v>10</v>
      </c>
      <c r="E56" s="399">
        <v>35</v>
      </c>
      <c r="F56" s="399">
        <v>0</v>
      </c>
      <c r="G56" s="378">
        <v>9</v>
      </c>
      <c r="H56" s="373">
        <v>54</v>
      </c>
      <c r="K56" s="37"/>
      <c r="L56" s="37"/>
    </row>
    <row r="57" spans="1:12">
      <c r="A57" s="202"/>
      <c r="B57" s="396">
        <v>44519</v>
      </c>
      <c r="C57" s="397" t="s">
        <v>2750</v>
      </c>
      <c r="D57" s="398">
        <v>5</v>
      </c>
      <c r="E57" s="399">
        <v>25</v>
      </c>
      <c r="F57" s="399">
        <v>0</v>
      </c>
      <c r="G57" s="378">
        <v>5</v>
      </c>
      <c r="H57" s="373">
        <v>35</v>
      </c>
      <c r="K57" s="37"/>
      <c r="L57" s="37"/>
    </row>
    <row r="58" spans="1:12">
      <c r="A58" s="202"/>
      <c r="B58" s="396">
        <v>44520</v>
      </c>
      <c r="C58" s="397" t="s">
        <v>2967</v>
      </c>
      <c r="D58" s="398">
        <v>16</v>
      </c>
      <c r="E58" s="399">
        <v>51</v>
      </c>
      <c r="F58" s="399">
        <v>0</v>
      </c>
      <c r="G58" s="378">
        <v>8</v>
      </c>
      <c r="H58" s="373">
        <v>75</v>
      </c>
      <c r="K58" s="37"/>
      <c r="L58" s="37"/>
    </row>
    <row r="59" spans="1:12">
      <c r="A59" s="202"/>
      <c r="B59" s="512" t="s">
        <v>2966</v>
      </c>
      <c r="C59" s="513"/>
      <c r="D59" s="389">
        <f>SUM(D54:D58)</f>
        <v>76</v>
      </c>
      <c r="E59" s="389">
        <f t="shared" ref="E59:H59" si="10">SUM(E54:E58)</f>
        <v>185</v>
      </c>
      <c r="F59" s="389">
        <f t="shared" si="10"/>
        <v>0</v>
      </c>
      <c r="G59" s="390">
        <f t="shared" si="10"/>
        <v>48</v>
      </c>
      <c r="H59" s="391">
        <f>SUM(H54:H58)</f>
        <v>309</v>
      </c>
      <c r="K59" s="37"/>
      <c r="L59" s="37"/>
    </row>
    <row r="60" spans="1:12">
      <c r="A60" s="202"/>
      <c r="B60" s="396">
        <v>44523</v>
      </c>
      <c r="C60" s="397" t="s">
        <v>3326</v>
      </c>
      <c r="D60" s="398">
        <v>12</v>
      </c>
      <c r="E60" s="399">
        <v>54</v>
      </c>
      <c r="F60" s="399">
        <v>3</v>
      </c>
      <c r="G60" s="378">
        <v>7</v>
      </c>
      <c r="H60" s="373">
        <v>76</v>
      </c>
      <c r="K60" s="37"/>
      <c r="L60" s="37"/>
    </row>
    <row r="61" spans="1:12">
      <c r="A61" s="202"/>
      <c r="B61" s="396">
        <v>44524</v>
      </c>
      <c r="C61" s="397" t="s">
        <v>3492</v>
      </c>
      <c r="D61" s="398">
        <v>11</v>
      </c>
      <c r="E61" s="399">
        <v>40</v>
      </c>
      <c r="F61" s="399">
        <v>0</v>
      </c>
      <c r="G61" s="378">
        <v>2</v>
      </c>
      <c r="H61" s="373">
        <v>53</v>
      </c>
      <c r="K61" s="37"/>
      <c r="L61" s="37"/>
    </row>
    <row r="62" spans="1:12">
      <c r="A62" s="202"/>
      <c r="B62" s="396">
        <v>44525</v>
      </c>
      <c r="C62" s="397" t="s">
        <v>3496</v>
      </c>
      <c r="D62" s="398">
        <v>17</v>
      </c>
      <c r="E62" s="399">
        <v>41</v>
      </c>
      <c r="F62" s="399">
        <v>1</v>
      </c>
      <c r="G62" s="378">
        <v>4</v>
      </c>
      <c r="H62" s="373">
        <v>63</v>
      </c>
      <c r="K62" s="37"/>
      <c r="L62" s="37"/>
    </row>
    <row r="63" spans="1:12">
      <c r="A63" s="202"/>
      <c r="B63" s="396">
        <v>44526</v>
      </c>
      <c r="C63" s="397" t="s">
        <v>3985</v>
      </c>
      <c r="D63" s="398">
        <v>23</v>
      </c>
      <c r="E63" s="399">
        <v>36</v>
      </c>
      <c r="F63" s="399">
        <v>1</v>
      </c>
      <c r="G63" s="378">
        <v>2</v>
      </c>
      <c r="H63" s="373">
        <v>62</v>
      </c>
      <c r="K63" s="37"/>
      <c r="L63" s="37"/>
    </row>
    <row r="64" spans="1:12">
      <c r="A64" s="202"/>
      <c r="B64" s="306">
        <v>44527</v>
      </c>
      <c r="C64" s="307" t="s">
        <v>4348</v>
      </c>
      <c r="D64" s="392">
        <v>11</v>
      </c>
      <c r="E64" s="393">
        <v>7</v>
      </c>
      <c r="F64" s="393">
        <v>0</v>
      </c>
      <c r="G64" s="394">
        <v>3</v>
      </c>
      <c r="H64" s="395">
        <v>21</v>
      </c>
      <c r="K64" s="37"/>
      <c r="L64" s="37"/>
    </row>
    <row r="65" spans="1:12" ht="16.5" customHeight="1">
      <c r="A65" s="202"/>
      <c r="B65" s="600" t="s">
        <v>4363</v>
      </c>
      <c r="C65" s="601"/>
      <c r="D65" s="602">
        <f>SUM(D60:D64)</f>
        <v>74</v>
      </c>
      <c r="E65" s="602">
        <f t="shared" ref="E65:H65" si="11">SUM(E60:E64)</f>
        <v>178</v>
      </c>
      <c r="F65" s="602">
        <f t="shared" si="11"/>
        <v>5</v>
      </c>
      <c r="G65" s="603">
        <f t="shared" si="11"/>
        <v>18</v>
      </c>
      <c r="H65" s="604">
        <f>SUM(H60:H64)</f>
        <v>275</v>
      </c>
      <c r="K65" s="37"/>
      <c r="L65" s="37"/>
    </row>
    <row r="66" spans="1:12" ht="24" customHeight="1" thickBot="1">
      <c r="A66" s="202"/>
      <c r="B66" s="598" t="s">
        <v>4362</v>
      </c>
      <c r="C66" s="599"/>
      <c r="D66" s="605">
        <f>SUM(D47,D53,D59,D65)</f>
        <v>207</v>
      </c>
      <c r="E66" s="605">
        <f t="shared" ref="E66:G66" si="12">SUM(E47,E53,E59,E65)</f>
        <v>552</v>
      </c>
      <c r="F66" s="605">
        <f t="shared" si="12"/>
        <v>8</v>
      </c>
      <c r="G66" s="606">
        <f t="shared" si="12"/>
        <v>99</v>
      </c>
      <c r="H66" s="607">
        <f>SUM(H47,H53,H59,H65)</f>
        <v>867</v>
      </c>
      <c r="K66" s="37"/>
      <c r="L66" s="37"/>
    </row>
    <row r="67" spans="1:12">
      <c r="B67" s="311"/>
      <c r="C67" s="311"/>
      <c r="D67" s="256"/>
      <c r="E67" s="256"/>
      <c r="F67" s="256"/>
      <c r="G67" s="256"/>
      <c r="H67" s="256"/>
    </row>
  </sheetData>
  <mergeCells count="24">
    <mergeCell ref="B65:C65"/>
    <mergeCell ref="B66:C66"/>
    <mergeCell ref="B2:P2"/>
    <mergeCell ref="B3:M3"/>
    <mergeCell ref="B5:B8"/>
    <mergeCell ref="C5:C8"/>
    <mergeCell ref="D5:J7"/>
    <mergeCell ref="K5:K8"/>
    <mergeCell ref="L5:L8"/>
    <mergeCell ref="M5:P5"/>
    <mergeCell ref="M6:N7"/>
    <mergeCell ref="O6:P7"/>
    <mergeCell ref="B59:C59"/>
    <mergeCell ref="D38:H40"/>
    <mergeCell ref="C38:C41"/>
    <mergeCell ref="B14:C14"/>
    <mergeCell ref="B47:C47"/>
    <mergeCell ref="B34:C34"/>
    <mergeCell ref="B20:C20"/>
    <mergeCell ref="B26:C26"/>
    <mergeCell ref="B53:C53"/>
    <mergeCell ref="B38:B41"/>
    <mergeCell ref="B32:C32"/>
    <mergeCell ref="B33:C33"/>
  </mergeCells>
  <phoneticPr fontId="19" type="noConversion"/>
  <pageMargins left="0.7" right="0.7" top="0.75" bottom="0.75" header="0.3" footer="0.3"/>
  <pageSetup paperSize="9" scale="61" fitToHeight="0"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499984740745262"/>
    <pageSetUpPr fitToPage="1"/>
  </sheetPr>
  <dimension ref="A1:AB54"/>
  <sheetViews>
    <sheetView showGridLines="0" zoomScale="90" zoomScaleNormal="90" workbookViewId="0">
      <selection activeCell="B5" sqref="B5:B8"/>
    </sheetView>
  </sheetViews>
  <sheetFormatPr defaultColWidth="9" defaultRowHeight="15"/>
  <cols>
    <col min="1" max="1" width="1.125" style="4" customWidth="1"/>
    <col min="2" max="2" width="10" style="2" customWidth="1"/>
    <col min="3" max="3" width="5.625" style="4" customWidth="1"/>
    <col min="4" max="10" width="8.25" style="37" customWidth="1"/>
    <col min="11" max="11" width="8.25" style="4" customWidth="1"/>
    <col min="12" max="12" width="8.5" style="4" customWidth="1"/>
    <col min="13" max="13" width="7.125" style="37" customWidth="1"/>
    <col min="14" max="14" width="8.5" style="37" customWidth="1"/>
    <col min="15" max="15" width="8" style="37" customWidth="1"/>
    <col min="16" max="16" width="9.125" style="37" customWidth="1"/>
    <col min="17" max="17" width="2.375" style="2" customWidth="1"/>
    <col min="18" max="18" width="9.375" style="2" hidden="1" customWidth="1"/>
    <col min="19" max="19" width="10.125" style="2" hidden="1" customWidth="1"/>
    <col min="20" max="22" width="9" style="2" hidden="1" customWidth="1"/>
    <col min="23" max="16384" width="9" style="2"/>
  </cols>
  <sheetData>
    <row r="1" spans="2:22" s="36" customFormat="1" ht="12" customHeight="1">
      <c r="B1" s="39"/>
      <c r="C1" s="39"/>
      <c r="D1" s="67"/>
      <c r="E1" s="67"/>
      <c r="F1" s="67"/>
      <c r="G1" s="67"/>
      <c r="H1" s="68"/>
      <c r="I1" s="68"/>
      <c r="J1" s="68"/>
      <c r="K1" s="39"/>
      <c r="L1" s="39"/>
      <c r="M1" s="68"/>
      <c r="N1" s="68"/>
      <c r="O1" s="68"/>
      <c r="P1" s="68"/>
    </row>
    <row r="2" spans="2:22" ht="20.25">
      <c r="B2" s="532" t="s">
        <v>332</v>
      </c>
      <c r="C2" s="532"/>
      <c r="D2" s="532"/>
      <c r="E2" s="532"/>
      <c r="F2" s="532"/>
      <c r="G2" s="532"/>
      <c r="H2" s="532"/>
      <c r="I2" s="532"/>
      <c r="J2" s="532"/>
      <c r="K2" s="532"/>
      <c r="L2" s="532"/>
      <c r="M2" s="532"/>
      <c r="N2" s="532"/>
      <c r="O2" s="532"/>
      <c r="P2" s="532"/>
    </row>
    <row r="3" spans="2:22" ht="9.6" customHeight="1">
      <c r="B3" s="533"/>
      <c r="C3" s="533"/>
      <c r="D3" s="533"/>
      <c r="E3" s="533"/>
      <c r="F3" s="533"/>
      <c r="G3" s="533"/>
      <c r="H3" s="533"/>
      <c r="I3" s="533"/>
      <c r="J3" s="533"/>
      <c r="K3" s="533"/>
      <c r="L3" s="533"/>
      <c r="M3" s="533"/>
      <c r="N3" s="72"/>
      <c r="O3" s="72"/>
    </row>
    <row r="4" spans="2:22" s="4" customFormat="1" ht="18.600000000000001" customHeight="1" thickBot="1">
      <c r="B4" s="154" t="s">
        <v>345</v>
      </c>
      <c r="C4" s="155"/>
      <c r="D4" s="155"/>
      <c r="E4" s="155"/>
      <c r="F4" s="155"/>
      <c r="G4" s="143"/>
      <c r="H4" s="143"/>
      <c r="I4" s="143"/>
      <c r="J4" s="143"/>
      <c r="K4" s="143"/>
      <c r="L4" s="143"/>
      <c r="M4" s="143"/>
      <c r="N4" s="143"/>
      <c r="O4" s="143"/>
      <c r="P4" s="37"/>
    </row>
    <row r="5" spans="2:22" ht="19.149999999999999" customHeight="1">
      <c r="B5" s="529" t="s">
        <v>6</v>
      </c>
      <c r="C5" s="534" t="s">
        <v>70</v>
      </c>
      <c r="D5" s="537" t="s">
        <v>349</v>
      </c>
      <c r="E5" s="515"/>
      <c r="F5" s="515"/>
      <c r="G5" s="515"/>
      <c r="H5" s="515"/>
      <c r="I5" s="515"/>
      <c r="J5" s="538"/>
      <c r="K5" s="534" t="s">
        <v>91</v>
      </c>
      <c r="L5" s="534" t="s">
        <v>54</v>
      </c>
      <c r="M5" s="543" t="s">
        <v>4365</v>
      </c>
      <c r="N5" s="544"/>
      <c r="O5" s="544"/>
      <c r="P5" s="615"/>
    </row>
    <row r="6" spans="2:22" s="4" customFormat="1" ht="14.25" customHeight="1">
      <c r="B6" s="530"/>
      <c r="C6" s="535"/>
      <c r="D6" s="539"/>
      <c r="E6" s="518"/>
      <c r="F6" s="518"/>
      <c r="G6" s="518"/>
      <c r="H6" s="518"/>
      <c r="I6" s="518"/>
      <c r="J6" s="540"/>
      <c r="K6" s="535"/>
      <c r="L6" s="535"/>
      <c r="M6" s="545" t="s">
        <v>0</v>
      </c>
      <c r="N6" s="546"/>
      <c r="O6" s="545" t="s">
        <v>1</v>
      </c>
      <c r="P6" s="616"/>
    </row>
    <row r="7" spans="2:22" s="4" customFormat="1" ht="15.75" customHeight="1">
      <c r="B7" s="530"/>
      <c r="C7" s="535"/>
      <c r="D7" s="541"/>
      <c r="E7" s="521"/>
      <c r="F7" s="521"/>
      <c r="G7" s="521"/>
      <c r="H7" s="521"/>
      <c r="I7" s="521"/>
      <c r="J7" s="542"/>
      <c r="K7" s="535"/>
      <c r="L7" s="535"/>
      <c r="M7" s="547"/>
      <c r="N7" s="548"/>
      <c r="O7" s="547"/>
      <c r="P7" s="617"/>
    </row>
    <row r="8" spans="2:22" ht="19.5" customHeight="1">
      <c r="B8" s="531"/>
      <c r="C8" s="536"/>
      <c r="D8" s="189" t="s">
        <v>39</v>
      </c>
      <c r="E8" s="189" t="s">
        <v>40</v>
      </c>
      <c r="F8" s="189" t="s">
        <v>98</v>
      </c>
      <c r="G8" s="189" t="s">
        <v>41</v>
      </c>
      <c r="H8" s="189" t="s">
        <v>42</v>
      </c>
      <c r="I8" s="189" t="s">
        <v>101</v>
      </c>
      <c r="J8" s="189" t="s">
        <v>62</v>
      </c>
      <c r="K8" s="536"/>
      <c r="L8" s="536"/>
      <c r="M8" s="183" t="s">
        <v>58</v>
      </c>
      <c r="N8" s="183" t="s">
        <v>59</v>
      </c>
      <c r="O8" s="183" t="s">
        <v>60</v>
      </c>
      <c r="P8" s="618" t="s">
        <v>340</v>
      </c>
      <c r="R8" s="83" t="s">
        <v>68</v>
      </c>
      <c r="S8" s="83" t="s">
        <v>80</v>
      </c>
      <c r="T8" s="83" t="s">
        <v>89</v>
      </c>
      <c r="U8" s="139" t="s">
        <v>97</v>
      </c>
    </row>
    <row r="9" spans="2:22" s="38" customFormat="1" ht="17.45" customHeight="1">
      <c r="B9" s="268">
        <v>44490</v>
      </c>
      <c r="C9" s="273" t="s">
        <v>338</v>
      </c>
      <c r="D9" s="270">
        <v>0</v>
      </c>
      <c r="E9" s="270">
        <v>0</v>
      </c>
      <c r="F9" s="270">
        <v>0</v>
      </c>
      <c r="G9" s="274">
        <v>0</v>
      </c>
      <c r="H9" s="275">
        <v>1</v>
      </c>
      <c r="I9" s="275">
        <v>0</v>
      </c>
      <c r="J9" s="276">
        <v>1</v>
      </c>
      <c r="K9" s="277">
        <v>3</v>
      </c>
      <c r="L9" s="278">
        <v>3</v>
      </c>
      <c r="M9" s="277">
        <v>0</v>
      </c>
      <c r="N9" s="279">
        <v>0</v>
      </c>
      <c r="O9" s="280">
        <v>1</v>
      </c>
      <c r="P9" s="654">
        <v>1.0532407407407407E-3</v>
      </c>
      <c r="R9" s="134">
        <v>20200702</v>
      </c>
      <c r="S9" s="135">
        <v>1027</v>
      </c>
      <c r="T9" s="135">
        <v>1010</v>
      </c>
      <c r="U9" s="136">
        <f t="shared" ref="U9:U31" si="0">T9/S9</f>
        <v>0.9834469328140214</v>
      </c>
      <c r="V9" s="136">
        <v>89</v>
      </c>
    </row>
    <row r="10" spans="2:22" s="38" customFormat="1" ht="17.45" customHeight="1">
      <c r="B10" s="268">
        <v>44491</v>
      </c>
      <c r="C10" s="273" t="s">
        <v>339</v>
      </c>
      <c r="D10" s="270">
        <v>1</v>
      </c>
      <c r="E10" s="270">
        <v>1</v>
      </c>
      <c r="F10" s="270">
        <v>0</v>
      </c>
      <c r="G10" s="274">
        <f>E10/D10</f>
        <v>1</v>
      </c>
      <c r="H10" s="275">
        <v>1</v>
      </c>
      <c r="I10" s="275">
        <v>0</v>
      </c>
      <c r="J10" s="276">
        <v>10</v>
      </c>
      <c r="K10" s="277">
        <v>3</v>
      </c>
      <c r="L10" s="278">
        <v>3</v>
      </c>
      <c r="M10" s="277">
        <v>1</v>
      </c>
      <c r="N10" s="279">
        <v>5.2083333333333333E-4</v>
      </c>
      <c r="O10" s="280">
        <v>10</v>
      </c>
      <c r="P10" s="621">
        <v>1.3900462962962962E-2</v>
      </c>
      <c r="R10" s="134">
        <v>20200703</v>
      </c>
      <c r="S10" s="135">
        <v>1059</v>
      </c>
      <c r="T10" s="135">
        <v>1047</v>
      </c>
      <c r="U10" s="136">
        <f t="shared" si="0"/>
        <v>0.98866855524079322</v>
      </c>
      <c r="V10" s="136">
        <v>86.69</v>
      </c>
    </row>
    <row r="11" spans="2:22" s="38" customFormat="1" ht="17.45" customHeight="1">
      <c r="B11" s="268">
        <v>44492</v>
      </c>
      <c r="C11" s="273" t="s">
        <v>341</v>
      </c>
      <c r="D11" s="270">
        <v>1</v>
      </c>
      <c r="E11" s="270">
        <v>1</v>
      </c>
      <c r="F11" s="270">
        <v>0</v>
      </c>
      <c r="G11" s="274">
        <f>E11/D11</f>
        <v>1</v>
      </c>
      <c r="H11" s="275">
        <v>1</v>
      </c>
      <c r="I11" s="275">
        <v>0</v>
      </c>
      <c r="J11" s="276">
        <v>17</v>
      </c>
      <c r="K11" s="277">
        <v>3</v>
      </c>
      <c r="L11" s="278">
        <v>3</v>
      </c>
      <c r="M11" s="277">
        <v>1</v>
      </c>
      <c r="N11" s="279">
        <v>1.1921296296296296E-3</v>
      </c>
      <c r="O11" s="280">
        <v>17</v>
      </c>
      <c r="P11" s="621">
        <v>2.6736111111111113E-2</v>
      </c>
      <c r="R11" s="134">
        <v>20200706</v>
      </c>
      <c r="S11" s="135">
        <v>1448</v>
      </c>
      <c r="T11" s="135">
        <v>1393</v>
      </c>
      <c r="U11" s="136">
        <f t="shared" si="0"/>
        <v>0.96201657458563539</v>
      </c>
      <c r="V11" s="136">
        <v>75.97</v>
      </c>
    </row>
    <row r="12" spans="2:22" s="38" customFormat="1" ht="17.45" customHeight="1">
      <c r="B12" s="281" t="s">
        <v>343</v>
      </c>
      <c r="C12" s="282"/>
      <c r="D12" s="283">
        <f>SUM(D9:D11)</f>
        <v>2</v>
      </c>
      <c r="E12" s="283">
        <f>SUM(E9:E11)</f>
        <v>2</v>
      </c>
      <c r="F12" s="283">
        <f>SUM(F9:F11)</f>
        <v>0</v>
      </c>
      <c r="G12" s="284">
        <f>E12/D12</f>
        <v>1</v>
      </c>
      <c r="H12" s="285">
        <f>AVERAGE(H10:H11)</f>
        <v>1</v>
      </c>
      <c r="I12" s="285">
        <v>0</v>
      </c>
      <c r="J12" s="286">
        <f>SUM(J9:J11)</f>
        <v>28</v>
      </c>
      <c r="K12" s="287"/>
      <c r="L12" s="287"/>
      <c r="M12" s="287">
        <f>SUM(M9:M11)</f>
        <v>2</v>
      </c>
      <c r="N12" s="288">
        <f>SUM(N9:N11)</f>
        <v>1.712962962962963E-3</v>
      </c>
      <c r="O12" s="289">
        <f>SUM(O9:O11)</f>
        <v>28</v>
      </c>
      <c r="P12" s="655">
        <f t="shared" ref="P12" si="1">SUM(P9:P11)</f>
        <v>4.1689814814814818E-2</v>
      </c>
      <c r="R12" s="134">
        <v>20200707</v>
      </c>
      <c r="S12" s="135">
        <v>1154</v>
      </c>
      <c r="T12" s="135">
        <v>1138</v>
      </c>
      <c r="U12" s="136">
        <f t="shared" si="0"/>
        <v>0.98613518197573657</v>
      </c>
      <c r="V12" s="136">
        <v>86.48</v>
      </c>
    </row>
    <row r="13" spans="2:22" s="38" customFormat="1" ht="17.45" customHeight="1">
      <c r="B13" s="268">
        <v>44495</v>
      </c>
      <c r="C13" s="273" t="s">
        <v>439</v>
      </c>
      <c r="D13" s="270">
        <v>1</v>
      </c>
      <c r="E13" s="270">
        <v>1</v>
      </c>
      <c r="F13" s="270">
        <v>0</v>
      </c>
      <c r="G13" s="274">
        <v>1</v>
      </c>
      <c r="H13" s="275">
        <v>1</v>
      </c>
      <c r="I13" s="275">
        <v>0</v>
      </c>
      <c r="J13" s="276">
        <v>24</v>
      </c>
      <c r="K13" s="277">
        <v>3</v>
      </c>
      <c r="L13" s="278">
        <v>3</v>
      </c>
      <c r="M13" s="277">
        <v>1</v>
      </c>
      <c r="N13" s="279">
        <v>5.2083333333333333E-4</v>
      </c>
      <c r="O13" s="280">
        <v>24</v>
      </c>
      <c r="P13" s="621">
        <v>3.050925925925926E-2</v>
      </c>
      <c r="R13" s="134">
        <v>20200708</v>
      </c>
      <c r="S13" s="135">
        <v>1140</v>
      </c>
      <c r="T13" s="135">
        <v>1070</v>
      </c>
      <c r="U13" s="136">
        <f t="shared" si="0"/>
        <v>0.93859649122807021</v>
      </c>
      <c r="V13" s="136">
        <v>70.349999999999994</v>
      </c>
    </row>
    <row r="14" spans="2:22" s="38" customFormat="1" ht="17.45" customHeight="1">
      <c r="B14" s="268">
        <v>44496</v>
      </c>
      <c r="C14" s="273" t="s">
        <v>441</v>
      </c>
      <c r="D14" s="270">
        <v>1</v>
      </c>
      <c r="E14" s="270">
        <v>1</v>
      </c>
      <c r="F14" s="270">
        <v>0</v>
      </c>
      <c r="G14" s="274">
        <v>1</v>
      </c>
      <c r="H14" s="275">
        <v>1</v>
      </c>
      <c r="I14" s="275">
        <v>0</v>
      </c>
      <c r="J14" s="276">
        <v>30</v>
      </c>
      <c r="K14" s="277">
        <v>3</v>
      </c>
      <c r="L14" s="278">
        <v>3</v>
      </c>
      <c r="M14" s="277">
        <v>1</v>
      </c>
      <c r="N14" s="279">
        <v>1.2847222222222223E-3</v>
      </c>
      <c r="O14" s="280">
        <v>30</v>
      </c>
      <c r="P14" s="621">
        <v>2.8958333333333336E-2</v>
      </c>
      <c r="R14" s="134">
        <v>20200709</v>
      </c>
      <c r="S14" s="135">
        <v>1097</v>
      </c>
      <c r="T14" s="135">
        <v>1068</v>
      </c>
      <c r="U14" s="136">
        <f t="shared" si="0"/>
        <v>0.9735642661804923</v>
      </c>
      <c r="V14" s="136">
        <v>84.23</v>
      </c>
    </row>
    <row r="15" spans="2:22" s="38" customFormat="1" ht="17.45" customHeight="1">
      <c r="B15" s="268">
        <v>44497</v>
      </c>
      <c r="C15" s="273" t="s">
        <v>758</v>
      </c>
      <c r="D15" s="270">
        <v>5</v>
      </c>
      <c r="E15" s="270">
        <v>5</v>
      </c>
      <c r="F15" s="270">
        <v>0</v>
      </c>
      <c r="G15" s="274">
        <v>1</v>
      </c>
      <c r="H15" s="275">
        <v>1</v>
      </c>
      <c r="I15" s="275">
        <v>0</v>
      </c>
      <c r="J15" s="276">
        <v>42</v>
      </c>
      <c r="K15" s="277">
        <v>3</v>
      </c>
      <c r="L15" s="278">
        <v>3</v>
      </c>
      <c r="M15" s="277">
        <v>5</v>
      </c>
      <c r="N15" s="279">
        <v>5.3356481481481484E-3</v>
      </c>
      <c r="O15" s="280">
        <v>42</v>
      </c>
      <c r="P15" s="621">
        <v>5.2789351851851851E-2</v>
      </c>
      <c r="R15" s="134">
        <v>20200710</v>
      </c>
      <c r="S15" s="135">
        <v>989</v>
      </c>
      <c r="T15" s="135">
        <v>978</v>
      </c>
      <c r="U15" s="136">
        <f t="shared" si="0"/>
        <v>0.9888776541961577</v>
      </c>
      <c r="V15" s="136">
        <v>89.69</v>
      </c>
    </row>
    <row r="16" spans="2:22" s="38" customFormat="1" ht="17.45" customHeight="1">
      <c r="B16" s="268">
        <v>44498</v>
      </c>
      <c r="C16" s="273" t="s">
        <v>971</v>
      </c>
      <c r="D16" s="270">
        <v>1</v>
      </c>
      <c r="E16" s="270">
        <v>1</v>
      </c>
      <c r="F16" s="270">
        <v>0</v>
      </c>
      <c r="G16" s="274">
        <v>1</v>
      </c>
      <c r="H16" s="275">
        <v>1</v>
      </c>
      <c r="I16" s="275">
        <v>0</v>
      </c>
      <c r="J16" s="276">
        <v>20</v>
      </c>
      <c r="K16" s="277">
        <v>3</v>
      </c>
      <c r="L16" s="278">
        <v>3</v>
      </c>
      <c r="M16" s="277">
        <v>1</v>
      </c>
      <c r="N16" s="279">
        <v>1.9212962962962962E-3</v>
      </c>
      <c r="O16" s="280">
        <v>20</v>
      </c>
      <c r="P16" s="621">
        <v>2.327546296296296E-2</v>
      </c>
      <c r="Q16" s="116"/>
      <c r="R16" s="134">
        <v>20200713</v>
      </c>
      <c r="S16" s="135">
        <v>1444</v>
      </c>
      <c r="T16" s="135">
        <v>1362</v>
      </c>
      <c r="U16" s="136">
        <f t="shared" si="0"/>
        <v>0.94321329639889195</v>
      </c>
      <c r="V16" s="136">
        <v>65.930000000000007</v>
      </c>
    </row>
    <row r="17" spans="2:22" s="38" customFormat="1" ht="17.45" customHeight="1">
      <c r="B17" s="268">
        <v>44499</v>
      </c>
      <c r="C17" s="273" t="s">
        <v>972</v>
      </c>
      <c r="D17" s="270">
        <v>3</v>
      </c>
      <c r="E17" s="270">
        <v>3</v>
      </c>
      <c r="F17" s="270">
        <v>0</v>
      </c>
      <c r="G17" s="274">
        <v>1</v>
      </c>
      <c r="H17" s="275">
        <v>1</v>
      </c>
      <c r="I17" s="275">
        <v>0</v>
      </c>
      <c r="J17" s="276">
        <v>32</v>
      </c>
      <c r="K17" s="277">
        <v>3</v>
      </c>
      <c r="L17" s="278">
        <v>3</v>
      </c>
      <c r="M17" s="277">
        <v>3</v>
      </c>
      <c r="N17" s="279">
        <v>3.9351851851851857E-3</v>
      </c>
      <c r="O17" s="280">
        <v>32</v>
      </c>
      <c r="P17" s="621">
        <v>4.8275462962962958E-2</v>
      </c>
      <c r="Q17" s="117"/>
      <c r="R17" s="134">
        <v>20200714</v>
      </c>
      <c r="S17" s="135">
        <v>1338</v>
      </c>
      <c r="T17" s="135">
        <v>1276</v>
      </c>
      <c r="U17" s="136">
        <f t="shared" si="0"/>
        <v>0.95366218236173395</v>
      </c>
      <c r="V17" s="136">
        <v>69.430000000000007</v>
      </c>
    </row>
    <row r="18" spans="2:22" s="38" customFormat="1" ht="17.45" customHeight="1" thickBot="1">
      <c r="B18" s="290" t="s">
        <v>973</v>
      </c>
      <c r="C18" s="291"/>
      <c r="D18" s="292">
        <f>SUM(D13:D17)</f>
        <v>11</v>
      </c>
      <c r="E18" s="292">
        <f t="shared" ref="E18:F18" si="2">SUM(E13:E17)</f>
        <v>11</v>
      </c>
      <c r="F18" s="292">
        <f t="shared" si="2"/>
        <v>0</v>
      </c>
      <c r="G18" s="293">
        <v>1</v>
      </c>
      <c r="H18" s="294">
        <v>1</v>
      </c>
      <c r="I18" s="294">
        <v>0</v>
      </c>
      <c r="J18" s="295">
        <f>SUM(J13:J17)</f>
        <v>148</v>
      </c>
      <c r="K18" s="296"/>
      <c r="L18" s="296"/>
      <c r="M18" s="296">
        <f>SUM(M13:M17)</f>
        <v>11</v>
      </c>
      <c r="N18" s="297">
        <f>SUM(N13:N17)</f>
        <v>1.2997685185185185E-2</v>
      </c>
      <c r="O18" s="298">
        <f>SUM(O13:O17)</f>
        <v>148</v>
      </c>
      <c r="P18" s="656">
        <f>SUM(P13:P17)</f>
        <v>0.18380787037037036</v>
      </c>
      <c r="R18" s="134">
        <v>20200715</v>
      </c>
      <c r="S18" s="135">
        <v>1211</v>
      </c>
      <c r="T18" s="135">
        <v>1178</v>
      </c>
      <c r="U18" s="136">
        <f t="shared" si="0"/>
        <v>0.97274979355904212</v>
      </c>
      <c r="V18" s="136">
        <v>81.59</v>
      </c>
    </row>
    <row r="19" spans="2:22" s="38" customFormat="1" ht="21" customHeight="1" thickBot="1">
      <c r="B19" s="657" t="s">
        <v>974</v>
      </c>
      <c r="C19" s="658"/>
      <c r="D19" s="659">
        <f>SUM(D12,D18)</f>
        <v>13</v>
      </c>
      <c r="E19" s="659">
        <f t="shared" ref="E19:F19" si="3">SUM(E12,E18)</f>
        <v>13</v>
      </c>
      <c r="F19" s="659">
        <f t="shared" si="3"/>
        <v>0</v>
      </c>
      <c r="G19" s="660">
        <v>1</v>
      </c>
      <c r="H19" s="660">
        <v>1</v>
      </c>
      <c r="I19" s="661">
        <v>0</v>
      </c>
      <c r="J19" s="662">
        <f>SUM(J12,J18)</f>
        <v>176</v>
      </c>
      <c r="K19" s="663"/>
      <c r="L19" s="663"/>
      <c r="M19" s="663">
        <f>SUM(M12,M18)</f>
        <v>13</v>
      </c>
      <c r="N19" s="664">
        <f>SUM(N12,N18)</f>
        <v>1.4710648148148148E-2</v>
      </c>
      <c r="O19" s="665">
        <f>SUM(O12,O18)</f>
        <v>176</v>
      </c>
      <c r="P19" s="666">
        <f>SUM(P12,P18)</f>
        <v>0.22549768518518518</v>
      </c>
      <c r="R19" s="134">
        <v>20200716</v>
      </c>
      <c r="S19" s="137">
        <v>1122</v>
      </c>
      <c r="T19" s="137">
        <v>1100</v>
      </c>
      <c r="U19" s="136">
        <f t="shared" si="0"/>
        <v>0.98039215686274506</v>
      </c>
      <c r="V19" s="136">
        <v>86.72</v>
      </c>
    </row>
    <row r="20" spans="2:22" ht="17.45" hidden="1" customHeight="1">
      <c r="B20" s="234"/>
      <c r="C20" s="159"/>
      <c r="D20" s="148"/>
      <c r="E20" s="148"/>
      <c r="F20" s="148"/>
      <c r="G20" s="160"/>
      <c r="H20" s="161"/>
      <c r="I20" s="161"/>
      <c r="J20" s="149"/>
      <c r="K20" s="118"/>
      <c r="L20" s="147"/>
      <c r="M20" s="118"/>
      <c r="N20" s="111"/>
      <c r="O20" s="118"/>
      <c r="P20" s="194"/>
      <c r="R20" s="134">
        <v>20200717</v>
      </c>
      <c r="S20" s="137">
        <v>1030</v>
      </c>
      <c r="T20" s="137">
        <v>1015</v>
      </c>
      <c r="U20" s="137">
        <f t="shared" si="0"/>
        <v>0.9854368932038835</v>
      </c>
      <c r="V20" s="137">
        <v>91.75</v>
      </c>
    </row>
    <row r="21" spans="2:22" ht="17.45" hidden="1" customHeight="1">
      <c r="B21" s="158"/>
      <c r="C21" s="159"/>
      <c r="D21" s="148"/>
      <c r="E21" s="148"/>
      <c r="F21" s="148"/>
      <c r="G21" s="160"/>
      <c r="H21" s="161"/>
      <c r="I21" s="161"/>
      <c r="J21" s="149"/>
      <c r="K21" s="118"/>
      <c r="L21" s="147"/>
      <c r="M21" s="118"/>
      <c r="N21" s="111"/>
      <c r="O21" s="118"/>
      <c r="P21" s="193"/>
      <c r="R21" s="134">
        <v>20200720</v>
      </c>
      <c r="S21" s="137">
        <v>1531</v>
      </c>
      <c r="T21" s="137">
        <v>1219</v>
      </c>
      <c r="U21" s="137">
        <f t="shared" si="0"/>
        <v>0.79621162638798171</v>
      </c>
      <c r="V21" s="137">
        <v>35.619999999999997</v>
      </c>
    </row>
    <row r="22" spans="2:22" ht="17.45" hidden="1" customHeight="1">
      <c r="B22" s="158"/>
      <c r="C22" s="159"/>
      <c r="D22" s="148"/>
      <c r="E22" s="148"/>
      <c r="F22" s="148"/>
      <c r="G22" s="160"/>
      <c r="H22" s="161"/>
      <c r="I22" s="161"/>
      <c r="J22" s="149"/>
      <c r="K22" s="118"/>
      <c r="L22" s="147"/>
      <c r="M22" s="118"/>
      <c r="N22" s="111"/>
      <c r="O22" s="118"/>
      <c r="P22" s="193"/>
      <c r="R22" s="134">
        <v>20200721</v>
      </c>
      <c r="S22" s="137">
        <v>1169</v>
      </c>
      <c r="T22" s="137">
        <v>1097</v>
      </c>
      <c r="U22" s="137">
        <f t="shared" si="0"/>
        <v>0.93840889649272885</v>
      </c>
      <c r="V22" s="137">
        <v>59.79</v>
      </c>
    </row>
    <row r="23" spans="2:22" ht="17.45" hidden="1" customHeight="1">
      <c r="B23" s="158"/>
      <c r="C23" s="159"/>
      <c r="D23" s="148"/>
      <c r="E23" s="148"/>
      <c r="F23" s="148"/>
      <c r="G23" s="160"/>
      <c r="H23" s="161"/>
      <c r="I23" s="161"/>
      <c r="J23" s="149"/>
      <c r="K23" s="118"/>
      <c r="L23" s="147"/>
      <c r="M23" s="118"/>
      <c r="N23" s="111"/>
      <c r="O23" s="118"/>
      <c r="P23" s="193"/>
      <c r="R23" s="134">
        <v>20200722</v>
      </c>
      <c r="S23" s="137">
        <v>1026</v>
      </c>
      <c r="T23" s="137">
        <v>994</v>
      </c>
      <c r="U23" s="137">
        <f t="shared" si="0"/>
        <v>0.96881091617933723</v>
      </c>
      <c r="V23" s="137">
        <v>80.989999999999995</v>
      </c>
    </row>
    <row r="24" spans="2:22" ht="17.45" hidden="1" customHeight="1">
      <c r="B24" s="158"/>
      <c r="C24" s="159"/>
      <c r="D24" s="148"/>
      <c r="E24" s="148"/>
      <c r="F24" s="148"/>
      <c r="G24" s="160"/>
      <c r="H24" s="161"/>
      <c r="I24" s="161"/>
      <c r="J24" s="149"/>
      <c r="K24" s="118"/>
      <c r="L24" s="147"/>
      <c r="M24" s="118"/>
      <c r="N24" s="111"/>
      <c r="O24" s="118"/>
      <c r="P24" s="193"/>
      <c r="R24" s="134">
        <v>20200723</v>
      </c>
      <c r="S24" s="137">
        <v>1013</v>
      </c>
      <c r="T24" s="137">
        <v>964</v>
      </c>
      <c r="U24" s="137">
        <f t="shared" si="0"/>
        <v>0.95162882527147086</v>
      </c>
      <c r="V24" s="137">
        <v>76.510000000000005</v>
      </c>
    </row>
    <row r="25" spans="2:22" ht="17.45" hidden="1" customHeight="1">
      <c r="B25" s="158"/>
      <c r="C25" s="159"/>
      <c r="D25" s="148"/>
      <c r="E25" s="148"/>
      <c r="F25" s="148"/>
      <c r="G25" s="160"/>
      <c r="H25" s="161"/>
      <c r="I25" s="161"/>
      <c r="J25" s="149"/>
      <c r="K25" s="118"/>
      <c r="L25" s="147"/>
      <c r="M25" s="118"/>
      <c r="N25" s="111"/>
      <c r="O25" s="118"/>
      <c r="P25" s="193"/>
      <c r="R25" s="134">
        <v>20200724</v>
      </c>
      <c r="S25" s="137">
        <v>997</v>
      </c>
      <c r="T25" s="137">
        <v>918</v>
      </c>
      <c r="U25" s="137">
        <f t="shared" si="0"/>
        <v>0.9207622868605817</v>
      </c>
      <c r="V25" s="137">
        <v>69.709999999999994</v>
      </c>
    </row>
    <row r="26" spans="2:22" ht="17.45" hidden="1" customHeight="1">
      <c r="B26" s="158"/>
      <c r="C26" s="159"/>
      <c r="D26" s="148"/>
      <c r="E26" s="148"/>
      <c r="F26" s="148"/>
      <c r="G26" s="160"/>
      <c r="H26" s="161"/>
      <c r="I26" s="161"/>
      <c r="J26" s="149"/>
      <c r="K26" s="118"/>
      <c r="L26" s="147"/>
      <c r="M26" s="118"/>
      <c r="N26" s="111"/>
      <c r="O26" s="118"/>
      <c r="P26" s="193"/>
      <c r="R26" s="134">
        <v>20200727</v>
      </c>
      <c r="S26" s="137">
        <v>1259</v>
      </c>
      <c r="T26" s="137">
        <v>1175</v>
      </c>
      <c r="U26" s="137">
        <f t="shared" si="0"/>
        <v>0.93328038125496426</v>
      </c>
      <c r="V26" s="137">
        <v>68.78</v>
      </c>
    </row>
    <row r="27" spans="2:22" ht="17.45" hidden="1" customHeight="1">
      <c r="B27" s="158"/>
      <c r="C27" s="159"/>
      <c r="D27" s="148"/>
      <c r="E27" s="148"/>
      <c r="F27" s="148"/>
      <c r="G27" s="160"/>
      <c r="H27" s="161"/>
      <c r="I27" s="161"/>
      <c r="J27" s="149"/>
      <c r="K27" s="118"/>
      <c r="L27" s="147"/>
      <c r="M27" s="118"/>
      <c r="N27" s="111"/>
      <c r="O27" s="118"/>
      <c r="P27" s="193"/>
      <c r="R27" s="134">
        <v>20200728</v>
      </c>
      <c r="S27" s="137">
        <v>1186</v>
      </c>
      <c r="T27" s="137">
        <v>1137</v>
      </c>
      <c r="U27" s="137">
        <f t="shared" si="0"/>
        <v>0.95868465430016858</v>
      </c>
      <c r="V27" s="137">
        <v>81.2</v>
      </c>
    </row>
    <row r="28" spans="2:22" ht="17.45" hidden="1" customHeight="1">
      <c r="B28" s="158"/>
      <c r="C28" s="159"/>
      <c r="D28" s="148"/>
      <c r="E28" s="148"/>
      <c r="F28" s="148"/>
      <c r="G28" s="160"/>
      <c r="H28" s="161"/>
      <c r="I28" s="161"/>
      <c r="J28" s="149"/>
      <c r="K28" s="118"/>
      <c r="L28" s="147"/>
      <c r="M28" s="118"/>
      <c r="N28" s="111"/>
      <c r="O28" s="118"/>
      <c r="P28" s="193"/>
      <c r="R28" s="137"/>
      <c r="S28" s="137"/>
      <c r="T28" s="137"/>
      <c r="U28" s="137" t="e">
        <f t="shared" si="0"/>
        <v>#DIV/0!</v>
      </c>
      <c r="V28" s="137"/>
    </row>
    <row r="29" spans="2:22" ht="17.45" hidden="1" customHeight="1">
      <c r="B29" s="158"/>
      <c r="C29" s="159"/>
      <c r="D29" s="148"/>
      <c r="E29" s="148"/>
      <c r="F29" s="148"/>
      <c r="G29" s="160"/>
      <c r="H29" s="161"/>
      <c r="I29" s="161"/>
      <c r="J29" s="149"/>
      <c r="K29" s="118"/>
      <c r="L29" s="147"/>
      <c r="M29" s="118"/>
      <c r="N29" s="111"/>
      <c r="O29" s="118"/>
      <c r="P29" s="193"/>
      <c r="R29" s="137"/>
      <c r="S29" s="137"/>
      <c r="T29" s="137"/>
      <c r="U29" s="137" t="e">
        <f t="shared" si="0"/>
        <v>#DIV/0!</v>
      </c>
      <c r="V29" s="137"/>
    </row>
    <row r="30" spans="2:22" ht="17.45" hidden="1" customHeight="1" thickBot="1">
      <c r="B30" s="235"/>
      <c r="C30" s="236"/>
      <c r="D30" s="201"/>
      <c r="E30" s="201"/>
      <c r="F30" s="201"/>
      <c r="G30" s="237"/>
      <c r="H30" s="238"/>
      <c r="I30" s="238"/>
      <c r="J30" s="239"/>
      <c r="K30" s="240"/>
      <c r="L30" s="241"/>
      <c r="M30" s="240"/>
      <c r="N30" s="242"/>
      <c r="O30" s="240"/>
      <c r="P30" s="243"/>
      <c r="R30" s="137"/>
      <c r="S30" s="137"/>
      <c r="T30" s="137"/>
      <c r="U30" s="137" t="e">
        <f t="shared" si="0"/>
        <v>#DIV/0!</v>
      </c>
      <c r="V30" s="137"/>
    </row>
    <row r="31" spans="2:22" ht="17.45" hidden="1" customHeight="1">
      <c r="B31" s="234"/>
      <c r="C31" s="159"/>
      <c r="D31" s="148"/>
      <c r="E31" s="148"/>
      <c r="F31" s="148"/>
      <c r="G31" s="160"/>
      <c r="H31" s="161"/>
      <c r="I31" s="161"/>
      <c r="J31" s="149"/>
      <c r="K31" s="118"/>
      <c r="L31" s="147"/>
      <c r="M31" s="118"/>
      <c r="N31" s="111"/>
      <c r="O31" s="118"/>
      <c r="P31" s="111"/>
      <c r="R31" s="137"/>
      <c r="S31" s="137"/>
      <c r="T31" s="137"/>
      <c r="U31" s="137" t="e">
        <f t="shared" si="0"/>
        <v>#DIV/0!</v>
      </c>
      <c r="V31" s="137"/>
    </row>
    <row r="32" spans="2:22" ht="17.25" hidden="1" customHeight="1" thickBot="1">
      <c r="B32" s="527" t="s">
        <v>344</v>
      </c>
      <c r="C32" s="528"/>
      <c r="D32" s="80">
        <f>SUM(D12)</f>
        <v>2</v>
      </c>
      <c r="E32" s="80">
        <f>SUM(E12)</f>
        <v>2</v>
      </c>
      <c r="F32" s="80">
        <f>SUM(F12)</f>
        <v>0</v>
      </c>
      <c r="G32" s="81">
        <f>E32/D32</f>
        <v>1</v>
      </c>
      <c r="H32" s="82">
        <f>AVERAGE(H9:H31)</f>
        <v>1</v>
      </c>
      <c r="I32" s="82">
        <f>F32/D32</f>
        <v>0</v>
      </c>
      <c r="J32" s="80">
        <f>SUM(J12)</f>
        <v>28</v>
      </c>
      <c r="K32" s="119">
        <f t="shared" ref="K32:P32" si="4">AVERAGE(K9:K31)</f>
        <v>3</v>
      </c>
      <c r="L32" s="119">
        <f t="shared" si="4"/>
        <v>3</v>
      </c>
      <c r="M32" s="119">
        <f t="shared" si="4"/>
        <v>3.5454545454545454</v>
      </c>
      <c r="N32" s="84">
        <f t="shared" si="4"/>
        <v>4.0119949494949493E-3</v>
      </c>
      <c r="O32" s="119">
        <f t="shared" si="4"/>
        <v>48</v>
      </c>
      <c r="P32" s="84">
        <f t="shared" si="4"/>
        <v>6.1499368686868693E-2</v>
      </c>
      <c r="R32" s="137"/>
      <c r="S32" s="137">
        <f>SUM(S9:S31)</f>
        <v>22240</v>
      </c>
      <c r="T32" s="137">
        <f>SUM(T9:T31)</f>
        <v>21139</v>
      </c>
      <c r="U32" s="138">
        <f>T32/S32</f>
        <v>0.95049460431654675</v>
      </c>
      <c r="V32" s="137"/>
    </row>
    <row r="33" spans="1:20" ht="16.149999999999999" customHeight="1">
      <c r="B33" s="252"/>
      <c r="C33" s="252"/>
      <c r="D33" s="253"/>
      <c r="E33" s="254"/>
      <c r="F33" s="254"/>
      <c r="G33" s="254"/>
      <c r="H33" s="254"/>
      <c r="I33" s="254"/>
      <c r="J33" s="254"/>
      <c r="K33" s="255"/>
      <c r="L33" s="255"/>
      <c r="M33" s="254"/>
      <c r="N33" s="254"/>
      <c r="O33" s="254"/>
      <c r="P33" s="256"/>
      <c r="R33" s="4"/>
      <c r="S33" s="133"/>
      <c r="T33" s="4"/>
    </row>
    <row r="34" spans="1:20" s="4" customFormat="1" ht="16.149999999999999" customHeight="1">
      <c r="B34" s="5"/>
      <c r="C34" s="5"/>
      <c r="D34" s="141"/>
      <c r="E34" s="70"/>
      <c r="F34" s="70"/>
      <c r="G34" s="70"/>
      <c r="H34" s="70"/>
      <c r="I34" s="70"/>
      <c r="J34" s="70"/>
      <c r="K34" s="83"/>
      <c r="L34" s="83"/>
      <c r="M34" s="70"/>
      <c r="N34" s="70"/>
      <c r="O34" s="70"/>
      <c r="P34" s="37"/>
      <c r="S34" s="133"/>
    </row>
    <row r="35" spans="1:20" s="4" customFormat="1" ht="18.600000000000001" customHeight="1" thickBot="1">
      <c r="B35" s="154" t="s">
        <v>346</v>
      </c>
      <c r="C35" s="155"/>
      <c r="D35" s="155"/>
      <c r="E35" s="155"/>
      <c r="F35" s="155"/>
      <c r="G35" s="190"/>
      <c r="H35" s="190"/>
      <c r="I35" s="190"/>
      <c r="J35" s="190"/>
      <c r="K35" s="190"/>
      <c r="L35" s="190"/>
      <c r="M35" s="190"/>
      <c r="N35" s="190"/>
      <c r="O35" s="190"/>
      <c r="P35" s="37"/>
    </row>
    <row r="36" spans="1:20" ht="16.5" customHeight="1">
      <c r="B36" s="529" t="s">
        <v>6</v>
      </c>
      <c r="C36" s="523" t="s">
        <v>70</v>
      </c>
      <c r="D36" s="514" t="s">
        <v>353</v>
      </c>
      <c r="E36" s="515"/>
      <c r="F36" s="515"/>
      <c r="G36" s="515"/>
      <c r="H36" s="516"/>
      <c r="I36" s="4"/>
      <c r="K36" s="37"/>
      <c r="L36" s="37"/>
    </row>
    <row r="37" spans="1:20">
      <c r="B37" s="530"/>
      <c r="C37" s="524"/>
      <c r="D37" s="517"/>
      <c r="E37" s="518"/>
      <c r="F37" s="518"/>
      <c r="G37" s="518"/>
      <c r="H37" s="519"/>
      <c r="I37" s="4"/>
      <c r="J37" s="233"/>
      <c r="K37" s="37"/>
      <c r="L37" s="37"/>
    </row>
    <row r="38" spans="1:20">
      <c r="B38" s="530"/>
      <c r="C38" s="524"/>
      <c r="D38" s="520"/>
      <c r="E38" s="521"/>
      <c r="F38" s="521"/>
      <c r="G38" s="521"/>
      <c r="H38" s="522"/>
      <c r="I38" s="4"/>
      <c r="K38" s="37"/>
      <c r="L38" s="37"/>
    </row>
    <row r="39" spans="1:20">
      <c r="B39" s="531"/>
      <c r="C39" s="525"/>
      <c r="D39" s="195" t="s">
        <v>347</v>
      </c>
      <c r="E39" s="189" t="s">
        <v>348</v>
      </c>
      <c r="F39" s="189" t="s">
        <v>350</v>
      </c>
      <c r="G39" s="208" t="s">
        <v>351</v>
      </c>
      <c r="H39" s="207" t="s">
        <v>342</v>
      </c>
      <c r="I39" s="4"/>
      <c r="K39" s="37"/>
      <c r="L39" s="37"/>
    </row>
    <row r="40" spans="1:20">
      <c r="B40" s="268">
        <v>44490</v>
      </c>
      <c r="C40" s="269" t="s">
        <v>338</v>
      </c>
      <c r="D40" s="264">
        <v>1</v>
      </c>
      <c r="E40" s="270">
        <v>0</v>
      </c>
      <c r="F40" s="270">
        <v>0</v>
      </c>
      <c r="G40" s="265">
        <v>0</v>
      </c>
      <c r="H40" s="271">
        <f>SUM(D40:G40)</f>
        <v>1</v>
      </c>
      <c r="I40" s="4"/>
      <c r="K40" s="37"/>
      <c r="L40" s="37"/>
    </row>
    <row r="41" spans="1:20">
      <c r="B41" s="268">
        <v>44491</v>
      </c>
      <c r="C41" s="269" t="s">
        <v>339</v>
      </c>
      <c r="D41" s="264">
        <v>5</v>
      </c>
      <c r="E41" s="270">
        <v>3</v>
      </c>
      <c r="F41" s="270">
        <v>0</v>
      </c>
      <c r="G41" s="267">
        <v>2</v>
      </c>
      <c r="H41" s="271">
        <f t="shared" ref="H41:H42" si="5">SUM(D41:G41)</f>
        <v>10</v>
      </c>
      <c r="I41" s="4"/>
      <c r="K41" s="37"/>
      <c r="L41" s="37"/>
    </row>
    <row r="42" spans="1:20">
      <c r="B42" s="268">
        <v>44492</v>
      </c>
      <c r="C42" s="269" t="s">
        <v>341</v>
      </c>
      <c r="D42" s="264">
        <v>6</v>
      </c>
      <c r="E42" s="270">
        <v>6</v>
      </c>
      <c r="F42" s="270">
        <v>3</v>
      </c>
      <c r="G42" s="267">
        <v>2</v>
      </c>
      <c r="H42" s="272">
        <f t="shared" si="5"/>
        <v>17</v>
      </c>
      <c r="I42" s="4"/>
      <c r="K42" s="37"/>
      <c r="L42" s="37"/>
    </row>
    <row r="43" spans="1:20">
      <c r="B43" s="281" t="s">
        <v>343</v>
      </c>
      <c r="C43" s="299"/>
      <c r="D43" s="300">
        <f>SUM(D40:D42)</f>
        <v>12</v>
      </c>
      <c r="E43" s="283">
        <f t="shared" ref="E43:H43" si="6">SUM(E40:E42)</f>
        <v>9</v>
      </c>
      <c r="F43" s="283">
        <f t="shared" si="6"/>
        <v>3</v>
      </c>
      <c r="G43" s="301">
        <f t="shared" si="6"/>
        <v>4</v>
      </c>
      <c r="H43" s="302">
        <f t="shared" si="6"/>
        <v>28</v>
      </c>
      <c r="I43" s="231"/>
      <c r="K43" s="37"/>
      <c r="L43" s="37"/>
    </row>
    <row r="44" spans="1:20">
      <c r="A44" s="202"/>
      <c r="B44" s="262">
        <v>44495</v>
      </c>
      <c r="C44" s="263" t="s">
        <v>439</v>
      </c>
      <c r="D44" s="264">
        <v>0</v>
      </c>
      <c r="E44" s="264">
        <v>18</v>
      </c>
      <c r="F44" s="264">
        <v>0</v>
      </c>
      <c r="G44" s="265">
        <v>6</v>
      </c>
      <c r="H44" s="266">
        <v>24</v>
      </c>
      <c r="K44" s="37"/>
      <c r="L44" s="37"/>
    </row>
    <row r="45" spans="1:20">
      <c r="A45" s="202"/>
      <c r="B45" s="262">
        <v>44496</v>
      </c>
      <c r="C45" s="263" t="s">
        <v>45</v>
      </c>
      <c r="D45" s="264">
        <v>4</v>
      </c>
      <c r="E45" s="264">
        <v>26</v>
      </c>
      <c r="F45" s="264">
        <v>0</v>
      </c>
      <c r="G45" s="267">
        <v>0</v>
      </c>
      <c r="H45" s="266">
        <v>30</v>
      </c>
      <c r="K45" s="37"/>
      <c r="L45" s="37"/>
    </row>
    <row r="46" spans="1:20">
      <c r="A46" s="202"/>
      <c r="B46" s="262">
        <v>44497</v>
      </c>
      <c r="C46" s="263" t="s">
        <v>759</v>
      </c>
      <c r="D46" s="264">
        <v>3</v>
      </c>
      <c r="E46" s="264">
        <v>32</v>
      </c>
      <c r="F46" s="264">
        <v>1</v>
      </c>
      <c r="G46" s="267">
        <v>6</v>
      </c>
      <c r="H46" s="266">
        <f>SUM(D46:G46)</f>
        <v>42</v>
      </c>
      <c r="K46" s="37"/>
      <c r="L46" s="37"/>
    </row>
    <row r="47" spans="1:20">
      <c r="A47" s="202"/>
      <c r="B47" s="262">
        <v>44498</v>
      </c>
      <c r="C47" s="263" t="s">
        <v>975</v>
      </c>
      <c r="D47" s="264">
        <v>6</v>
      </c>
      <c r="E47" s="264">
        <v>12</v>
      </c>
      <c r="F47" s="264">
        <v>0</v>
      </c>
      <c r="G47" s="265">
        <v>2</v>
      </c>
      <c r="H47" s="266">
        <f t="shared" ref="H47:H48" si="7">SUM(D47:G47)</f>
        <v>20</v>
      </c>
      <c r="K47" s="37"/>
      <c r="L47" s="37"/>
    </row>
    <row r="48" spans="1:20">
      <c r="A48" s="202"/>
      <c r="B48" s="262">
        <v>44499</v>
      </c>
      <c r="C48" s="263" t="s">
        <v>972</v>
      </c>
      <c r="D48" s="264">
        <v>12</v>
      </c>
      <c r="E48" s="264">
        <v>18</v>
      </c>
      <c r="F48" s="264">
        <v>0</v>
      </c>
      <c r="G48" s="267">
        <v>2</v>
      </c>
      <c r="H48" s="266">
        <f t="shared" si="7"/>
        <v>32</v>
      </c>
      <c r="K48" s="37"/>
      <c r="L48" s="37"/>
    </row>
    <row r="49" spans="1:12">
      <c r="A49" s="202"/>
      <c r="B49" s="303" t="s">
        <v>973</v>
      </c>
      <c r="C49" s="304"/>
      <c r="D49" s="300">
        <f>SUM(D44:D48)</f>
        <v>25</v>
      </c>
      <c r="E49" s="300">
        <f t="shared" ref="E49:G49" si="8">SUM(E44:E48)</f>
        <v>106</v>
      </c>
      <c r="F49" s="300">
        <f t="shared" si="8"/>
        <v>1</v>
      </c>
      <c r="G49" s="300">
        <f t="shared" si="8"/>
        <v>16</v>
      </c>
      <c r="H49" s="305">
        <f>SUM(H44:H48)</f>
        <v>148</v>
      </c>
      <c r="K49" s="37"/>
      <c r="L49" s="37"/>
    </row>
    <row r="50" spans="1:12" ht="21" customHeight="1" thickBot="1">
      <c r="A50" s="202"/>
      <c r="B50" s="257" t="s">
        <v>974</v>
      </c>
      <c r="C50" s="258"/>
      <c r="D50" s="259">
        <f>SUM(D43,D49)</f>
        <v>37</v>
      </c>
      <c r="E50" s="259">
        <f t="shared" ref="E50:H50" si="9">SUM(E43,E49)</f>
        <v>115</v>
      </c>
      <c r="F50" s="259">
        <f t="shared" si="9"/>
        <v>4</v>
      </c>
      <c r="G50" s="260">
        <f t="shared" si="9"/>
        <v>20</v>
      </c>
      <c r="H50" s="261">
        <f t="shared" si="9"/>
        <v>176</v>
      </c>
      <c r="K50" s="37"/>
      <c r="L50" s="37"/>
    </row>
    <row r="51" spans="1:12" ht="15.75" hidden="1" thickBot="1">
      <c r="A51" s="202"/>
      <c r="B51" s="213"/>
      <c r="C51" s="214"/>
      <c r="D51" s="196"/>
      <c r="E51" s="196"/>
      <c r="F51" s="196"/>
      <c r="G51" s="209"/>
      <c r="H51" s="232"/>
      <c r="K51" s="37"/>
      <c r="L51" s="37"/>
    </row>
    <row r="52" spans="1:12" ht="15.75" hidden="1" thickBot="1">
      <c r="A52" s="202"/>
      <c r="B52" s="213"/>
      <c r="C52" s="214"/>
      <c r="D52" s="196"/>
      <c r="E52" s="196"/>
      <c r="F52" s="196"/>
      <c r="G52" s="209"/>
      <c r="H52" s="232"/>
      <c r="K52" s="37"/>
      <c r="L52" s="37"/>
    </row>
    <row r="53" spans="1:12" ht="15.75" hidden="1" thickBot="1">
      <c r="A53" s="202"/>
      <c r="B53" s="306"/>
      <c r="C53" s="307"/>
      <c r="D53" s="308"/>
      <c r="E53" s="308"/>
      <c r="F53" s="308"/>
      <c r="G53" s="309"/>
      <c r="H53" s="310"/>
      <c r="K53" s="37"/>
      <c r="L53" s="37"/>
    </row>
    <row r="54" spans="1:12">
      <c r="B54" s="311"/>
      <c r="C54" s="311"/>
      <c r="D54" s="256"/>
      <c r="E54" s="256"/>
      <c r="F54" s="256"/>
      <c r="G54" s="256"/>
      <c r="H54" s="256"/>
    </row>
  </sheetData>
  <mergeCells count="14">
    <mergeCell ref="B2:P2"/>
    <mergeCell ref="B3:M3"/>
    <mergeCell ref="B5:B8"/>
    <mergeCell ref="L5:L8"/>
    <mergeCell ref="M5:P5"/>
    <mergeCell ref="C5:C8"/>
    <mergeCell ref="K5:K8"/>
    <mergeCell ref="D5:J7"/>
    <mergeCell ref="M6:N7"/>
    <mergeCell ref="O6:P7"/>
    <mergeCell ref="B32:C32"/>
    <mergeCell ref="B36:B39"/>
    <mergeCell ref="C36:C39"/>
    <mergeCell ref="D36:H38"/>
  </mergeCells>
  <phoneticPr fontId="77" type="noConversion"/>
  <pageMargins left="0.7" right="0.7" top="0.75" bottom="0.75" header="0.3" footer="0.3"/>
  <pageSetup paperSize="9" scale="61" fitToHeight="0" orientation="landscape"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79998168889431442"/>
  </sheetPr>
  <dimension ref="A1:BA22"/>
  <sheetViews>
    <sheetView showGridLines="0" zoomScale="90" zoomScaleNormal="90" zoomScaleSheetLayoutView="100" workbookViewId="0">
      <pane xSplit="7" ySplit="3" topLeftCell="H4" activePane="bottomRight" state="frozen"/>
      <selection activeCell="D43" sqref="D43"/>
      <selection pane="topRight" activeCell="D43" sqref="D43"/>
      <selection pane="bottomLeft" activeCell="D43" sqref="D43"/>
      <selection pane="bottomRight" activeCell="B4" sqref="B4:C5"/>
    </sheetView>
  </sheetViews>
  <sheetFormatPr defaultColWidth="9" defaultRowHeight="13.5"/>
  <cols>
    <col min="1" max="1" width="1.125" style="6" customWidth="1"/>
    <col min="2" max="2" width="7" style="6" customWidth="1"/>
    <col min="3" max="3" width="6" style="32" bestFit="1" customWidth="1"/>
    <col min="4" max="4" width="4.75" style="6" bestFit="1" customWidth="1"/>
    <col min="5" max="5" width="6.25" style="6" customWidth="1"/>
    <col min="6" max="6" width="9.125" style="33" customWidth="1"/>
    <col min="7" max="7" width="9.5" style="34" customWidth="1"/>
    <col min="8" max="38" width="4.75" style="7" customWidth="1"/>
    <col min="39" max="39" width="9" style="7" customWidth="1"/>
    <col min="40" max="40" width="6.25" style="8" customWidth="1"/>
    <col min="41" max="41" width="5.5" style="8" customWidth="1"/>
    <col min="42" max="42" width="4.75" style="8" customWidth="1"/>
    <col min="43" max="44" width="4.25" style="8" customWidth="1"/>
    <col min="45" max="45" width="5.25" style="8" bestFit="1" customWidth="1"/>
    <col min="46" max="52" width="4.25" style="8" bestFit="1" customWidth="1"/>
    <col min="53" max="53" width="6.75" style="9" customWidth="1"/>
    <col min="54" max="16384" width="9" style="6"/>
  </cols>
  <sheetData>
    <row r="1" spans="1:53" ht="32.25" customHeight="1">
      <c r="B1" s="558" t="s">
        <v>329</v>
      </c>
      <c r="C1" s="558"/>
      <c r="D1" s="558"/>
      <c r="E1" s="558"/>
      <c r="F1" s="558"/>
      <c r="G1" s="558"/>
      <c r="H1" s="558"/>
      <c r="S1" s="103">
        <v>43556</v>
      </c>
    </row>
    <row r="2" spans="1:53" ht="23.25" customHeight="1">
      <c r="A2" s="7"/>
      <c r="B2" s="559" t="s">
        <v>55</v>
      </c>
      <c r="C2" s="559"/>
      <c r="D2" s="559"/>
      <c r="E2" s="559"/>
      <c r="F2" s="559"/>
      <c r="G2" s="559"/>
      <c r="I2" s="66"/>
      <c r="J2" s="53" t="s">
        <v>28</v>
      </c>
      <c r="K2" s="45" t="s">
        <v>8</v>
      </c>
      <c r="L2" s="65" t="s">
        <v>19</v>
      </c>
      <c r="M2" s="65" t="s">
        <v>29</v>
      </c>
      <c r="N2" s="64" t="s">
        <v>13</v>
      </c>
      <c r="O2" s="64" t="s">
        <v>30</v>
      </c>
      <c r="P2" s="64" t="s">
        <v>31</v>
      </c>
      <c r="Q2" s="54" t="s">
        <v>20</v>
      </c>
      <c r="R2" s="63" t="s">
        <v>17</v>
      </c>
      <c r="S2" s="62" t="s">
        <v>15</v>
      </c>
      <c r="T2" s="62" t="s">
        <v>16</v>
      </c>
      <c r="U2" s="62" t="s">
        <v>32</v>
      </c>
      <c r="V2" s="61" t="s">
        <v>7</v>
      </c>
      <c r="W2" s="52" t="s">
        <v>33</v>
      </c>
      <c r="X2" s="60" t="s">
        <v>34</v>
      </c>
      <c r="Y2" s="59" t="s">
        <v>18</v>
      </c>
      <c r="Z2" s="58" t="s">
        <v>35</v>
      </c>
      <c r="AA2" s="58" t="s">
        <v>36</v>
      </c>
      <c r="AB2" s="57" t="s">
        <v>37</v>
      </c>
      <c r="AC2" s="57" t="s">
        <v>38</v>
      </c>
      <c r="AF2" s="7" t="s">
        <v>56</v>
      </c>
      <c r="AG2" s="35" t="s">
        <v>57</v>
      </c>
      <c r="AH2" s="35"/>
      <c r="AI2" s="35"/>
      <c r="AJ2" s="35"/>
      <c r="AK2" s="35"/>
      <c r="AL2" s="35"/>
      <c r="AM2" s="35"/>
    </row>
    <row r="3" spans="1:53" ht="9" customHeight="1" thickBot="1">
      <c r="B3" s="10"/>
      <c r="C3" s="11"/>
      <c r="D3" s="10"/>
      <c r="E3" s="10"/>
      <c r="F3" s="10"/>
      <c r="G3" s="71"/>
      <c r="H3" s="12"/>
    </row>
    <row r="4" spans="1:53" s="13" customFormat="1" ht="28.15" customHeight="1">
      <c r="B4" s="560" t="s">
        <v>113</v>
      </c>
      <c r="C4" s="561"/>
      <c r="D4" s="564" t="s">
        <v>114</v>
      </c>
      <c r="E4" s="561" t="s">
        <v>115</v>
      </c>
      <c r="F4" s="566" t="s">
        <v>116</v>
      </c>
      <c r="G4" s="568" t="s">
        <v>117</v>
      </c>
      <c r="H4" s="14">
        <v>44469</v>
      </c>
      <c r="I4" s="14">
        <v>44470</v>
      </c>
      <c r="J4" s="14">
        <v>44471</v>
      </c>
      <c r="K4" s="14">
        <v>44472</v>
      </c>
      <c r="L4" s="14">
        <v>44473</v>
      </c>
      <c r="M4" s="14">
        <v>44474</v>
      </c>
      <c r="N4" s="14">
        <v>44475</v>
      </c>
      <c r="O4" s="14">
        <v>44476</v>
      </c>
      <c r="P4" s="14">
        <v>44477</v>
      </c>
      <c r="Q4" s="14">
        <v>44478</v>
      </c>
      <c r="R4" s="14">
        <v>44479</v>
      </c>
      <c r="S4" s="14">
        <v>44480</v>
      </c>
      <c r="T4" s="14">
        <v>44481</v>
      </c>
      <c r="U4" s="14">
        <v>44482</v>
      </c>
      <c r="V4" s="14">
        <v>44483</v>
      </c>
      <c r="W4" s="14">
        <v>44484</v>
      </c>
      <c r="X4" s="14">
        <v>44485</v>
      </c>
      <c r="Y4" s="14">
        <v>44486</v>
      </c>
      <c r="Z4" s="14">
        <v>44487</v>
      </c>
      <c r="AA4" s="14">
        <v>44488</v>
      </c>
      <c r="AB4" s="14">
        <v>44489</v>
      </c>
      <c r="AC4" s="14">
        <v>44490</v>
      </c>
      <c r="AD4" s="14">
        <v>44491</v>
      </c>
      <c r="AE4" s="14">
        <v>44492</v>
      </c>
      <c r="AF4" s="14">
        <v>44493</v>
      </c>
      <c r="AG4" s="14">
        <v>44494</v>
      </c>
      <c r="AH4" s="14">
        <v>44495</v>
      </c>
      <c r="AI4" s="14">
        <v>44496</v>
      </c>
      <c r="AJ4" s="14">
        <v>44497</v>
      </c>
      <c r="AK4" s="14">
        <v>44498</v>
      </c>
      <c r="AL4" s="14">
        <v>44499</v>
      </c>
      <c r="AM4" s="554" t="s">
        <v>118</v>
      </c>
      <c r="AN4" s="556" t="s">
        <v>119</v>
      </c>
      <c r="AO4" s="556"/>
      <c r="AP4" s="556"/>
      <c r="AQ4" s="556"/>
      <c r="AR4" s="556"/>
      <c r="AS4" s="556"/>
      <c r="AT4" s="556"/>
      <c r="AU4" s="556"/>
      <c r="AV4" s="556"/>
      <c r="AW4" s="556"/>
      <c r="AX4" s="556"/>
      <c r="AY4" s="556"/>
      <c r="AZ4" s="556"/>
      <c r="BA4" s="557"/>
    </row>
    <row r="5" spans="1:53" s="13" customFormat="1" ht="28.15" customHeight="1" thickBot="1">
      <c r="B5" s="562"/>
      <c r="C5" s="563"/>
      <c r="D5" s="565"/>
      <c r="E5" s="563"/>
      <c r="F5" s="567"/>
      <c r="G5" s="569"/>
      <c r="H5" s="79" t="s">
        <v>46</v>
      </c>
      <c r="I5" s="79" t="s">
        <v>47</v>
      </c>
      <c r="J5" s="79" t="s">
        <v>2</v>
      </c>
      <c r="K5" s="185" t="s">
        <v>3</v>
      </c>
      <c r="L5" s="186" t="s">
        <v>4</v>
      </c>
      <c r="M5" s="79" t="s">
        <v>48</v>
      </c>
      <c r="N5" s="79" t="s">
        <v>45</v>
      </c>
      <c r="O5" s="79" t="s">
        <v>46</v>
      </c>
      <c r="P5" s="79" t="s">
        <v>47</v>
      </c>
      <c r="Q5" s="79" t="s">
        <v>2</v>
      </c>
      <c r="R5" s="185" t="s">
        <v>3</v>
      </c>
      <c r="S5" s="186" t="s">
        <v>4</v>
      </c>
      <c r="T5" s="79" t="s">
        <v>48</v>
      </c>
      <c r="U5" s="79" t="s">
        <v>45</v>
      </c>
      <c r="V5" s="79" t="s">
        <v>46</v>
      </c>
      <c r="W5" s="79" t="s">
        <v>47</v>
      </c>
      <c r="X5" s="79" t="s">
        <v>2</v>
      </c>
      <c r="Y5" s="185" t="s">
        <v>3</v>
      </c>
      <c r="Z5" s="186" t="s">
        <v>4</v>
      </c>
      <c r="AA5" s="187" t="s">
        <v>48</v>
      </c>
      <c r="AB5" s="79" t="s">
        <v>45</v>
      </c>
      <c r="AC5" s="79" t="s">
        <v>46</v>
      </c>
      <c r="AD5" s="187" t="s">
        <v>134</v>
      </c>
      <c r="AE5" s="79" t="s">
        <v>135</v>
      </c>
      <c r="AF5" s="185" t="s">
        <v>3</v>
      </c>
      <c r="AG5" s="186" t="s">
        <v>4</v>
      </c>
      <c r="AH5" s="187" t="s">
        <v>48</v>
      </c>
      <c r="AI5" s="79" t="s">
        <v>45</v>
      </c>
      <c r="AJ5" s="79" t="s">
        <v>46</v>
      </c>
      <c r="AK5" s="187" t="s">
        <v>134</v>
      </c>
      <c r="AL5" s="79" t="s">
        <v>330</v>
      </c>
      <c r="AM5" s="555"/>
      <c r="AN5" s="56" t="s">
        <v>28</v>
      </c>
      <c r="AO5" s="15" t="s">
        <v>120</v>
      </c>
      <c r="AP5" s="16" t="s">
        <v>121</v>
      </c>
      <c r="AQ5" s="17" t="s">
        <v>122</v>
      </c>
      <c r="AR5" s="17" t="s">
        <v>123</v>
      </c>
      <c r="AS5" s="18" t="s">
        <v>20</v>
      </c>
      <c r="AT5" s="19" t="s">
        <v>17</v>
      </c>
      <c r="AU5" s="20" t="s">
        <v>124</v>
      </c>
      <c r="AV5" s="21" t="s">
        <v>33</v>
      </c>
      <c r="AW5" s="22" t="s">
        <v>125</v>
      </c>
      <c r="AX5" s="23" t="s">
        <v>126</v>
      </c>
      <c r="AY5" s="24" t="s">
        <v>127</v>
      </c>
      <c r="AZ5" s="25" t="s">
        <v>128</v>
      </c>
      <c r="BA5" s="26" t="s">
        <v>129</v>
      </c>
    </row>
    <row r="6" spans="1:53" s="28" customFormat="1" ht="17.25" customHeight="1">
      <c r="B6" s="549" t="s">
        <v>336</v>
      </c>
      <c r="C6" s="550"/>
      <c r="D6" s="105" t="s">
        <v>96</v>
      </c>
      <c r="E6" s="106" t="s">
        <v>92</v>
      </c>
      <c r="F6" s="107" t="s">
        <v>43</v>
      </c>
      <c r="G6" s="181" t="s">
        <v>95</v>
      </c>
      <c r="H6" s="45"/>
      <c r="I6" s="45"/>
      <c r="J6" s="45"/>
      <c r="K6" s="45"/>
      <c r="L6" s="45"/>
      <c r="M6" s="45"/>
      <c r="N6" s="45"/>
      <c r="O6" s="45"/>
      <c r="P6" s="45"/>
      <c r="Q6" s="45"/>
      <c r="R6" s="45"/>
      <c r="S6" s="45"/>
      <c r="T6" s="45"/>
      <c r="U6" s="45"/>
      <c r="V6" s="45"/>
      <c r="W6" s="45"/>
      <c r="X6" s="45"/>
      <c r="Y6" s="45"/>
      <c r="Z6" s="45"/>
      <c r="AA6" s="53" t="s">
        <v>28</v>
      </c>
      <c r="AB6" s="53" t="s">
        <v>28</v>
      </c>
      <c r="AC6" s="53" t="s">
        <v>28</v>
      </c>
      <c r="AD6" s="53" t="s">
        <v>28</v>
      </c>
      <c r="AE6" s="53" t="s">
        <v>28</v>
      </c>
      <c r="AF6" s="45" t="s">
        <v>8</v>
      </c>
      <c r="AG6" s="45" t="s">
        <v>8</v>
      </c>
      <c r="AH6" s="53" t="s">
        <v>28</v>
      </c>
      <c r="AI6" s="53" t="s">
        <v>28</v>
      </c>
      <c r="AJ6" s="53" t="s">
        <v>28</v>
      </c>
      <c r="AK6" s="53" t="s">
        <v>28</v>
      </c>
      <c r="AL6" s="53" t="s">
        <v>28</v>
      </c>
      <c r="AM6" s="110" t="s">
        <v>108</v>
      </c>
      <c r="AN6" s="184">
        <f t="shared" ref="AN6:AN9" si="0">COUNTIF(H6:AL6,"출근")</f>
        <v>10</v>
      </c>
      <c r="AO6" s="184">
        <f t="shared" ref="AO6:AO9" si="1">COUNTIF(H6:AL6,"휴무")</f>
        <v>2</v>
      </c>
      <c r="AP6" s="184">
        <f t="shared" ref="AP6:AP9" si="2">COUNTIF(H6:AL6,"연차")+COUNTIF(H6:AL6,"반차")*0.5</f>
        <v>0</v>
      </c>
      <c r="AQ6" s="184">
        <f t="shared" ref="AQ6:AQ9" si="3">COUNTIF(H6:AL6,"결연")+COUNTIF(H6:AL6,"결반")</f>
        <v>0</v>
      </c>
      <c r="AR6" s="184">
        <f t="shared" ref="AR6:AR9" si="4">COUNTIF(H6:AL6,"결근")</f>
        <v>0</v>
      </c>
      <c r="AS6" s="184">
        <f t="shared" ref="AS6:AS9" si="5">COUNTIF(H6:AL6,"당직")</f>
        <v>0</v>
      </c>
      <c r="AT6" s="184">
        <f t="shared" ref="AT6:AT9" si="6">COUNTIF(H6:AL6,"대휴")</f>
        <v>0</v>
      </c>
      <c r="AU6" s="184">
        <f t="shared" ref="AU6:AU9" si="7">COUNTIF(H6:AL6,"지각")+COUNTIF(H6:AL6,"조퇴")+COUNTIF(H6:AL6,"외출")</f>
        <v>0</v>
      </c>
      <c r="AV6" s="46">
        <f t="shared" ref="AV6:AV9" si="8">COUNTIF(I6:AL6,"입문")</f>
        <v>0</v>
      </c>
      <c r="AW6" s="184">
        <f t="shared" ref="AW6:AW9" si="9">COUNTIF(H6:AL6,"교육")+COUNTIF(H6:AL6,"훈련")</f>
        <v>0</v>
      </c>
      <c r="AX6" s="184">
        <f t="shared" ref="AX6:AX9" si="10">COUNTIF(H6:AL6,"경조")</f>
        <v>0</v>
      </c>
      <c r="AY6" s="184">
        <f t="shared" ref="AY6:AY9" si="11">COUNTIF(H6:AL6,"병가(무)")+COUNTIF(H6:AL6,"병가(유)")</f>
        <v>0</v>
      </c>
      <c r="AZ6" s="184">
        <f t="shared" ref="AZ6:AZ9" si="12">COUNTIF(H6:AL6,"출산")+COUNTIF(H6:AL6,"육아")</f>
        <v>0</v>
      </c>
      <c r="BA6" s="55">
        <f t="shared" ref="BA6:BA9" si="13">SUM(AN6:AZ6)+COUNTIF(H6:AL6,"반차")*0.5</f>
        <v>12</v>
      </c>
    </row>
    <row r="7" spans="1:53" s="28" customFormat="1" ht="17.25" customHeight="1">
      <c r="B7" s="549"/>
      <c r="C7" s="550"/>
      <c r="D7" s="105" t="s">
        <v>130</v>
      </c>
      <c r="E7" s="106" t="s">
        <v>92</v>
      </c>
      <c r="F7" s="107" t="s">
        <v>43</v>
      </c>
      <c r="G7" s="108" t="s">
        <v>334</v>
      </c>
      <c r="H7" s="45"/>
      <c r="I7" s="45"/>
      <c r="J7" s="45"/>
      <c r="K7" s="45"/>
      <c r="L7" s="45"/>
      <c r="M7" s="45"/>
      <c r="N7" s="45"/>
      <c r="O7" s="45"/>
      <c r="P7" s="45"/>
      <c r="Q7" s="45"/>
      <c r="R7" s="45"/>
      <c r="S7" s="45"/>
      <c r="T7" s="45"/>
      <c r="U7" s="45"/>
      <c r="V7" s="45"/>
      <c r="W7" s="45"/>
      <c r="X7" s="45"/>
      <c r="Y7" s="45"/>
      <c r="Z7" s="45"/>
      <c r="AA7" s="53" t="s">
        <v>28</v>
      </c>
      <c r="AB7" s="53" t="s">
        <v>28</v>
      </c>
      <c r="AC7" s="53" t="s">
        <v>28</v>
      </c>
      <c r="AD7" s="53" t="s">
        <v>28</v>
      </c>
      <c r="AE7" s="53" t="s">
        <v>28</v>
      </c>
      <c r="AF7" s="45" t="s">
        <v>8</v>
      </c>
      <c r="AG7" s="45" t="s">
        <v>8</v>
      </c>
      <c r="AH7" s="53" t="s">
        <v>28</v>
      </c>
      <c r="AI7" s="53" t="s">
        <v>28</v>
      </c>
      <c r="AJ7" s="53" t="s">
        <v>28</v>
      </c>
      <c r="AK7" s="53" t="s">
        <v>28</v>
      </c>
      <c r="AL7" s="53" t="s">
        <v>28</v>
      </c>
      <c r="AM7" s="69">
        <v>43557</v>
      </c>
      <c r="AN7" s="46">
        <f t="shared" si="0"/>
        <v>10</v>
      </c>
      <c r="AO7" s="46">
        <f t="shared" si="1"/>
        <v>2</v>
      </c>
      <c r="AP7" s="46">
        <f t="shared" si="2"/>
        <v>0</v>
      </c>
      <c r="AQ7" s="46">
        <f t="shared" si="3"/>
        <v>0</v>
      </c>
      <c r="AR7" s="46">
        <f t="shared" si="4"/>
        <v>0</v>
      </c>
      <c r="AS7" s="184">
        <f t="shared" si="5"/>
        <v>0</v>
      </c>
      <c r="AT7" s="46">
        <f t="shared" si="6"/>
        <v>0</v>
      </c>
      <c r="AU7" s="46">
        <f t="shared" si="7"/>
        <v>0</v>
      </c>
      <c r="AV7" s="29">
        <f t="shared" si="8"/>
        <v>0</v>
      </c>
      <c r="AW7" s="46">
        <f t="shared" si="9"/>
        <v>0</v>
      </c>
      <c r="AX7" s="46">
        <f t="shared" si="10"/>
        <v>0</v>
      </c>
      <c r="AY7" s="46">
        <f t="shared" si="11"/>
        <v>0</v>
      </c>
      <c r="AZ7" s="46">
        <f t="shared" si="12"/>
        <v>0</v>
      </c>
      <c r="BA7" s="30">
        <f t="shared" si="13"/>
        <v>12</v>
      </c>
    </row>
    <row r="8" spans="1:53" s="28" customFormat="1" ht="17.25" customHeight="1">
      <c r="B8" s="549"/>
      <c r="C8" s="550"/>
      <c r="D8" s="105" t="s">
        <v>130</v>
      </c>
      <c r="E8" s="106" t="s">
        <v>92</v>
      </c>
      <c r="F8" s="109" t="s">
        <v>43</v>
      </c>
      <c r="G8" s="108" t="s">
        <v>335</v>
      </c>
      <c r="H8" s="45"/>
      <c r="I8" s="45"/>
      <c r="J8" s="45"/>
      <c r="K8" s="45"/>
      <c r="L8" s="45"/>
      <c r="M8" s="45"/>
      <c r="N8" s="45"/>
      <c r="O8" s="45"/>
      <c r="P8" s="45"/>
      <c r="Q8" s="45"/>
      <c r="R8" s="45"/>
      <c r="S8" s="45"/>
      <c r="T8" s="45"/>
      <c r="U8" s="45"/>
      <c r="V8" s="45"/>
      <c r="W8" s="45"/>
      <c r="X8" s="45"/>
      <c r="Y8" s="45"/>
      <c r="Z8" s="45"/>
      <c r="AA8" s="53" t="s">
        <v>28</v>
      </c>
      <c r="AB8" s="53" t="s">
        <v>28</v>
      </c>
      <c r="AC8" s="53" t="s">
        <v>28</v>
      </c>
      <c r="AD8" s="53" t="s">
        <v>28</v>
      </c>
      <c r="AE8" s="53" t="s">
        <v>28</v>
      </c>
      <c r="AF8" s="45" t="s">
        <v>8</v>
      </c>
      <c r="AG8" s="45" t="s">
        <v>8</v>
      </c>
      <c r="AH8" s="53" t="s">
        <v>28</v>
      </c>
      <c r="AI8" s="53" t="s">
        <v>28</v>
      </c>
      <c r="AJ8" s="53" t="s">
        <v>28</v>
      </c>
      <c r="AK8" s="53" t="s">
        <v>28</v>
      </c>
      <c r="AL8" s="53" t="s">
        <v>28</v>
      </c>
      <c r="AM8" s="69">
        <v>44245</v>
      </c>
      <c r="AN8" s="46">
        <f t="shared" si="0"/>
        <v>10</v>
      </c>
      <c r="AO8" s="46">
        <f t="shared" si="1"/>
        <v>2</v>
      </c>
      <c r="AP8" s="46">
        <f t="shared" si="2"/>
        <v>0</v>
      </c>
      <c r="AQ8" s="46">
        <f t="shared" si="3"/>
        <v>0</v>
      </c>
      <c r="AR8" s="46">
        <f t="shared" si="4"/>
        <v>0</v>
      </c>
      <c r="AS8" s="184">
        <f t="shared" si="5"/>
        <v>0</v>
      </c>
      <c r="AT8" s="46">
        <f t="shared" si="6"/>
        <v>0</v>
      </c>
      <c r="AU8" s="46">
        <f t="shared" si="7"/>
        <v>0</v>
      </c>
      <c r="AV8" s="29">
        <f t="shared" si="8"/>
        <v>0</v>
      </c>
      <c r="AW8" s="46">
        <f t="shared" si="9"/>
        <v>0</v>
      </c>
      <c r="AX8" s="46">
        <f t="shared" si="10"/>
        <v>0</v>
      </c>
      <c r="AY8" s="46">
        <f t="shared" si="11"/>
        <v>0</v>
      </c>
      <c r="AZ8" s="46">
        <f t="shared" si="12"/>
        <v>0</v>
      </c>
      <c r="BA8" s="30">
        <f t="shared" si="13"/>
        <v>12</v>
      </c>
    </row>
    <row r="9" spans="1:53" s="28" customFormat="1" ht="17.25" hidden="1" customHeight="1">
      <c r="B9" s="549"/>
      <c r="C9" s="550"/>
      <c r="D9" s="105"/>
      <c r="E9" s="106"/>
      <c r="F9" s="109"/>
      <c r="G9" s="108"/>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69">
        <v>43559</v>
      </c>
      <c r="AN9" s="46">
        <f t="shared" si="0"/>
        <v>0</v>
      </c>
      <c r="AO9" s="46">
        <f t="shared" si="1"/>
        <v>0</v>
      </c>
      <c r="AP9" s="46">
        <f t="shared" si="2"/>
        <v>0</v>
      </c>
      <c r="AQ9" s="46">
        <f t="shared" si="3"/>
        <v>0</v>
      </c>
      <c r="AR9" s="46">
        <f t="shared" si="4"/>
        <v>0</v>
      </c>
      <c r="AS9" s="184">
        <f t="shared" si="5"/>
        <v>0</v>
      </c>
      <c r="AT9" s="46">
        <f t="shared" si="6"/>
        <v>0</v>
      </c>
      <c r="AU9" s="46">
        <f t="shared" si="7"/>
        <v>0</v>
      </c>
      <c r="AV9" s="29">
        <f t="shared" si="8"/>
        <v>0</v>
      </c>
      <c r="AW9" s="46">
        <f t="shared" si="9"/>
        <v>0</v>
      </c>
      <c r="AX9" s="46">
        <f t="shared" si="10"/>
        <v>0</v>
      </c>
      <c r="AY9" s="46">
        <f t="shared" si="11"/>
        <v>0</v>
      </c>
      <c r="AZ9" s="46">
        <f t="shared" si="12"/>
        <v>0</v>
      </c>
      <c r="BA9" s="30">
        <f t="shared" si="13"/>
        <v>0</v>
      </c>
    </row>
    <row r="10" spans="1:53" s="28" customFormat="1" ht="24.75" customHeight="1" thickBot="1">
      <c r="B10" s="551" t="s">
        <v>337</v>
      </c>
      <c r="C10" s="552"/>
      <c r="D10" s="552"/>
      <c r="E10" s="552"/>
      <c r="F10" s="552"/>
      <c r="G10" s="553"/>
      <c r="H10" s="146">
        <f t="shared" ref="H10:AL10" si="14">COUNTIF(H6:H9,"출근")+COUNTIF(H6:H9,"당직")+COUNTIF(H6:H9,"반차")+COUNTIF(H6:H9,"결반")+COUNTIF(H6:H9,"지각")+COUNTIF(H6:H9,"조퇴")+COUNTIF(H6:H9,"외출")</f>
        <v>0</v>
      </c>
      <c r="I10" s="150">
        <f t="shared" si="14"/>
        <v>0</v>
      </c>
      <c r="J10" s="150">
        <f t="shared" si="14"/>
        <v>0</v>
      </c>
      <c r="K10" s="150">
        <f t="shared" si="14"/>
        <v>0</v>
      </c>
      <c r="L10" s="150">
        <f t="shared" si="14"/>
        <v>0</v>
      </c>
      <c r="M10" s="150">
        <f t="shared" si="14"/>
        <v>0</v>
      </c>
      <c r="N10" s="150">
        <f t="shared" si="14"/>
        <v>0</v>
      </c>
      <c r="O10" s="150">
        <f t="shared" si="14"/>
        <v>0</v>
      </c>
      <c r="P10" s="150">
        <f t="shared" si="14"/>
        <v>0</v>
      </c>
      <c r="Q10" s="150">
        <f t="shared" si="14"/>
        <v>0</v>
      </c>
      <c r="R10" s="150">
        <f t="shared" si="14"/>
        <v>0</v>
      </c>
      <c r="S10" s="151">
        <f t="shared" si="14"/>
        <v>0</v>
      </c>
      <c r="T10" s="151">
        <f t="shared" si="14"/>
        <v>0</v>
      </c>
      <c r="U10" s="151">
        <f t="shared" si="14"/>
        <v>0</v>
      </c>
      <c r="V10" s="151">
        <f t="shared" si="14"/>
        <v>0</v>
      </c>
      <c r="W10" s="151">
        <f t="shared" si="14"/>
        <v>0</v>
      </c>
      <c r="X10" s="151">
        <f t="shared" si="14"/>
        <v>0</v>
      </c>
      <c r="Y10" s="151">
        <f t="shared" si="14"/>
        <v>0</v>
      </c>
      <c r="Z10" s="151">
        <f t="shared" si="14"/>
        <v>0</v>
      </c>
      <c r="AA10" s="151">
        <f t="shared" si="14"/>
        <v>3</v>
      </c>
      <c r="AB10" s="151">
        <f t="shared" si="14"/>
        <v>3</v>
      </c>
      <c r="AC10" s="151">
        <f t="shared" si="14"/>
        <v>3</v>
      </c>
      <c r="AD10" s="151">
        <f t="shared" si="14"/>
        <v>3</v>
      </c>
      <c r="AE10" s="151">
        <f t="shared" si="14"/>
        <v>3</v>
      </c>
      <c r="AF10" s="151">
        <f t="shared" si="14"/>
        <v>0</v>
      </c>
      <c r="AG10" s="151">
        <f t="shared" si="14"/>
        <v>0</v>
      </c>
      <c r="AH10" s="151">
        <f t="shared" si="14"/>
        <v>3</v>
      </c>
      <c r="AI10" s="151">
        <f t="shared" si="14"/>
        <v>3</v>
      </c>
      <c r="AJ10" s="151">
        <f t="shared" si="14"/>
        <v>3</v>
      </c>
      <c r="AK10" s="151">
        <f t="shared" si="14"/>
        <v>3</v>
      </c>
      <c r="AL10" s="151">
        <f t="shared" si="14"/>
        <v>3</v>
      </c>
      <c r="AM10" s="31"/>
      <c r="AN10" s="27">
        <f>SUM(AN6:AN9)</f>
        <v>30</v>
      </c>
      <c r="AO10" s="27">
        <f>SUM(AO6:AO9)</f>
        <v>6</v>
      </c>
      <c r="AP10" s="27">
        <f>SUM(AP7:AP9)</f>
        <v>0</v>
      </c>
      <c r="AQ10" s="27">
        <f t="shared" ref="AQ10:AY10" si="15">SUM(AQ6:AQ9)</f>
        <v>0</v>
      </c>
      <c r="AR10" s="27">
        <f t="shared" si="15"/>
        <v>0</v>
      </c>
      <c r="AS10" s="27">
        <f t="shared" si="15"/>
        <v>0</v>
      </c>
      <c r="AT10" s="27">
        <f t="shared" si="15"/>
        <v>0</v>
      </c>
      <c r="AU10" s="27">
        <f t="shared" si="15"/>
        <v>0</v>
      </c>
      <c r="AV10" s="27">
        <f t="shared" si="15"/>
        <v>0</v>
      </c>
      <c r="AW10" s="27">
        <f t="shared" si="15"/>
        <v>0</v>
      </c>
      <c r="AX10" s="27">
        <f t="shared" si="15"/>
        <v>0</v>
      </c>
      <c r="AY10" s="27">
        <f t="shared" si="15"/>
        <v>0</v>
      </c>
      <c r="AZ10" s="27">
        <f>SUM(AZ7:AZ9)</f>
        <v>0</v>
      </c>
      <c r="BA10" s="27">
        <f>SUM(BA6:BA9)</f>
        <v>36</v>
      </c>
    </row>
    <row r="11" spans="1:53">
      <c r="B11" s="112"/>
      <c r="C11" s="113"/>
      <c r="D11" s="112"/>
      <c r="E11" s="112"/>
      <c r="F11" s="114"/>
      <c r="G11" s="115"/>
    </row>
    <row r="12" spans="1:53">
      <c r="B12" s="115"/>
    </row>
    <row r="13" spans="1:53">
      <c r="B13" s="112"/>
      <c r="C13" s="113"/>
      <c r="D13" s="112"/>
      <c r="E13" s="112"/>
      <c r="F13" s="114"/>
      <c r="G13" s="115"/>
    </row>
    <row r="18" spans="1:52">
      <c r="Y18" s="7" t="s">
        <v>90</v>
      </c>
    </row>
    <row r="20" spans="1:52" s="9" customFormat="1" ht="17.25">
      <c r="A20" s="6"/>
      <c r="B20" s="6"/>
      <c r="C20" s="32"/>
      <c r="D20" s="6"/>
      <c r="E20" s="6"/>
      <c r="F20" s="33"/>
      <c r="G20" s="34"/>
      <c r="H20" s="7"/>
      <c r="I20" s="7"/>
      <c r="J20" s="7"/>
      <c r="K20" s="7"/>
      <c r="L20" s="7"/>
      <c r="M20" s="7"/>
      <c r="N20" s="7"/>
      <c r="O20" s="7"/>
      <c r="P20" s="7"/>
      <c r="Q20" s="7"/>
      <c r="R20" s="7"/>
      <c r="S20" s="7"/>
      <c r="T20" s="7"/>
      <c r="U20" s="7"/>
      <c r="V20" s="7"/>
      <c r="W20" s="7"/>
      <c r="X20" s="7"/>
      <c r="Y20" s="7"/>
      <c r="Z20" s="7"/>
      <c r="AA20" s="7"/>
      <c r="AB20" s="7"/>
      <c r="AC20" s="7"/>
      <c r="AD20" s="7"/>
      <c r="AE20" s="7"/>
      <c r="AF20" s="7"/>
      <c r="AG20" s="7"/>
      <c r="AH20" s="7"/>
      <c r="AI20" s="7"/>
      <c r="AJ20" s="7"/>
      <c r="AK20" s="7"/>
      <c r="AL20" s="7"/>
      <c r="AM20" s="7"/>
      <c r="AN20" s="8"/>
      <c r="AO20" s="8"/>
      <c r="AP20" s="48"/>
      <c r="AQ20" s="50"/>
      <c r="AR20" s="49"/>
      <c r="AS20" s="48"/>
      <c r="AT20" s="48"/>
      <c r="AU20" s="48"/>
      <c r="AV20" s="48"/>
      <c r="AW20" s="48"/>
      <c r="AX20" s="48"/>
      <c r="AY20" s="47"/>
      <c r="AZ20" s="47"/>
    </row>
    <row r="21" spans="1:52" s="9" customFormat="1" ht="17.25">
      <c r="A21" s="6"/>
      <c r="B21" s="6"/>
      <c r="C21" s="51"/>
      <c r="D21" s="48"/>
      <c r="E21" s="48"/>
      <c r="F21" s="50"/>
      <c r="G21" s="49"/>
      <c r="H21" s="48"/>
      <c r="I21" s="48"/>
      <c r="J21" s="48"/>
      <c r="K21" s="48"/>
      <c r="L21" s="48"/>
      <c r="M21" s="48"/>
      <c r="N21" s="47"/>
      <c r="O21" s="47"/>
      <c r="P21" s="47"/>
      <c r="Q21" s="7"/>
      <c r="R21" s="7"/>
      <c r="S21" s="7"/>
      <c r="T21" s="7"/>
      <c r="U21" s="7"/>
      <c r="V21" s="7"/>
      <c r="W21" s="7"/>
      <c r="X21" s="7"/>
      <c r="Y21" s="7"/>
      <c r="Z21" s="7"/>
      <c r="AA21" s="7"/>
      <c r="AB21" s="7"/>
      <c r="AC21" s="7"/>
      <c r="AD21" s="7"/>
      <c r="AE21" s="7"/>
      <c r="AF21" s="7"/>
      <c r="AG21" s="7"/>
      <c r="AH21" s="7"/>
      <c r="AI21" s="7"/>
      <c r="AJ21" s="7"/>
      <c r="AK21" s="7"/>
      <c r="AL21" s="7"/>
      <c r="AM21" s="7"/>
      <c r="AN21" s="8"/>
      <c r="AO21" s="8"/>
      <c r="AP21" s="8"/>
      <c r="AQ21" s="6"/>
      <c r="AR21" s="33"/>
      <c r="AS21" s="34"/>
      <c r="AT21" s="8"/>
      <c r="AU21" s="8"/>
      <c r="AV21" s="8"/>
      <c r="AW21" s="8"/>
      <c r="AX21" s="8"/>
      <c r="AY21" s="8"/>
      <c r="AZ21" s="8"/>
    </row>
    <row r="22" spans="1:52">
      <c r="AG22" s="7" t="s">
        <v>110</v>
      </c>
    </row>
  </sheetData>
  <mergeCells count="11">
    <mergeCell ref="B6:C9"/>
    <mergeCell ref="B10:G10"/>
    <mergeCell ref="AM4:AM5"/>
    <mergeCell ref="AN4:BA4"/>
    <mergeCell ref="B1:H1"/>
    <mergeCell ref="B2:G2"/>
    <mergeCell ref="B4:C5"/>
    <mergeCell ref="D4:D5"/>
    <mergeCell ref="E4:E5"/>
    <mergeCell ref="F4:F5"/>
    <mergeCell ref="G4:G5"/>
  </mergeCells>
  <phoneticPr fontId="19" type="noConversion"/>
  <conditionalFormatting sqref="N2">
    <cfRule type="containsText" dxfId="87" priority="529" operator="containsText" text="교육">
      <formula>NOT(ISERROR(SEARCH("교육",N2)))</formula>
    </cfRule>
    <cfRule type="containsText" dxfId="86" priority="530" stopIfTrue="1" operator="containsText" text="연차">
      <formula>NOT(ISERROR(SEARCH("연차",N2)))</formula>
    </cfRule>
    <cfRule type="containsText" dxfId="85" priority="531" stopIfTrue="1" operator="containsText" text="만근">
      <formula>NOT(ISERROR(SEARCH("만근",N2)))</formula>
    </cfRule>
    <cfRule type="containsText" dxfId="84" priority="532" stopIfTrue="1" operator="containsText" text="대휴">
      <formula>NOT(ISERROR(SEARCH("대휴",N2)))</formula>
    </cfRule>
    <cfRule type="containsText" dxfId="83" priority="533" stopIfTrue="1" operator="containsText" text="경조">
      <formula>NOT(ISERROR(SEARCH("경조",N2)))</formula>
    </cfRule>
    <cfRule type="containsText" dxfId="82" priority="534" stopIfTrue="1" operator="containsText" text="결근">
      <formula>NOT(ISERROR(SEARCH("결근",N2)))</formula>
    </cfRule>
    <cfRule type="containsText" dxfId="81" priority="535" stopIfTrue="1" operator="containsText" text="훈련">
      <formula>NOT(ISERROR(SEARCH("훈련",N2)))</formula>
    </cfRule>
    <cfRule type="containsText" dxfId="80" priority="536" stopIfTrue="1" operator="containsText" text="병가">
      <formula>NOT(ISERROR(SEARCH("병가",N2)))</formula>
    </cfRule>
  </conditionalFormatting>
  <conditionalFormatting sqref="I1:M1">
    <cfRule type="containsText" dxfId="79" priority="521" operator="containsText" text="교육">
      <formula>NOT(ISERROR(SEARCH("교육",I1)))</formula>
    </cfRule>
    <cfRule type="containsText" dxfId="78" priority="522" stopIfTrue="1" operator="containsText" text="연차">
      <formula>NOT(ISERROR(SEARCH("연차",I1)))</formula>
    </cfRule>
    <cfRule type="containsText" dxfId="77" priority="523" stopIfTrue="1" operator="containsText" text="만근">
      <formula>NOT(ISERROR(SEARCH("만근",I1)))</formula>
    </cfRule>
    <cfRule type="containsText" dxfId="76" priority="524" stopIfTrue="1" operator="containsText" text="대휴">
      <formula>NOT(ISERROR(SEARCH("대휴",I1)))</formula>
    </cfRule>
    <cfRule type="containsText" dxfId="75" priority="525" stopIfTrue="1" operator="containsText" text="경조">
      <formula>NOT(ISERROR(SEARCH("경조",I1)))</formula>
    </cfRule>
    <cfRule type="containsText" dxfId="74" priority="526" stopIfTrue="1" operator="containsText" text="결근">
      <formula>NOT(ISERROR(SEARCH("결근",I1)))</formula>
    </cfRule>
    <cfRule type="containsText" dxfId="73" priority="527" stopIfTrue="1" operator="containsText" text="훈련">
      <formula>NOT(ISERROR(SEARCH("훈련",I1)))</formula>
    </cfRule>
    <cfRule type="containsText" dxfId="72" priority="528" stopIfTrue="1" operator="containsText" text="병가">
      <formula>NOT(ISERROR(SEARCH("병가",I1)))</formula>
    </cfRule>
  </conditionalFormatting>
  <conditionalFormatting sqref="H2">
    <cfRule type="containsText" dxfId="71" priority="513" operator="containsText" text="교육">
      <formula>NOT(ISERROR(SEARCH("교육",H2)))</formula>
    </cfRule>
    <cfRule type="containsText" dxfId="70" priority="514" stopIfTrue="1" operator="containsText" text="연차">
      <formula>NOT(ISERROR(SEARCH("연차",H2)))</formula>
    </cfRule>
    <cfRule type="containsText" dxfId="69" priority="515" stopIfTrue="1" operator="containsText" text="만근">
      <formula>NOT(ISERROR(SEARCH("만근",H2)))</formula>
    </cfRule>
    <cfRule type="containsText" dxfId="68" priority="516" stopIfTrue="1" operator="containsText" text="대휴">
      <formula>NOT(ISERROR(SEARCH("대휴",H2)))</formula>
    </cfRule>
    <cfRule type="containsText" dxfId="67" priority="517" stopIfTrue="1" operator="containsText" text="경조">
      <formula>NOT(ISERROR(SEARCH("경조",H2)))</formula>
    </cfRule>
    <cfRule type="containsText" dxfId="66" priority="518" stopIfTrue="1" operator="containsText" text="결근">
      <formula>NOT(ISERROR(SEARCH("결근",H2)))</formula>
    </cfRule>
    <cfRule type="containsText" dxfId="65" priority="519" stopIfTrue="1" operator="containsText" text="훈련">
      <formula>NOT(ISERROR(SEARCH("훈련",H2)))</formula>
    </cfRule>
    <cfRule type="containsText" dxfId="64" priority="520" stopIfTrue="1" operator="containsText" text="병가">
      <formula>NOT(ISERROR(SEARCH("병가",H2)))</formula>
    </cfRule>
  </conditionalFormatting>
  <conditionalFormatting sqref="H10:AL10">
    <cfRule type="containsText" dxfId="63" priority="89" operator="containsText" text="교육">
      <formula>NOT(ISERROR(SEARCH("교육",H10)))</formula>
    </cfRule>
    <cfRule type="containsText" dxfId="62" priority="90" stopIfTrue="1" operator="containsText" text="연차">
      <formula>NOT(ISERROR(SEARCH("연차",H10)))</formula>
    </cfRule>
    <cfRule type="containsText" dxfId="61" priority="91" stopIfTrue="1" operator="containsText" text="만근">
      <formula>NOT(ISERROR(SEARCH("만근",H10)))</formula>
    </cfRule>
    <cfRule type="containsText" dxfId="60" priority="92" stopIfTrue="1" operator="containsText" text="대휴">
      <formula>NOT(ISERROR(SEARCH("대휴",H10)))</formula>
    </cfRule>
    <cfRule type="containsText" dxfId="59" priority="93" stopIfTrue="1" operator="containsText" text="경조">
      <formula>NOT(ISERROR(SEARCH("경조",H10)))</formula>
    </cfRule>
    <cfRule type="containsText" dxfId="58" priority="94" stopIfTrue="1" operator="containsText" text="결근">
      <formula>NOT(ISERROR(SEARCH("결근",H10)))</formula>
    </cfRule>
    <cfRule type="containsText" dxfId="57" priority="95" stopIfTrue="1" operator="containsText" text="훈련">
      <formula>NOT(ISERROR(SEARCH("훈련",H10)))</formula>
    </cfRule>
    <cfRule type="containsText" dxfId="56" priority="96" stopIfTrue="1" operator="containsText" text="병가">
      <formula>NOT(ISERROR(SEARCH("병가",H10)))</formula>
    </cfRule>
  </conditionalFormatting>
  <conditionalFormatting sqref="AN10:AU10 AW10:AZ10">
    <cfRule type="containsText" dxfId="55" priority="81" operator="containsText" text="교육">
      <formula>NOT(ISERROR(SEARCH("교육",AN10)))</formula>
    </cfRule>
    <cfRule type="containsText" dxfId="54" priority="82" stopIfTrue="1" operator="containsText" text="연차">
      <formula>NOT(ISERROR(SEARCH("연차",AN10)))</formula>
    </cfRule>
    <cfRule type="containsText" dxfId="53" priority="83" stopIfTrue="1" operator="containsText" text="만근">
      <formula>NOT(ISERROR(SEARCH("만근",AN10)))</formula>
    </cfRule>
    <cfRule type="containsText" dxfId="52" priority="84" stopIfTrue="1" operator="containsText" text="대휴">
      <formula>NOT(ISERROR(SEARCH("대휴",AN10)))</formula>
    </cfRule>
    <cfRule type="containsText" dxfId="51" priority="85" stopIfTrue="1" operator="containsText" text="경조">
      <formula>NOT(ISERROR(SEARCH("경조",AN10)))</formula>
    </cfRule>
    <cfRule type="containsText" dxfId="50" priority="86" stopIfTrue="1" operator="containsText" text="결근">
      <formula>NOT(ISERROR(SEARCH("결근",AN10)))</formula>
    </cfRule>
    <cfRule type="containsText" dxfId="49" priority="87" stopIfTrue="1" operator="containsText" text="훈련">
      <formula>NOT(ISERROR(SEARCH("훈련",AN10)))</formula>
    </cfRule>
    <cfRule type="containsText" dxfId="48" priority="88" stopIfTrue="1" operator="containsText" text="병가">
      <formula>NOT(ISERROR(SEARCH("병가",AN10)))</formula>
    </cfRule>
  </conditionalFormatting>
  <conditionalFormatting sqref="H10:AL10">
    <cfRule type="containsText" dxfId="47" priority="73" operator="containsText" text="교육">
      <formula>NOT(ISERROR(SEARCH("교육",H10)))</formula>
    </cfRule>
    <cfRule type="containsText" dxfId="46" priority="74" stopIfTrue="1" operator="containsText" text="연차">
      <formula>NOT(ISERROR(SEARCH("연차",H10)))</formula>
    </cfRule>
    <cfRule type="containsText" dxfId="45" priority="75" stopIfTrue="1" operator="containsText" text="만근">
      <formula>NOT(ISERROR(SEARCH("만근",H10)))</formula>
    </cfRule>
    <cfRule type="containsText" dxfId="44" priority="76" stopIfTrue="1" operator="containsText" text="대휴">
      <formula>NOT(ISERROR(SEARCH("대휴",H10)))</formula>
    </cfRule>
    <cfRule type="containsText" dxfId="43" priority="77" stopIfTrue="1" operator="containsText" text="경조">
      <formula>NOT(ISERROR(SEARCH("경조",H10)))</formula>
    </cfRule>
    <cfRule type="containsText" dxfId="42" priority="78" stopIfTrue="1" operator="containsText" text="결근">
      <formula>NOT(ISERROR(SEARCH("결근",H10)))</formula>
    </cfRule>
    <cfRule type="containsText" dxfId="41" priority="79" stopIfTrue="1" operator="containsText" text="훈련">
      <formula>NOT(ISERROR(SEARCH("훈련",H10)))</formula>
    </cfRule>
    <cfRule type="containsText" dxfId="40" priority="80" stopIfTrue="1" operator="containsText" text="병가">
      <formula>NOT(ISERROR(SEARCH("병가",H10)))</formula>
    </cfRule>
  </conditionalFormatting>
  <conditionalFormatting sqref="AV10">
    <cfRule type="containsText" dxfId="39" priority="65" operator="containsText" text="교육">
      <formula>NOT(ISERROR(SEARCH("교육",AV10)))</formula>
    </cfRule>
    <cfRule type="containsText" dxfId="38" priority="66" stopIfTrue="1" operator="containsText" text="연차">
      <formula>NOT(ISERROR(SEARCH("연차",AV10)))</formula>
    </cfRule>
    <cfRule type="containsText" dxfId="37" priority="67" stopIfTrue="1" operator="containsText" text="만근">
      <formula>NOT(ISERROR(SEARCH("만근",AV10)))</formula>
    </cfRule>
    <cfRule type="containsText" dxfId="36" priority="68" stopIfTrue="1" operator="containsText" text="대휴">
      <formula>NOT(ISERROR(SEARCH("대휴",AV10)))</formula>
    </cfRule>
    <cfRule type="containsText" dxfId="35" priority="69" stopIfTrue="1" operator="containsText" text="경조">
      <formula>NOT(ISERROR(SEARCH("경조",AV10)))</formula>
    </cfRule>
    <cfRule type="containsText" dxfId="34" priority="70" stopIfTrue="1" operator="containsText" text="결근">
      <formula>NOT(ISERROR(SEARCH("결근",AV10)))</formula>
    </cfRule>
    <cfRule type="containsText" dxfId="33" priority="71" stopIfTrue="1" operator="containsText" text="훈련">
      <formula>NOT(ISERROR(SEARCH("훈련",AV10)))</formula>
    </cfRule>
    <cfRule type="containsText" dxfId="32" priority="72" stopIfTrue="1" operator="containsText" text="병가">
      <formula>NOT(ISERROR(SEARCH("병가",AV10)))</formula>
    </cfRule>
  </conditionalFormatting>
  <conditionalFormatting sqref="BA10">
    <cfRule type="containsText" dxfId="31" priority="57" operator="containsText" text="교육">
      <formula>NOT(ISERROR(SEARCH("교육",BA10)))</formula>
    </cfRule>
    <cfRule type="containsText" dxfId="30" priority="58" stopIfTrue="1" operator="containsText" text="연차">
      <formula>NOT(ISERROR(SEARCH("연차",BA10)))</formula>
    </cfRule>
    <cfRule type="containsText" dxfId="29" priority="59" stopIfTrue="1" operator="containsText" text="만근">
      <formula>NOT(ISERROR(SEARCH("만근",BA10)))</formula>
    </cfRule>
    <cfRule type="containsText" dxfId="28" priority="60" stopIfTrue="1" operator="containsText" text="대휴">
      <formula>NOT(ISERROR(SEARCH("대휴",BA10)))</formula>
    </cfRule>
    <cfRule type="containsText" dxfId="27" priority="61" stopIfTrue="1" operator="containsText" text="경조">
      <formula>NOT(ISERROR(SEARCH("경조",BA10)))</formula>
    </cfRule>
    <cfRule type="containsText" dxfId="26" priority="62" stopIfTrue="1" operator="containsText" text="결근">
      <formula>NOT(ISERROR(SEARCH("결근",BA10)))</formula>
    </cfRule>
    <cfRule type="containsText" dxfId="25" priority="63" stopIfTrue="1" operator="containsText" text="훈련">
      <formula>NOT(ISERROR(SEARCH("훈련",BA10)))</formula>
    </cfRule>
    <cfRule type="containsText" dxfId="24" priority="64" stopIfTrue="1" operator="containsText" text="병가">
      <formula>NOT(ISERROR(SEARCH("병가",BA10)))</formula>
    </cfRule>
  </conditionalFormatting>
  <conditionalFormatting sqref="D8 D6">
    <cfRule type="containsText" dxfId="23" priority="49" stopIfTrue="1" operator="containsText" text="8">
      <formula>NOT(ISERROR(SEARCH("8",D6)))</formula>
    </cfRule>
    <cfRule type="containsText" dxfId="22" priority="50" stopIfTrue="1" operator="containsText" text="7">
      <formula>NOT(ISERROR(SEARCH("7",D6)))</formula>
    </cfRule>
    <cfRule type="containsText" dxfId="21" priority="51" stopIfTrue="1" operator="containsText" text="6">
      <formula>NOT(ISERROR(SEARCH("6",D6)))</formula>
    </cfRule>
    <cfRule type="containsText" dxfId="20" priority="52" stopIfTrue="1" operator="containsText" text="5">
      <formula>NOT(ISERROR(SEARCH("5",D6)))</formula>
    </cfRule>
    <cfRule type="containsText" dxfId="19" priority="53" stopIfTrue="1" operator="containsText" text="4">
      <formula>NOT(ISERROR(SEARCH("4",D6)))</formula>
    </cfRule>
    <cfRule type="containsText" dxfId="18" priority="54" stopIfTrue="1" operator="containsText" text="3">
      <formula>NOT(ISERROR(SEARCH("3",D6)))</formula>
    </cfRule>
    <cfRule type="containsText" dxfId="17" priority="55" stopIfTrue="1" operator="containsText" text="2">
      <formula>NOT(ISERROR(SEARCH("2",D6)))</formula>
    </cfRule>
    <cfRule type="containsText" dxfId="16" priority="56" stopIfTrue="1" operator="containsText" text="1">
      <formula>NOT(ISERROR(SEARCH("1",D6)))</formula>
    </cfRule>
  </conditionalFormatting>
  <conditionalFormatting sqref="D7">
    <cfRule type="containsText" dxfId="15" priority="41" stopIfTrue="1" operator="containsText" text="8">
      <formula>NOT(ISERROR(SEARCH("8",D7)))</formula>
    </cfRule>
    <cfRule type="containsText" dxfId="14" priority="42" stopIfTrue="1" operator="containsText" text="7">
      <formula>NOT(ISERROR(SEARCH("7",D7)))</formula>
    </cfRule>
    <cfRule type="containsText" dxfId="13" priority="43" stopIfTrue="1" operator="containsText" text="6">
      <formula>NOT(ISERROR(SEARCH("6",D7)))</formula>
    </cfRule>
    <cfRule type="containsText" dxfId="12" priority="44" stopIfTrue="1" operator="containsText" text="5">
      <formula>NOT(ISERROR(SEARCH("5",D7)))</formula>
    </cfRule>
    <cfRule type="containsText" dxfId="11" priority="45" stopIfTrue="1" operator="containsText" text="4">
      <formula>NOT(ISERROR(SEARCH("4",D7)))</formula>
    </cfRule>
    <cfRule type="containsText" dxfId="10" priority="46" stopIfTrue="1" operator="containsText" text="3">
      <formula>NOT(ISERROR(SEARCH("3",D7)))</formula>
    </cfRule>
    <cfRule type="containsText" dxfId="9" priority="47" stopIfTrue="1" operator="containsText" text="2">
      <formula>NOT(ISERROR(SEARCH("2",D7)))</formula>
    </cfRule>
    <cfRule type="containsText" dxfId="8" priority="48" stopIfTrue="1" operator="containsText" text="1">
      <formula>NOT(ISERROR(SEARCH("1",D7)))</formula>
    </cfRule>
  </conditionalFormatting>
  <conditionalFormatting sqref="D9">
    <cfRule type="containsText" dxfId="7" priority="25" stopIfTrue="1" operator="containsText" text="8">
      <formula>NOT(ISERROR(SEARCH("8",D9)))</formula>
    </cfRule>
    <cfRule type="containsText" dxfId="6" priority="26" stopIfTrue="1" operator="containsText" text="7">
      <formula>NOT(ISERROR(SEARCH("7",D9)))</formula>
    </cfRule>
    <cfRule type="containsText" dxfId="5" priority="27" stopIfTrue="1" operator="containsText" text="6">
      <formula>NOT(ISERROR(SEARCH("6",D9)))</formula>
    </cfRule>
    <cfRule type="containsText" dxfId="4" priority="28" stopIfTrue="1" operator="containsText" text="5">
      <formula>NOT(ISERROR(SEARCH("5",D9)))</formula>
    </cfRule>
    <cfRule type="containsText" dxfId="3" priority="29" stopIfTrue="1" operator="containsText" text="4">
      <formula>NOT(ISERROR(SEARCH("4",D9)))</formula>
    </cfRule>
    <cfRule type="containsText" dxfId="2" priority="30" stopIfTrue="1" operator="containsText" text="3">
      <formula>NOT(ISERROR(SEARCH("3",D9)))</formula>
    </cfRule>
    <cfRule type="containsText" dxfId="1" priority="31" stopIfTrue="1" operator="containsText" text="2">
      <formula>NOT(ISERROR(SEARCH("2",D9)))</formula>
    </cfRule>
    <cfRule type="containsText" dxfId="0" priority="32" stopIfTrue="1" operator="containsText" text="1">
      <formula>NOT(ISERROR(SEARCH("1",D9)))</formula>
    </cfRule>
  </conditionalFormatting>
  <printOptions horizontalCentered="1" verticalCentered="1"/>
  <pageMargins left="0" right="0" top="1.1811023622047245" bottom="0" header="0" footer="0"/>
  <pageSetup paperSize="9" scale="53"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2:R201"/>
  <sheetViews>
    <sheetView showGridLines="0" zoomScale="90" zoomScaleNormal="90" workbookViewId="0">
      <pane xSplit="1" ySplit="2" topLeftCell="C126" activePane="bottomRight" state="frozen"/>
      <selection activeCell="D46" sqref="D46"/>
      <selection pane="topRight" activeCell="D46" sqref="D46"/>
      <selection pane="bottomLeft" activeCell="D46" sqref="D46"/>
      <selection pane="bottomRight" activeCell="A145" sqref="A145:A153"/>
    </sheetView>
  </sheetViews>
  <sheetFormatPr defaultColWidth="9" defaultRowHeight="17.25" customHeight="1"/>
  <cols>
    <col min="1" max="1" width="13.25" style="89" customWidth="1"/>
    <col min="2" max="2" width="11.5" style="89" hidden="1" customWidth="1"/>
    <col min="3" max="3" width="150.75" style="88" customWidth="1"/>
    <col min="4" max="4" width="12.25" style="130" customWidth="1"/>
    <col min="5" max="18" width="9" style="130"/>
    <col min="19" max="16384" width="9" style="87"/>
  </cols>
  <sheetData>
    <row r="2" spans="1:18" ht="28.5" customHeight="1">
      <c r="A2" s="90" t="s">
        <v>5</v>
      </c>
      <c r="B2" s="95" t="s">
        <v>69</v>
      </c>
      <c r="C2" s="91" t="s">
        <v>3699</v>
      </c>
    </row>
    <row r="3" spans="1:18" ht="17.25" customHeight="1">
      <c r="A3" s="578">
        <v>44502</v>
      </c>
      <c r="B3" s="94"/>
      <c r="C3" s="226"/>
      <c r="D3" s="131"/>
      <c r="E3" s="131"/>
      <c r="F3" s="131"/>
      <c r="G3" s="131"/>
      <c r="H3" s="131"/>
      <c r="I3" s="131"/>
      <c r="J3" s="131"/>
      <c r="K3" s="131"/>
      <c r="L3" s="131"/>
      <c r="M3" s="131"/>
      <c r="N3" s="131"/>
      <c r="O3" s="131"/>
      <c r="P3" s="131"/>
      <c r="Q3" s="131"/>
      <c r="R3" s="131"/>
    </row>
    <row r="4" spans="1:18" ht="17.25" customHeight="1">
      <c r="A4" s="579"/>
      <c r="B4" s="94"/>
      <c r="C4" s="226" t="s">
        <v>3701</v>
      </c>
      <c r="D4" s="131"/>
      <c r="E4" s="131"/>
      <c r="F4" s="131"/>
      <c r="G4" s="131"/>
      <c r="H4" s="131"/>
      <c r="I4" s="131"/>
      <c r="J4" s="131"/>
      <c r="K4" s="131"/>
      <c r="L4" s="131"/>
      <c r="M4" s="131"/>
      <c r="N4" s="131"/>
      <c r="O4" s="131"/>
      <c r="P4" s="131"/>
      <c r="Q4" s="131"/>
      <c r="R4" s="131"/>
    </row>
    <row r="5" spans="1:18" ht="17.25" customHeight="1">
      <c r="A5" s="579"/>
      <c r="B5" s="94"/>
      <c r="C5" s="226" t="s">
        <v>3702</v>
      </c>
      <c r="D5" s="131"/>
      <c r="E5" s="131"/>
      <c r="F5" s="131"/>
      <c r="G5" s="131"/>
      <c r="H5" s="131"/>
      <c r="I5" s="131"/>
      <c r="J5" s="131"/>
      <c r="K5" s="131"/>
      <c r="L5" s="131"/>
      <c r="M5" s="131"/>
      <c r="N5" s="131"/>
      <c r="O5" s="131"/>
      <c r="P5" s="131"/>
      <c r="Q5" s="131"/>
      <c r="R5" s="131"/>
    </row>
    <row r="6" spans="1:18" ht="17.25" customHeight="1">
      <c r="A6" s="579"/>
      <c r="B6" s="94"/>
      <c r="C6" s="226" t="s">
        <v>3704</v>
      </c>
      <c r="D6" s="131"/>
      <c r="E6" s="131"/>
      <c r="F6" s="131"/>
      <c r="G6" s="131"/>
      <c r="H6" s="131"/>
      <c r="I6" s="131"/>
      <c r="J6" s="131"/>
      <c r="K6" s="131"/>
      <c r="L6" s="131"/>
      <c r="M6" s="131"/>
      <c r="N6" s="131"/>
      <c r="O6" s="131"/>
      <c r="P6" s="131"/>
      <c r="Q6" s="131"/>
      <c r="R6" s="131"/>
    </row>
    <row r="7" spans="1:18" ht="17.25" customHeight="1">
      <c r="A7" s="579"/>
      <c r="B7" s="94"/>
      <c r="C7" s="226"/>
      <c r="D7" s="131"/>
      <c r="E7" s="131"/>
      <c r="F7" s="131"/>
      <c r="G7" s="131"/>
      <c r="H7" s="131"/>
      <c r="I7" s="131"/>
      <c r="J7" s="131"/>
      <c r="K7" s="131"/>
      <c r="L7" s="131"/>
      <c r="M7" s="131"/>
      <c r="N7" s="131"/>
      <c r="O7" s="131"/>
      <c r="P7" s="131"/>
      <c r="Q7" s="131"/>
      <c r="R7" s="131"/>
    </row>
    <row r="8" spans="1:18" ht="17.25" customHeight="1">
      <c r="A8" s="579"/>
      <c r="B8" s="129"/>
      <c r="C8" s="226"/>
      <c r="D8" s="131"/>
      <c r="E8" s="131"/>
      <c r="F8" s="131"/>
      <c r="G8" s="131"/>
      <c r="H8" s="131"/>
      <c r="I8" s="131"/>
      <c r="J8" s="131"/>
      <c r="K8" s="131"/>
      <c r="L8" s="131"/>
      <c r="M8" s="131"/>
      <c r="N8" s="131"/>
      <c r="O8" s="131"/>
      <c r="P8" s="131"/>
      <c r="Q8" s="131"/>
      <c r="R8" s="131"/>
    </row>
    <row r="9" spans="1:18" ht="17.25" customHeight="1">
      <c r="A9" s="578">
        <v>44503</v>
      </c>
      <c r="B9" s="94"/>
      <c r="C9" s="331"/>
      <c r="D9" s="126"/>
      <c r="E9" s="126"/>
      <c r="F9" s="126"/>
      <c r="G9" s="126"/>
      <c r="H9" s="126"/>
      <c r="I9" s="126"/>
      <c r="J9" s="126"/>
      <c r="K9" s="126"/>
      <c r="L9" s="126"/>
      <c r="M9" s="126"/>
      <c r="N9" s="126"/>
      <c r="O9" s="126"/>
      <c r="P9" s="126"/>
      <c r="Q9" s="126"/>
      <c r="R9" s="126"/>
    </row>
    <row r="10" spans="1:18" ht="17.25" customHeight="1">
      <c r="A10" s="579"/>
      <c r="B10" s="94"/>
      <c r="C10" s="226" t="s">
        <v>3705</v>
      </c>
      <c r="D10" s="125"/>
      <c r="E10" s="125"/>
      <c r="F10" s="125"/>
      <c r="G10" s="125"/>
      <c r="H10" s="125"/>
      <c r="I10" s="125"/>
      <c r="J10" s="125"/>
      <c r="K10" s="125"/>
      <c r="L10" s="125"/>
      <c r="M10" s="125"/>
      <c r="N10" s="125"/>
      <c r="O10" s="125"/>
      <c r="P10" s="125"/>
      <c r="Q10" s="125"/>
      <c r="R10" s="125"/>
    </row>
    <row r="11" spans="1:18" ht="17.25" customHeight="1">
      <c r="A11" s="579"/>
      <c r="B11" s="94"/>
      <c r="C11" s="226" t="s">
        <v>3706</v>
      </c>
      <c r="D11" s="126"/>
      <c r="E11" s="126"/>
      <c r="F11" s="126"/>
      <c r="G11" s="126"/>
      <c r="H11" s="126"/>
      <c r="I11" s="126"/>
      <c r="J11" s="126"/>
      <c r="K11" s="126"/>
      <c r="L11" s="126"/>
      <c r="M11" s="126"/>
      <c r="N11" s="126"/>
      <c r="O11" s="126"/>
      <c r="P11" s="126"/>
      <c r="Q11" s="126"/>
      <c r="R11" s="126"/>
    </row>
    <row r="12" spans="1:18" ht="17.25" customHeight="1">
      <c r="A12" s="579"/>
      <c r="B12" s="94"/>
      <c r="C12" s="332" t="s">
        <v>3704</v>
      </c>
      <c r="D12" s="126"/>
      <c r="E12" s="126"/>
      <c r="F12" s="126"/>
      <c r="G12" s="126"/>
      <c r="H12" s="126"/>
      <c r="I12" s="126"/>
      <c r="J12" s="126"/>
      <c r="K12" s="126"/>
      <c r="L12" s="126"/>
      <c r="M12" s="126"/>
      <c r="N12" s="126"/>
      <c r="O12" s="126"/>
      <c r="P12" s="126"/>
      <c r="Q12" s="126"/>
      <c r="R12" s="126"/>
    </row>
    <row r="13" spans="1:18" ht="17.25" customHeight="1">
      <c r="A13" s="579"/>
      <c r="B13" s="94"/>
      <c r="C13" s="226"/>
      <c r="D13" s="131"/>
      <c r="E13" s="131"/>
      <c r="F13" s="131"/>
      <c r="G13" s="131"/>
      <c r="H13" s="131"/>
      <c r="I13" s="131"/>
      <c r="J13" s="131"/>
      <c r="K13" s="131"/>
      <c r="L13" s="131"/>
      <c r="M13" s="131"/>
      <c r="N13" s="131"/>
      <c r="O13" s="131"/>
      <c r="P13" s="131"/>
      <c r="Q13" s="131"/>
      <c r="R13" s="131"/>
    </row>
    <row r="14" spans="1:18" ht="17.25" customHeight="1">
      <c r="A14" s="579"/>
      <c r="B14" s="129"/>
      <c r="C14" s="229"/>
      <c r="D14" s="131"/>
      <c r="E14" s="131"/>
      <c r="F14" s="131"/>
      <c r="G14" s="131"/>
      <c r="H14" s="131"/>
      <c r="I14" s="131"/>
      <c r="J14" s="131"/>
      <c r="K14" s="131"/>
      <c r="L14" s="131"/>
      <c r="M14" s="131"/>
      <c r="N14" s="131"/>
      <c r="O14" s="131"/>
      <c r="P14" s="131"/>
      <c r="Q14" s="131"/>
      <c r="R14" s="131"/>
    </row>
    <row r="15" spans="1:18" ht="17.25" customHeight="1">
      <c r="A15" s="578">
        <v>44504</v>
      </c>
      <c r="B15" s="94"/>
      <c r="C15" s="333"/>
      <c r="D15" s="127"/>
      <c r="E15" s="131"/>
      <c r="F15" s="131"/>
      <c r="G15" s="131"/>
      <c r="H15" s="131"/>
      <c r="I15" s="131"/>
      <c r="J15" s="131"/>
      <c r="K15" s="131"/>
      <c r="L15" s="131"/>
      <c r="M15" s="131"/>
      <c r="N15" s="131"/>
      <c r="O15" s="131"/>
      <c r="P15" s="131"/>
      <c r="Q15" s="131"/>
      <c r="R15" s="131"/>
    </row>
    <row r="16" spans="1:18" ht="17.25" customHeight="1">
      <c r="A16" s="579"/>
      <c r="B16" s="94"/>
      <c r="C16" s="226"/>
      <c r="D16" s="127"/>
      <c r="E16" s="131"/>
      <c r="F16" s="131"/>
      <c r="G16" s="131"/>
      <c r="H16" s="131"/>
      <c r="I16" s="131"/>
      <c r="J16" s="131"/>
      <c r="K16" s="131"/>
      <c r="L16" s="131"/>
      <c r="M16" s="131"/>
      <c r="N16" s="131"/>
      <c r="O16" s="131"/>
      <c r="P16" s="131"/>
      <c r="Q16" s="131"/>
      <c r="R16" s="131"/>
    </row>
    <row r="17" spans="1:18" ht="17.25" customHeight="1">
      <c r="A17" s="579"/>
      <c r="B17" s="94"/>
      <c r="C17" s="226" t="s">
        <v>3707</v>
      </c>
      <c r="D17" s="131"/>
      <c r="E17" s="131"/>
      <c r="F17" s="131"/>
      <c r="G17" s="131"/>
      <c r="H17" s="131"/>
      <c r="I17" s="131"/>
      <c r="J17" s="131"/>
      <c r="K17" s="131"/>
      <c r="L17" s="131"/>
      <c r="M17" s="131"/>
      <c r="N17" s="131"/>
      <c r="O17" s="131"/>
      <c r="P17" s="131"/>
      <c r="Q17" s="131"/>
      <c r="R17" s="131"/>
    </row>
    <row r="18" spans="1:18" ht="17.25" customHeight="1">
      <c r="A18" s="579"/>
      <c r="B18" s="94"/>
      <c r="C18" s="334"/>
      <c r="D18" s="131"/>
      <c r="E18" s="131"/>
      <c r="F18" s="131"/>
      <c r="G18" s="131"/>
      <c r="H18" s="131"/>
      <c r="I18" s="131"/>
      <c r="J18" s="131"/>
      <c r="K18" s="131"/>
      <c r="L18" s="131"/>
      <c r="M18" s="131"/>
      <c r="N18" s="131"/>
      <c r="O18" s="131"/>
      <c r="P18" s="131"/>
      <c r="Q18" s="131"/>
      <c r="R18" s="131"/>
    </row>
    <row r="19" spans="1:18" ht="17.25" customHeight="1">
      <c r="A19" s="579"/>
      <c r="B19" s="94"/>
      <c r="C19" s="226"/>
      <c r="D19" s="131"/>
      <c r="E19" s="131"/>
      <c r="F19" s="131"/>
      <c r="G19" s="131"/>
      <c r="H19" s="131"/>
      <c r="I19" s="131"/>
      <c r="J19" s="131"/>
      <c r="K19" s="131"/>
      <c r="L19" s="131"/>
      <c r="M19" s="131"/>
      <c r="N19" s="131"/>
      <c r="O19" s="131"/>
      <c r="P19" s="131"/>
      <c r="Q19" s="131"/>
      <c r="R19" s="131"/>
    </row>
    <row r="20" spans="1:18" ht="17.25" customHeight="1">
      <c r="A20" s="580"/>
      <c r="B20" s="129"/>
      <c r="C20" s="229"/>
      <c r="D20" s="131"/>
      <c r="E20" s="131"/>
      <c r="F20" s="131"/>
      <c r="G20" s="131"/>
      <c r="H20" s="131"/>
      <c r="I20" s="131"/>
      <c r="J20" s="131"/>
      <c r="K20" s="131"/>
      <c r="L20" s="131"/>
      <c r="M20" s="131"/>
      <c r="N20" s="131"/>
      <c r="O20" s="131"/>
      <c r="P20" s="131"/>
      <c r="Q20" s="131"/>
      <c r="R20" s="131"/>
    </row>
    <row r="21" spans="1:18" ht="17.25" customHeight="1">
      <c r="A21" s="574">
        <v>44505</v>
      </c>
      <c r="B21" s="94"/>
      <c r="C21" s="226"/>
      <c r="D21" s="131"/>
      <c r="E21" s="131"/>
      <c r="F21" s="131"/>
      <c r="G21" s="131"/>
      <c r="H21" s="131"/>
      <c r="I21" s="131"/>
      <c r="J21" s="131"/>
      <c r="K21" s="131"/>
      <c r="L21" s="131"/>
      <c r="M21" s="131"/>
      <c r="N21" s="131"/>
      <c r="O21" s="131"/>
      <c r="P21" s="131"/>
      <c r="Q21" s="131"/>
      <c r="R21" s="131"/>
    </row>
    <row r="22" spans="1:18" ht="17.25" customHeight="1">
      <c r="A22" s="574"/>
      <c r="B22" s="335"/>
      <c r="C22" s="230" t="s">
        <v>3705</v>
      </c>
      <c r="D22" s="122"/>
      <c r="E22" s="132"/>
      <c r="F22" s="132"/>
      <c r="G22" s="132"/>
      <c r="H22" s="131"/>
      <c r="I22" s="131"/>
      <c r="J22" s="131"/>
      <c r="K22" s="131"/>
      <c r="L22" s="131"/>
      <c r="M22" s="131"/>
      <c r="N22" s="131"/>
      <c r="O22" s="131"/>
      <c r="P22" s="131"/>
      <c r="Q22" s="131"/>
      <c r="R22" s="131"/>
    </row>
    <row r="23" spans="1:18" ht="17.25" customHeight="1">
      <c r="A23" s="574"/>
      <c r="B23" s="335"/>
      <c r="C23" s="230" t="s">
        <v>3711</v>
      </c>
      <c r="D23" s="122"/>
      <c r="E23" s="132"/>
      <c r="F23" s="132"/>
      <c r="G23" s="132"/>
      <c r="H23" s="131"/>
      <c r="I23" s="131"/>
      <c r="J23" s="131"/>
      <c r="K23" s="131"/>
      <c r="L23" s="131"/>
      <c r="M23" s="131"/>
      <c r="N23" s="131"/>
      <c r="O23" s="131"/>
      <c r="P23" s="131"/>
      <c r="Q23" s="131"/>
      <c r="R23" s="131"/>
    </row>
    <row r="24" spans="1:18" ht="17.25" customHeight="1">
      <c r="A24" s="574"/>
      <c r="B24" s="335"/>
      <c r="C24" s="230" t="s">
        <v>3708</v>
      </c>
      <c r="D24" s="132"/>
      <c r="E24" s="132"/>
      <c r="F24" s="132"/>
      <c r="G24" s="132"/>
      <c r="H24" s="131"/>
      <c r="I24" s="131"/>
      <c r="J24" s="131"/>
      <c r="K24" s="131"/>
      <c r="L24" s="131"/>
      <c r="M24" s="131"/>
      <c r="N24" s="131"/>
      <c r="O24" s="131"/>
      <c r="P24" s="131"/>
      <c r="Q24" s="131"/>
      <c r="R24" s="131"/>
    </row>
    <row r="25" spans="1:18" ht="17.25" customHeight="1">
      <c r="A25" s="574"/>
      <c r="B25" s="335"/>
      <c r="C25" s="415" t="s">
        <v>3709</v>
      </c>
      <c r="D25" s="132"/>
      <c r="E25" s="132"/>
      <c r="F25" s="132"/>
      <c r="G25" s="132"/>
      <c r="H25" s="131"/>
      <c r="I25" s="131"/>
      <c r="J25" s="131"/>
      <c r="K25" s="131"/>
      <c r="L25" s="131"/>
      <c r="M25" s="131"/>
      <c r="N25" s="131"/>
      <c r="O25" s="131"/>
      <c r="P25" s="131"/>
      <c r="Q25" s="131"/>
      <c r="R25" s="131"/>
    </row>
    <row r="26" spans="1:18" ht="17.25" customHeight="1">
      <c r="A26" s="574"/>
      <c r="B26" s="335"/>
      <c r="C26" s="230" t="s">
        <v>3710</v>
      </c>
      <c r="D26" s="132"/>
      <c r="E26" s="132"/>
      <c r="F26" s="132"/>
      <c r="G26" s="132"/>
      <c r="H26" s="131"/>
      <c r="I26" s="131"/>
      <c r="J26" s="131"/>
      <c r="K26" s="131"/>
      <c r="L26" s="131"/>
      <c r="M26" s="131"/>
      <c r="N26" s="131"/>
      <c r="O26" s="131"/>
      <c r="P26" s="131"/>
      <c r="Q26" s="131"/>
      <c r="R26" s="131"/>
    </row>
    <row r="27" spans="1:18" ht="17.25" customHeight="1">
      <c r="A27" s="581"/>
      <c r="B27" s="336"/>
      <c r="C27" s="337"/>
      <c r="D27" s="132"/>
      <c r="E27" s="132"/>
      <c r="F27" s="132"/>
      <c r="G27" s="132"/>
      <c r="H27" s="131"/>
      <c r="I27" s="131"/>
      <c r="J27" s="131"/>
      <c r="K27" s="131"/>
      <c r="L27" s="131"/>
      <c r="M27" s="131"/>
      <c r="N27" s="131"/>
      <c r="O27" s="131"/>
      <c r="P27" s="131"/>
      <c r="Q27" s="131"/>
      <c r="R27" s="131"/>
    </row>
    <row r="28" spans="1:18" ht="17.25" customHeight="1">
      <c r="A28" s="578">
        <v>44506</v>
      </c>
      <c r="B28" s="94"/>
      <c r="C28" s="226"/>
      <c r="D28" s="123"/>
      <c r="E28" s="131"/>
      <c r="F28" s="131"/>
      <c r="G28" s="131"/>
      <c r="H28" s="131"/>
      <c r="I28" s="131"/>
      <c r="J28" s="131"/>
      <c r="K28" s="131"/>
      <c r="L28" s="131"/>
      <c r="M28" s="131"/>
      <c r="N28" s="131"/>
      <c r="O28" s="131"/>
      <c r="P28" s="131"/>
      <c r="Q28" s="131"/>
      <c r="R28" s="131"/>
    </row>
    <row r="29" spans="1:18" ht="17.25" customHeight="1">
      <c r="A29" s="579"/>
      <c r="B29" s="94"/>
      <c r="C29" s="334" t="s">
        <v>3701</v>
      </c>
      <c r="D29" s="102"/>
    </row>
    <row r="30" spans="1:18" ht="17.25" customHeight="1">
      <c r="A30" s="579"/>
      <c r="B30" s="94"/>
      <c r="C30" s="226" t="s">
        <v>3712</v>
      </c>
    </row>
    <row r="31" spans="1:18" ht="17.25" customHeight="1">
      <c r="A31" s="579"/>
      <c r="B31" s="94"/>
      <c r="C31" s="226" t="s">
        <v>3704</v>
      </c>
    </row>
    <row r="32" spans="1:18" ht="17.25" customHeight="1">
      <c r="A32" s="579"/>
      <c r="B32" s="94"/>
      <c r="C32" s="230"/>
    </row>
    <row r="33" spans="1:18" ht="17.25" customHeight="1">
      <c r="A33" s="579"/>
      <c r="B33" s="129"/>
      <c r="C33" s="229"/>
    </row>
    <row r="34" spans="1:18" ht="17.25" customHeight="1">
      <c r="A34" s="578">
        <v>44509</v>
      </c>
      <c r="B34" s="94"/>
      <c r="C34" s="226"/>
      <c r="D34" s="102"/>
    </row>
    <row r="35" spans="1:18" ht="17.25" customHeight="1">
      <c r="A35" s="579"/>
      <c r="B35" s="94"/>
      <c r="C35" s="226" t="s">
        <v>3700</v>
      </c>
      <c r="D35" s="180"/>
    </row>
    <row r="36" spans="1:18" ht="17.25" customHeight="1">
      <c r="A36" s="579"/>
      <c r="B36" s="94"/>
      <c r="C36" s="226" t="s">
        <v>3713</v>
      </c>
    </row>
    <row r="37" spans="1:18" ht="17.25" customHeight="1">
      <c r="A37" s="579"/>
      <c r="B37" s="94"/>
      <c r="C37" s="226" t="s">
        <v>3714</v>
      </c>
    </row>
    <row r="38" spans="1:18" ht="17.25" customHeight="1">
      <c r="A38" s="579"/>
      <c r="B38" s="94"/>
      <c r="C38" s="230" t="s">
        <v>3715</v>
      </c>
    </row>
    <row r="39" spans="1:18" ht="17.25" customHeight="1">
      <c r="A39" s="579"/>
      <c r="B39" s="94"/>
      <c r="C39" s="230" t="s">
        <v>3703</v>
      </c>
    </row>
    <row r="40" spans="1:18" ht="17.25" customHeight="1">
      <c r="A40" s="579"/>
      <c r="B40" s="129"/>
      <c r="C40" s="229"/>
    </row>
    <row r="41" spans="1:18" ht="17.25" customHeight="1">
      <c r="A41" s="578">
        <v>44510</v>
      </c>
      <c r="B41" s="94"/>
      <c r="C41" s="228"/>
      <c r="D41" s="374"/>
      <c r="E41" s="375"/>
      <c r="F41" s="375"/>
      <c r="G41" s="375"/>
      <c r="H41" s="375"/>
      <c r="I41" s="375"/>
      <c r="J41" s="375"/>
      <c r="K41" s="375"/>
      <c r="L41" s="375"/>
      <c r="M41" s="375"/>
      <c r="N41" s="375"/>
      <c r="O41" s="375"/>
      <c r="P41" s="375"/>
      <c r="Q41" s="375"/>
      <c r="R41" s="375"/>
    </row>
    <row r="42" spans="1:18" ht="17.25" customHeight="1">
      <c r="A42" s="579"/>
      <c r="B42" s="94"/>
      <c r="C42" s="228" t="s">
        <v>3700</v>
      </c>
      <c r="D42" s="374"/>
      <c r="E42" s="375"/>
      <c r="F42" s="375"/>
      <c r="G42" s="375"/>
      <c r="H42" s="375"/>
      <c r="I42" s="375"/>
      <c r="J42" s="375"/>
      <c r="K42" s="375"/>
      <c r="L42" s="375"/>
      <c r="M42" s="375"/>
      <c r="N42" s="375"/>
      <c r="O42" s="375"/>
      <c r="P42" s="375"/>
      <c r="Q42" s="375"/>
      <c r="R42" s="375"/>
    </row>
    <row r="43" spans="1:18" ht="17.25" customHeight="1">
      <c r="A43" s="579"/>
      <c r="B43" s="94"/>
      <c r="C43" s="228" t="s">
        <v>3719</v>
      </c>
      <c r="D43" s="374"/>
      <c r="E43" s="375"/>
      <c r="F43" s="375"/>
      <c r="G43" s="375"/>
      <c r="H43" s="375"/>
      <c r="I43" s="375"/>
      <c r="J43" s="375"/>
      <c r="K43" s="375"/>
      <c r="L43" s="375"/>
      <c r="M43" s="375"/>
      <c r="N43" s="375"/>
      <c r="O43" s="375"/>
      <c r="P43" s="375"/>
      <c r="Q43" s="375"/>
      <c r="R43" s="375"/>
    </row>
    <row r="44" spans="1:18" ht="17.25" customHeight="1">
      <c r="A44" s="579"/>
      <c r="B44" s="94"/>
      <c r="C44" s="227" t="s">
        <v>3716</v>
      </c>
      <c r="D44" s="376"/>
      <c r="E44" s="377"/>
      <c r="F44" s="377"/>
      <c r="G44" s="377"/>
      <c r="H44" s="377"/>
      <c r="I44" s="377"/>
      <c r="J44" s="377"/>
      <c r="K44" s="377"/>
      <c r="L44" s="377"/>
      <c r="M44" s="377"/>
      <c r="N44" s="377"/>
      <c r="O44" s="377"/>
      <c r="P44" s="377"/>
      <c r="Q44" s="377"/>
      <c r="R44" s="377"/>
    </row>
    <row r="45" spans="1:18" ht="17.25" customHeight="1">
      <c r="A45" s="579"/>
      <c r="B45" s="94"/>
      <c r="C45" s="227" t="s">
        <v>3717</v>
      </c>
      <c r="D45" s="380"/>
      <c r="E45" s="380"/>
      <c r="F45" s="380"/>
      <c r="G45" s="380"/>
      <c r="H45" s="380"/>
      <c r="I45" s="380"/>
      <c r="J45" s="380"/>
      <c r="K45" s="380"/>
      <c r="L45" s="380"/>
      <c r="M45" s="380"/>
      <c r="N45" s="380"/>
      <c r="O45" s="380"/>
      <c r="P45" s="380"/>
      <c r="Q45" s="380"/>
      <c r="R45" s="381"/>
    </row>
    <row r="46" spans="1:18" ht="17.25" customHeight="1">
      <c r="A46" s="579"/>
      <c r="B46" s="94"/>
      <c r="C46" s="246" t="s">
        <v>3718</v>
      </c>
      <c r="D46" s="374"/>
      <c r="E46" s="375"/>
      <c r="F46" s="375"/>
      <c r="G46" s="375"/>
      <c r="H46" s="375"/>
      <c r="I46" s="375"/>
      <c r="J46" s="375"/>
      <c r="K46" s="375"/>
      <c r="L46" s="375"/>
      <c r="M46" s="375"/>
      <c r="N46" s="375"/>
      <c r="O46" s="375"/>
      <c r="P46" s="375"/>
      <c r="Q46" s="375"/>
      <c r="R46" s="375"/>
    </row>
    <row r="47" spans="1:18" ht="17.25" customHeight="1">
      <c r="A47" s="579"/>
      <c r="B47" s="94"/>
      <c r="C47" s="246" t="s">
        <v>3704</v>
      </c>
      <c r="D47" s="374"/>
      <c r="E47" s="375"/>
      <c r="F47" s="375"/>
      <c r="G47" s="375"/>
      <c r="H47" s="375"/>
      <c r="I47" s="375"/>
      <c r="J47" s="375"/>
      <c r="K47" s="375"/>
      <c r="L47" s="375"/>
      <c r="M47" s="375"/>
      <c r="N47" s="375"/>
      <c r="O47" s="375"/>
      <c r="P47" s="375"/>
      <c r="Q47" s="375"/>
      <c r="R47" s="375"/>
    </row>
    <row r="48" spans="1:18" ht="17.25" customHeight="1">
      <c r="A48" s="579"/>
      <c r="B48" s="129"/>
      <c r="C48" s="227"/>
    </row>
    <row r="49" spans="1:18" ht="17.25" customHeight="1">
      <c r="A49" s="578">
        <v>44511</v>
      </c>
      <c r="B49" s="94"/>
      <c r="C49" s="248"/>
      <c r="D49" s="180"/>
    </row>
    <row r="50" spans="1:18" ht="17.25" customHeight="1">
      <c r="A50" s="579"/>
      <c r="B50" s="94"/>
      <c r="C50" s="249" t="s">
        <v>3705</v>
      </c>
      <c r="D50" s="180"/>
    </row>
    <row r="51" spans="1:18" ht="17.25" customHeight="1">
      <c r="A51" s="579"/>
      <c r="B51" s="94"/>
      <c r="C51" s="249" t="s">
        <v>3722</v>
      </c>
      <c r="D51" s="180"/>
    </row>
    <row r="52" spans="1:18" ht="17.25" customHeight="1">
      <c r="A52" s="579"/>
      <c r="B52" s="94"/>
      <c r="C52" s="379" t="s">
        <v>3723</v>
      </c>
      <c r="D52" s="382"/>
      <c r="E52" s="380"/>
      <c r="F52" s="380"/>
      <c r="G52" s="380"/>
      <c r="H52" s="380"/>
      <c r="I52" s="380"/>
      <c r="J52" s="380"/>
      <c r="K52" s="380"/>
      <c r="L52" s="380"/>
      <c r="M52" s="380"/>
      <c r="N52" s="380"/>
      <c r="O52" s="380"/>
      <c r="P52" s="380"/>
      <c r="Q52" s="380"/>
      <c r="R52" s="381"/>
    </row>
    <row r="53" spans="1:18" ht="17.25" customHeight="1">
      <c r="A53" s="579"/>
      <c r="B53" s="94"/>
      <c r="C53" s="227" t="s">
        <v>3724</v>
      </c>
      <c r="D53" s="380"/>
      <c r="E53" s="380"/>
      <c r="F53" s="380"/>
      <c r="G53" s="380"/>
      <c r="H53" s="380"/>
      <c r="I53" s="380"/>
      <c r="J53" s="380"/>
      <c r="K53" s="380"/>
      <c r="L53" s="380"/>
      <c r="M53" s="380"/>
      <c r="N53" s="380"/>
      <c r="O53" s="380"/>
      <c r="P53" s="380"/>
      <c r="Q53" s="380"/>
      <c r="R53" s="380"/>
    </row>
    <row r="54" spans="1:18" ht="17.25" customHeight="1">
      <c r="A54" s="579"/>
      <c r="B54" s="94"/>
      <c r="C54" s="227" t="s">
        <v>3725</v>
      </c>
      <c r="D54" s="380"/>
      <c r="E54" s="380"/>
      <c r="F54" s="380"/>
      <c r="G54" s="380"/>
      <c r="H54" s="380"/>
      <c r="I54" s="380"/>
      <c r="J54" s="380"/>
      <c r="K54" s="380"/>
      <c r="L54" s="380"/>
      <c r="M54" s="380"/>
      <c r="N54" s="380"/>
      <c r="O54" s="380"/>
      <c r="P54" s="380"/>
      <c r="Q54" s="380"/>
      <c r="R54" s="380"/>
    </row>
    <row r="55" spans="1:18" ht="17.25" customHeight="1">
      <c r="A55" s="579"/>
      <c r="B55" s="94"/>
      <c r="C55" s="227" t="s">
        <v>3720</v>
      </c>
    </row>
    <row r="56" spans="1:18" ht="17.25" customHeight="1">
      <c r="A56" s="579"/>
      <c r="B56" s="94"/>
      <c r="C56" s="227" t="s">
        <v>3721</v>
      </c>
    </row>
    <row r="57" spans="1:18" ht="17.25" customHeight="1">
      <c r="A57" s="579"/>
      <c r="B57" s="129"/>
      <c r="C57" s="229"/>
    </row>
    <row r="58" spans="1:18" ht="17.25" customHeight="1">
      <c r="A58" s="578">
        <v>44512</v>
      </c>
      <c r="B58" s="94"/>
      <c r="C58" s="226"/>
    </row>
    <row r="59" spans="1:18" ht="17.25" customHeight="1">
      <c r="A59" s="579"/>
      <c r="B59" s="94"/>
      <c r="C59" s="226" t="s">
        <v>3705</v>
      </c>
    </row>
    <row r="60" spans="1:18" ht="17.25" customHeight="1">
      <c r="A60" s="579"/>
      <c r="B60" s="94"/>
      <c r="C60" s="226" t="s">
        <v>3726</v>
      </c>
    </row>
    <row r="61" spans="1:18" ht="17.25" customHeight="1">
      <c r="A61" s="579"/>
      <c r="B61" s="94"/>
      <c r="C61" s="226" t="s">
        <v>3727</v>
      </c>
    </row>
    <row r="62" spans="1:18" ht="17.25" customHeight="1">
      <c r="A62" s="579"/>
      <c r="B62" s="94"/>
      <c r="C62" s="230" t="s">
        <v>3728</v>
      </c>
    </row>
    <row r="63" spans="1:18" ht="17.45" customHeight="1">
      <c r="A63" s="579"/>
      <c r="B63" s="94"/>
      <c r="C63" s="226" t="s">
        <v>3729</v>
      </c>
    </row>
    <row r="64" spans="1:18" ht="17.25" customHeight="1">
      <c r="A64" s="579"/>
      <c r="B64" s="94"/>
      <c r="C64" s="226" t="s">
        <v>3730</v>
      </c>
    </row>
    <row r="65" spans="1:18" ht="17.25" customHeight="1">
      <c r="A65" s="579"/>
      <c r="B65" s="94"/>
      <c r="C65" s="226" t="s">
        <v>3704</v>
      </c>
    </row>
    <row r="66" spans="1:18" ht="17.25" customHeight="1">
      <c r="A66" s="579"/>
      <c r="B66" s="129"/>
      <c r="C66" s="229"/>
    </row>
    <row r="67" spans="1:18" ht="17.25" customHeight="1">
      <c r="A67" s="578">
        <v>44513</v>
      </c>
      <c r="B67" s="94"/>
      <c r="C67" s="226"/>
    </row>
    <row r="68" spans="1:18" ht="17.25" customHeight="1">
      <c r="A68" s="579"/>
      <c r="B68" s="94"/>
      <c r="C68" s="230" t="s">
        <v>3705</v>
      </c>
    </row>
    <row r="69" spans="1:18" ht="17.25" customHeight="1">
      <c r="A69" s="579"/>
      <c r="B69" s="94"/>
      <c r="C69" s="226" t="s">
        <v>3731</v>
      </c>
    </row>
    <row r="70" spans="1:18" ht="17.25" customHeight="1">
      <c r="A70" s="579"/>
      <c r="B70" s="94"/>
      <c r="C70" s="226" t="s">
        <v>3704</v>
      </c>
    </row>
    <row r="71" spans="1:18" ht="17.25" customHeight="1">
      <c r="A71" s="579"/>
      <c r="B71" s="94"/>
      <c r="C71" s="226"/>
    </row>
    <row r="72" spans="1:18" ht="17.25" customHeight="1">
      <c r="A72" s="579"/>
      <c r="B72" s="129"/>
      <c r="C72" s="229"/>
    </row>
    <row r="73" spans="1:18" ht="18" customHeight="1">
      <c r="A73" s="578">
        <v>44516</v>
      </c>
      <c r="B73" s="94"/>
      <c r="C73" s="226"/>
      <c r="D73" s="131"/>
      <c r="E73" s="131"/>
      <c r="F73" s="131"/>
      <c r="G73" s="131"/>
      <c r="H73" s="131"/>
      <c r="I73" s="131"/>
      <c r="J73" s="131"/>
      <c r="K73" s="131"/>
      <c r="L73" s="131"/>
      <c r="M73" s="131"/>
      <c r="N73" s="131"/>
      <c r="O73" s="131"/>
      <c r="P73" s="131"/>
      <c r="Q73" s="131"/>
      <c r="R73" s="131"/>
    </row>
    <row r="74" spans="1:18" ht="18" customHeight="1">
      <c r="A74" s="579"/>
      <c r="B74" s="94"/>
      <c r="C74" s="230" t="s">
        <v>3705</v>
      </c>
      <c r="D74" s="131"/>
      <c r="E74" s="131"/>
      <c r="F74" s="131"/>
      <c r="G74" s="131"/>
      <c r="H74" s="131"/>
      <c r="I74" s="131"/>
      <c r="J74" s="131"/>
      <c r="K74" s="131"/>
      <c r="L74" s="131"/>
      <c r="M74" s="131"/>
      <c r="N74" s="131"/>
      <c r="O74" s="131"/>
      <c r="P74" s="131"/>
      <c r="Q74" s="131"/>
      <c r="R74" s="131"/>
    </row>
    <row r="75" spans="1:18" ht="18" customHeight="1">
      <c r="A75" s="579"/>
      <c r="B75" s="94"/>
      <c r="C75" s="334" t="s">
        <v>3732</v>
      </c>
      <c r="D75" s="131"/>
      <c r="E75" s="131"/>
      <c r="F75" s="131"/>
      <c r="G75" s="131"/>
      <c r="H75" s="131"/>
      <c r="I75" s="131"/>
      <c r="J75" s="131"/>
      <c r="K75" s="131"/>
      <c r="L75" s="131"/>
      <c r="M75" s="131"/>
      <c r="N75" s="131"/>
      <c r="O75" s="131"/>
      <c r="P75" s="131"/>
      <c r="Q75" s="131"/>
      <c r="R75" s="131"/>
    </row>
    <row r="76" spans="1:18" ht="18" customHeight="1">
      <c r="A76" s="579"/>
      <c r="B76" s="94"/>
      <c r="C76" s="226" t="s">
        <v>3733</v>
      </c>
      <c r="D76" s="131"/>
      <c r="E76" s="131"/>
      <c r="F76" s="131"/>
      <c r="G76" s="131"/>
      <c r="H76" s="131"/>
      <c r="I76" s="131"/>
      <c r="J76" s="131"/>
      <c r="K76" s="131"/>
      <c r="L76" s="131"/>
      <c r="M76" s="131"/>
      <c r="N76" s="131"/>
      <c r="O76" s="131"/>
      <c r="P76" s="131"/>
      <c r="Q76" s="131"/>
      <c r="R76" s="131"/>
    </row>
    <row r="77" spans="1:18" ht="18" customHeight="1">
      <c r="A77" s="579"/>
      <c r="B77" s="94"/>
      <c r="C77" s="226" t="s">
        <v>3704</v>
      </c>
      <c r="D77" s="131"/>
      <c r="E77" s="131"/>
      <c r="F77" s="131"/>
      <c r="G77" s="131"/>
      <c r="H77" s="131"/>
      <c r="I77" s="131"/>
      <c r="J77" s="131"/>
      <c r="K77" s="131"/>
      <c r="L77" s="131"/>
      <c r="M77" s="131"/>
      <c r="N77" s="131"/>
      <c r="O77" s="131"/>
      <c r="P77" s="131"/>
      <c r="Q77" s="131"/>
      <c r="R77" s="131"/>
    </row>
    <row r="78" spans="1:18" ht="18" customHeight="1">
      <c r="A78" s="579"/>
      <c r="B78" s="129"/>
      <c r="C78" s="229"/>
      <c r="D78" s="131"/>
      <c r="E78" s="131"/>
      <c r="F78" s="131"/>
      <c r="G78" s="131"/>
      <c r="H78" s="131"/>
      <c r="I78" s="131"/>
      <c r="J78" s="131"/>
      <c r="K78" s="131"/>
      <c r="L78" s="131"/>
      <c r="M78" s="131"/>
      <c r="N78" s="131"/>
      <c r="O78" s="131"/>
      <c r="P78" s="131"/>
      <c r="Q78" s="131"/>
      <c r="R78" s="131"/>
    </row>
    <row r="79" spans="1:18" ht="18" customHeight="1">
      <c r="A79" s="578">
        <v>44517</v>
      </c>
      <c r="B79" s="94"/>
      <c r="C79" s="226"/>
    </row>
    <row r="80" spans="1:18" ht="18" customHeight="1">
      <c r="A80" s="579"/>
      <c r="B80" s="94"/>
      <c r="C80" s="230" t="s">
        <v>3705</v>
      </c>
      <c r="E80" s="178"/>
    </row>
    <row r="81" spans="1:5" ht="18" customHeight="1">
      <c r="A81" s="579"/>
      <c r="B81" s="94"/>
      <c r="C81" s="230" t="s">
        <v>3735</v>
      </c>
      <c r="E81" s="178"/>
    </row>
    <row r="82" spans="1:5" ht="18" customHeight="1">
      <c r="A82" s="579"/>
      <c r="B82" s="94"/>
      <c r="C82" s="230" t="s">
        <v>3736</v>
      </c>
      <c r="E82" s="178"/>
    </row>
    <row r="83" spans="1:5" ht="18" customHeight="1">
      <c r="A83" s="579"/>
      <c r="B83" s="94"/>
      <c r="C83" s="230" t="s">
        <v>3737</v>
      </c>
      <c r="E83" s="178"/>
    </row>
    <row r="84" spans="1:5" ht="18" customHeight="1">
      <c r="A84" s="579"/>
      <c r="B84" s="94"/>
      <c r="C84" s="226" t="s">
        <v>3738</v>
      </c>
    </row>
    <row r="85" spans="1:5" ht="18" customHeight="1">
      <c r="A85" s="579"/>
      <c r="B85" s="94"/>
      <c r="C85" s="226" t="s">
        <v>3739</v>
      </c>
    </row>
    <row r="86" spans="1:5" ht="18" customHeight="1">
      <c r="A86" s="579"/>
      <c r="B86" s="94"/>
      <c r="C86" s="226" t="s">
        <v>3740</v>
      </c>
    </row>
    <row r="87" spans="1:5" ht="18" customHeight="1">
      <c r="A87" s="579"/>
      <c r="B87" s="94"/>
      <c r="C87" s="226" t="s">
        <v>3704</v>
      </c>
    </row>
    <row r="88" spans="1:5" ht="18" customHeight="1">
      <c r="A88" s="579"/>
      <c r="B88" s="129"/>
      <c r="C88" s="229"/>
    </row>
    <row r="89" spans="1:5" ht="18" customHeight="1">
      <c r="A89" s="573">
        <v>44518</v>
      </c>
      <c r="B89" s="335"/>
      <c r="C89" s="230"/>
    </row>
    <row r="90" spans="1:5" ht="18" customHeight="1">
      <c r="A90" s="574"/>
      <c r="B90" s="335"/>
      <c r="C90" s="230" t="s">
        <v>3705</v>
      </c>
    </row>
    <row r="91" spans="1:5" ht="18" customHeight="1">
      <c r="A91" s="574"/>
      <c r="B91" s="335"/>
      <c r="C91" s="230" t="s">
        <v>3741</v>
      </c>
    </row>
    <row r="92" spans="1:5" ht="18" customHeight="1">
      <c r="A92" s="574"/>
      <c r="B92" s="335"/>
      <c r="C92" s="230" t="s">
        <v>3734</v>
      </c>
    </row>
    <row r="93" spans="1:5" ht="18" customHeight="1">
      <c r="A93" s="574"/>
      <c r="B93" s="335"/>
      <c r="C93" s="230" t="s">
        <v>3742</v>
      </c>
    </row>
    <row r="94" spans="1:5" ht="18" customHeight="1">
      <c r="A94" s="574"/>
      <c r="B94" s="335"/>
      <c r="C94" s="230" t="s">
        <v>3743</v>
      </c>
    </row>
    <row r="95" spans="1:5" ht="18" customHeight="1">
      <c r="A95" s="574"/>
      <c r="B95" s="335"/>
      <c r="C95" s="230" t="s">
        <v>3704</v>
      </c>
    </row>
    <row r="96" spans="1:5" ht="18" customHeight="1">
      <c r="A96" s="574"/>
      <c r="B96" s="336"/>
      <c r="C96" s="337"/>
    </row>
    <row r="97" spans="1:18" ht="18" customHeight="1">
      <c r="A97" s="573">
        <v>44519</v>
      </c>
      <c r="B97" s="335"/>
      <c r="C97" s="230"/>
    </row>
    <row r="98" spans="1:18" ht="18" customHeight="1">
      <c r="A98" s="574"/>
      <c r="B98" s="335"/>
      <c r="C98" s="230" t="s">
        <v>3705</v>
      </c>
    </row>
    <row r="99" spans="1:18" ht="18" customHeight="1">
      <c r="A99" s="574"/>
      <c r="B99" s="335"/>
      <c r="C99" s="230" t="s">
        <v>3744</v>
      </c>
    </row>
    <row r="100" spans="1:18" ht="18" customHeight="1">
      <c r="A100" s="574"/>
      <c r="B100" s="335"/>
      <c r="C100" s="227" t="s">
        <v>3745</v>
      </c>
      <c r="D100" s="408"/>
      <c r="E100" s="408"/>
      <c r="F100" s="408"/>
      <c r="G100" s="408"/>
      <c r="H100" s="408"/>
      <c r="I100" s="408"/>
      <c r="J100" s="408"/>
      <c r="K100" s="408"/>
      <c r="L100" s="408"/>
      <c r="M100" s="408"/>
      <c r="N100" s="408"/>
      <c r="O100" s="408"/>
      <c r="P100" s="408"/>
      <c r="Q100" s="408"/>
      <c r="R100" s="409"/>
    </row>
    <row r="101" spans="1:18" ht="18" customHeight="1">
      <c r="A101" s="574"/>
      <c r="B101" s="335"/>
      <c r="C101" s="230" t="s">
        <v>3746</v>
      </c>
    </row>
    <row r="102" spans="1:18" ht="18" customHeight="1">
      <c r="A102" s="574"/>
      <c r="B102" s="335"/>
      <c r="C102" s="230" t="s">
        <v>3747</v>
      </c>
    </row>
    <row r="103" spans="1:18" ht="18" customHeight="1">
      <c r="A103" s="574"/>
      <c r="B103" s="335"/>
      <c r="C103" s="227" t="s">
        <v>3748</v>
      </c>
    </row>
    <row r="104" spans="1:18" ht="18" customHeight="1">
      <c r="A104" s="574"/>
      <c r="B104" s="336"/>
      <c r="C104" s="337"/>
    </row>
    <row r="105" spans="1:18" ht="18" customHeight="1">
      <c r="A105" s="573">
        <v>44520</v>
      </c>
      <c r="B105" s="335"/>
      <c r="C105" s="230"/>
    </row>
    <row r="106" spans="1:18" ht="18" customHeight="1">
      <c r="A106" s="574"/>
      <c r="B106" s="335"/>
      <c r="C106" s="230" t="s">
        <v>3705</v>
      </c>
    </row>
    <row r="107" spans="1:18" ht="18" customHeight="1">
      <c r="A107" s="574"/>
      <c r="B107" s="335"/>
      <c r="C107" s="227" t="s">
        <v>3749</v>
      </c>
    </row>
    <row r="108" spans="1:18" ht="18" customHeight="1">
      <c r="A108" s="574"/>
      <c r="B108" s="335"/>
      <c r="C108" s="230" t="s">
        <v>3750</v>
      </c>
    </row>
    <row r="109" spans="1:18" ht="18" customHeight="1">
      <c r="A109" s="574"/>
      <c r="B109" s="335"/>
      <c r="C109" s="230" t="s">
        <v>3751</v>
      </c>
    </row>
    <row r="110" spans="1:18" ht="18" customHeight="1">
      <c r="A110" s="574"/>
      <c r="B110" s="335"/>
      <c r="C110" s="230" t="s">
        <v>3704</v>
      </c>
    </row>
    <row r="111" spans="1:18" ht="18" customHeight="1">
      <c r="A111" s="574"/>
      <c r="B111" s="336"/>
      <c r="C111" s="337"/>
    </row>
    <row r="112" spans="1:18" ht="18" customHeight="1">
      <c r="A112" s="578">
        <v>44523</v>
      </c>
      <c r="B112" s="400"/>
      <c r="C112" s="226"/>
    </row>
    <row r="113" spans="1:3" ht="18" customHeight="1">
      <c r="A113" s="579"/>
      <c r="B113" s="400"/>
      <c r="C113" s="334" t="s">
        <v>3705</v>
      </c>
    </row>
    <row r="114" spans="1:3" ht="18" customHeight="1">
      <c r="A114" s="579"/>
      <c r="B114" s="400"/>
      <c r="C114" s="226" t="s">
        <v>3752</v>
      </c>
    </row>
    <row r="115" spans="1:3" ht="18" customHeight="1">
      <c r="A115" s="579"/>
      <c r="B115" s="400"/>
      <c r="C115" s="226" t="s">
        <v>3747</v>
      </c>
    </row>
    <row r="116" spans="1:3" ht="18" customHeight="1">
      <c r="A116" s="579"/>
      <c r="B116" s="400"/>
      <c r="C116" s="226" t="s">
        <v>3753</v>
      </c>
    </row>
    <row r="117" spans="1:3" ht="18" customHeight="1">
      <c r="A117" s="579"/>
      <c r="B117" s="400"/>
      <c r="C117" s="410" t="s">
        <v>3754</v>
      </c>
    </row>
    <row r="118" spans="1:3" ht="18" customHeight="1">
      <c r="A118" s="579"/>
      <c r="B118" s="400"/>
      <c r="C118" s="226" t="s">
        <v>3755</v>
      </c>
    </row>
    <row r="119" spans="1:3" ht="18" customHeight="1">
      <c r="A119" s="579"/>
      <c r="B119" s="400"/>
      <c r="C119" s="226" t="s">
        <v>3756</v>
      </c>
    </row>
    <row r="120" spans="1:3" ht="18" customHeight="1">
      <c r="A120" s="579"/>
      <c r="B120" s="402"/>
      <c r="C120" s="229"/>
    </row>
    <row r="121" spans="1:3" ht="18" customHeight="1">
      <c r="A121" s="573">
        <v>44524</v>
      </c>
      <c r="B121" s="335"/>
      <c r="C121" s="230"/>
    </row>
    <row r="122" spans="1:3" ht="18" customHeight="1">
      <c r="A122" s="574"/>
      <c r="B122" s="335"/>
      <c r="C122" s="230" t="s">
        <v>3705</v>
      </c>
    </row>
    <row r="123" spans="1:3" ht="18" customHeight="1">
      <c r="A123" s="574"/>
      <c r="B123" s="335"/>
      <c r="C123" s="230" t="s">
        <v>3757</v>
      </c>
    </row>
    <row r="124" spans="1:3" ht="18" customHeight="1">
      <c r="A124" s="574"/>
      <c r="B124" s="335"/>
      <c r="C124" s="230" t="s">
        <v>3758</v>
      </c>
    </row>
    <row r="125" spans="1:3" ht="18" customHeight="1">
      <c r="A125" s="574"/>
      <c r="B125" s="335"/>
      <c r="C125" s="230" t="s">
        <v>3704</v>
      </c>
    </row>
    <row r="126" spans="1:3" ht="18" customHeight="1">
      <c r="A126" s="581"/>
      <c r="B126" s="336"/>
      <c r="C126" s="337"/>
    </row>
    <row r="127" spans="1:3" ht="18" customHeight="1">
      <c r="A127" s="578">
        <v>44525</v>
      </c>
      <c r="B127" s="94"/>
      <c r="C127" s="226"/>
    </row>
    <row r="128" spans="1:3" ht="18" customHeight="1">
      <c r="A128" s="579"/>
      <c r="B128" s="94"/>
      <c r="C128" s="334" t="s">
        <v>3705</v>
      </c>
    </row>
    <row r="129" spans="1:3" ht="18" customHeight="1">
      <c r="A129" s="579"/>
      <c r="B129" s="94"/>
      <c r="C129" s="226" t="s">
        <v>3759</v>
      </c>
    </row>
    <row r="130" spans="1:3" ht="18" customHeight="1">
      <c r="A130" s="579"/>
      <c r="B130" s="94"/>
      <c r="C130" s="226" t="s">
        <v>3760</v>
      </c>
    </row>
    <row r="131" spans="1:3" ht="18" customHeight="1">
      <c r="A131" s="579"/>
      <c r="B131" s="94"/>
      <c r="C131" s="226" t="s">
        <v>3704</v>
      </c>
    </row>
    <row r="132" spans="1:3" ht="18" customHeight="1">
      <c r="A132" s="580"/>
      <c r="B132" s="417"/>
      <c r="C132" s="229"/>
    </row>
    <row r="133" spans="1:3" ht="18" customHeight="1">
      <c r="A133" s="573">
        <v>44526</v>
      </c>
      <c r="B133" s="335"/>
      <c r="C133" s="230"/>
    </row>
    <row r="134" spans="1:3" ht="18" customHeight="1">
      <c r="A134" s="574"/>
      <c r="B134" s="335"/>
      <c r="C134" s="230" t="s">
        <v>3700</v>
      </c>
    </row>
    <row r="135" spans="1:3" ht="18" customHeight="1">
      <c r="A135" s="574"/>
      <c r="B135" s="335"/>
      <c r="C135" s="230" t="s">
        <v>3978</v>
      </c>
    </row>
    <row r="136" spans="1:3" ht="18" customHeight="1">
      <c r="A136" s="574"/>
      <c r="B136" s="335"/>
      <c r="C136" s="230" t="s">
        <v>3979</v>
      </c>
    </row>
    <row r="137" spans="1:3" ht="18" customHeight="1">
      <c r="A137" s="574"/>
      <c r="B137" s="335"/>
      <c r="C137" s="230" t="s">
        <v>3980</v>
      </c>
    </row>
    <row r="138" spans="1:3" ht="18" customHeight="1">
      <c r="A138" s="574"/>
      <c r="B138" s="335"/>
      <c r="C138" s="230" t="s">
        <v>3981</v>
      </c>
    </row>
    <row r="139" spans="1:3" ht="18" customHeight="1">
      <c r="A139" s="574"/>
      <c r="B139" s="335"/>
      <c r="C139" s="230"/>
    </row>
    <row r="140" spans="1:3" ht="18" customHeight="1">
      <c r="A140" s="574"/>
      <c r="B140" s="335"/>
      <c r="C140" s="230" t="s">
        <v>3761</v>
      </c>
    </row>
    <row r="141" spans="1:3" ht="18" customHeight="1">
      <c r="A141" s="574"/>
      <c r="B141" s="335"/>
      <c r="C141" s="230" t="s">
        <v>3982</v>
      </c>
    </row>
    <row r="142" spans="1:3" ht="18" customHeight="1">
      <c r="A142" s="574"/>
      <c r="B142" s="335"/>
      <c r="C142" s="230" t="s">
        <v>3983</v>
      </c>
    </row>
    <row r="143" spans="1:3" ht="18" customHeight="1">
      <c r="A143" s="574"/>
      <c r="B143" s="335"/>
      <c r="C143" s="230" t="s">
        <v>3984</v>
      </c>
    </row>
    <row r="144" spans="1:3" ht="18" customHeight="1">
      <c r="A144" s="581"/>
      <c r="B144" s="418"/>
      <c r="C144" s="337"/>
    </row>
    <row r="145" spans="1:3" ht="18" customHeight="1">
      <c r="A145" s="575">
        <v>44527</v>
      </c>
      <c r="B145" s="400"/>
      <c r="C145" s="590"/>
    </row>
    <row r="146" spans="1:3" ht="18" customHeight="1">
      <c r="A146" s="576"/>
      <c r="B146" s="400"/>
      <c r="C146" s="401" t="s">
        <v>3700</v>
      </c>
    </row>
    <row r="147" spans="1:3" ht="18" customHeight="1">
      <c r="A147" s="576"/>
      <c r="B147" s="400"/>
      <c r="C147" s="401" t="s">
        <v>4353</v>
      </c>
    </row>
    <row r="148" spans="1:3" ht="18" customHeight="1">
      <c r="A148" s="576"/>
      <c r="B148" s="400"/>
      <c r="C148" s="401" t="s">
        <v>4354</v>
      </c>
    </row>
    <row r="149" spans="1:3" ht="18" customHeight="1">
      <c r="A149" s="576"/>
      <c r="B149" s="400"/>
      <c r="C149" s="401" t="s">
        <v>4351</v>
      </c>
    </row>
    <row r="150" spans="1:3" ht="18" customHeight="1">
      <c r="A150" s="576"/>
      <c r="B150" s="400"/>
      <c r="C150" s="401" t="s">
        <v>4352</v>
      </c>
    </row>
    <row r="151" spans="1:3" ht="18" customHeight="1">
      <c r="A151" s="576"/>
      <c r="B151" s="400"/>
      <c r="C151" s="401"/>
    </row>
    <row r="152" spans="1:3" ht="18" customHeight="1">
      <c r="A152" s="576"/>
      <c r="B152" s="400"/>
      <c r="C152" s="401" t="s">
        <v>4350</v>
      </c>
    </row>
    <row r="153" spans="1:3" ht="18" customHeight="1">
      <c r="A153" s="577"/>
      <c r="B153" s="402"/>
      <c r="C153" s="403"/>
    </row>
    <row r="154" spans="1:3" ht="18" customHeight="1">
      <c r="A154" s="570"/>
      <c r="B154" s="94"/>
      <c r="C154" s="120"/>
    </row>
    <row r="155" spans="1:3" ht="18" customHeight="1">
      <c r="A155" s="571"/>
      <c r="B155" s="94"/>
      <c r="C155" s="120"/>
    </row>
    <row r="156" spans="1:3" ht="18" customHeight="1">
      <c r="A156" s="571"/>
      <c r="B156" s="94"/>
      <c r="C156" s="120"/>
    </row>
    <row r="157" spans="1:3" ht="18" customHeight="1">
      <c r="A157" s="571"/>
      <c r="B157" s="94"/>
      <c r="C157" s="120"/>
    </row>
    <row r="158" spans="1:3" ht="18" customHeight="1">
      <c r="A158" s="571"/>
      <c r="B158" s="94"/>
      <c r="C158" s="120"/>
    </row>
    <row r="159" spans="1:3" ht="18" customHeight="1">
      <c r="A159" s="572"/>
      <c r="B159" s="129"/>
      <c r="C159" s="121"/>
    </row>
    <row r="160" spans="1:3" ht="17.25" customHeight="1">
      <c r="A160" s="570"/>
      <c r="B160" s="182"/>
      <c r="C160" s="142"/>
    </row>
    <row r="161" spans="1:3" ht="17.25" customHeight="1">
      <c r="A161" s="571"/>
      <c r="B161" s="94"/>
      <c r="C161" s="120"/>
    </row>
    <row r="162" spans="1:3" ht="17.25" customHeight="1">
      <c r="A162" s="571"/>
      <c r="B162" s="94"/>
      <c r="C162" s="120"/>
    </row>
    <row r="163" spans="1:3" ht="17.25" customHeight="1">
      <c r="A163" s="571"/>
      <c r="B163" s="94"/>
      <c r="C163" s="120"/>
    </row>
    <row r="164" spans="1:3" ht="17.25" customHeight="1">
      <c r="A164" s="571"/>
      <c r="B164" s="94"/>
      <c r="C164" s="120"/>
    </row>
    <row r="165" spans="1:3" ht="17.25" customHeight="1">
      <c r="A165" s="572"/>
      <c r="B165" s="129"/>
      <c r="C165" s="121"/>
    </row>
    <row r="166" spans="1:3" ht="18" customHeight="1">
      <c r="A166" s="570"/>
      <c r="B166" s="140"/>
      <c r="C166" s="142"/>
    </row>
    <row r="167" spans="1:3" ht="18" customHeight="1">
      <c r="A167" s="571"/>
      <c r="B167" s="128"/>
      <c r="C167" s="120"/>
    </row>
    <row r="168" spans="1:3" ht="18" customHeight="1">
      <c r="A168" s="571"/>
      <c r="B168" s="128"/>
      <c r="C168" s="120"/>
    </row>
    <row r="169" spans="1:3" ht="18" customHeight="1">
      <c r="A169" s="571"/>
      <c r="B169" s="128"/>
      <c r="C169" s="120"/>
    </row>
    <row r="170" spans="1:3" ht="18" customHeight="1">
      <c r="A170" s="571"/>
      <c r="B170" s="128"/>
      <c r="C170" s="120"/>
    </row>
    <row r="171" spans="1:3" ht="18" customHeight="1">
      <c r="A171" s="571"/>
      <c r="B171" s="129"/>
      <c r="C171" s="121"/>
    </row>
    <row r="201" spans="3:3" ht="17.25" customHeight="1">
      <c r="C201" s="88" t="s">
        <v>102</v>
      </c>
    </row>
  </sheetData>
  <mergeCells count="23">
    <mergeCell ref="A73:A78"/>
    <mergeCell ref="A89:A96"/>
    <mergeCell ref="A3:A8"/>
    <mergeCell ref="A9:A14"/>
    <mergeCell ref="A15:A20"/>
    <mergeCell ref="A34:A40"/>
    <mergeCell ref="A28:A33"/>
    <mergeCell ref="A79:A88"/>
    <mergeCell ref="A41:A48"/>
    <mergeCell ref="A49:A57"/>
    <mergeCell ref="A58:A66"/>
    <mergeCell ref="A67:A72"/>
    <mergeCell ref="A21:A27"/>
    <mergeCell ref="A166:A171"/>
    <mergeCell ref="A160:A165"/>
    <mergeCell ref="A154:A159"/>
    <mergeCell ref="A105:A111"/>
    <mergeCell ref="A97:A104"/>
    <mergeCell ref="A133:A144"/>
    <mergeCell ref="A145:A153"/>
    <mergeCell ref="A127:A132"/>
    <mergeCell ref="A121:A126"/>
    <mergeCell ref="A112:A120"/>
  </mergeCells>
  <phoneticPr fontId="19" type="noConversion"/>
  <pageMargins left="0.75" right="0.75" top="1" bottom="1" header="0.5" footer="0.5"/>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5"/>
  <sheetData/>
  <phoneticPr fontId="1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
  <sheetViews>
    <sheetView workbookViewId="0">
      <selection activeCell="J6" sqref="J6"/>
    </sheetView>
  </sheetViews>
  <sheetFormatPr defaultRowHeight="16.5"/>
  <cols>
    <col min="8" max="8" width="12.125" customWidth="1"/>
    <col min="9" max="9" width="10.25" customWidth="1"/>
    <col min="11" max="11" width="10.125" customWidth="1"/>
    <col min="12" max="12" width="13.625" customWidth="1"/>
    <col min="13" max="13" width="13" customWidth="1"/>
    <col min="14" max="14" width="13.875" customWidth="1"/>
    <col min="15" max="15" width="10.25" customWidth="1"/>
    <col min="16" max="16" width="11.75" customWidth="1"/>
    <col min="17" max="17" width="20" customWidth="1"/>
  </cols>
  <sheetData>
    <row r="1" spans="1:19">
      <c r="A1" t="s">
        <v>27</v>
      </c>
      <c r="B1" t="s">
        <v>109</v>
      </c>
      <c r="C1" t="s">
        <v>71</v>
      </c>
      <c r="D1" t="s">
        <v>72</v>
      </c>
      <c r="E1" t="s">
        <v>73</v>
      </c>
      <c r="F1" t="s">
        <v>74</v>
      </c>
      <c r="G1" t="s">
        <v>75</v>
      </c>
      <c r="H1" t="s">
        <v>83</v>
      </c>
      <c r="I1" t="s">
        <v>84</v>
      </c>
      <c r="J1" t="s">
        <v>85</v>
      </c>
      <c r="K1" t="s">
        <v>76</v>
      </c>
      <c r="L1" t="s">
        <v>77</v>
      </c>
      <c r="M1" t="s">
        <v>78</v>
      </c>
      <c r="N1" t="s">
        <v>79</v>
      </c>
      <c r="O1" t="s">
        <v>86</v>
      </c>
      <c r="P1" t="s">
        <v>87</v>
      </c>
      <c r="Q1" t="s">
        <v>88</v>
      </c>
      <c r="R1" t="s">
        <v>81</v>
      </c>
      <c r="S1" t="s">
        <v>82</v>
      </c>
    </row>
  </sheetData>
  <phoneticPr fontId="19"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A1:N1114"/>
  <sheetViews>
    <sheetView zoomScale="80" zoomScaleNormal="80" workbookViewId="0">
      <selection activeCell="A2" sqref="A2"/>
    </sheetView>
  </sheetViews>
  <sheetFormatPr defaultColWidth="8.75" defaultRowHeight="12"/>
  <cols>
    <col min="1" max="1" width="10.625" style="104" bestFit="1" customWidth="1"/>
    <col min="2" max="4" width="8.75" style="104"/>
    <col min="5" max="5" width="11.25" style="104" bestFit="1" customWidth="1"/>
    <col min="6" max="6" width="22.5" style="104" bestFit="1" customWidth="1"/>
    <col min="7" max="7" width="14.25" style="404" bestFit="1" customWidth="1"/>
    <col min="8" max="8" width="11.75" style="104" customWidth="1"/>
    <col min="9" max="9" width="10.375" style="104" customWidth="1"/>
    <col min="10" max="10" width="14.125" style="104" customWidth="1"/>
    <col min="11" max="11" width="8.75" style="104"/>
    <col min="12" max="12" width="12" style="104" bestFit="1" customWidth="1"/>
    <col min="13" max="13" width="15.5" style="104" bestFit="1" customWidth="1"/>
    <col min="14" max="14" width="178" style="104" bestFit="1" customWidth="1"/>
    <col min="15" max="16384" width="8.75" style="104"/>
  </cols>
  <sheetData>
    <row r="1" spans="1:14" ht="21.75" customHeight="1">
      <c r="A1" s="192">
        <f>SUM(C161:C181)</f>
        <v>2.626157407407408E-2</v>
      </c>
    </row>
    <row r="2" spans="1:14" ht="16.5">
      <c r="A2" s="191" t="s">
        <v>139</v>
      </c>
      <c r="B2" s="191" t="s">
        <v>140</v>
      </c>
      <c r="C2" s="191" t="s">
        <v>141</v>
      </c>
      <c r="D2" s="191" t="s">
        <v>142</v>
      </c>
      <c r="E2" s="191" t="s">
        <v>143</v>
      </c>
      <c r="F2" s="191" t="s">
        <v>144</v>
      </c>
      <c r="G2" s="405" t="s">
        <v>328</v>
      </c>
      <c r="H2" s="191" t="s">
        <v>145</v>
      </c>
      <c r="I2" s="191" t="s">
        <v>146</v>
      </c>
      <c r="J2" s="191" t="s">
        <v>147</v>
      </c>
      <c r="K2" s="191" t="s">
        <v>148</v>
      </c>
      <c r="L2" s="191" t="s">
        <v>149</v>
      </c>
      <c r="M2" s="191" t="s">
        <v>149</v>
      </c>
      <c r="N2" s="191" t="s">
        <v>150</v>
      </c>
    </row>
    <row r="3" spans="1:14" s="244" customFormat="1" ht="16.5">
      <c r="A3" s="583" t="s">
        <v>3986</v>
      </c>
      <c r="B3" s="583" t="s">
        <v>3987</v>
      </c>
      <c r="C3" s="584">
        <v>1.7361111111111112E-4</v>
      </c>
      <c r="D3" s="583" t="s">
        <v>3988</v>
      </c>
      <c r="E3" s="583" t="s">
        <v>154</v>
      </c>
      <c r="F3" s="583" t="s">
        <v>2515</v>
      </c>
      <c r="G3" s="583" t="s">
        <v>2612</v>
      </c>
      <c r="H3" s="583" t="s">
        <v>157</v>
      </c>
      <c r="I3" s="583" t="s">
        <v>197</v>
      </c>
      <c r="J3" s="583" t="s">
        <v>198</v>
      </c>
      <c r="K3" s="583" t="s">
        <v>2714</v>
      </c>
      <c r="L3" s="583" t="s">
        <v>161</v>
      </c>
      <c r="M3" s="583" t="s">
        <v>162</v>
      </c>
      <c r="N3" s="583" t="s">
        <v>3989</v>
      </c>
    </row>
    <row r="4" spans="1:14" s="244" customFormat="1" ht="16.5">
      <c r="A4" s="583" t="s">
        <v>3986</v>
      </c>
      <c r="B4" s="583" t="s">
        <v>3990</v>
      </c>
      <c r="C4" s="584">
        <v>1.6203703703703703E-3</v>
      </c>
      <c r="D4" s="583" t="s">
        <v>3991</v>
      </c>
      <c r="E4" s="583" t="s">
        <v>154</v>
      </c>
      <c r="F4" s="583" t="s">
        <v>2515</v>
      </c>
      <c r="G4" s="583" t="s">
        <v>2612</v>
      </c>
      <c r="H4" s="583" t="s">
        <v>157</v>
      </c>
      <c r="I4" s="583" t="s">
        <v>197</v>
      </c>
      <c r="J4" s="583" t="s">
        <v>198</v>
      </c>
      <c r="K4" s="583" t="s">
        <v>2714</v>
      </c>
      <c r="L4" s="583" t="s">
        <v>161</v>
      </c>
      <c r="M4" s="583" t="s">
        <v>162</v>
      </c>
      <c r="N4" s="583" t="s">
        <v>3280</v>
      </c>
    </row>
    <row r="5" spans="1:14" s="244" customFormat="1" ht="16.5">
      <c r="A5" s="583" t="s">
        <v>3986</v>
      </c>
      <c r="B5" s="583" t="s">
        <v>3992</v>
      </c>
      <c r="C5" s="584">
        <v>4.5138888888888892E-4</v>
      </c>
      <c r="D5" s="583" t="s">
        <v>3993</v>
      </c>
      <c r="E5" s="583" t="s">
        <v>154</v>
      </c>
      <c r="F5" s="583" t="s">
        <v>2541</v>
      </c>
      <c r="G5" s="583" t="s">
        <v>3994</v>
      </c>
      <c r="H5" s="583" t="s">
        <v>157</v>
      </c>
      <c r="I5" s="583" t="s">
        <v>197</v>
      </c>
      <c r="J5" s="583" t="s">
        <v>198</v>
      </c>
      <c r="K5" s="583" t="s">
        <v>2714</v>
      </c>
      <c r="L5" s="583" t="s">
        <v>161</v>
      </c>
      <c r="M5" s="583" t="s">
        <v>162</v>
      </c>
      <c r="N5" s="583" t="s">
        <v>3995</v>
      </c>
    </row>
    <row r="6" spans="1:14" s="244" customFormat="1" ht="16.5">
      <c r="A6" s="583" t="s">
        <v>3986</v>
      </c>
      <c r="B6" s="583" t="s">
        <v>3996</v>
      </c>
      <c r="C6" s="584">
        <v>2.2569444444444447E-3</v>
      </c>
      <c r="D6" s="583" t="s">
        <v>3997</v>
      </c>
      <c r="E6" s="583" t="s">
        <v>154</v>
      </c>
      <c r="F6" s="583" t="s">
        <v>2541</v>
      </c>
      <c r="G6" s="583" t="s">
        <v>3994</v>
      </c>
      <c r="H6" s="583" t="s">
        <v>157</v>
      </c>
      <c r="I6" s="583" t="s">
        <v>197</v>
      </c>
      <c r="J6" s="583" t="s">
        <v>198</v>
      </c>
      <c r="K6" s="583" t="s">
        <v>2714</v>
      </c>
      <c r="L6" s="583" t="s">
        <v>161</v>
      </c>
      <c r="M6" s="583" t="s">
        <v>162</v>
      </c>
      <c r="N6" s="583" t="s">
        <v>3280</v>
      </c>
    </row>
    <row r="7" spans="1:14" s="244" customFormat="1" ht="16.5">
      <c r="A7" s="583" t="s">
        <v>3986</v>
      </c>
      <c r="B7" s="583" t="s">
        <v>3998</v>
      </c>
      <c r="C7" s="583"/>
      <c r="D7" s="583"/>
      <c r="E7" s="583"/>
      <c r="F7" s="583" t="s">
        <v>2541</v>
      </c>
      <c r="G7" s="583" t="s">
        <v>3999</v>
      </c>
      <c r="H7" s="583" t="s">
        <v>157</v>
      </c>
      <c r="I7" s="583" t="s">
        <v>197</v>
      </c>
      <c r="J7" s="583" t="s">
        <v>198</v>
      </c>
      <c r="K7" s="583" t="s">
        <v>2714</v>
      </c>
      <c r="L7" s="583" t="s">
        <v>161</v>
      </c>
      <c r="M7" s="583" t="s">
        <v>162</v>
      </c>
      <c r="N7" s="583" t="s">
        <v>4000</v>
      </c>
    </row>
    <row r="8" spans="1:14" s="244" customFormat="1" ht="16.5">
      <c r="A8" s="583" t="s">
        <v>3986</v>
      </c>
      <c r="B8" s="583" t="s">
        <v>4001</v>
      </c>
      <c r="C8" s="583"/>
      <c r="D8" s="583"/>
      <c r="E8" s="583"/>
      <c r="F8" s="583" t="s">
        <v>2541</v>
      </c>
      <c r="G8" s="583" t="s">
        <v>4002</v>
      </c>
      <c r="H8" s="583" t="s">
        <v>157</v>
      </c>
      <c r="I8" s="583" t="s">
        <v>197</v>
      </c>
      <c r="J8" s="583" t="s">
        <v>198</v>
      </c>
      <c r="K8" s="583" t="s">
        <v>2714</v>
      </c>
      <c r="L8" s="583" t="s">
        <v>161</v>
      </c>
      <c r="M8" s="583" t="s">
        <v>162</v>
      </c>
      <c r="N8" s="583" t="s">
        <v>4003</v>
      </c>
    </row>
    <row r="9" spans="1:14" s="244" customFormat="1" ht="16.5">
      <c r="A9" s="583" t="s">
        <v>3986</v>
      </c>
      <c r="B9" s="583" t="s">
        <v>4004</v>
      </c>
      <c r="C9" s="584">
        <v>6.2500000000000001E-4</v>
      </c>
      <c r="D9" s="583" t="s">
        <v>4005</v>
      </c>
      <c r="E9" s="583" t="s">
        <v>154</v>
      </c>
      <c r="F9" s="583" t="s">
        <v>2541</v>
      </c>
      <c r="G9" s="583" t="s">
        <v>2542</v>
      </c>
      <c r="H9" s="583" t="s">
        <v>157</v>
      </c>
      <c r="I9" s="583" t="s">
        <v>197</v>
      </c>
      <c r="J9" s="583" t="s">
        <v>198</v>
      </c>
      <c r="K9" s="583" t="s">
        <v>2714</v>
      </c>
      <c r="L9" s="583" t="s">
        <v>161</v>
      </c>
      <c r="M9" s="583" t="s">
        <v>162</v>
      </c>
      <c r="N9" s="583" t="s">
        <v>4006</v>
      </c>
    </row>
    <row r="10" spans="1:14" s="244" customFormat="1" ht="16.5">
      <c r="A10" s="583" t="s">
        <v>3986</v>
      </c>
      <c r="B10" s="583" t="s">
        <v>4007</v>
      </c>
      <c r="C10" s="584">
        <v>1.8055555555555557E-3</v>
      </c>
      <c r="D10" s="583" t="s">
        <v>4008</v>
      </c>
      <c r="E10" s="583" t="s">
        <v>154</v>
      </c>
      <c r="F10" s="583" t="s">
        <v>2991</v>
      </c>
      <c r="G10" s="583" t="s">
        <v>959</v>
      </c>
      <c r="H10" s="583" t="s">
        <v>157</v>
      </c>
      <c r="I10" s="583" t="s">
        <v>158</v>
      </c>
      <c r="J10" s="583" t="s">
        <v>212</v>
      </c>
      <c r="K10" s="583" t="s">
        <v>2714</v>
      </c>
      <c r="L10" s="583" t="s">
        <v>161</v>
      </c>
      <c r="M10" s="583" t="s">
        <v>162</v>
      </c>
      <c r="N10" s="583" t="s">
        <v>4009</v>
      </c>
    </row>
    <row r="11" spans="1:14" s="244" customFormat="1" ht="16.5">
      <c r="A11" s="583" t="s">
        <v>3986</v>
      </c>
      <c r="B11" s="583" t="s">
        <v>4010</v>
      </c>
      <c r="C11" s="584">
        <v>1.3888888888888889E-4</v>
      </c>
      <c r="D11" s="583" t="s">
        <v>4011</v>
      </c>
      <c r="E11" s="583" t="s">
        <v>154</v>
      </c>
      <c r="F11" s="583" t="s">
        <v>2547</v>
      </c>
      <c r="G11" s="583" t="s">
        <v>4012</v>
      </c>
      <c r="H11" s="583" t="s">
        <v>157</v>
      </c>
      <c r="I11" s="583" t="s">
        <v>197</v>
      </c>
      <c r="J11" s="583" t="s">
        <v>198</v>
      </c>
      <c r="K11" s="583" t="s">
        <v>2714</v>
      </c>
      <c r="L11" s="583" t="s">
        <v>161</v>
      </c>
      <c r="M11" s="583" t="s">
        <v>162</v>
      </c>
      <c r="N11" s="583" t="s">
        <v>4013</v>
      </c>
    </row>
    <row r="12" spans="1:14" s="244" customFormat="1" ht="16.5">
      <c r="A12" s="583" t="s">
        <v>3986</v>
      </c>
      <c r="B12" s="583" t="s">
        <v>4014</v>
      </c>
      <c r="C12" s="584">
        <v>1.1574074074074073E-4</v>
      </c>
      <c r="D12" s="583" t="s">
        <v>4015</v>
      </c>
      <c r="E12" s="583" t="s">
        <v>154</v>
      </c>
      <c r="F12" s="583" t="s">
        <v>2547</v>
      </c>
      <c r="G12" s="583" t="s">
        <v>2548</v>
      </c>
      <c r="H12" s="583" t="s">
        <v>157</v>
      </c>
      <c r="I12" s="583" t="s">
        <v>197</v>
      </c>
      <c r="J12" s="583" t="s">
        <v>198</v>
      </c>
      <c r="K12" s="583" t="s">
        <v>2714</v>
      </c>
      <c r="L12" s="583" t="s">
        <v>161</v>
      </c>
      <c r="M12" s="583" t="s">
        <v>162</v>
      </c>
      <c r="N12" s="583" t="s">
        <v>4016</v>
      </c>
    </row>
    <row r="13" spans="1:14" s="244" customFormat="1" ht="16.5">
      <c r="A13" s="583" t="s">
        <v>3986</v>
      </c>
      <c r="B13" s="583" t="s">
        <v>4017</v>
      </c>
      <c r="C13" s="584">
        <v>3.4722222222222224E-4</v>
      </c>
      <c r="D13" s="583" t="s">
        <v>4018</v>
      </c>
      <c r="E13" s="583" t="s">
        <v>154</v>
      </c>
      <c r="F13" s="583" t="s">
        <v>2862</v>
      </c>
      <c r="G13" s="583" t="s">
        <v>4019</v>
      </c>
      <c r="H13" s="583" t="s">
        <v>157</v>
      </c>
      <c r="I13" s="583" t="s">
        <v>197</v>
      </c>
      <c r="J13" s="583" t="s">
        <v>198</v>
      </c>
      <c r="K13" s="583" t="s">
        <v>2714</v>
      </c>
      <c r="L13" s="583" t="s">
        <v>161</v>
      </c>
      <c r="M13" s="583" t="s">
        <v>162</v>
      </c>
      <c r="N13" s="583" t="s">
        <v>4020</v>
      </c>
    </row>
    <row r="14" spans="1:14" s="244" customFormat="1" ht="16.5">
      <c r="A14" s="583" t="s">
        <v>3986</v>
      </c>
      <c r="B14" s="583" t="s">
        <v>4021</v>
      </c>
      <c r="C14" s="584">
        <v>3.9120370370370368E-3</v>
      </c>
      <c r="D14" s="583" t="s">
        <v>4022</v>
      </c>
      <c r="E14" s="583" t="s">
        <v>154</v>
      </c>
      <c r="F14" s="583" t="s">
        <v>4023</v>
      </c>
      <c r="G14" s="583" t="s">
        <v>4019</v>
      </c>
      <c r="H14" s="583" t="s">
        <v>157</v>
      </c>
      <c r="I14" s="583" t="s">
        <v>197</v>
      </c>
      <c r="J14" s="583" t="s">
        <v>198</v>
      </c>
      <c r="K14" s="583" t="s">
        <v>2714</v>
      </c>
      <c r="L14" s="583" t="s">
        <v>161</v>
      </c>
      <c r="M14" s="583" t="s">
        <v>162</v>
      </c>
      <c r="N14" s="583" t="s">
        <v>3280</v>
      </c>
    </row>
    <row r="15" spans="1:14" s="244" customFormat="1" ht="16.5">
      <c r="A15" s="583" t="s">
        <v>3986</v>
      </c>
      <c r="B15" s="583" t="s">
        <v>4024</v>
      </c>
      <c r="C15" s="584">
        <v>3.7037037037037034E-3</v>
      </c>
      <c r="D15" s="583" t="s">
        <v>4025</v>
      </c>
      <c r="E15" s="583" t="s">
        <v>154</v>
      </c>
      <c r="F15" s="583" t="s">
        <v>4026</v>
      </c>
      <c r="G15" s="583" t="s">
        <v>4027</v>
      </c>
      <c r="H15" s="583" t="s">
        <v>157</v>
      </c>
      <c r="I15" s="583" t="s">
        <v>158</v>
      </c>
      <c r="J15" s="583" t="s">
        <v>168</v>
      </c>
      <c r="K15" s="583" t="s">
        <v>160</v>
      </c>
      <c r="L15" s="583" t="s">
        <v>161</v>
      </c>
      <c r="M15" s="583" t="s">
        <v>162</v>
      </c>
      <c r="N15" s="583" t="s">
        <v>4028</v>
      </c>
    </row>
    <row r="16" spans="1:14" s="244" customFormat="1" ht="16.5">
      <c r="A16" s="583" t="s">
        <v>3986</v>
      </c>
      <c r="B16" s="583" t="s">
        <v>4029</v>
      </c>
      <c r="C16" s="584">
        <v>1.2268518518518518E-3</v>
      </c>
      <c r="D16" s="583" t="s">
        <v>4030</v>
      </c>
      <c r="E16" s="583" t="s">
        <v>154</v>
      </c>
      <c r="F16" s="583" t="s">
        <v>4026</v>
      </c>
      <c r="G16" s="583" t="s">
        <v>4027</v>
      </c>
      <c r="H16" s="583" t="s">
        <v>157</v>
      </c>
      <c r="I16" s="583" t="s">
        <v>158</v>
      </c>
      <c r="J16" s="583" t="s">
        <v>168</v>
      </c>
      <c r="K16" s="583" t="s">
        <v>160</v>
      </c>
      <c r="L16" s="583" t="s">
        <v>161</v>
      </c>
      <c r="M16" s="583" t="s">
        <v>162</v>
      </c>
      <c r="N16" s="583" t="s">
        <v>4031</v>
      </c>
    </row>
    <row r="17" spans="1:14" s="244" customFormat="1" ht="16.5">
      <c r="A17" s="583" t="s">
        <v>3986</v>
      </c>
      <c r="B17" s="583" t="s">
        <v>4032</v>
      </c>
      <c r="C17" s="584">
        <v>6.9444444444444444E-5</v>
      </c>
      <c r="D17" s="583" t="s">
        <v>4033</v>
      </c>
      <c r="E17" s="583" t="s">
        <v>154</v>
      </c>
      <c r="F17" s="583" t="s">
        <v>4034</v>
      </c>
      <c r="G17" s="583" t="s">
        <v>3161</v>
      </c>
      <c r="H17" s="583" t="s">
        <v>157</v>
      </c>
      <c r="I17" s="583" t="s">
        <v>158</v>
      </c>
      <c r="J17" s="583" t="s">
        <v>168</v>
      </c>
      <c r="K17" s="583" t="s">
        <v>2714</v>
      </c>
      <c r="L17" s="583" t="s">
        <v>161</v>
      </c>
      <c r="M17" s="583" t="s">
        <v>162</v>
      </c>
      <c r="N17" s="583" t="s">
        <v>3589</v>
      </c>
    </row>
    <row r="18" spans="1:14" s="244" customFormat="1" ht="16.5">
      <c r="A18" s="583" t="s">
        <v>3986</v>
      </c>
      <c r="B18" s="583" t="s">
        <v>4035</v>
      </c>
      <c r="C18" s="584">
        <v>3.4722222222222222E-5</v>
      </c>
      <c r="D18" s="583" t="s">
        <v>4036</v>
      </c>
      <c r="E18" s="583" t="s">
        <v>154</v>
      </c>
      <c r="F18" s="583" t="s">
        <v>4037</v>
      </c>
      <c r="G18" s="583" t="s">
        <v>4038</v>
      </c>
      <c r="H18" s="583" t="s">
        <v>157</v>
      </c>
      <c r="I18" s="583" t="s">
        <v>158</v>
      </c>
      <c r="J18" s="583" t="s">
        <v>212</v>
      </c>
      <c r="K18" s="583" t="s">
        <v>2714</v>
      </c>
      <c r="L18" s="583" t="s">
        <v>161</v>
      </c>
      <c r="M18" s="583" t="s">
        <v>162</v>
      </c>
      <c r="N18" s="583" t="s">
        <v>4039</v>
      </c>
    </row>
    <row r="19" spans="1:14" s="244" customFormat="1" ht="16.5">
      <c r="A19" s="583" t="s">
        <v>3986</v>
      </c>
      <c r="B19" s="583" t="s">
        <v>4040</v>
      </c>
      <c r="C19" s="584">
        <v>1.0069444444444444E-3</v>
      </c>
      <c r="D19" s="583" t="s">
        <v>4041</v>
      </c>
      <c r="E19" s="583" t="s">
        <v>154</v>
      </c>
      <c r="F19" s="583" t="s">
        <v>3602</v>
      </c>
      <c r="G19" s="583" t="s">
        <v>4042</v>
      </c>
      <c r="H19" s="583" t="s">
        <v>157</v>
      </c>
      <c r="I19" s="583" t="s">
        <v>158</v>
      </c>
      <c r="J19" s="583" t="s">
        <v>212</v>
      </c>
      <c r="K19" s="583" t="s">
        <v>2714</v>
      </c>
      <c r="L19" s="583" t="s">
        <v>161</v>
      </c>
      <c r="M19" s="583" t="s">
        <v>162</v>
      </c>
      <c r="N19" s="583" t="s">
        <v>4043</v>
      </c>
    </row>
    <row r="20" spans="1:14" s="244" customFormat="1" ht="16.5">
      <c r="A20" s="583" t="s">
        <v>3986</v>
      </c>
      <c r="B20" s="583" t="s">
        <v>4044</v>
      </c>
      <c r="C20" s="584">
        <v>1.3888888888888889E-4</v>
      </c>
      <c r="D20" s="583" t="s">
        <v>4045</v>
      </c>
      <c r="E20" s="583" t="s">
        <v>154</v>
      </c>
      <c r="F20" s="583" t="s">
        <v>4026</v>
      </c>
      <c r="G20" s="583" t="s">
        <v>4027</v>
      </c>
      <c r="H20" s="583" t="s">
        <v>157</v>
      </c>
      <c r="I20" s="583" t="s">
        <v>158</v>
      </c>
      <c r="J20" s="583" t="s">
        <v>168</v>
      </c>
      <c r="K20" s="583" t="s">
        <v>160</v>
      </c>
      <c r="L20" s="583" t="s">
        <v>161</v>
      </c>
      <c r="M20" s="583" t="s">
        <v>162</v>
      </c>
      <c r="N20" s="583" t="s">
        <v>4046</v>
      </c>
    </row>
    <row r="21" spans="1:14" s="244" customFormat="1" ht="16.5">
      <c r="A21" s="583" t="s">
        <v>3986</v>
      </c>
      <c r="B21" s="583" t="s">
        <v>4047</v>
      </c>
      <c r="C21" s="583"/>
      <c r="D21" s="583"/>
      <c r="E21" s="583"/>
      <c r="F21" s="583" t="s">
        <v>4048</v>
      </c>
      <c r="G21" s="583" t="s">
        <v>4049</v>
      </c>
      <c r="H21" s="583" t="s">
        <v>157</v>
      </c>
      <c r="I21" s="583" t="s">
        <v>158</v>
      </c>
      <c r="J21" s="583" t="s">
        <v>168</v>
      </c>
      <c r="K21" s="583" t="s">
        <v>160</v>
      </c>
      <c r="L21" s="583" t="s">
        <v>161</v>
      </c>
      <c r="M21" s="583" t="s">
        <v>162</v>
      </c>
      <c r="N21" s="583" t="s">
        <v>4050</v>
      </c>
    </row>
    <row r="22" spans="1:14" s="244" customFormat="1" ht="16.5">
      <c r="A22" s="583" t="s">
        <v>3986</v>
      </c>
      <c r="B22" s="583" t="s">
        <v>4051</v>
      </c>
      <c r="C22" s="583"/>
      <c r="D22" s="583"/>
      <c r="E22" s="583"/>
      <c r="F22" s="583" t="s">
        <v>4052</v>
      </c>
      <c r="G22" s="583" t="s">
        <v>2821</v>
      </c>
      <c r="H22" s="583" t="s">
        <v>157</v>
      </c>
      <c r="I22" s="583" t="s">
        <v>158</v>
      </c>
      <c r="J22" s="583" t="s">
        <v>191</v>
      </c>
      <c r="K22" s="583" t="s">
        <v>2714</v>
      </c>
      <c r="L22" s="583" t="s">
        <v>161</v>
      </c>
      <c r="M22" s="583" t="s">
        <v>162</v>
      </c>
      <c r="N22" s="583" t="s">
        <v>4053</v>
      </c>
    </row>
    <row r="23" spans="1:14" s="244" customFormat="1" ht="16.5">
      <c r="A23" s="583" t="s">
        <v>3986</v>
      </c>
      <c r="B23" s="583" t="s">
        <v>4054</v>
      </c>
      <c r="C23" s="584">
        <v>4.6296296296296294E-5</v>
      </c>
      <c r="D23" s="583" t="s">
        <v>4055</v>
      </c>
      <c r="E23" s="583" t="s">
        <v>154</v>
      </c>
      <c r="F23" s="583" t="s">
        <v>2285</v>
      </c>
      <c r="G23" s="583" t="s">
        <v>4056</v>
      </c>
      <c r="H23" s="583" t="s">
        <v>157</v>
      </c>
      <c r="I23" s="583" t="s">
        <v>158</v>
      </c>
      <c r="J23" s="583" t="s">
        <v>212</v>
      </c>
      <c r="K23" s="583" t="s">
        <v>2714</v>
      </c>
      <c r="L23" s="583" t="s">
        <v>161</v>
      </c>
      <c r="M23" s="583" t="s">
        <v>162</v>
      </c>
      <c r="N23" s="583" t="s">
        <v>4057</v>
      </c>
    </row>
    <row r="24" spans="1:14" s="244" customFormat="1" ht="16.5">
      <c r="A24" s="583" t="s">
        <v>3986</v>
      </c>
      <c r="B24" s="583" t="s">
        <v>4058</v>
      </c>
      <c r="C24" s="584">
        <v>1.261574074074074E-3</v>
      </c>
      <c r="D24" s="583" t="s">
        <v>4059</v>
      </c>
      <c r="E24" s="583" t="s">
        <v>154</v>
      </c>
      <c r="F24" s="583" t="s">
        <v>2515</v>
      </c>
      <c r="G24" s="583" t="s">
        <v>2612</v>
      </c>
      <c r="H24" s="583" t="s">
        <v>157</v>
      </c>
      <c r="I24" s="583" t="s">
        <v>197</v>
      </c>
      <c r="J24" s="583" t="s">
        <v>198</v>
      </c>
      <c r="K24" s="583" t="s">
        <v>160</v>
      </c>
      <c r="L24" s="583" t="s">
        <v>161</v>
      </c>
      <c r="M24" s="583" t="s">
        <v>162</v>
      </c>
      <c r="N24" s="583" t="s">
        <v>4060</v>
      </c>
    </row>
    <row r="25" spans="1:14" s="244" customFormat="1" ht="16.5">
      <c r="A25" s="583" t="s">
        <v>3986</v>
      </c>
      <c r="B25" s="583" t="s">
        <v>4061</v>
      </c>
      <c r="C25" s="583"/>
      <c r="D25" s="583"/>
      <c r="E25" s="583"/>
      <c r="F25" s="583" t="s">
        <v>2334</v>
      </c>
      <c r="G25" s="583" t="s">
        <v>2120</v>
      </c>
      <c r="H25" s="583" t="s">
        <v>157</v>
      </c>
      <c r="I25" s="583" t="s">
        <v>197</v>
      </c>
      <c r="J25" s="583" t="s">
        <v>198</v>
      </c>
      <c r="K25" s="583" t="s">
        <v>160</v>
      </c>
      <c r="L25" s="583" t="s">
        <v>161</v>
      </c>
      <c r="M25" s="583" t="s">
        <v>162</v>
      </c>
      <c r="N25" s="583" t="s">
        <v>4062</v>
      </c>
    </row>
    <row r="26" spans="1:14" s="244" customFormat="1" ht="16.5">
      <c r="A26" s="583" t="s">
        <v>3986</v>
      </c>
      <c r="B26" s="583" t="s">
        <v>4063</v>
      </c>
      <c r="C26" s="584">
        <v>2.6620370370370372E-4</v>
      </c>
      <c r="D26" s="583" t="s">
        <v>4064</v>
      </c>
      <c r="E26" s="583" t="s">
        <v>154</v>
      </c>
      <c r="F26" s="583" t="s">
        <v>2724</v>
      </c>
      <c r="G26" s="583" t="s">
        <v>3297</v>
      </c>
      <c r="H26" s="583" t="s">
        <v>157</v>
      </c>
      <c r="I26" s="583" t="s">
        <v>197</v>
      </c>
      <c r="J26" s="583" t="s">
        <v>198</v>
      </c>
      <c r="K26" s="583" t="s">
        <v>160</v>
      </c>
      <c r="L26" s="583" t="s">
        <v>161</v>
      </c>
      <c r="M26" s="583" t="s">
        <v>162</v>
      </c>
      <c r="N26" s="583" t="s">
        <v>4065</v>
      </c>
    </row>
    <row r="27" spans="1:14" s="244" customFormat="1" ht="16.5">
      <c r="A27" s="583" t="s">
        <v>3986</v>
      </c>
      <c r="B27" s="583" t="s">
        <v>4066</v>
      </c>
      <c r="C27" s="584">
        <v>2.1759259259259258E-3</v>
      </c>
      <c r="D27" s="583" t="s">
        <v>4067</v>
      </c>
      <c r="E27" s="583" t="s">
        <v>154</v>
      </c>
      <c r="F27" s="583" t="s">
        <v>155</v>
      </c>
      <c r="G27" s="583" t="s">
        <v>398</v>
      </c>
      <c r="H27" s="583" t="s">
        <v>157</v>
      </c>
      <c r="I27" s="583" t="s">
        <v>158</v>
      </c>
      <c r="J27" s="583" t="s">
        <v>212</v>
      </c>
      <c r="K27" s="583" t="s">
        <v>2714</v>
      </c>
      <c r="L27" s="583" t="s">
        <v>161</v>
      </c>
      <c r="M27" s="583" t="s">
        <v>162</v>
      </c>
      <c r="N27" s="583" t="s">
        <v>4068</v>
      </c>
    </row>
    <row r="28" spans="1:14" s="244" customFormat="1" ht="16.5">
      <c r="A28" s="583" t="s">
        <v>3986</v>
      </c>
      <c r="B28" s="583" t="s">
        <v>4069</v>
      </c>
      <c r="C28" s="584">
        <v>2.2222222222222222E-3</v>
      </c>
      <c r="D28" s="583" t="s">
        <v>4070</v>
      </c>
      <c r="E28" s="583" t="s">
        <v>154</v>
      </c>
      <c r="F28" s="583" t="s">
        <v>155</v>
      </c>
      <c r="G28" s="583" t="s">
        <v>362</v>
      </c>
      <c r="H28" s="583" t="s">
        <v>157</v>
      </c>
      <c r="I28" s="583" t="s">
        <v>158</v>
      </c>
      <c r="J28" s="583" t="s">
        <v>212</v>
      </c>
      <c r="K28" s="583" t="s">
        <v>2714</v>
      </c>
      <c r="L28" s="583" t="s">
        <v>161</v>
      </c>
      <c r="M28" s="583" t="s">
        <v>162</v>
      </c>
      <c r="N28" s="583" t="s">
        <v>4071</v>
      </c>
    </row>
    <row r="29" spans="1:14" s="244" customFormat="1" ht="16.5">
      <c r="A29" s="582" t="s">
        <v>3762</v>
      </c>
      <c r="B29" s="582" t="s">
        <v>3763</v>
      </c>
      <c r="C29" s="585">
        <v>6.2500000000000001E-4</v>
      </c>
      <c r="D29" s="582" t="s">
        <v>3764</v>
      </c>
      <c r="E29" s="582" t="s">
        <v>154</v>
      </c>
      <c r="F29" s="582" t="s">
        <v>1995</v>
      </c>
      <c r="G29" s="582" t="s">
        <v>1996</v>
      </c>
      <c r="H29" s="582" t="s">
        <v>157</v>
      </c>
      <c r="I29" s="582" t="s">
        <v>176</v>
      </c>
      <c r="J29" s="582" t="s">
        <v>1497</v>
      </c>
      <c r="K29" s="582" t="s">
        <v>160</v>
      </c>
      <c r="L29" s="582" t="s">
        <v>161</v>
      </c>
      <c r="M29" s="582" t="s">
        <v>162</v>
      </c>
      <c r="N29" s="582" t="s">
        <v>3914</v>
      </c>
    </row>
    <row r="30" spans="1:14" s="244" customFormat="1" ht="16.5">
      <c r="A30" s="582" t="s">
        <v>3762</v>
      </c>
      <c r="B30" s="582" t="s">
        <v>3765</v>
      </c>
      <c r="C30" s="585">
        <v>5.0000000000000001E-3</v>
      </c>
      <c r="D30" s="582" t="s">
        <v>3766</v>
      </c>
      <c r="E30" s="582" t="s">
        <v>154</v>
      </c>
      <c r="F30" s="582" t="s">
        <v>3661</v>
      </c>
      <c r="G30" s="582" t="s">
        <v>2329</v>
      </c>
      <c r="H30" s="582" t="s">
        <v>157</v>
      </c>
      <c r="I30" s="582" t="s">
        <v>158</v>
      </c>
      <c r="J30" s="582" t="s">
        <v>191</v>
      </c>
      <c r="K30" s="582" t="s">
        <v>160</v>
      </c>
      <c r="L30" s="582" t="s">
        <v>161</v>
      </c>
      <c r="M30" s="582" t="s">
        <v>162</v>
      </c>
      <c r="N30" s="582" t="s">
        <v>3915</v>
      </c>
    </row>
    <row r="31" spans="1:14" s="244" customFormat="1" ht="16.5">
      <c r="A31" s="582" t="s">
        <v>3762</v>
      </c>
      <c r="B31" s="582" t="s">
        <v>3767</v>
      </c>
      <c r="C31" s="585">
        <v>4.0393518518518521E-3</v>
      </c>
      <c r="D31" s="582" t="s">
        <v>3768</v>
      </c>
      <c r="E31" s="582" t="s">
        <v>154</v>
      </c>
      <c r="F31" s="582" t="s">
        <v>3769</v>
      </c>
      <c r="G31" s="582" t="s">
        <v>3770</v>
      </c>
      <c r="H31" s="582" t="s">
        <v>157</v>
      </c>
      <c r="I31" s="582" t="s">
        <v>158</v>
      </c>
      <c r="J31" s="582" t="s">
        <v>168</v>
      </c>
      <c r="K31" s="582" t="s">
        <v>2714</v>
      </c>
      <c r="L31" s="582" t="s">
        <v>161</v>
      </c>
      <c r="M31" s="582" t="s">
        <v>162</v>
      </c>
      <c r="N31" s="582" t="s">
        <v>3916</v>
      </c>
    </row>
    <row r="32" spans="1:14" s="244" customFormat="1" ht="16.5">
      <c r="A32" s="582" t="s">
        <v>3762</v>
      </c>
      <c r="B32" s="582" t="s">
        <v>3771</v>
      </c>
      <c r="C32" s="585">
        <v>1.4930555555555556E-3</v>
      </c>
      <c r="D32" s="582" t="s">
        <v>3772</v>
      </c>
      <c r="E32" s="582" t="s">
        <v>154</v>
      </c>
      <c r="F32" s="582" t="s">
        <v>3602</v>
      </c>
      <c r="G32" s="582" t="s">
        <v>3615</v>
      </c>
      <c r="H32" s="582" t="s">
        <v>157</v>
      </c>
      <c r="I32" s="582" t="s">
        <v>158</v>
      </c>
      <c r="J32" s="582" t="s">
        <v>159</v>
      </c>
      <c r="K32" s="582" t="s">
        <v>2714</v>
      </c>
      <c r="L32" s="582" t="s">
        <v>161</v>
      </c>
      <c r="M32" s="582" t="s">
        <v>162</v>
      </c>
      <c r="N32" s="582" t="s">
        <v>3917</v>
      </c>
    </row>
    <row r="33" spans="1:14" s="244" customFormat="1" ht="16.5">
      <c r="A33" s="582" t="s">
        <v>3762</v>
      </c>
      <c r="B33" s="582" t="s">
        <v>3773</v>
      </c>
      <c r="C33" s="585">
        <v>5.7870370370370366E-5</v>
      </c>
      <c r="D33" s="582" t="s">
        <v>3774</v>
      </c>
      <c r="E33" s="582" t="s">
        <v>154</v>
      </c>
      <c r="F33" s="582" t="s">
        <v>3587</v>
      </c>
      <c r="G33" s="582" t="s">
        <v>3775</v>
      </c>
      <c r="H33" s="582" t="s">
        <v>157</v>
      </c>
      <c r="I33" s="582" t="s">
        <v>158</v>
      </c>
      <c r="J33" s="582" t="s">
        <v>168</v>
      </c>
      <c r="K33" s="582" t="s">
        <v>2714</v>
      </c>
      <c r="L33" s="582" t="s">
        <v>161</v>
      </c>
      <c r="M33" s="582" t="s">
        <v>162</v>
      </c>
      <c r="N33" s="582" t="s">
        <v>3679</v>
      </c>
    </row>
    <row r="34" spans="1:14" s="244" customFormat="1" ht="16.5">
      <c r="A34" s="582" t="s">
        <v>3762</v>
      </c>
      <c r="B34" s="582" t="s">
        <v>4072</v>
      </c>
      <c r="C34" s="582"/>
      <c r="D34" s="582"/>
      <c r="E34" s="582"/>
      <c r="F34" s="582" t="s">
        <v>4073</v>
      </c>
      <c r="G34" s="582" t="s">
        <v>4074</v>
      </c>
      <c r="H34" s="582" t="s">
        <v>157</v>
      </c>
      <c r="I34" s="582" t="s">
        <v>158</v>
      </c>
      <c r="J34" s="582" t="s">
        <v>168</v>
      </c>
      <c r="K34" s="582" t="s">
        <v>2714</v>
      </c>
      <c r="L34" s="582" t="s">
        <v>161</v>
      </c>
      <c r="M34" s="582" t="s">
        <v>162</v>
      </c>
      <c r="N34" s="582" t="s">
        <v>4075</v>
      </c>
    </row>
    <row r="35" spans="1:14" s="244" customFormat="1" ht="16.5">
      <c r="A35" s="582" t="s">
        <v>3762</v>
      </c>
      <c r="B35" s="582" t="s">
        <v>3776</v>
      </c>
      <c r="C35" s="585">
        <v>3.4722222222222224E-4</v>
      </c>
      <c r="D35" s="582" t="s">
        <v>3777</v>
      </c>
      <c r="E35" s="582" t="s">
        <v>154</v>
      </c>
      <c r="F35" s="582" t="s">
        <v>3778</v>
      </c>
      <c r="G35" s="582" t="s">
        <v>3779</v>
      </c>
      <c r="H35" s="582" t="s">
        <v>157</v>
      </c>
      <c r="I35" s="582" t="s">
        <v>176</v>
      </c>
      <c r="J35" s="582" t="s">
        <v>282</v>
      </c>
      <c r="K35" s="582" t="s">
        <v>160</v>
      </c>
      <c r="L35" s="582" t="s">
        <v>161</v>
      </c>
      <c r="M35" s="582" t="s">
        <v>162</v>
      </c>
      <c r="N35" s="582" t="s">
        <v>3918</v>
      </c>
    </row>
    <row r="36" spans="1:14" s="244" customFormat="1" ht="16.5">
      <c r="A36" s="582" t="s">
        <v>3762</v>
      </c>
      <c r="B36" s="582" t="s">
        <v>3780</v>
      </c>
      <c r="C36" s="585">
        <v>4.3981481481481481E-4</v>
      </c>
      <c r="D36" s="582" t="s">
        <v>3781</v>
      </c>
      <c r="E36" s="582" t="s">
        <v>154</v>
      </c>
      <c r="F36" s="582" t="s">
        <v>1973</v>
      </c>
      <c r="G36" s="582" t="s">
        <v>3782</v>
      </c>
      <c r="H36" s="582" t="s">
        <v>157</v>
      </c>
      <c r="I36" s="582" t="s">
        <v>197</v>
      </c>
      <c r="J36" s="582" t="s">
        <v>198</v>
      </c>
      <c r="K36" s="582" t="s">
        <v>160</v>
      </c>
      <c r="L36" s="582" t="s">
        <v>161</v>
      </c>
      <c r="M36" s="582" t="s">
        <v>162</v>
      </c>
      <c r="N36" s="582" t="s">
        <v>3919</v>
      </c>
    </row>
    <row r="37" spans="1:14" s="244" customFormat="1" ht="16.5">
      <c r="A37" s="582" t="s">
        <v>3762</v>
      </c>
      <c r="B37" s="582" t="s">
        <v>3783</v>
      </c>
      <c r="C37" s="585">
        <v>1.9328703703703704E-3</v>
      </c>
      <c r="D37" s="582" t="s">
        <v>3784</v>
      </c>
      <c r="E37" s="582" t="s">
        <v>154</v>
      </c>
      <c r="F37" s="582" t="s">
        <v>1973</v>
      </c>
      <c r="G37" s="582" t="s">
        <v>3782</v>
      </c>
      <c r="H37" s="582" t="s">
        <v>157</v>
      </c>
      <c r="I37" s="582" t="s">
        <v>197</v>
      </c>
      <c r="J37" s="582" t="s">
        <v>198</v>
      </c>
      <c r="K37" s="582" t="s">
        <v>160</v>
      </c>
      <c r="L37" s="582" t="s">
        <v>161</v>
      </c>
      <c r="M37" s="582" t="s">
        <v>162</v>
      </c>
      <c r="N37" s="582" t="s">
        <v>3920</v>
      </c>
    </row>
    <row r="38" spans="1:14" s="244" customFormat="1" ht="16.5">
      <c r="A38" s="582" t="s">
        <v>3762</v>
      </c>
      <c r="B38" s="582" t="s">
        <v>3785</v>
      </c>
      <c r="C38" s="585">
        <v>9.3750000000000007E-4</v>
      </c>
      <c r="D38" s="582" t="s">
        <v>3786</v>
      </c>
      <c r="E38" s="582" t="s">
        <v>154</v>
      </c>
      <c r="F38" s="582" t="s">
        <v>156</v>
      </c>
      <c r="G38" s="582" t="s">
        <v>3553</v>
      </c>
      <c r="H38" s="582" t="s">
        <v>157</v>
      </c>
      <c r="I38" s="582" t="s">
        <v>197</v>
      </c>
      <c r="J38" s="582" t="s">
        <v>198</v>
      </c>
      <c r="K38" s="582" t="s">
        <v>2714</v>
      </c>
      <c r="L38" s="582" t="s">
        <v>161</v>
      </c>
      <c r="M38" s="582" t="s">
        <v>162</v>
      </c>
      <c r="N38" s="582" t="s">
        <v>3921</v>
      </c>
    </row>
    <row r="39" spans="1:14" s="244" customFormat="1" ht="16.5">
      <c r="A39" s="582" t="s">
        <v>3762</v>
      </c>
      <c r="B39" s="582" t="s">
        <v>3787</v>
      </c>
      <c r="C39" s="585">
        <v>1.0532407407407407E-3</v>
      </c>
      <c r="D39" s="582" t="s">
        <v>3788</v>
      </c>
      <c r="E39" s="582" t="s">
        <v>154</v>
      </c>
      <c r="F39" s="582" t="s">
        <v>2774</v>
      </c>
      <c r="G39" s="582" t="s">
        <v>3553</v>
      </c>
      <c r="H39" s="582" t="s">
        <v>157</v>
      </c>
      <c r="I39" s="582" t="s">
        <v>197</v>
      </c>
      <c r="J39" s="582" t="s">
        <v>198</v>
      </c>
      <c r="K39" s="582" t="s">
        <v>2714</v>
      </c>
      <c r="L39" s="582" t="s">
        <v>161</v>
      </c>
      <c r="M39" s="582" t="s">
        <v>162</v>
      </c>
      <c r="N39" s="582" t="s">
        <v>2109</v>
      </c>
    </row>
    <row r="40" spans="1:14" ht="16.5">
      <c r="A40" s="582" t="s">
        <v>3762</v>
      </c>
      <c r="B40" s="582" t="s">
        <v>3789</v>
      </c>
      <c r="C40" s="585">
        <v>5.5555555555555556E-4</v>
      </c>
      <c r="D40" s="582" t="s">
        <v>3790</v>
      </c>
      <c r="E40" s="582" t="s">
        <v>154</v>
      </c>
      <c r="F40" s="582" t="s">
        <v>1973</v>
      </c>
      <c r="G40" s="582" t="s">
        <v>1986</v>
      </c>
      <c r="H40" s="582" t="s">
        <v>157</v>
      </c>
      <c r="I40" s="582" t="s">
        <v>197</v>
      </c>
      <c r="J40" s="582" t="s">
        <v>198</v>
      </c>
      <c r="K40" s="582" t="s">
        <v>160</v>
      </c>
      <c r="L40" s="582" t="s">
        <v>161</v>
      </c>
      <c r="M40" s="582" t="s">
        <v>162</v>
      </c>
      <c r="N40" s="582" t="s">
        <v>3922</v>
      </c>
    </row>
    <row r="41" spans="1:14" ht="16.5">
      <c r="A41" s="582" t="s">
        <v>3762</v>
      </c>
      <c r="B41" s="582" t="s">
        <v>3791</v>
      </c>
      <c r="C41" s="585">
        <v>1.736111111111111E-3</v>
      </c>
      <c r="D41" s="582" t="s">
        <v>3792</v>
      </c>
      <c r="E41" s="582" t="s">
        <v>154</v>
      </c>
      <c r="F41" s="582" t="s">
        <v>2774</v>
      </c>
      <c r="G41" s="582" t="s">
        <v>3553</v>
      </c>
      <c r="H41" s="582" t="s">
        <v>157</v>
      </c>
      <c r="I41" s="582" t="s">
        <v>197</v>
      </c>
      <c r="J41" s="582" t="s">
        <v>198</v>
      </c>
      <c r="K41" s="582" t="s">
        <v>2714</v>
      </c>
      <c r="L41" s="582" t="s">
        <v>161</v>
      </c>
      <c r="M41" s="582" t="s">
        <v>162</v>
      </c>
      <c r="N41" s="582" t="s">
        <v>2109</v>
      </c>
    </row>
    <row r="42" spans="1:14" ht="16.5">
      <c r="A42" s="582" t="s">
        <v>3762</v>
      </c>
      <c r="B42" s="582" t="s">
        <v>3793</v>
      </c>
      <c r="C42" s="585">
        <v>9.1435185185185185E-4</v>
      </c>
      <c r="D42" s="582" t="s">
        <v>3794</v>
      </c>
      <c r="E42" s="582" t="s">
        <v>154</v>
      </c>
      <c r="F42" s="582" t="s">
        <v>3513</v>
      </c>
      <c r="G42" s="582" t="s">
        <v>3514</v>
      </c>
      <c r="H42" s="582" t="s">
        <v>157</v>
      </c>
      <c r="I42" s="582" t="s">
        <v>158</v>
      </c>
      <c r="J42" s="582" t="s">
        <v>212</v>
      </c>
      <c r="K42" s="582" t="s">
        <v>160</v>
      </c>
      <c r="L42" s="582" t="s">
        <v>161</v>
      </c>
      <c r="M42" s="582" t="s">
        <v>162</v>
      </c>
      <c r="N42" s="582" t="s">
        <v>3923</v>
      </c>
    </row>
    <row r="43" spans="1:14" ht="16.5">
      <c r="A43" s="582" t="s">
        <v>3762</v>
      </c>
      <c r="B43" s="582" t="s">
        <v>3795</v>
      </c>
      <c r="C43" s="585">
        <v>3.4722222222222222E-5</v>
      </c>
      <c r="D43" s="582" t="s">
        <v>3796</v>
      </c>
      <c r="E43" s="582" t="s">
        <v>154</v>
      </c>
      <c r="F43" s="582" t="s">
        <v>1128</v>
      </c>
      <c r="G43" s="582" t="s">
        <v>1132</v>
      </c>
      <c r="H43" s="582" t="s">
        <v>157</v>
      </c>
      <c r="I43" s="582" t="s">
        <v>158</v>
      </c>
      <c r="J43" s="582" t="s">
        <v>159</v>
      </c>
      <c r="K43" s="582" t="s">
        <v>160</v>
      </c>
      <c r="L43" s="582" t="s">
        <v>161</v>
      </c>
      <c r="M43" s="582" t="s">
        <v>162</v>
      </c>
      <c r="N43" s="582" t="s">
        <v>3924</v>
      </c>
    </row>
    <row r="44" spans="1:14" ht="16.5">
      <c r="A44" s="582" t="s">
        <v>3762</v>
      </c>
      <c r="B44" s="582" t="s">
        <v>3797</v>
      </c>
      <c r="C44" s="585">
        <v>8.2175925925925917E-4</v>
      </c>
      <c r="D44" s="582" t="s">
        <v>3798</v>
      </c>
      <c r="E44" s="582" t="s">
        <v>154</v>
      </c>
      <c r="F44" s="582" t="s">
        <v>2824</v>
      </c>
      <c r="G44" s="582" t="s">
        <v>3358</v>
      </c>
      <c r="H44" s="582" t="s">
        <v>157</v>
      </c>
      <c r="I44" s="582" t="s">
        <v>158</v>
      </c>
      <c r="J44" s="582" t="s">
        <v>212</v>
      </c>
      <c r="K44" s="582" t="s">
        <v>160</v>
      </c>
      <c r="L44" s="582" t="s">
        <v>161</v>
      </c>
      <c r="M44" s="582" t="s">
        <v>162</v>
      </c>
      <c r="N44" s="582" t="s">
        <v>3925</v>
      </c>
    </row>
    <row r="45" spans="1:14" ht="16.5">
      <c r="A45" s="582" t="s">
        <v>3762</v>
      </c>
      <c r="B45" s="582" t="s">
        <v>3799</v>
      </c>
      <c r="C45" s="585">
        <v>2.627314814814815E-3</v>
      </c>
      <c r="D45" s="582" t="s">
        <v>3800</v>
      </c>
      <c r="E45" s="582" t="s">
        <v>154</v>
      </c>
      <c r="F45" s="582" t="s">
        <v>1995</v>
      </c>
      <c r="G45" s="582" t="s">
        <v>1996</v>
      </c>
      <c r="H45" s="582" t="s">
        <v>157</v>
      </c>
      <c r="I45" s="582" t="s">
        <v>197</v>
      </c>
      <c r="J45" s="582" t="s">
        <v>198</v>
      </c>
      <c r="K45" s="582" t="s">
        <v>160</v>
      </c>
      <c r="L45" s="582" t="s">
        <v>161</v>
      </c>
      <c r="M45" s="582" t="s">
        <v>162</v>
      </c>
      <c r="N45" s="582" t="s">
        <v>3926</v>
      </c>
    </row>
    <row r="46" spans="1:14" ht="16.5">
      <c r="A46" s="582" t="s">
        <v>3762</v>
      </c>
      <c r="B46" s="582" t="s">
        <v>3801</v>
      </c>
      <c r="C46" s="585">
        <v>9.2592592592592585E-4</v>
      </c>
      <c r="D46" s="582" t="s">
        <v>3802</v>
      </c>
      <c r="E46" s="582" t="s">
        <v>154</v>
      </c>
      <c r="F46" s="582" t="s">
        <v>1995</v>
      </c>
      <c r="G46" s="582" t="s">
        <v>1996</v>
      </c>
      <c r="H46" s="582" t="s">
        <v>157</v>
      </c>
      <c r="I46" s="582" t="s">
        <v>197</v>
      </c>
      <c r="J46" s="582" t="s">
        <v>198</v>
      </c>
      <c r="K46" s="582" t="s">
        <v>160</v>
      </c>
      <c r="L46" s="582" t="s">
        <v>161</v>
      </c>
      <c r="M46" s="582" t="s">
        <v>162</v>
      </c>
      <c r="N46" s="582" t="s">
        <v>3927</v>
      </c>
    </row>
    <row r="47" spans="1:14" ht="16.5">
      <c r="A47" s="582" t="s">
        <v>3762</v>
      </c>
      <c r="B47" s="582" t="s">
        <v>3803</v>
      </c>
      <c r="C47" s="585">
        <v>6.134259259259259E-4</v>
      </c>
      <c r="D47" s="582" t="s">
        <v>3804</v>
      </c>
      <c r="E47" s="582" t="s">
        <v>154</v>
      </c>
      <c r="F47" s="582" t="s">
        <v>3805</v>
      </c>
      <c r="G47" s="582" t="s">
        <v>3806</v>
      </c>
      <c r="H47" s="582" t="s">
        <v>157</v>
      </c>
      <c r="I47" s="582" t="s">
        <v>158</v>
      </c>
      <c r="J47" s="582" t="s">
        <v>481</v>
      </c>
      <c r="K47" s="582" t="s">
        <v>2714</v>
      </c>
      <c r="L47" s="582" t="s">
        <v>161</v>
      </c>
      <c r="M47" s="582" t="s">
        <v>162</v>
      </c>
      <c r="N47" s="582" t="s">
        <v>3928</v>
      </c>
    </row>
    <row r="48" spans="1:14" ht="16.5">
      <c r="A48" s="582" t="s">
        <v>3762</v>
      </c>
      <c r="B48" s="582" t="s">
        <v>3807</v>
      </c>
      <c r="C48" s="585">
        <v>2.3032407407407407E-3</v>
      </c>
      <c r="D48" s="582" t="s">
        <v>3808</v>
      </c>
      <c r="E48" s="582" t="s">
        <v>154</v>
      </c>
      <c r="F48" s="582" t="s">
        <v>3805</v>
      </c>
      <c r="G48" s="582" t="s">
        <v>3806</v>
      </c>
      <c r="H48" s="582" t="s">
        <v>157</v>
      </c>
      <c r="I48" s="582" t="s">
        <v>158</v>
      </c>
      <c r="J48" s="582" t="s">
        <v>168</v>
      </c>
      <c r="K48" s="582" t="s">
        <v>2714</v>
      </c>
      <c r="L48" s="582" t="s">
        <v>161</v>
      </c>
      <c r="M48" s="582" t="s">
        <v>162</v>
      </c>
      <c r="N48" s="582" t="s">
        <v>3929</v>
      </c>
    </row>
    <row r="49" spans="1:14" ht="16.5">
      <c r="A49" s="582" t="s">
        <v>3762</v>
      </c>
      <c r="B49" s="582" t="s">
        <v>3809</v>
      </c>
      <c r="C49" s="585">
        <v>2.7777777777777778E-4</v>
      </c>
      <c r="D49" s="582" t="s">
        <v>3810</v>
      </c>
      <c r="E49" s="582" t="s">
        <v>154</v>
      </c>
      <c r="F49" s="582" t="s">
        <v>1995</v>
      </c>
      <c r="G49" s="582" t="s">
        <v>1996</v>
      </c>
      <c r="H49" s="582" t="s">
        <v>157</v>
      </c>
      <c r="I49" s="582" t="s">
        <v>197</v>
      </c>
      <c r="J49" s="582" t="s">
        <v>198</v>
      </c>
      <c r="K49" s="582" t="s">
        <v>160</v>
      </c>
      <c r="L49" s="582" t="s">
        <v>161</v>
      </c>
      <c r="M49" s="582" t="s">
        <v>162</v>
      </c>
      <c r="N49" s="582" t="s">
        <v>3930</v>
      </c>
    </row>
    <row r="50" spans="1:14" ht="16.5">
      <c r="A50" s="582" t="s">
        <v>3762</v>
      </c>
      <c r="B50" s="582" t="s">
        <v>3678</v>
      </c>
      <c r="C50" s="585">
        <v>2.2800925925925927E-3</v>
      </c>
      <c r="D50" s="582" t="s">
        <v>3811</v>
      </c>
      <c r="E50" s="582" t="s">
        <v>154</v>
      </c>
      <c r="F50" s="582" t="s">
        <v>1995</v>
      </c>
      <c r="G50" s="582" t="s">
        <v>1996</v>
      </c>
      <c r="H50" s="582" t="s">
        <v>157</v>
      </c>
      <c r="I50" s="582" t="s">
        <v>197</v>
      </c>
      <c r="J50" s="582" t="s">
        <v>198</v>
      </c>
      <c r="K50" s="582" t="s">
        <v>160</v>
      </c>
      <c r="L50" s="582" t="s">
        <v>161</v>
      </c>
      <c r="M50" s="582" t="s">
        <v>162</v>
      </c>
      <c r="N50" s="582" t="s">
        <v>3931</v>
      </c>
    </row>
    <row r="51" spans="1:14" ht="16.5">
      <c r="A51" s="582" t="s">
        <v>3762</v>
      </c>
      <c r="B51" s="582" t="s">
        <v>3812</v>
      </c>
      <c r="C51" s="585">
        <v>2.9398148148148148E-3</v>
      </c>
      <c r="D51" s="582" t="s">
        <v>3813</v>
      </c>
      <c r="E51" s="582" t="s">
        <v>154</v>
      </c>
      <c r="F51" s="582" t="s">
        <v>2911</v>
      </c>
      <c r="G51" s="582" t="s">
        <v>3680</v>
      </c>
      <c r="H51" s="582" t="s">
        <v>157</v>
      </c>
      <c r="I51" s="582" t="s">
        <v>158</v>
      </c>
      <c r="J51" s="582" t="s">
        <v>168</v>
      </c>
      <c r="K51" s="582" t="s">
        <v>2714</v>
      </c>
      <c r="L51" s="582" t="s">
        <v>161</v>
      </c>
      <c r="M51" s="582" t="s">
        <v>162</v>
      </c>
      <c r="N51" s="582" t="s">
        <v>3932</v>
      </c>
    </row>
    <row r="52" spans="1:14" ht="16.5">
      <c r="A52" s="582" t="s">
        <v>3762</v>
      </c>
      <c r="B52" s="582" t="s">
        <v>4076</v>
      </c>
      <c r="C52" s="582"/>
      <c r="D52" s="582"/>
      <c r="E52" s="582"/>
      <c r="F52" s="582" t="s">
        <v>2715</v>
      </c>
      <c r="G52" s="582" t="s">
        <v>4077</v>
      </c>
      <c r="H52" s="582" t="s">
        <v>157</v>
      </c>
      <c r="I52" s="582" t="s">
        <v>197</v>
      </c>
      <c r="J52" s="582" t="s">
        <v>198</v>
      </c>
      <c r="K52" s="582" t="s">
        <v>95</v>
      </c>
      <c r="L52" s="582" t="s">
        <v>161</v>
      </c>
      <c r="M52" s="582" t="s">
        <v>162</v>
      </c>
      <c r="N52" s="582" t="s">
        <v>4078</v>
      </c>
    </row>
    <row r="53" spans="1:14" ht="16.5">
      <c r="A53" s="582" t="s">
        <v>3762</v>
      </c>
      <c r="B53" s="582" t="s">
        <v>3814</v>
      </c>
      <c r="C53" s="585">
        <v>1.6087962962962963E-3</v>
      </c>
      <c r="D53" s="582" t="s">
        <v>3815</v>
      </c>
      <c r="E53" s="582" t="s">
        <v>154</v>
      </c>
      <c r="F53" s="582" t="s">
        <v>3816</v>
      </c>
      <c r="G53" s="582" t="s">
        <v>3558</v>
      </c>
      <c r="H53" s="582" t="s">
        <v>157</v>
      </c>
      <c r="I53" s="582" t="s">
        <v>158</v>
      </c>
      <c r="J53" s="582" t="s">
        <v>168</v>
      </c>
      <c r="K53" s="582" t="s">
        <v>160</v>
      </c>
      <c r="L53" s="582" t="s">
        <v>161</v>
      </c>
      <c r="M53" s="582" t="s">
        <v>162</v>
      </c>
      <c r="N53" s="582" t="s">
        <v>3933</v>
      </c>
    </row>
    <row r="54" spans="1:14" ht="16.5">
      <c r="A54" s="582" t="s">
        <v>3762</v>
      </c>
      <c r="B54" s="582" t="s">
        <v>3817</v>
      </c>
      <c r="C54" s="585">
        <v>1.423611111111111E-3</v>
      </c>
      <c r="D54" s="582" t="s">
        <v>3818</v>
      </c>
      <c r="E54" s="582" t="s">
        <v>154</v>
      </c>
      <c r="F54" s="582" t="s">
        <v>2285</v>
      </c>
      <c r="G54" s="582" t="s">
        <v>3819</v>
      </c>
      <c r="H54" s="582" t="s">
        <v>157</v>
      </c>
      <c r="I54" s="582" t="s">
        <v>158</v>
      </c>
      <c r="J54" s="582" t="s">
        <v>159</v>
      </c>
      <c r="K54" s="582" t="s">
        <v>2714</v>
      </c>
      <c r="L54" s="582" t="s">
        <v>161</v>
      </c>
      <c r="M54" s="582" t="s">
        <v>162</v>
      </c>
      <c r="N54" s="582" t="s">
        <v>3934</v>
      </c>
    </row>
    <row r="55" spans="1:14" ht="16.5">
      <c r="A55" s="582" t="s">
        <v>3762</v>
      </c>
      <c r="B55" s="582" t="s">
        <v>3820</v>
      </c>
      <c r="C55" s="585">
        <v>4.7453703703703704E-4</v>
      </c>
      <c r="D55" s="582" t="s">
        <v>3821</v>
      </c>
      <c r="E55" s="582" t="s">
        <v>154</v>
      </c>
      <c r="F55" s="582" t="s">
        <v>2816</v>
      </c>
      <c r="G55" s="582" t="s">
        <v>2817</v>
      </c>
      <c r="H55" s="582" t="s">
        <v>157</v>
      </c>
      <c r="I55" s="582" t="s">
        <v>197</v>
      </c>
      <c r="J55" s="582" t="s">
        <v>198</v>
      </c>
      <c r="K55" s="582" t="s">
        <v>95</v>
      </c>
      <c r="L55" s="582" t="s">
        <v>161</v>
      </c>
      <c r="M55" s="582" t="s">
        <v>162</v>
      </c>
      <c r="N55" s="582" t="s">
        <v>3935</v>
      </c>
    </row>
    <row r="56" spans="1:14" ht="16.5">
      <c r="A56" s="582" t="s">
        <v>3762</v>
      </c>
      <c r="B56" s="582" t="s">
        <v>3822</v>
      </c>
      <c r="C56" s="585">
        <v>4.1666666666666669E-4</v>
      </c>
      <c r="D56" s="582" t="s">
        <v>3823</v>
      </c>
      <c r="E56" s="582" t="s">
        <v>154</v>
      </c>
      <c r="F56" s="582" t="s">
        <v>1995</v>
      </c>
      <c r="G56" s="582" t="s">
        <v>1996</v>
      </c>
      <c r="H56" s="582" t="s">
        <v>157</v>
      </c>
      <c r="I56" s="582" t="s">
        <v>197</v>
      </c>
      <c r="J56" s="582" t="s">
        <v>198</v>
      </c>
      <c r="K56" s="582" t="s">
        <v>160</v>
      </c>
      <c r="L56" s="582" t="s">
        <v>161</v>
      </c>
      <c r="M56" s="582" t="s">
        <v>162</v>
      </c>
      <c r="N56" s="582" t="s">
        <v>3936</v>
      </c>
    </row>
    <row r="57" spans="1:14" ht="16.5">
      <c r="A57" s="582" t="s">
        <v>3762</v>
      </c>
      <c r="B57" s="582" t="s">
        <v>3824</v>
      </c>
      <c r="C57" s="585">
        <v>6.5277777777777782E-3</v>
      </c>
      <c r="D57" s="582" t="s">
        <v>3825</v>
      </c>
      <c r="E57" s="582" t="s">
        <v>154</v>
      </c>
      <c r="F57" s="582" t="s">
        <v>2285</v>
      </c>
      <c r="G57" s="582" t="s">
        <v>3438</v>
      </c>
      <c r="H57" s="582" t="s">
        <v>157</v>
      </c>
      <c r="I57" s="582" t="s">
        <v>158</v>
      </c>
      <c r="J57" s="582" t="s">
        <v>159</v>
      </c>
      <c r="K57" s="582" t="s">
        <v>2714</v>
      </c>
      <c r="L57" s="582" t="s">
        <v>161</v>
      </c>
      <c r="M57" s="582" t="s">
        <v>162</v>
      </c>
      <c r="N57" s="582" t="s">
        <v>3937</v>
      </c>
    </row>
    <row r="58" spans="1:14" ht="16.5">
      <c r="A58" s="582" t="s">
        <v>3762</v>
      </c>
      <c r="B58" s="582" t="s">
        <v>4079</v>
      </c>
      <c r="C58" s="582"/>
      <c r="D58" s="582"/>
      <c r="E58" s="582"/>
      <c r="F58" s="582" t="s">
        <v>2515</v>
      </c>
      <c r="G58" s="582" t="s">
        <v>2612</v>
      </c>
      <c r="H58" s="582" t="s">
        <v>157</v>
      </c>
      <c r="I58" s="582" t="s">
        <v>197</v>
      </c>
      <c r="J58" s="582" t="s">
        <v>198</v>
      </c>
      <c r="K58" s="582" t="s">
        <v>160</v>
      </c>
      <c r="L58" s="582" t="s">
        <v>161</v>
      </c>
      <c r="M58" s="582" t="s">
        <v>162</v>
      </c>
      <c r="N58" s="582" t="s">
        <v>4080</v>
      </c>
    </row>
    <row r="59" spans="1:14" ht="16.5">
      <c r="A59" s="582" t="s">
        <v>3762</v>
      </c>
      <c r="B59" s="582" t="s">
        <v>4081</v>
      </c>
      <c r="C59" s="582"/>
      <c r="D59" s="582"/>
      <c r="E59" s="582"/>
      <c r="F59" s="582" t="s">
        <v>4082</v>
      </c>
      <c r="G59" s="582" t="s">
        <v>4083</v>
      </c>
      <c r="H59" s="582" t="s">
        <v>157</v>
      </c>
      <c r="I59" s="582" t="s">
        <v>158</v>
      </c>
      <c r="J59" s="582" t="s">
        <v>168</v>
      </c>
      <c r="K59" s="582" t="s">
        <v>160</v>
      </c>
      <c r="L59" s="582" t="s">
        <v>161</v>
      </c>
      <c r="M59" s="582" t="s">
        <v>162</v>
      </c>
      <c r="N59" s="582" t="s">
        <v>4084</v>
      </c>
    </row>
    <row r="60" spans="1:14" ht="16.5">
      <c r="A60" s="582" t="s">
        <v>3762</v>
      </c>
      <c r="B60" s="582" t="s">
        <v>3826</v>
      </c>
      <c r="C60" s="585">
        <v>1.068287037037037E-2</v>
      </c>
      <c r="D60" s="582" t="s">
        <v>3827</v>
      </c>
      <c r="E60" s="582" t="s">
        <v>154</v>
      </c>
      <c r="F60" s="582" t="s">
        <v>3828</v>
      </c>
      <c r="G60" s="582" t="s">
        <v>3829</v>
      </c>
      <c r="H60" s="582" t="s">
        <v>157</v>
      </c>
      <c r="I60" s="582" t="s">
        <v>158</v>
      </c>
      <c r="J60" s="582" t="s">
        <v>168</v>
      </c>
      <c r="K60" s="582" t="s">
        <v>2714</v>
      </c>
      <c r="L60" s="582" t="s">
        <v>161</v>
      </c>
      <c r="M60" s="582" t="s">
        <v>162</v>
      </c>
      <c r="N60" s="582" t="s">
        <v>3938</v>
      </c>
    </row>
    <row r="61" spans="1:14" ht="16.5">
      <c r="A61" s="582" t="s">
        <v>3762</v>
      </c>
      <c r="B61" s="582" t="s">
        <v>4085</v>
      </c>
      <c r="C61" s="582"/>
      <c r="D61" s="582"/>
      <c r="E61" s="582"/>
      <c r="F61" s="582" t="s">
        <v>1990</v>
      </c>
      <c r="G61" s="582" t="s">
        <v>4086</v>
      </c>
      <c r="H61" s="582" t="s">
        <v>157</v>
      </c>
      <c r="I61" s="582" t="s">
        <v>197</v>
      </c>
      <c r="J61" s="582" t="s">
        <v>198</v>
      </c>
      <c r="K61" s="582" t="s">
        <v>95</v>
      </c>
      <c r="L61" s="582" t="s">
        <v>161</v>
      </c>
      <c r="M61" s="582" t="s">
        <v>162</v>
      </c>
      <c r="N61" s="582" t="s">
        <v>4087</v>
      </c>
    </row>
    <row r="62" spans="1:14" ht="16.5">
      <c r="A62" s="582" t="s">
        <v>3762</v>
      </c>
      <c r="B62" s="582" t="s">
        <v>3830</v>
      </c>
      <c r="C62" s="585">
        <v>8.7962962962962962E-4</v>
      </c>
      <c r="D62" s="582" t="s">
        <v>3831</v>
      </c>
      <c r="E62" s="582" t="s">
        <v>154</v>
      </c>
      <c r="F62" s="582" t="s">
        <v>3832</v>
      </c>
      <c r="G62" s="582" t="s">
        <v>3833</v>
      </c>
      <c r="H62" s="582" t="s">
        <v>157</v>
      </c>
      <c r="I62" s="582" t="s">
        <v>158</v>
      </c>
      <c r="J62" s="582" t="s">
        <v>168</v>
      </c>
      <c r="K62" s="582" t="s">
        <v>160</v>
      </c>
      <c r="L62" s="582" t="s">
        <v>161</v>
      </c>
      <c r="M62" s="582" t="s">
        <v>162</v>
      </c>
      <c r="N62" s="582" t="s">
        <v>3939</v>
      </c>
    </row>
    <row r="63" spans="1:14" ht="16.5">
      <c r="A63" s="582" t="s">
        <v>3762</v>
      </c>
      <c r="B63" s="582" t="s">
        <v>3834</v>
      </c>
      <c r="C63" s="585">
        <v>1.4814814814814814E-3</v>
      </c>
      <c r="D63" s="582" t="s">
        <v>3835</v>
      </c>
      <c r="E63" s="582" t="s">
        <v>154</v>
      </c>
      <c r="F63" s="582" t="s">
        <v>1973</v>
      </c>
      <c r="G63" s="582" t="s">
        <v>1986</v>
      </c>
      <c r="H63" s="582" t="s">
        <v>157</v>
      </c>
      <c r="I63" s="582" t="s">
        <v>197</v>
      </c>
      <c r="J63" s="582" t="s">
        <v>198</v>
      </c>
      <c r="K63" s="582" t="s">
        <v>95</v>
      </c>
      <c r="L63" s="582" t="s">
        <v>161</v>
      </c>
      <c r="M63" s="582" t="s">
        <v>162</v>
      </c>
      <c r="N63" s="582" t="s">
        <v>3940</v>
      </c>
    </row>
    <row r="64" spans="1:14" ht="16.5">
      <c r="A64" s="582" t="s">
        <v>3762</v>
      </c>
      <c r="B64" s="582" t="s">
        <v>3836</v>
      </c>
      <c r="C64" s="585">
        <v>5.4398148148148144E-4</v>
      </c>
      <c r="D64" s="582" t="s">
        <v>3837</v>
      </c>
      <c r="E64" s="582" t="s">
        <v>154</v>
      </c>
      <c r="F64" s="582" t="s">
        <v>1995</v>
      </c>
      <c r="G64" s="582" t="s">
        <v>1996</v>
      </c>
      <c r="H64" s="582" t="s">
        <v>157</v>
      </c>
      <c r="I64" s="582" t="s">
        <v>197</v>
      </c>
      <c r="J64" s="582" t="s">
        <v>198</v>
      </c>
      <c r="K64" s="582" t="s">
        <v>160</v>
      </c>
      <c r="L64" s="582" t="s">
        <v>161</v>
      </c>
      <c r="M64" s="582" t="s">
        <v>162</v>
      </c>
      <c r="N64" s="582" t="s">
        <v>3941</v>
      </c>
    </row>
    <row r="65" spans="1:14" ht="16.5">
      <c r="A65" s="582" t="s">
        <v>3762</v>
      </c>
      <c r="B65" s="582" t="s">
        <v>3838</v>
      </c>
      <c r="C65" s="585">
        <v>1.712962962962963E-3</v>
      </c>
      <c r="D65" s="582" t="s">
        <v>3839</v>
      </c>
      <c r="E65" s="582" t="s">
        <v>154</v>
      </c>
      <c r="F65" s="582" t="s">
        <v>3840</v>
      </c>
      <c r="G65" s="582" t="s">
        <v>3841</v>
      </c>
      <c r="H65" s="582" t="s">
        <v>157</v>
      </c>
      <c r="I65" s="582" t="s">
        <v>158</v>
      </c>
      <c r="J65" s="582" t="s">
        <v>168</v>
      </c>
      <c r="K65" s="582" t="s">
        <v>160</v>
      </c>
      <c r="L65" s="582" t="s">
        <v>161</v>
      </c>
      <c r="M65" s="582" t="s">
        <v>162</v>
      </c>
      <c r="N65" s="582" t="s">
        <v>3942</v>
      </c>
    </row>
    <row r="66" spans="1:14" ht="16.5">
      <c r="A66" s="582" t="s">
        <v>3762</v>
      </c>
      <c r="B66" s="582" t="s">
        <v>4088</v>
      </c>
      <c r="C66" s="582"/>
      <c r="D66" s="582"/>
      <c r="E66" s="582"/>
      <c r="F66" s="582" t="s">
        <v>1995</v>
      </c>
      <c r="G66" s="582" t="s">
        <v>1996</v>
      </c>
      <c r="H66" s="582" t="s">
        <v>157</v>
      </c>
      <c r="I66" s="582" t="s">
        <v>197</v>
      </c>
      <c r="J66" s="582" t="s">
        <v>198</v>
      </c>
      <c r="K66" s="582" t="s">
        <v>160</v>
      </c>
      <c r="L66" s="582" t="s">
        <v>161</v>
      </c>
      <c r="M66" s="582" t="s">
        <v>162</v>
      </c>
      <c r="N66" s="582" t="s">
        <v>4089</v>
      </c>
    </row>
    <row r="67" spans="1:14" ht="16.5">
      <c r="A67" s="582" t="s">
        <v>3762</v>
      </c>
      <c r="B67" s="582" t="s">
        <v>3842</v>
      </c>
      <c r="C67" s="585">
        <v>7.6388888888888893E-4</v>
      </c>
      <c r="D67" s="582" t="s">
        <v>3843</v>
      </c>
      <c r="E67" s="582" t="s">
        <v>154</v>
      </c>
      <c r="F67" s="582" t="s">
        <v>3542</v>
      </c>
      <c r="G67" s="582" t="s">
        <v>3844</v>
      </c>
      <c r="H67" s="582" t="s">
        <v>157</v>
      </c>
      <c r="I67" s="582" t="s">
        <v>158</v>
      </c>
      <c r="J67" s="582" t="s">
        <v>481</v>
      </c>
      <c r="K67" s="582" t="s">
        <v>2714</v>
      </c>
      <c r="L67" s="582" t="s">
        <v>161</v>
      </c>
      <c r="M67" s="582" t="s">
        <v>162</v>
      </c>
      <c r="N67" s="582" t="s">
        <v>3943</v>
      </c>
    </row>
    <row r="68" spans="1:14" ht="16.5">
      <c r="A68" s="582" t="s">
        <v>3762</v>
      </c>
      <c r="B68" s="582" t="s">
        <v>3845</v>
      </c>
      <c r="C68" s="585">
        <v>1.0763888888888889E-3</v>
      </c>
      <c r="D68" s="582" t="s">
        <v>3846</v>
      </c>
      <c r="E68" s="582" t="s">
        <v>154</v>
      </c>
      <c r="F68" s="582" t="s">
        <v>2862</v>
      </c>
      <c r="G68" s="582" t="s">
        <v>2863</v>
      </c>
      <c r="H68" s="582" t="s">
        <v>157</v>
      </c>
      <c r="I68" s="582" t="s">
        <v>197</v>
      </c>
      <c r="J68" s="582" t="s">
        <v>198</v>
      </c>
      <c r="K68" s="582" t="s">
        <v>95</v>
      </c>
      <c r="L68" s="582" t="s">
        <v>161</v>
      </c>
      <c r="M68" s="582" t="s">
        <v>162</v>
      </c>
      <c r="N68" s="582" t="s">
        <v>3944</v>
      </c>
    </row>
    <row r="69" spans="1:14" ht="16.5">
      <c r="A69" s="582" t="s">
        <v>3762</v>
      </c>
      <c r="B69" s="582" t="s">
        <v>3847</v>
      </c>
      <c r="C69" s="585">
        <v>1.9675925925925928E-3</v>
      </c>
      <c r="D69" s="582" t="s">
        <v>3848</v>
      </c>
      <c r="E69" s="582" t="s">
        <v>154</v>
      </c>
      <c r="F69" s="582" t="s">
        <v>2115</v>
      </c>
      <c r="G69" s="582" t="s">
        <v>2116</v>
      </c>
      <c r="H69" s="582" t="s">
        <v>157</v>
      </c>
      <c r="I69" s="582" t="s">
        <v>197</v>
      </c>
      <c r="J69" s="582" t="s">
        <v>198</v>
      </c>
      <c r="K69" s="582" t="s">
        <v>160</v>
      </c>
      <c r="L69" s="582" t="s">
        <v>161</v>
      </c>
      <c r="M69" s="582" t="s">
        <v>162</v>
      </c>
      <c r="N69" s="582" t="s">
        <v>3945</v>
      </c>
    </row>
    <row r="70" spans="1:14" ht="16.5">
      <c r="A70" s="582" t="s">
        <v>3762</v>
      </c>
      <c r="B70" s="582" t="s">
        <v>3849</v>
      </c>
      <c r="C70" s="585">
        <v>2.0138888888888888E-3</v>
      </c>
      <c r="D70" s="582" t="s">
        <v>3850</v>
      </c>
      <c r="E70" s="582" t="s">
        <v>154</v>
      </c>
      <c r="F70" s="582" t="s">
        <v>2541</v>
      </c>
      <c r="G70" s="582" t="s">
        <v>2542</v>
      </c>
      <c r="H70" s="582" t="s">
        <v>157</v>
      </c>
      <c r="I70" s="582" t="s">
        <v>197</v>
      </c>
      <c r="J70" s="582" t="s">
        <v>198</v>
      </c>
      <c r="K70" s="582" t="s">
        <v>95</v>
      </c>
      <c r="L70" s="582" t="s">
        <v>161</v>
      </c>
      <c r="M70" s="582" t="s">
        <v>162</v>
      </c>
      <c r="N70" s="582" t="s">
        <v>3946</v>
      </c>
    </row>
    <row r="71" spans="1:14" ht="16.5">
      <c r="A71" s="582" t="s">
        <v>3762</v>
      </c>
      <c r="B71" s="582" t="s">
        <v>3851</v>
      </c>
      <c r="C71" s="585">
        <v>5.2893518518518515E-3</v>
      </c>
      <c r="D71" s="582" t="s">
        <v>3852</v>
      </c>
      <c r="E71" s="582" t="s">
        <v>154</v>
      </c>
      <c r="F71" s="582" t="s">
        <v>3853</v>
      </c>
      <c r="G71" s="582" t="s">
        <v>3854</v>
      </c>
      <c r="H71" s="582" t="s">
        <v>157</v>
      </c>
      <c r="I71" s="582" t="s">
        <v>158</v>
      </c>
      <c r="J71" s="582" t="s">
        <v>168</v>
      </c>
      <c r="K71" s="582" t="s">
        <v>2714</v>
      </c>
      <c r="L71" s="582" t="s">
        <v>161</v>
      </c>
      <c r="M71" s="582" t="s">
        <v>162</v>
      </c>
      <c r="N71" s="582" t="s">
        <v>3947</v>
      </c>
    </row>
    <row r="72" spans="1:14" ht="16.5">
      <c r="A72" s="582" t="s">
        <v>3762</v>
      </c>
      <c r="B72" s="582" t="s">
        <v>3855</v>
      </c>
      <c r="C72" s="585">
        <v>4.1666666666666669E-4</v>
      </c>
      <c r="D72" s="582" t="s">
        <v>3856</v>
      </c>
      <c r="E72" s="582" t="s">
        <v>154</v>
      </c>
      <c r="F72" s="582" t="s">
        <v>3597</v>
      </c>
      <c r="G72" s="582" t="s">
        <v>3598</v>
      </c>
      <c r="H72" s="582" t="s">
        <v>157</v>
      </c>
      <c r="I72" s="582" t="s">
        <v>158</v>
      </c>
      <c r="J72" s="582" t="s">
        <v>168</v>
      </c>
      <c r="K72" s="582" t="s">
        <v>160</v>
      </c>
      <c r="L72" s="582" t="s">
        <v>161</v>
      </c>
      <c r="M72" s="582" t="s">
        <v>162</v>
      </c>
      <c r="N72" s="582" t="s">
        <v>3948</v>
      </c>
    </row>
    <row r="73" spans="1:14" ht="16.5">
      <c r="A73" s="582" t="s">
        <v>3762</v>
      </c>
      <c r="B73" s="582" t="s">
        <v>3857</v>
      </c>
      <c r="C73" s="585">
        <v>1.5740740740740741E-3</v>
      </c>
      <c r="D73" s="582" t="s">
        <v>3858</v>
      </c>
      <c r="E73" s="582" t="s">
        <v>154</v>
      </c>
      <c r="F73" s="582" t="s">
        <v>2900</v>
      </c>
      <c r="G73" s="582" t="s">
        <v>2981</v>
      </c>
      <c r="H73" s="582" t="s">
        <v>157</v>
      </c>
      <c r="I73" s="582" t="s">
        <v>197</v>
      </c>
      <c r="J73" s="582" t="s">
        <v>198</v>
      </c>
      <c r="K73" s="582" t="s">
        <v>95</v>
      </c>
      <c r="L73" s="582" t="s">
        <v>161</v>
      </c>
      <c r="M73" s="582" t="s">
        <v>162</v>
      </c>
      <c r="N73" s="582" t="s">
        <v>3949</v>
      </c>
    </row>
    <row r="74" spans="1:14" ht="16.5">
      <c r="A74" s="582" t="s">
        <v>3762</v>
      </c>
      <c r="B74" s="582" t="s">
        <v>3859</v>
      </c>
      <c r="C74" s="585">
        <v>7.5231481481481471E-4</v>
      </c>
      <c r="D74" s="582" t="s">
        <v>3860</v>
      </c>
      <c r="E74" s="582" t="s">
        <v>154</v>
      </c>
      <c r="F74" s="582" t="s">
        <v>3089</v>
      </c>
      <c r="G74" s="582" t="s">
        <v>3090</v>
      </c>
      <c r="H74" s="582" t="s">
        <v>157</v>
      </c>
      <c r="I74" s="582" t="s">
        <v>158</v>
      </c>
      <c r="J74" s="582" t="s">
        <v>168</v>
      </c>
      <c r="K74" s="582" t="s">
        <v>160</v>
      </c>
      <c r="L74" s="582" t="s">
        <v>161</v>
      </c>
      <c r="M74" s="582" t="s">
        <v>162</v>
      </c>
      <c r="N74" s="582" t="s">
        <v>3950</v>
      </c>
    </row>
    <row r="75" spans="1:14" ht="16.5">
      <c r="A75" s="582" t="s">
        <v>3762</v>
      </c>
      <c r="B75" s="582" t="s">
        <v>3861</v>
      </c>
      <c r="C75" s="585">
        <v>1.1574074074074073E-5</v>
      </c>
      <c r="D75" s="582" t="s">
        <v>3862</v>
      </c>
      <c r="E75" s="582" t="s">
        <v>154</v>
      </c>
      <c r="F75" s="582" t="s">
        <v>3617</v>
      </c>
      <c r="G75" s="582" t="s">
        <v>3618</v>
      </c>
      <c r="H75" s="582" t="s">
        <v>157</v>
      </c>
      <c r="I75" s="582" t="s">
        <v>158</v>
      </c>
      <c r="J75" s="582" t="s">
        <v>168</v>
      </c>
      <c r="K75" s="582" t="s">
        <v>2714</v>
      </c>
      <c r="L75" s="582" t="s">
        <v>161</v>
      </c>
      <c r="M75" s="582" t="s">
        <v>162</v>
      </c>
      <c r="N75" s="582" t="s">
        <v>2913</v>
      </c>
    </row>
    <row r="76" spans="1:14" ht="16.5">
      <c r="A76" s="582" t="s">
        <v>3762</v>
      </c>
      <c r="B76" s="582" t="s">
        <v>3863</v>
      </c>
      <c r="C76" s="585">
        <v>2.4421296296296296E-3</v>
      </c>
      <c r="D76" s="582" t="s">
        <v>3864</v>
      </c>
      <c r="E76" s="582" t="s">
        <v>154</v>
      </c>
      <c r="F76" s="582" t="s">
        <v>2900</v>
      </c>
      <c r="G76" s="582" t="s">
        <v>2981</v>
      </c>
      <c r="H76" s="582" t="s">
        <v>157</v>
      </c>
      <c r="I76" s="582" t="s">
        <v>197</v>
      </c>
      <c r="J76" s="582" t="s">
        <v>198</v>
      </c>
      <c r="K76" s="582" t="s">
        <v>95</v>
      </c>
      <c r="L76" s="582" t="s">
        <v>161</v>
      </c>
      <c r="M76" s="582" t="s">
        <v>162</v>
      </c>
      <c r="N76" s="582" t="s">
        <v>3951</v>
      </c>
    </row>
    <row r="77" spans="1:14" ht="16.5">
      <c r="A77" s="582" t="s">
        <v>3762</v>
      </c>
      <c r="B77" s="582" t="s">
        <v>3682</v>
      </c>
      <c r="C77" s="585">
        <v>1.5393518518518519E-3</v>
      </c>
      <c r="D77" s="582" t="s">
        <v>3865</v>
      </c>
      <c r="E77" s="582" t="s">
        <v>154</v>
      </c>
      <c r="F77" s="582" t="s">
        <v>1389</v>
      </c>
      <c r="G77" s="582" t="s">
        <v>1397</v>
      </c>
      <c r="H77" s="582" t="s">
        <v>157</v>
      </c>
      <c r="I77" s="582" t="s">
        <v>197</v>
      </c>
      <c r="J77" s="582" t="s">
        <v>198</v>
      </c>
      <c r="K77" s="582" t="s">
        <v>160</v>
      </c>
      <c r="L77" s="582" t="s">
        <v>161</v>
      </c>
      <c r="M77" s="582" t="s">
        <v>162</v>
      </c>
      <c r="N77" s="582" t="s">
        <v>3952</v>
      </c>
    </row>
    <row r="78" spans="1:14" ht="16.5">
      <c r="A78" s="582" t="s">
        <v>3762</v>
      </c>
      <c r="B78" s="582" t="s">
        <v>3866</v>
      </c>
      <c r="C78" s="585">
        <v>7.175925925925927E-4</v>
      </c>
      <c r="D78" s="582" t="s">
        <v>3867</v>
      </c>
      <c r="E78" s="582" t="s">
        <v>154</v>
      </c>
      <c r="F78" s="582" t="s">
        <v>3276</v>
      </c>
      <c r="G78" s="582" t="s">
        <v>3200</v>
      </c>
      <c r="H78" s="582" t="s">
        <v>157</v>
      </c>
      <c r="I78" s="582" t="s">
        <v>158</v>
      </c>
      <c r="J78" s="582" t="s">
        <v>159</v>
      </c>
      <c r="K78" s="582" t="s">
        <v>2714</v>
      </c>
      <c r="L78" s="582" t="s">
        <v>161</v>
      </c>
      <c r="M78" s="582" t="s">
        <v>162</v>
      </c>
      <c r="N78" s="582" t="s">
        <v>3953</v>
      </c>
    </row>
    <row r="79" spans="1:14" ht="16.5">
      <c r="A79" s="582" t="s">
        <v>3762</v>
      </c>
      <c r="B79" s="582" t="s">
        <v>4090</v>
      </c>
      <c r="C79" s="582"/>
      <c r="D79" s="582"/>
      <c r="E79" s="582"/>
      <c r="F79" s="582" t="s">
        <v>2334</v>
      </c>
      <c r="G79" s="582" t="s">
        <v>1517</v>
      </c>
      <c r="H79" s="582" t="s">
        <v>157</v>
      </c>
      <c r="I79" s="582" t="s">
        <v>197</v>
      </c>
      <c r="J79" s="582" t="s">
        <v>198</v>
      </c>
      <c r="K79" s="582" t="s">
        <v>160</v>
      </c>
      <c r="L79" s="582" t="s">
        <v>161</v>
      </c>
      <c r="M79" s="582" t="s">
        <v>162</v>
      </c>
      <c r="N79" s="582" t="s">
        <v>4091</v>
      </c>
    </row>
    <row r="80" spans="1:14" ht="16.5">
      <c r="A80" s="582" t="s">
        <v>3762</v>
      </c>
      <c r="B80" s="582" t="s">
        <v>3868</v>
      </c>
      <c r="C80" s="585">
        <v>7.8703703703703705E-4</v>
      </c>
      <c r="D80" s="582" t="s">
        <v>3869</v>
      </c>
      <c r="E80" s="582" t="s">
        <v>154</v>
      </c>
      <c r="F80" s="582" t="s">
        <v>2547</v>
      </c>
      <c r="G80" s="582" t="s">
        <v>2548</v>
      </c>
      <c r="H80" s="582" t="s">
        <v>157</v>
      </c>
      <c r="I80" s="582" t="s">
        <v>197</v>
      </c>
      <c r="J80" s="582" t="s">
        <v>198</v>
      </c>
      <c r="K80" s="582" t="s">
        <v>160</v>
      </c>
      <c r="L80" s="582" t="s">
        <v>161</v>
      </c>
      <c r="M80" s="582" t="s">
        <v>162</v>
      </c>
      <c r="N80" s="582" t="s">
        <v>3954</v>
      </c>
    </row>
    <row r="81" spans="1:14" ht="16.5">
      <c r="A81" s="582" t="s">
        <v>3762</v>
      </c>
      <c r="B81" s="582" t="s">
        <v>3870</v>
      </c>
      <c r="C81" s="585">
        <v>1.3310185185185185E-3</v>
      </c>
      <c r="D81" s="582" t="s">
        <v>3871</v>
      </c>
      <c r="E81" s="582" t="s">
        <v>154</v>
      </c>
      <c r="F81" s="582" t="s">
        <v>1661</v>
      </c>
      <c r="G81" s="582" t="s">
        <v>1981</v>
      </c>
      <c r="H81" s="582" t="s">
        <v>157</v>
      </c>
      <c r="I81" s="582" t="s">
        <v>197</v>
      </c>
      <c r="J81" s="582" t="s">
        <v>198</v>
      </c>
      <c r="K81" s="582" t="s">
        <v>160</v>
      </c>
      <c r="L81" s="582" t="s">
        <v>161</v>
      </c>
      <c r="M81" s="582" t="s">
        <v>162</v>
      </c>
      <c r="N81" s="582" t="s">
        <v>3955</v>
      </c>
    </row>
    <row r="82" spans="1:14" ht="16.5">
      <c r="A82" s="582" t="s">
        <v>3762</v>
      </c>
      <c r="B82" s="582" t="s">
        <v>3872</v>
      </c>
      <c r="C82" s="585">
        <v>1.4120370370370369E-3</v>
      </c>
      <c r="D82" s="582" t="s">
        <v>3873</v>
      </c>
      <c r="E82" s="582" t="s">
        <v>154</v>
      </c>
      <c r="F82" s="582" t="s">
        <v>2285</v>
      </c>
      <c r="G82" s="582" t="s">
        <v>3040</v>
      </c>
      <c r="H82" s="582" t="s">
        <v>157</v>
      </c>
      <c r="I82" s="582" t="s">
        <v>158</v>
      </c>
      <c r="J82" s="582" t="s">
        <v>212</v>
      </c>
      <c r="K82" s="582" t="s">
        <v>2714</v>
      </c>
      <c r="L82" s="582" t="s">
        <v>161</v>
      </c>
      <c r="M82" s="582" t="s">
        <v>162</v>
      </c>
      <c r="N82" s="582" t="s">
        <v>3956</v>
      </c>
    </row>
    <row r="83" spans="1:14" ht="16.5">
      <c r="A83" s="582" t="s">
        <v>3762</v>
      </c>
      <c r="B83" s="582" t="s">
        <v>4092</v>
      </c>
      <c r="C83" s="582"/>
      <c r="D83" s="582"/>
      <c r="E83" s="582"/>
      <c r="F83" s="582" t="s">
        <v>4093</v>
      </c>
      <c r="G83" s="582" t="s">
        <v>4094</v>
      </c>
      <c r="H83" s="582" t="s">
        <v>157</v>
      </c>
      <c r="I83" s="582" t="s">
        <v>158</v>
      </c>
      <c r="J83" s="582" t="s">
        <v>168</v>
      </c>
      <c r="K83" s="582" t="s">
        <v>160</v>
      </c>
      <c r="L83" s="582" t="s">
        <v>161</v>
      </c>
      <c r="M83" s="582" t="s">
        <v>162</v>
      </c>
      <c r="N83" s="582" t="s">
        <v>4095</v>
      </c>
    </row>
    <row r="84" spans="1:14" ht="16.5">
      <c r="A84" s="582" t="s">
        <v>3762</v>
      </c>
      <c r="B84" s="582" t="s">
        <v>3874</v>
      </c>
      <c r="C84" s="585">
        <v>2.3148148148148147E-5</v>
      </c>
      <c r="D84" s="582" t="s">
        <v>3875</v>
      </c>
      <c r="E84" s="582" t="s">
        <v>154</v>
      </c>
      <c r="F84" s="582" t="s">
        <v>3276</v>
      </c>
      <c r="G84" s="582" t="s">
        <v>3200</v>
      </c>
      <c r="H84" s="582" t="s">
        <v>157</v>
      </c>
      <c r="I84" s="582" t="s">
        <v>158</v>
      </c>
      <c r="J84" s="582" t="s">
        <v>159</v>
      </c>
      <c r="K84" s="582" t="s">
        <v>2714</v>
      </c>
      <c r="L84" s="582" t="s">
        <v>161</v>
      </c>
      <c r="M84" s="582" t="s">
        <v>162</v>
      </c>
      <c r="N84" s="582" t="s">
        <v>3957</v>
      </c>
    </row>
    <row r="85" spans="1:14" ht="16.5">
      <c r="A85" s="582" t="s">
        <v>3762</v>
      </c>
      <c r="B85" s="582" t="s">
        <v>3284</v>
      </c>
      <c r="C85" s="582"/>
      <c r="D85" s="582"/>
      <c r="E85" s="582"/>
      <c r="F85" s="582" t="s">
        <v>2515</v>
      </c>
      <c r="G85" s="582" t="s">
        <v>2612</v>
      </c>
      <c r="H85" s="582" t="s">
        <v>157</v>
      </c>
      <c r="I85" s="582" t="s">
        <v>197</v>
      </c>
      <c r="J85" s="582" t="s">
        <v>198</v>
      </c>
      <c r="K85" s="582" t="s">
        <v>160</v>
      </c>
      <c r="L85" s="582" t="s">
        <v>161</v>
      </c>
      <c r="M85" s="582" t="s">
        <v>162</v>
      </c>
      <c r="N85" s="582" t="s">
        <v>4096</v>
      </c>
    </row>
    <row r="86" spans="1:14" ht="16.5">
      <c r="A86" s="582" t="s">
        <v>3762</v>
      </c>
      <c r="B86" s="582" t="s">
        <v>4097</v>
      </c>
      <c r="C86" s="582"/>
      <c r="D86" s="582"/>
      <c r="E86" s="582"/>
      <c r="F86" s="582" t="s">
        <v>2115</v>
      </c>
      <c r="G86" s="582" t="s">
        <v>2116</v>
      </c>
      <c r="H86" s="582" t="s">
        <v>157</v>
      </c>
      <c r="I86" s="582" t="s">
        <v>197</v>
      </c>
      <c r="J86" s="582" t="s">
        <v>198</v>
      </c>
      <c r="K86" s="582" t="s">
        <v>160</v>
      </c>
      <c r="L86" s="582" t="s">
        <v>161</v>
      </c>
      <c r="M86" s="582" t="s">
        <v>162</v>
      </c>
      <c r="N86" s="582" t="s">
        <v>4098</v>
      </c>
    </row>
    <row r="87" spans="1:14" ht="16.5">
      <c r="A87" s="582" t="s">
        <v>3762</v>
      </c>
      <c r="B87" s="582" t="s">
        <v>4099</v>
      </c>
      <c r="C87" s="582"/>
      <c r="D87" s="582"/>
      <c r="E87" s="582"/>
      <c r="F87" s="582" t="s">
        <v>4100</v>
      </c>
      <c r="G87" s="582" t="s">
        <v>4101</v>
      </c>
      <c r="H87" s="582" t="s">
        <v>157</v>
      </c>
      <c r="I87" s="582" t="s">
        <v>158</v>
      </c>
      <c r="J87" s="582" t="s">
        <v>168</v>
      </c>
      <c r="K87" s="582" t="s">
        <v>160</v>
      </c>
      <c r="L87" s="582" t="s">
        <v>161</v>
      </c>
      <c r="M87" s="582" t="s">
        <v>162</v>
      </c>
      <c r="N87" s="582" t="s">
        <v>4095</v>
      </c>
    </row>
    <row r="88" spans="1:14" ht="16.5">
      <c r="A88" s="582" t="s">
        <v>3762</v>
      </c>
      <c r="B88" s="582" t="s">
        <v>3876</v>
      </c>
      <c r="C88" s="585">
        <v>9.0277777777777784E-4</v>
      </c>
      <c r="D88" s="582" t="s">
        <v>3877</v>
      </c>
      <c r="E88" s="582" t="s">
        <v>154</v>
      </c>
      <c r="F88" s="582" t="s">
        <v>428</v>
      </c>
      <c r="G88" s="582" t="s">
        <v>429</v>
      </c>
      <c r="H88" s="582" t="s">
        <v>157</v>
      </c>
      <c r="I88" s="582" t="s">
        <v>158</v>
      </c>
      <c r="J88" s="582" t="s">
        <v>191</v>
      </c>
      <c r="K88" s="582" t="s">
        <v>160</v>
      </c>
      <c r="L88" s="582" t="s">
        <v>161</v>
      </c>
      <c r="M88" s="582" t="s">
        <v>162</v>
      </c>
      <c r="N88" s="582" t="s">
        <v>3958</v>
      </c>
    </row>
    <row r="89" spans="1:14" ht="16.5">
      <c r="A89" s="582" t="s">
        <v>3762</v>
      </c>
      <c r="B89" s="582" t="s">
        <v>3878</v>
      </c>
      <c r="C89" s="585">
        <v>2.3611111111111111E-3</v>
      </c>
      <c r="D89" s="582" t="s">
        <v>3879</v>
      </c>
      <c r="E89" s="582" t="s">
        <v>154</v>
      </c>
      <c r="F89" s="582" t="s">
        <v>3542</v>
      </c>
      <c r="G89" s="582" t="s">
        <v>3844</v>
      </c>
      <c r="H89" s="582" t="s">
        <v>157</v>
      </c>
      <c r="I89" s="582" t="s">
        <v>158</v>
      </c>
      <c r="J89" s="582" t="s">
        <v>168</v>
      </c>
      <c r="K89" s="582" t="s">
        <v>2714</v>
      </c>
      <c r="L89" s="582" t="s">
        <v>161</v>
      </c>
      <c r="M89" s="582" t="s">
        <v>162</v>
      </c>
      <c r="N89" s="582" t="s">
        <v>3959</v>
      </c>
    </row>
    <row r="90" spans="1:14" ht="16.5">
      <c r="A90" s="582" t="s">
        <v>3762</v>
      </c>
      <c r="B90" s="582" t="s">
        <v>3880</v>
      </c>
      <c r="C90" s="585">
        <v>2.2106481481481478E-3</v>
      </c>
      <c r="D90" s="582" t="s">
        <v>3881</v>
      </c>
      <c r="E90" s="582" t="s">
        <v>154</v>
      </c>
      <c r="F90" s="582" t="s">
        <v>2454</v>
      </c>
      <c r="G90" s="582" t="s">
        <v>3010</v>
      </c>
      <c r="H90" s="582" t="s">
        <v>157</v>
      </c>
      <c r="I90" s="582" t="s">
        <v>197</v>
      </c>
      <c r="J90" s="582" t="s">
        <v>198</v>
      </c>
      <c r="K90" s="582" t="s">
        <v>95</v>
      </c>
      <c r="L90" s="582" t="s">
        <v>161</v>
      </c>
      <c r="M90" s="582" t="s">
        <v>162</v>
      </c>
      <c r="N90" s="582" t="s">
        <v>3960</v>
      </c>
    </row>
    <row r="91" spans="1:14" ht="16.5">
      <c r="A91" s="582" t="s">
        <v>3762</v>
      </c>
      <c r="B91" s="582" t="s">
        <v>3882</v>
      </c>
      <c r="C91" s="585">
        <v>1.5856481481481479E-3</v>
      </c>
      <c r="D91" s="582" t="s">
        <v>3883</v>
      </c>
      <c r="E91" s="582" t="s">
        <v>154</v>
      </c>
      <c r="F91" s="582" t="s">
        <v>428</v>
      </c>
      <c r="G91" s="582" t="s">
        <v>429</v>
      </c>
      <c r="H91" s="582" t="s">
        <v>157</v>
      </c>
      <c r="I91" s="582" t="s">
        <v>158</v>
      </c>
      <c r="J91" s="582" t="s">
        <v>191</v>
      </c>
      <c r="K91" s="582" t="s">
        <v>160</v>
      </c>
      <c r="L91" s="582" t="s">
        <v>161</v>
      </c>
      <c r="M91" s="582" t="s">
        <v>162</v>
      </c>
      <c r="N91" s="582" t="s">
        <v>3961</v>
      </c>
    </row>
    <row r="92" spans="1:14" ht="16.5">
      <c r="A92" s="582" t="s">
        <v>3762</v>
      </c>
      <c r="B92" s="582" t="s">
        <v>3884</v>
      </c>
      <c r="C92" s="585">
        <v>1.8055555555555557E-3</v>
      </c>
      <c r="D92" s="582" t="s">
        <v>3885</v>
      </c>
      <c r="E92" s="582" t="s">
        <v>154</v>
      </c>
      <c r="F92" s="582" t="s">
        <v>389</v>
      </c>
      <c r="G92" s="582" t="s">
        <v>3886</v>
      </c>
      <c r="H92" s="582" t="s">
        <v>157</v>
      </c>
      <c r="I92" s="582" t="s">
        <v>158</v>
      </c>
      <c r="J92" s="582" t="s">
        <v>191</v>
      </c>
      <c r="K92" s="582" t="s">
        <v>2714</v>
      </c>
      <c r="L92" s="582" t="s">
        <v>161</v>
      </c>
      <c r="M92" s="582" t="s">
        <v>162</v>
      </c>
      <c r="N92" s="582" t="s">
        <v>3962</v>
      </c>
    </row>
    <row r="93" spans="1:14" ht="16.5">
      <c r="A93" s="582" t="s">
        <v>3762</v>
      </c>
      <c r="B93" s="582" t="s">
        <v>3887</v>
      </c>
      <c r="C93" s="585">
        <v>3.4722222222222222E-5</v>
      </c>
      <c r="D93" s="582" t="s">
        <v>3888</v>
      </c>
      <c r="E93" s="582" t="s">
        <v>154</v>
      </c>
      <c r="F93" s="582" t="s">
        <v>3143</v>
      </c>
      <c r="G93" s="582" t="s">
        <v>3144</v>
      </c>
      <c r="H93" s="582" t="s">
        <v>157</v>
      </c>
      <c r="I93" s="582" t="s">
        <v>158</v>
      </c>
      <c r="J93" s="582" t="s">
        <v>168</v>
      </c>
      <c r="K93" s="582" t="s">
        <v>160</v>
      </c>
      <c r="L93" s="582" t="s">
        <v>161</v>
      </c>
      <c r="M93" s="582" t="s">
        <v>162</v>
      </c>
      <c r="N93" s="582" t="s">
        <v>3963</v>
      </c>
    </row>
    <row r="94" spans="1:14" ht="16.5">
      <c r="A94" s="582" t="s">
        <v>3762</v>
      </c>
      <c r="B94" s="582" t="s">
        <v>3889</v>
      </c>
      <c r="C94" s="585">
        <v>1.8518518518518518E-4</v>
      </c>
      <c r="D94" s="582" t="s">
        <v>3890</v>
      </c>
      <c r="E94" s="582" t="s">
        <v>154</v>
      </c>
      <c r="F94" s="582" t="s">
        <v>2911</v>
      </c>
      <c r="G94" s="582" t="s">
        <v>2912</v>
      </c>
      <c r="H94" s="582" t="s">
        <v>157</v>
      </c>
      <c r="I94" s="582" t="s">
        <v>158</v>
      </c>
      <c r="J94" s="582" t="s">
        <v>168</v>
      </c>
      <c r="K94" s="582" t="s">
        <v>2714</v>
      </c>
      <c r="L94" s="582" t="s">
        <v>161</v>
      </c>
      <c r="M94" s="582" t="s">
        <v>162</v>
      </c>
      <c r="N94" s="582" t="s">
        <v>3964</v>
      </c>
    </row>
    <row r="95" spans="1:14" ht="16.5">
      <c r="A95" s="582" t="s">
        <v>3762</v>
      </c>
      <c r="B95" s="582" t="s">
        <v>4102</v>
      </c>
      <c r="C95" s="582"/>
      <c r="D95" s="582"/>
      <c r="E95" s="582"/>
      <c r="F95" s="582" t="s">
        <v>3313</v>
      </c>
      <c r="G95" s="582" t="s">
        <v>4103</v>
      </c>
      <c r="H95" s="582" t="s">
        <v>157</v>
      </c>
      <c r="I95" s="582" t="s">
        <v>176</v>
      </c>
      <c r="J95" s="582" t="s">
        <v>481</v>
      </c>
      <c r="K95" s="582" t="s">
        <v>2714</v>
      </c>
      <c r="L95" s="582" t="s">
        <v>161</v>
      </c>
      <c r="M95" s="582" t="s">
        <v>162</v>
      </c>
      <c r="N95" s="582" t="s">
        <v>4104</v>
      </c>
    </row>
    <row r="96" spans="1:14" ht="16.5">
      <c r="A96" s="582" t="s">
        <v>3762</v>
      </c>
      <c r="B96" s="582" t="s">
        <v>4105</v>
      </c>
      <c r="C96" s="582"/>
      <c r="D96" s="582"/>
      <c r="E96" s="582"/>
      <c r="F96" s="582" t="s">
        <v>4026</v>
      </c>
      <c r="G96" s="582" t="s">
        <v>4027</v>
      </c>
      <c r="H96" s="582" t="s">
        <v>157</v>
      </c>
      <c r="I96" s="582" t="s">
        <v>158</v>
      </c>
      <c r="J96" s="582" t="s">
        <v>168</v>
      </c>
      <c r="K96" s="582" t="s">
        <v>160</v>
      </c>
      <c r="L96" s="582" t="s">
        <v>161</v>
      </c>
      <c r="M96" s="582" t="s">
        <v>162</v>
      </c>
      <c r="N96" s="582" t="s">
        <v>4095</v>
      </c>
    </row>
    <row r="97" spans="1:14" ht="16.5">
      <c r="A97" s="582" t="s">
        <v>3762</v>
      </c>
      <c r="B97" s="582" t="s">
        <v>4106</v>
      </c>
      <c r="C97" s="582"/>
      <c r="D97" s="582"/>
      <c r="E97" s="582"/>
      <c r="F97" s="582" t="s">
        <v>4048</v>
      </c>
      <c r="G97" s="582" t="s">
        <v>4049</v>
      </c>
      <c r="H97" s="582" t="s">
        <v>157</v>
      </c>
      <c r="I97" s="582" t="s">
        <v>158</v>
      </c>
      <c r="J97" s="582" t="s">
        <v>168</v>
      </c>
      <c r="K97" s="582" t="s">
        <v>160</v>
      </c>
      <c r="L97" s="582" t="s">
        <v>161</v>
      </c>
      <c r="M97" s="582" t="s">
        <v>162</v>
      </c>
      <c r="N97" s="582" t="s">
        <v>4107</v>
      </c>
    </row>
    <row r="98" spans="1:14" ht="16.5">
      <c r="A98" s="582" t="s">
        <v>3762</v>
      </c>
      <c r="B98" s="582" t="s">
        <v>4108</v>
      </c>
      <c r="C98" s="582"/>
      <c r="D98" s="582"/>
      <c r="E98" s="582"/>
      <c r="F98" s="582" t="s">
        <v>4109</v>
      </c>
      <c r="G98" s="582" t="s">
        <v>1404</v>
      </c>
      <c r="H98" s="582" t="s">
        <v>157</v>
      </c>
      <c r="I98" s="582" t="s">
        <v>197</v>
      </c>
      <c r="J98" s="582" t="s">
        <v>198</v>
      </c>
      <c r="K98" s="582" t="s">
        <v>160</v>
      </c>
      <c r="L98" s="582" t="s">
        <v>161</v>
      </c>
      <c r="M98" s="582" t="s">
        <v>162</v>
      </c>
      <c r="N98" s="582" t="s">
        <v>4110</v>
      </c>
    </row>
    <row r="99" spans="1:14" ht="16.5">
      <c r="A99" s="582" t="s">
        <v>3762</v>
      </c>
      <c r="B99" s="582" t="s">
        <v>3891</v>
      </c>
      <c r="C99" s="585">
        <v>1.1574074074074073E-4</v>
      </c>
      <c r="D99" s="582" t="s">
        <v>3892</v>
      </c>
      <c r="E99" s="582" t="s">
        <v>154</v>
      </c>
      <c r="F99" s="582" t="s">
        <v>3893</v>
      </c>
      <c r="G99" s="582" t="s">
        <v>3894</v>
      </c>
      <c r="H99" s="582" t="s">
        <v>157</v>
      </c>
      <c r="I99" s="582" t="s">
        <v>158</v>
      </c>
      <c r="J99" s="582" t="s">
        <v>713</v>
      </c>
      <c r="K99" s="582" t="s">
        <v>160</v>
      </c>
      <c r="L99" s="582" t="s">
        <v>161</v>
      </c>
      <c r="M99" s="582" t="s">
        <v>162</v>
      </c>
      <c r="N99" s="582" t="s">
        <v>3965</v>
      </c>
    </row>
    <row r="100" spans="1:14" ht="16.5">
      <c r="A100" s="582" t="s">
        <v>3762</v>
      </c>
      <c r="B100" s="582" t="s">
        <v>3895</v>
      </c>
      <c r="C100" s="585">
        <v>4.1666666666666669E-4</v>
      </c>
      <c r="D100" s="582" t="s">
        <v>3896</v>
      </c>
      <c r="E100" s="582" t="s">
        <v>154</v>
      </c>
      <c r="F100" s="582" t="s">
        <v>3897</v>
      </c>
      <c r="G100" s="582" t="s">
        <v>3898</v>
      </c>
      <c r="H100" s="582" t="s">
        <v>157</v>
      </c>
      <c r="I100" s="582" t="s">
        <v>158</v>
      </c>
      <c r="J100" s="582" t="s">
        <v>713</v>
      </c>
      <c r="K100" s="582" t="s">
        <v>160</v>
      </c>
      <c r="L100" s="582" t="s">
        <v>161</v>
      </c>
      <c r="M100" s="582" t="s">
        <v>162</v>
      </c>
      <c r="N100" s="582" t="s">
        <v>3966</v>
      </c>
    </row>
    <row r="101" spans="1:14" ht="16.5">
      <c r="A101" s="582" t="s">
        <v>3762</v>
      </c>
      <c r="B101" s="582" t="s">
        <v>3899</v>
      </c>
      <c r="C101" s="585">
        <v>8.1018518518518516E-5</v>
      </c>
      <c r="D101" s="582" t="s">
        <v>3900</v>
      </c>
      <c r="E101" s="582" t="s">
        <v>154</v>
      </c>
      <c r="F101" s="582" t="s">
        <v>988</v>
      </c>
      <c r="G101" s="582" t="s">
        <v>3901</v>
      </c>
      <c r="H101" s="582" t="s">
        <v>157</v>
      </c>
      <c r="I101" s="582" t="s">
        <v>158</v>
      </c>
      <c r="J101" s="582" t="s">
        <v>713</v>
      </c>
      <c r="K101" s="582" t="s">
        <v>160</v>
      </c>
      <c r="L101" s="582" t="s">
        <v>161</v>
      </c>
      <c r="M101" s="582" t="s">
        <v>162</v>
      </c>
      <c r="N101" s="582" t="s">
        <v>3967</v>
      </c>
    </row>
    <row r="102" spans="1:14" ht="16.5">
      <c r="A102" s="582" t="s">
        <v>3762</v>
      </c>
      <c r="B102" s="582" t="s">
        <v>3902</v>
      </c>
      <c r="C102" s="585">
        <v>1.7361111111111112E-4</v>
      </c>
      <c r="D102" s="582" t="s">
        <v>3903</v>
      </c>
      <c r="E102" s="582" t="s">
        <v>154</v>
      </c>
      <c r="F102" s="582" t="s">
        <v>3904</v>
      </c>
      <c r="G102" s="582" t="s">
        <v>3905</v>
      </c>
      <c r="H102" s="582" t="s">
        <v>157</v>
      </c>
      <c r="I102" s="582" t="s">
        <v>158</v>
      </c>
      <c r="J102" s="582" t="s">
        <v>713</v>
      </c>
      <c r="K102" s="582" t="s">
        <v>160</v>
      </c>
      <c r="L102" s="582" t="s">
        <v>161</v>
      </c>
      <c r="M102" s="582" t="s">
        <v>162</v>
      </c>
      <c r="N102" s="582" t="s">
        <v>3968</v>
      </c>
    </row>
    <row r="103" spans="1:14" ht="16.5">
      <c r="A103" s="582" t="s">
        <v>3762</v>
      </c>
      <c r="B103" s="582" t="s">
        <v>3906</v>
      </c>
      <c r="C103" s="585">
        <v>2.0949074074074073E-3</v>
      </c>
      <c r="D103" s="582" t="s">
        <v>3907</v>
      </c>
      <c r="E103" s="582" t="s">
        <v>154</v>
      </c>
      <c r="F103" s="582" t="s">
        <v>3681</v>
      </c>
      <c r="G103" s="582" t="s">
        <v>2053</v>
      </c>
      <c r="H103" s="582" t="s">
        <v>157</v>
      </c>
      <c r="I103" s="582" t="s">
        <v>158</v>
      </c>
      <c r="J103" s="582" t="s">
        <v>191</v>
      </c>
      <c r="K103" s="582" t="s">
        <v>2714</v>
      </c>
      <c r="L103" s="582" t="s">
        <v>161</v>
      </c>
      <c r="M103" s="582" t="s">
        <v>162</v>
      </c>
      <c r="N103" s="582" t="s">
        <v>3969</v>
      </c>
    </row>
    <row r="104" spans="1:14" ht="16.5">
      <c r="A104" s="582" t="s">
        <v>3762</v>
      </c>
      <c r="B104" s="582" t="s">
        <v>4111</v>
      </c>
      <c r="C104" s="582"/>
      <c r="D104" s="582"/>
      <c r="E104" s="582"/>
      <c r="F104" s="582" t="s">
        <v>2844</v>
      </c>
      <c r="G104" s="582" t="s">
        <v>4112</v>
      </c>
      <c r="H104" s="582" t="s">
        <v>157</v>
      </c>
      <c r="I104" s="582" t="s">
        <v>158</v>
      </c>
      <c r="J104" s="582" t="s">
        <v>212</v>
      </c>
      <c r="K104" s="582" t="s">
        <v>160</v>
      </c>
      <c r="L104" s="582" t="s">
        <v>161</v>
      </c>
      <c r="M104" s="582" t="s">
        <v>162</v>
      </c>
      <c r="N104" s="582" t="s">
        <v>4113</v>
      </c>
    </row>
    <row r="105" spans="1:14" ht="16.5">
      <c r="A105" s="582" t="s">
        <v>3762</v>
      </c>
      <c r="B105" s="582" t="s">
        <v>3908</v>
      </c>
      <c r="C105" s="585">
        <v>1.6666666666666668E-3</v>
      </c>
      <c r="D105" s="582" t="s">
        <v>3909</v>
      </c>
      <c r="E105" s="582" t="s">
        <v>154</v>
      </c>
      <c r="F105" s="582" t="s">
        <v>2535</v>
      </c>
      <c r="G105" s="582" t="s">
        <v>276</v>
      </c>
      <c r="H105" s="582" t="s">
        <v>157</v>
      </c>
      <c r="I105" s="582" t="s">
        <v>158</v>
      </c>
      <c r="J105" s="582" t="s">
        <v>212</v>
      </c>
      <c r="K105" s="582" t="s">
        <v>160</v>
      </c>
      <c r="L105" s="582" t="s">
        <v>161</v>
      </c>
      <c r="M105" s="582" t="s">
        <v>162</v>
      </c>
      <c r="N105" s="582" t="s">
        <v>3970</v>
      </c>
    </row>
    <row r="106" spans="1:14" ht="16.5">
      <c r="A106" s="582" t="s">
        <v>3762</v>
      </c>
      <c r="B106" s="582" t="s">
        <v>3910</v>
      </c>
      <c r="C106" s="585">
        <v>1.273148148148148E-4</v>
      </c>
      <c r="D106" s="582" t="s">
        <v>3911</v>
      </c>
      <c r="E106" s="582" t="s">
        <v>154</v>
      </c>
      <c r="F106" s="582" t="s">
        <v>2285</v>
      </c>
      <c r="G106" s="582" t="s">
        <v>3040</v>
      </c>
      <c r="H106" s="582" t="s">
        <v>157</v>
      </c>
      <c r="I106" s="582" t="s">
        <v>158</v>
      </c>
      <c r="J106" s="582" t="s">
        <v>212</v>
      </c>
      <c r="K106" s="582" t="s">
        <v>2714</v>
      </c>
      <c r="L106" s="582" t="s">
        <v>161</v>
      </c>
      <c r="M106" s="582" t="s">
        <v>162</v>
      </c>
      <c r="N106" s="582" t="s">
        <v>3971</v>
      </c>
    </row>
    <row r="107" spans="1:14" ht="16.5">
      <c r="A107" s="582" t="s">
        <v>3762</v>
      </c>
      <c r="B107" s="582" t="s">
        <v>3912</v>
      </c>
      <c r="C107" s="585">
        <v>2.4305555555555552E-4</v>
      </c>
      <c r="D107" s="582" t="s">
        <v>3913</v>
      </c>
      <c r="E107" s="582" t="s">
        <v>154</v>
      </c>
      <c r="F107" s="582" t="s">
        <v>2535</v>
      </c>
      <c r="G107" s="582" t="s">
        <v>276</v>
      </c>
      <c r="H107" s="582" t="s">
        <v>157</v>
      </c>
      <c r="I107" s="582" t="s">
        <v>158</v>
      </c>
      <c r="J107" s="582" t="s">
        <v>212</v>
      </c>
      <c r="K107" s="582" t="s">
        <v>160</v>
      </c>
      <c r="L107" s="582" t="s">
        <v>161</v>
      </c>
      <c r="M107" s="582" t="s">
        <v>162</v>
      </c>
      <c r="N107" s="582" t="s">
        <v>3972</v>
      </c>
    </row>
    <row r="108" spans="1:14" ht="16.5">
      <c r="A108" s="582" t="s">
        <v>3497</v>
      </c>
      <c r="B108" s="582" t="s">
        <v>3505</v>
      </c>
      <c r="C108" s="585">
        <v>2.3032407407407407E-3</v>
      </c>
      <c r="D108" s="582" t="s">
        <v>3506</v>
      </c>
      <c r="E108" s="582" t="s">
        <v>154</v>
      </c>
      <c r="F108" s="582" t="s">
        <v>3218</v>
      </c>
      <c r="G108" s="582" t="s">
        <v>3226</v>
      </c>
      <c r="H108" s="582" t="s">
        <v>157</v>
      </c>
      <c r="I108" s="582" t="s">
        <v>197</v>
      </c>
      <c r="J108" s="582" t="s">
        <v>198</v>
      </c>
      <c r="K108" s="582" t="s">
        <v>160</v>
      </c>
      <c r="L108" s="582" t="s">
        <v>161</v>
      </c>
      <c r="M108" s="582" t="s">
        <v>162</v>
      </c>
      <c r="N108" s="582" t="s">
        <v>1031</v>
      </c>
    </row>
    <row r="109" spans="1:14" ht="16.5">
      <c r="A109" s="582" t="s">
        <v>3497</v>
      </c>
      <c r="B109" s="582" t="s">
        <v>3508</v>
      </c>
      <c r="C109" s="585">
        <v>1.6550925925925926E-3</v>
      </c>
      <c r="D109" s="582" t="s">
        <v>3509</v>
      </c>
      <c r="E109" s="582" t="s">
        <v>154</v>
      </c>
      <c r="F109" s="582" t="s">
        <v>3218</v>
      </c>
      <c r="G109" s="582" t="s">
        <v>3226</v>
      </c>
      <c r="H109" s="582" t="s">
        <v>157</v>
      </c>
      <c r="I109" s="582" t="s">
        <v>197</v>
      </c>
      <c r="J109" s="582" t="s">
        <v>198</v>
      </c>
      <c r="K109" s="582" t="s">
        <v>160</v>
      </c>
      <c r="L109" s="582" t="s">
        <v>161</v>
      </c>
      <c r="M109" s="582" t="s">
        <v>162</v>
      </c>
      <c r="N109" s="582" t="s">
        <v>3510</v>
      </c>
    </row>
    <row r="110" spans="1:14" ht="16.5">
      <c r="A110" s="582" t="s">
        <v>3497</v>
      </c>
      <c r="B110" s="582" t="s">
        <v>3511</v>
      </c>
      <c r="C110" s="585">
        <v>6.2500000000000001E-4</v>
      </c>
      <c r="D110" s="582" t="s">
        <v>3512</v>
      </c>
      <c r="E110" s="582" t="s">
        <v>154</v>
      </c>
      <c r="F110" s="582" t="s">
        <v>3513</v>
      </c>
      <c r="G110" s="582" t="s">
        <v>3514</v>
      </c>
      <c r="H110" s="582" t="s">
        <v>157</v>
      </c>
      <c r="I110" s="582" t="s">
        <v>158</v>
      </c>
      <c r="J110" s="582" t="s">
        <v>212</v>
      </c>
      <c r="K110" s="582" t="s">
        <v>160</v>
      </c>
      <c r="L110" s="582" t="s">
        <v>161</v>
      </c>
      <c r="M110" s="582" t="s">
        <v>162</v>
      </c>
      <c r="N110" s="582" t="s">
        <v>3515</v>
      </c>
    </row>
    <row r="111" spans="1:14" ht="16.5">
      <c r="A111" s="582" t="s">
        <v>3497</v>
      </c>
      <c r="B111" s="582" t="s">
        <v>3516</v>
      </c>
      <c r="C111" s="585">
        <v>2.0370370370370373E-3</v>
      </c>
      <c r="D111" s="582" t="s">
        <v>3517</v>
      </c>
      <c r="E111" s="582" t="s">
        <v>154</v>
      </c>
      <c r="F111" s="582" t="s">
        <v>3513</v>
      </c>
      <c r="G111" s="582" t="s">
        <v>3518</v>
      </c>
      <c r="H111" s="582" t="s">
        <v>157</v>
      </c>
      <c r="I111" s="582" t="s">
        <v>158</v>
      </c>
      <c r="J111" s="582" t="s">
        <v>168</v>
      </c>
      <c r="K111" s="582" t="s">
        <v>160</v>
      </c>
      <c r="L111" s="582" t="s">
        <v>161</v>
      </c>
      <c r="M111" s="582" t="s">
        <v>162</v>
      </c>
      <c r="N111" s="582" t="s">
        <v>3519</v>
      </c>
    </row>
    <row r="112" spans="1:14" ht="16.5">
      <c r="A112" s="582" t="s">
        <v>3497</v>
      </c>
      <c r="B112" s="582" t="s">
        <v>3520</v>
      </c>
      <c r="C112" s="585">
        <v>2.1759259259259258E-3</v>
      </c>
      <c r="D112" s="582" t="s">
        <v>3521</v>
      </c>
      <c r="E112" s="582" t="s">
        <v>154</v>
      </c>
      <c r="F112" s="582" t="s">
        <v>1787</v>
      </c>
      <c r="G112" s="582" t="s">
        <v>1788</v>
      </c>
      <c r="H112" s="582" t="s">
        <v>157</v>
      </c>
      <c r="I112" s="582" t="s">
        <v>158</v>
      </c>
      <c r="J112" s="582" t="s">
        <v>168</v>
      </c>
      <c r="K112" s="582" t="s">
        <v>2714</v>
      </c>
      <c r="L112" s="582" t="s">
        <v>161</v>
      </c>
      <c r="M112" s="582" t="s">
        <v>162</v>
      </c>
      <c r="N112" s="582" t="s">
        <v>3522</v>
      </c>
    </row>
    <row r="113" spans="1:14" ht="16.5">
      <c r="A113" s="582" t="s">
        <v>3497</v>
      </c>
      <c r="B113" s="582" t="s">
        <v>3523</v>
      </c>
      <c r="C113" s="585">
        <v>1.261574074074074E-3</v>
      </c>
      <c r="D113" s="582" t="s">
        <v>3524</v>
      </c>
      <c r="E113" s="582" t="s">
        <v>154</v>
      </c>
      <c r="F113" s="582" t="s">
        <v>1851</v>
      </c>
      <c r="G113" s="582" t="s">
        <v>1852</v>
      </c>
      <c r="H113" s="582" t="s">
        <v>157</v>
      </c>
      <c r="I113" s="582" t="s">
        <v>158</v>
      </c>
      <c r="J113" s="582" t="s">
        <v>191</v>
      </c>
      <c r="K113" s="582" t="s">
        <v>2714</v>
      </c>
      <c r="L113" s="582" t="s">
        <v>161</v>
      </c>
      <c r="M113" s="582" t="s">
        <v>162</v>
      </c>
      <c r="N113" s="582" t="s">
        <v>3525</v>
      </c>
    </row>
    <row r="114" spans="1:14" ht="16.5">
      <c r="A114" s="582" t="s">
        <v>3497</v>
      </c>
      <c r="B114" s="582" t="s">
        <v>4114</v>
      </c>
      <c r="C114" s="582"/>
      <c r="D114" s="582"/>
      <c r="E114" s="582"/>
      <c r="F114" s="582" t="s">
        <v>2334</v>
      </c>
      <c r="G114" s="582" t="s">
        <v>1517</v>
      </c>
      <c r="H114" s="582" t="s">
        <v>157</v>
      </c>
      <c r="I114" s="582" t="s">
        <v>197</v>
      </c>
      <c r="J114" s="582" t="s">
        <v>198</v>
      </c>
      <c r="K114" s="582" t="s">
        <v>160</v>
      </c>
      <c r="L114" s="582" t="s">
        <v>161</v>
      </c>
      <c r="M114" s="582" t="s">
        <v>162</v>
      </c>
      <c r="N114" s="582" t="s">
        <v>4115</v>
      </c>
    </row>
    <row r="115" spans="1:14" ht="16.5">
      <c r="A115" s="582" t="s">
        <v>3497</v>
      </c>
      <c r="B115" s="582" t="s">
        <v>3526</v>
      </c>
      <c r="C115" s="585">
        <v>2.2800925925925927E-3</v>
      </c>
      <c r="D115" s="582" t="s">
        <v>3527</v>
      </c>
      <c r="E115" s="582" t="s">
        <v>154</v>
      </c>
      <c r="F115" s="582" t="s">
        <v>3528</v>
      </c>
      <c r="G115" s="582" t="s">
        <v>3529</v>
      </c>
      <c r="H115" s="582" t="s">
        <v>157</v>
      </c>
      <c r="I115" s="582" t="s">
        <v>158</v>
      </c>
      <c r="J115" s="582" t="s">
        <v>168</v>
      </c>
      <c r="K115" s="582" t="s">
        <v>2714</v>
      </c>
      <c r="L115" s="582" t="s">
        <v>161</v>
      </c>
      <c r="M115" s="582" t="s">
        <v>162</v>
      </c>
      <c r="N115" s="582" t="s">
        <v>3530</v>
      </c>
    </row>
    <row r="116" spans="1:14" ht="16.5">
      <c r="A116" s="582" t="s">
        <v>3497</v>
      </c>
      <c r="B116" s="582" t="s">
        <v>4116</v>
      </c>
      <c r="C116" s="582"/>
      <c r="D116" s="582"/>
      <c r="E116" s="582"/>
      <c r="F116" s="582" t="s">
        <v>3531</v>
      </c>
      <c r="G116" s="582" t="s">
        <v>4117</v>
      </c>
      <c r="H116" s="582" t="s">
        <v>157</v>
      </c>
      <c r="I116" s="582" t="s">
        <v>158</v>
      </c>
      <c r="J116" s="582" t="s">
        <v>391</v>
      </c>
      <c r="K116" s="582" t="s">
        <v>2084</v>
      </c>
      <c r="L116" s="582" t="s">
        <v>161</v>
      </c>
      <c r="M116" s="582" t="s">
        <v>162</v>
      </c>
      <c r="N116" s="582" t="s">
        <v>4118</v>
      </c>
    </row>
    <row r="117" spans="1:14" ht="16.5">
      <c r="A117" s="582" t="s">
        <v>3497</v>
      </c>
      <c r="B117" s="582" t="s">
        <v>4119</v>
      </c>
      <c r="C117" s="582"/>
      <c r="D117" s="582"/>
      <c r="E117" s="582"/>
      <c r="F117" s="582" t="s">
        <v>3531</v>
      </c>
      <c r="G117" s="582" t="s">
        <v>4120</v>
      </c>
      <c r="H117" s="582" t="s">
        <v>157</v>
      </c>
      <c r="I117" s="582" t="s">
        <v>158</v>
      </c>
      <c r="J117" s="582" t="s">
        <v>391</v>
      </c>
      <c r="K117" s="582" t="s">
        <v>2084</v>
      </c>
      <c r="L117" s="582" t="s">
        <v>161</v>
      </c>
      <c r="M117" s="582" t="s">
        <v>162</v>
      </c>
      <c r="N117" s="582" t="s">
        <v>4121</v>
      </c>
    </row>
    <row r="118" spans="1:14" ht="16.5">
      <c r="A118" s="582" t="s">
        <v>3497</v>
      </c>
      <c r="B118" s="582" t="s">
        <v>3532</v>
      </c>
      <c r="C118" s="585">
        <v>2.3148148148148147E-5</v>
      </c>
      <c r="D118" s="582" t="s">
        <v>3533</v>
      </c>
      <c r="E118" s="582" t="s">
        <v>154</v>
      </c>
      <c r="F118" s="582" t="s">
        <v>2547</v>
      </c>
      <c r="G118" s="582" t="s">
        <v>2548</v>
      </c>
      <c r="H118" s="582" t="s">
        <v>157</v>
      </c>
      <c r="I118" s="582" t="s">
        <v>197</v>
      </c>
      <c r="J118" s="582" t="s">
        <v>198</v>
      </c>
      <c r="K118" s="582" t="s">
        <v>160</v>
      </c>
      <c r="L118" s="582" t="s">
        <v>161</v>
      </c>
      <c r="M118" s="582" t="s">
        <v>162</v>
      </c>
      <c r="N118" s="582" t="s">
        <v>3534</v>
      </c>
    </row>
    <row r="119" spans="1:14" ht="16.5">
      <c r="A119" s="582" t="s">
        <v>3497</v>
      </c>
      <c r="B119" s="582" t="s">
        <v>3535</v>
      </c>
      <c r="C119" s="585">
        <v>2.8703703703703708E-3</v>
      </c>
      <c r="D119" s="582" t="s">
        <v>3536</v>
      </c>
      <c r="E119" s="582" t="s">
        <v>154</v>
      </c>
      <c r="F119" s="582" t="s">
        <v>3537</v>
      </c>
      <c r="G119" s="582" t="s">
        <v>3538</v>
      </c>
      <c r="H119" s="582" t="s">
        <v>157</v>
      </c>
      <c r="I119" s="582" t="s">
        <v>158</v>
      </c>
      <c r="J119" s="582" t="s">
        <v>168</v>
      </c>
      <c r="K119" s="582" t="s">
        <v>2714</v>
      </c>
      <c r="L119" s="582" t="s">
        <v>161</v>
      </c>
      <c r="M119" s="582" t="s">
        <v>162</v>
      </c>
      <c r="N119" s="582" t="s">
        <v>3539</v>
      </c>
    </row>
    <row r="120" spans="1:14" ht="16.5">
      <c r="A120" s="582" t="s">
        <v>3497</v>
      </c>
      <c r="B120" s="582" t="s">
        <v>3540</v>
      </c>
      <c r="C120" s="585">
        <v>7.291666666666667E-4</v>
      </c>
      <c r="D120" s="582" t="s">
        <v>3541</v>
      </c>
      <c r="E120" s="582" t="s">
        <v>154</v>
      </c>
      <c r="F120" s="582" t="s">
        <v>3542</v>
      </c>
      <c r="G120" s="582" t="s">
        <v>3543</v>
      </c>
      <c r="H120" s="582" t="s">
        <v>157</v>
      </c>
      <c r="I120" s="582" t="s">
        <v>158</v>
      </c>
      <c r="J120" s="582" t="s">
        <v>168</v>
      </c>
      <c r="K120" s="582" t="s">
        <v>2714</v>
      </c>
      <c r="L120" s="582" t="s">
        <v>161</v>
      </c>
      <c r="M120" s="582" t="s">
        <v>162</v>
      </c>
      <c r="N120" s="582" t="s">
        <v>3544</v>
      </c>
    </row>
    <row r="121" spans="1:14" ht="16.5">
      <c r="A121" s="582" t="s">
        <v>3497</v>
      </c>
      <c r="B121" s="582" t="s">
        <v>3545</v>
      </c>
      <c r="C121" s="585">
        <v>6.9444444444444444E-5</v>
      </c>
      <c r="D121" s="582" t="s">
        <v>3546</v>
      </c>
      <c r="E121" s="582" t="s">
        <v>154</v>
      </c>
      <c r="F121" s="582" t="s">
        <v>2900</v>
      </c>
      <c r="G121" s="582" t="s">
        <v>3547</v>
      </c>
      <c r="H121" s="582" t="s">
        <v>157</v>
      </c>
      <c r="I121" s="582" t="s">
        <v>158</v>
      </c>
      <c r="J121" s="582" t="s">
        <v>191</v>
      </c>
      <c r="K121" s="582" t="s">
        <v>2084</v>
      </c>
      <c r="L121" s="582" t="s">
        <v>161</v>
      </c>
      <c r="M121" s="582" t="s">
        <v>162</v>
      </c>
      <c r="N121" s="582" t="s">
        <v>796</v>
      </c>
    </row>
    <row r="122" spans="1:14" ht="16.5">
      <c r="A122" s="582" t="s">
        <v>3497</v>
      </c>
      <c r="B122" s="582" t="s">
        <v>3548</v>
      </c>
      <c r="C122" s="585">
        <v>3.4722222222222224E-4</v>
      </c>
      <c r="D122" s="582" t="s">
        <v>3549</v>
      </c>
      <c r="E122" s="582" t="s">
        <v>154</v>
      </c>
      <c r="F122" s="582" t="s">
        <v>3513</v>
      </c>
      <c r="G122" s="582" t="s">
        <v>3518</v>
      </c>
      <c r="H122" s="582" t="s">
        <v>157</v>
      </c>
      <c r="I122" s="582" t="s">
        <v>158</v>
      </c>
      <c r="J122" s="582" t="s">
        <v>168</v>
      </c>
      <c r="K122" s="582" t="s">
        <v>160</v>
      </c>
      <c r="L122" s="582" t="s">
        <v>161</v>
      </c>
      <c r="M122" s="582" t="s">
        <v>162</v>
      </c>
      <c r="N122" s="582" t="s">
        <v>3550</v>
      </c>
    </row>
    <row r="123" spans="1:14" ht="16.5">
      <c r="A123" s="582" t="s">
        <v>3497</v>
      </c>
      <c r="B123" s="582" t="s">
        <v>4122</v>
      </c>
      <c r="C123" s="582"/>
      <c r="D123" s="582"/>
      <c r="E123" s="582"/>
      <c r="F123" s="582" t="s">
        <v>4082</v>
      </c>
      <c r="G123" s="582" t="s">
        <v>4083</v>
      </c>
      <c r="H123" s="582" t="s">
        <v>157</v>
      </c>
      <c r="I123" s="582" t="s">
        <v>158</v>
      </c>
      <c r="J123" s="582" t="s">
        <v>168</v>
      </c>
      <c r="K123" s="582" t="s">
        <v>160</v>
      </c>
      <c r="L123" s="582" t="s">
        <v>161</v>
      </c>
      <c r="M123" s="582" t="s">
        <v>162</v>
      </c>
      <c r="N123" s="582" t="s">
        <v>4123</v>
      </c>
    </row>
    <row r="124" spans="1:14" ht="16.5">
      <c r="A124" s="582" t="s">
        <v>3497</v>
      </c>
      <c r="B124" s="582" t="s">
        <v>3551</v>
      </c>
      <c r="C124" s="585">
        <v>1.0879629629629629E-3</v>
      </c>
      <c r="D124" s="582" t="s">
        <v>3552</v>
      </c>
      <c r="E124" s="582" t="s">
        <v>154</v>
      </c>
      <c r="F124" s="582" t="s">
        <v>2774</v>
      </c>
      <c r="G124" s="582" t="s">
        <v>3553</v>
      </c>
      <c r="H124" s="582" t="s">
        <v>157</v>
      </c>
      <c r="I124" s="582" t="s">
        <v>197</v>
      </c>
      <c r="J124" s="582" t="s">
        <v>198</v>
      </c>
      <c r="K124" s="582" t="s">
        <v>160</v>
      </c>
      <c r="L124" s="582" t="s">
        <v>161</v>
      </c>
      <c r="M124" s="582" t="s">
        <v>162</v>
      </c>
      <c r="N124" s="582" t="s">
        <v>3554</v>
      </c>
    </row>
    <row r="125" spans="1:14" ht="16.5">
      <c r="A125" s="582" t="s">
        <v>3497</v>
      </c>
      <c r="B125" s="582" t="s">
        <v>3555</v>
      </c>
      <c r="C125" s="585">
        <v>4.6296296296296294E-5</v>
      </c>
      <c r="D125" s="582" t="s">
        <v>3556</v>
      </c>
      <c r="E125" s="582" t="s">
        <v>154</v>
      </c>
      <c r="F125" s="582" t="s">
        <v>3557</v>
      </c>
      <c r="G125" s="582" t="s">
        <v>3558</v>
      </c>
      <c r="H125" s="582" t="s">
        <v>157</v>
      </c>
      <c r="I125" s="582" t="s">
        <v>158</v>
      </c>
      <c r="J125" s="582" t="s">
        <v>168</v>
      </c>
      <c r="K125" s="582" t="s">
        <v>160</v>
      </c>
      <c r="L125" s="582" t="s">
        <v>161</v>
      </c>
      <c r="M125" s="582" t="s">
        <v>162</v>
      </c>
      <c r="N125" s="582" t="s">
        <v>796</v>
      </c>
    </row>
    <row r="126" spans="1:14" ht="16.5">
      <c r="A126" s="582" t="s">
        <v>3497</v>
      </c>
      <c r="B126" s="582" t="s">
        <v>3559</v>
      </c>
      <c r="C126" s="585">
        <v>2.5115740740740741E-3</v>
      </c>
      <c r="D126" s="582" t="s">
        <v>3560</v>
      </c>
      <c r="E126" s="582" t="s">
        <v>154</v>
      </c>
      <c r="F126" s="582" t="s">
        <v>2198</v>
      </c>
      <c r="G126" s="582" t="s">
        <v>2207</v>
      </c>
      <c r="H126" s="582" t="s">
        <v>157</v>
      </c>
      <c r="I126" s="582" t="s">
        <v>197</v>
      </c>
      <c r="J126" s="582" t="s">
        <v>198</v>
      </c>
      <c r="K126" s="582" t="s">
        <v>2714</v>
      </c>
      <c r="L126" s="582" t="s">
        <v>161</v>
      </c>
      <c r="M126" s="582" t="s">
        <v>162</v>
      </c>
      <c r="N126" s="582" t="s">
        <v>3561</v>
      </c>
    </row>
    <row r="127" spans="1:14" ht="16.5">
      <c r="A127" s="582" t="s">
        <v>3497</v>
      </c>
      <c r="B127" s="582" t="s">
        <v>3562</v>
      </c>
      <c r="C127" s="585">
        <v>3.4722222222222222E-5</v>
      </c>
      <c r="D127" s="582" t="s">
        <v>3563</v>
      </c>
      <c r="E127" s="582" t="s">
        <v>154</v>
      </c>
      <c r="F127" s="582" t="s">
        <v>1128</v>
      </c>
      <c r="G127" s="582" t="s">
        <v>1132</v>
      </c>
      <c r="H127" s="582" t="s">
        <v>157</v>
      </c>
      <c r="I127" s="582" t="s">
        <v>158</v>
      </c>
      <c r="J127" s="582" t="s">
        <v>168</v>
      </c>
      <c r="K127" s="582" t="s">
        <v>2084</v>
      </c>
      <c r="L127" s="582" t="s">
        <v>161</v>
      </c>
      <c r="M127" s="582" t="s">
        <v>162</v>
      </c>
      <c r="N127" s="582" t="s">
        <v>3507</v>
      </c>
    </row>
    <row r="128" spans="1:14" ht="16.5">
      <c r="A128" s="582" t="s">
        <v>3497</v>
      </c>
      <c r="B128" s="582" t="s">
        <v>3564</v>
      </c>
      <c r="C128" s="585">
        <v>1.1689814814814816E-3</v>
      </c>
      <c r="D128" s="582" t="s">
        <v>3565</v>
      </c>
      <c r="E128" s="582" t="s">
        <v>154</v>
      </c>
      <c r="F128" s="582" t="s">
        <v>3218</v>
      </c>
      <c r="G128" s="582" t="s">
        <v>3226</v>
      </c>
      <c r="H128" s="582" t="s">
        <v>157</v>
      </c>
      <c r="I128" s="582" t="s">
        <v>197</v>
      </c>
      <c r="J128" s="582" t="s">
        <v>198</v>
      </c>
      <c r="K128" s="582" t="s">
        <v>95</v>
      </c>
      <c r="L128" s="582" t="s">
        <v>161</v>
      </c>
      <c r="M128" s="582" t="s">
        <v>162</v>
      </c>
      <c r="N128" s="582" t="s">
        <v>3566</v>
      </c>
    </row>
    <row r="129" spans="1:14" ht="16.5">
      <c r="A129" s="582" t="s">
        <v>3497</v>
      </c>
      <c r="B129" s="582" t="s">
        <v>3567</v>
      </c>
      <c r="C129" s="585">
        <v>4.4212962962962956E-3</v>
      </c>
      <c r="D129" s="582" t="s">
        <v>3568</v>
      </c>
      <c r="E129" s="582" t="s">
        <v>154</v>
      </c>
      <c r="F129" s="582" t="s">
        <v>3569</v>
      </c>
      <c r="G129" s="582" t="s">
        <v>3570</v>
      </c>
      <c r="H129" s="582" t="s">
        <v>157</v>
      </c>
      <c r="I129" s="582" t="s">
        <v>197</v>
      </c>
      <c r="J129" s="582" t="s">
        <v>198</v>
      </c>
      <c r="K129" s="582" t="s">
        <v>2714</v>
      </c>
      <c r="L129" s="582" t="s">
        <v>161</v>
      </c>
      <c r="M129" s="582" t="s">
        <v>162</v>
      </c>
      <c r="N129" s="582" t="s">
        <v>3280</v>
      </c>
    </row>
    <row r="130" spans="1:14" ht="16.5">
      <c r="A130" s="582" t="s">
        <v>3497</v>
      </c>
      <c r="B130" s="582" t="s">
        <v>3571</v>
      </c>
      <c r="C130" s="585">
        <v>2.0717592592592593E-3</v>
      </c>
      <c r="D130" s="582" t="s">
        <v>3572</v>
      </c>
      <c r="E130" s="582" t="s">
        <v>154</v>
      </c>
      <c r="F130" s="582" t="s">
        <v>3531</v>
      </c>
      <c r="G130" s="582" t="s">
        <v>3573</v>
      </c>
      <c r="H130" s="582" t="s">
        <v>157</v>
      </c>
      <c r="I130" s="582" t="s">
        <v>158</v>
      </c>
      <c r="J130" s="582" t="s">
        <v>212</v>
      </c>
      <c r="K130" s="582" t="s">
        <v>2084</v>
      </c>
      <c r="L130" s="582" t="s">
        <v>161</v>
      </c>
      <c r="M130" s="582" t="s">
        <v>162</v>
      </c>
      <c r="N130" s="582" t="s">
        <v>3574</v>
      </c>
    </row>
    <row r="131" spans="1:14" ht="16.5">
      <c r="A131" s="582" t="s">
        <v>3497</v>
      </c>
      <c r="B131" s="582" t="s">
        <v>3575</v>
      </c>
      <c r="C131" s="585">
        <v>1.2152777777777778E-3</v>
      </c>
      <c r="D131" s="582" t="s">
        <v>3576</v>
      </c>
      <c r="E131" s="582" t="s">
        <v>154</v>
      </c>
      <c r="F131" s="582" t="s">
        <v>3531</v>
      </c>
      <c r="G131" s="582" t="s">
        <v>3573</v>
      </c>
      <c r="H131" s="582" t="s">
        <v>157</v>
      </c>
      <c r="I131" s="582" t="s">
        <v>158</v>
      </c>
      <c r="J131" s="582" t="s">
        <v>159</v>
      </c>
      <c r="K131" s="582" t="s">
        <v>2084</v>
      </c>
      <c r="L131" s="582" t="s">
        <v>161</v>
      </c>
      <c r="M131" s="582" t="s">
        <v>162</v>
      </c>
      <c r="N131" s="582" t="s">
        <v>3577</v>
      </c>
    </row>
    <row r="132" spans="1:14" ht="16.5">
      <c r="A132" s="582" t="s">
        <v>3497</v>
      </c>
      <c r="B132" s="582" t="s">
        <v>3578</v>
      </c>
      <c r="C132" s="585">
        <v>2.1643518518518518E-3</v>
      </c>
      <c r="D132" s="582" t="s">
        <v>3579</v>
      </c>
      <c r="E132" s="582" t="s">
        <v>154</v>
      </c>
      <c r="F132" s="582" t="s">
        <v>3531</v>
      </c>
      <c r="G132" s="582" t="s">
        <v>3580</v>
      </c>
      <c r="H132" s="582" t="s">
        <v>157</v>
      </c>
      <c r="I132" s="582" t="s">
        <v>158</v>
      </c>
      <c r="J132" s="582" t="s">
        <v>168</v>
      </c>
      <c r="K132" s="582" t="s">
        <v>2084</v>
      </c>
      <c r="L132" s="582" t="s">
        <v>161</v>
      </c>
      <c r="M132" s="582" t="s">
        <v>162</v>
      </c>
      <c r="N132" s="582" t="s">
        <v>3581</v>
      </c>
    </row>
    <row r="133" spans="1:14" ht="16.5">
      <c r="A133" s="582" t="s">
        <v>3497</v>
      </c>
      <c r="B133" s="582" t="s">
        <v>3582</v>
      </c>
      <c r="C133" s="585">
        <v>5.7870370370370366E-5</v>
      </c>
      <c r="D133" s="582" t="s">
        <v>3583</v>
      </c>
      <c r="E133" s="582" t="s">
        <v>154</v>
      </c>
      <c r="F133" s="582" t="s">
        <v>2824</v>
      </c>
      <c r="G133" s="582" t="s">
        <v>2825</v>
      </c>
      <c r="H133" s="582" t="s">
        <v>157</v>
      </c>
      <c r="I133" s="582" t="s">
        <v>158</v>
      </c>
      <c r="J133" s="582" t="s">
        <v>212</v>
      </c>
      <c r="K133" s="582" t="s">
        <v>160</v>
      </c>
      <c r="L133" s="582" t="s">
        <v>161</v>
      </c>
      <c r="M133" s="582" t="s">
        <v>162</v>
      </c>
      <c r="N133" s="582" t="s">
        <v>3584</v>
      </c>
    </row>
    <row r="134" spans="1:14" ht="16.5">
      <c r="A134" s="582" t="s">
        <v>3497</v>
      </c>
      <c r="B134" s="582" t="s">
        <v>4124</v>
      </c>
      <c r="C134" s="582"/>
      <c r="D134" s="582"/>
      <c r="E134" s="582"/>
      <c r="F134" s="582" t="s">
        <v>1973</v>
      </c>
      <c r="G134" s="582" t="s">
        <v>1986</v>
      </c>
      <c r="H134" s="582" t="s">
        <v>157</v>
      </c>
      <c r="I134" s="582" t="s">
        <v>197</v>
      </c>
      <c r="J134" s="582" t="s">
        <v>198</v>
      </c>
      <c r="K134" s="582" t="s">
        <v>160</v>
      </c>
      <c r="L134" s="582" t="s">
        <v>161</v>
      </c>
      <c r="M134" s="582" t="s">
        <v>162</v>
      </c>
      <c r="N134" s="582" t="s">
        <v>4125</v>
      </c>
    </row>
    <row r="135" spans="1:14" ht="16.5">
      <c r="A135" s="582" t="s">
        <v>3497</v>
      </c>
      <c r="B135" s="582" t="s">
        <v>3585</v>
      </c>
      <c r="C135" s="585">
        <v>9.2592592592592588E-5</v>
      </c>
      <c r="D135" s="582" t="s">
        <v>3586</v>
      </c>
      <c r="E135" s="582" t="s">
        <v>154</v>
      </c>
      <c r="F135" s="582" t="s">
        <v>3587</v>
      </c>
      <c r="G135" s="582" t="s">
        <v>3588</v>
      </c>
      <c r="H135" s="582" t="s">
        <v>157</v>
      </c>
      <c r="I135" s="582" t="s">
        <v>158</v>
      </c>
      <c r="J135" s="582" t="s">
        <v>168</v>
      </c>
      <c r="K135" s="582" t="s">
        <v>2714</v>
      </c>
      <c r="L135" s="582" t="s">
        <v>161</v>
      </c>
      <c r="M135" s="582" t="s">
        <v>162</v>
      </c>
      <c r="N135" s="582" t="s">
        <v>3589</v>
      </c>
    </row>
    <row r="136" spans="1:14" ht="16.5">
      <c r="A136" s="582" t="s">
        <v>3497</v>
      </c>
      <c r="B136" s="582" t="s">
        <v>3590</v>
      </c>
      <c r="C136" s="585">
        <v>2.3958333333333336E-3</v>
      </c>
      <c r="D136" s="582" t="s">
        <v>3591</v>
      </c>
      <c r="E136" s="582" t="s">
        <v>154</v>
      </c>
      <c r="F136" s="582" t="s">
        <v>3089</v>
      </c>
      <c r="G136" s="582" t="s">
        <v>3090</v>
      </c>
      <c r="H136" s="582" t="s">
        <v>157</v>
      </c>
      <c r="I136" s="582" t="s">
        <v>158</v>
      </c>
      <c r="J136" s="582" t="s">
        <v>168</v>
      </c>
      <c r="K136" s="582" t="s">
        <v>160</v>
      </c>
      <c r="L136" s="582" t="s">
        <v>161</v>
      </c>
      <c r="M136" s="582" t="s">
        <v>162</v>
      </c>
      <c r="N136" s="582" t="s">
        <v>3592</v>
      </c>
    </row>
    <row r="137" spans="1:14" ht="16.5">
      <c r="A137" s="582" t="s">
        <v>3497</v>
      </c>
      <c r="B137" s="582" t="s">
        <v>4126</v>
      </c>
      <c r="C137" s="582"/>
      <c r="D137" s="582"/>
      <c r="E137" s="582"/>
      <c r="F137" s="582" t="s">
        <v>1661</v>
      </c>
      <c r="G137" s="582" t="s">
        <v>1981</v>
      </c>
      <c r="H137" s="582" t="s">
        <v>157</v>
      </c>
      <c r="I137" s="582" t="s">
        <v>197</v>
      </c>
      <c r="J137" s="582" t="s">
        <v>198</v>
      </c>
      <c r="K137" s="582" t="s">
        <v>160</v>
      </c>
      <c r="L137" s="582" t="s">
        <v>161</v>
      </c>
      <c r="M137" s="582" t="s">
        <v>162</v>
      </c>
      <c r="N137" s="582" t="s">
        <v>4115</v>
      </c>
    </row>
    <row r="138" spans="1:14" ht="16.5">
      <c r="A138" s="582" t="s">
        <v>3497</v>
      </c>
      <c r="B138" s="582" t="s">
        <v>3062</v>
      </c>
      <c r="C138" s="585">
        <v>1.7361111111111112E-4</v>
      </c>
      <c r="D138" s="582" t="s">
        <v>3593</v>
      </c>
      <c r="E138" s="582" t="s">
        <v>154</v>
      </c>
      <c r="F138" s="582" t="s">
        <v>2198</v>
      </c>
      <c r="G138" s="582" t="s">
        <v>2207</v>
      </c>
      <c r="H138" s="582" t="s">
        <v>157</v>
      </c>
      <c r="I138" s="582" t="s">
        <v>197</v>
      </c>
      <c r="J138" s="582" t="s">
        <v>198</v>
      </c>
      <c r="K138" s="582" t="s">
        <v>2714</v>
      </c>
      <c r="L138" s="582" t="s">
        <v>161</v>
      </c>
      <c r="M138" s="582" t="s">
        <v>162</v>
      </c>
      <c r="N138" s="582" t="s">
        <v>3594</v>
      </c>
    </row>
    <row r="139" spans="1:14" ht="16.5">
      <c r="A139" s="582" t="s">
        <v>3497</v>
      </c>
      <c r="B139" s="582" t="s">
        <v>3595</v>
      </c>
      <c r="C139" s="585">
        <v>1.0763888888888889E-3</v>
      </c>
      <c r="D139" s="582" t="s">
        <v>3596</v>
      </c>
      <c r="E139" s="582" t="s">
        <v>154</v>
      </c>
      <c r="F139" s="582" t="s">
        <v>3597</v>
      </c>
      <c r="G139" s="582" t="s">
        <v>3598</v>
      </c>
      <c r="H139" s="582" t="s">
        <v>157</v>
      </c>
      <c r="I139" s="582" t="s">
        <v>158</v>
      </c>
      <c r="J139" s="582" t="s">
        <v>168</v>
      </c>
      <c r="K139" s="582" t="s">
        <v>160</v>
      </c>
      <c r="L139" s="582" t="s">
        <v>161</v>
      </c>
      <c r="M139" s="582" t="s">
        <v>162</v>
      </c>
      <c r="N139" s="582" t="s">
        <v>3599</v>
      </c>
    </row>
    <row r="140" spans="1:14" ht="16.5">
      <c r="A140" s="582" t="s">
        <v>3497</v>
      </c>
      <c r="B140" s="582" t="s">
        <v>4127</v>
      </c>
      <c r="C140" s="582"/>
      <c r="D140" s="582"/>
      <c r="E140" s="582"/>
      <c r="F140" s="582" t="s">
        <v>2198</v>
      </c>
      <c r="G140" s="582" t="s">
        <v>3570</v>
      </c>
      <c r="H140" s="582" t="s">
        <v>157</v>
      </c>
      <c r="I140" s="582" t="s">
        <v>197</v>
      </c>
      <c r="J140" s="582" t="s">
        <v>198</v>
      </c>
      <c r="K140" s="582" t="s">
        <v>2714</v>
      </c>
      <c r="L140" s="582" t="s">
        <v>161</v>
      </c>
      <c r="M140" s="582" t="s">
        <v>162</v>
      </c>
      <c r="N140" s="582" t="s">
        <v>4128</v>
      </c>
    </row>
    <row r="141" spans="1:14" ht="16.5">
      <c r="A141" s="582" t="s">
        <v>3497</v>
      </c>
      <c r="B141" s="582" t="s">
        <v>3600</v>
      </c>
      <c r="C141" s="585">
        <v>6.9444444444444447E-4</v>
      </c>
      <c r="D141" s="582" t="s">
        <v>3601</v>
      </c>
      <c r="E141" s="582" t="s">
        <v>154</v>
      </c>
      <c r="F141" s="582" t="s">
        <v>3602</v>
      </c>
      <c r="G141" s="582" t="s">
        <v>3603</v>
      </c>
      <c r="H141" s="582" t="s">
        <v>157</v>
      </c>
      <c r="I141" s="582" t="s">
        <v>158</v>
      </c>
      <c r="J141" s="582" t="s">
        <v>168</v>
      </c>
      <c r="K141" s="582" t="s">
        <v>160</v>
      </c>
      <c r="L141" s="582" t="s">
        <v>161</v>
      </c>
      <c r="M141" s="582" t="s">
        <v>162</v>
      </c>
      <c r="N141" s="582" t="s">
        <v>3604</v>
      </c>
    </row>
    <row r="142" spans="1:14" ht="16.5">
      <c r="A142" s="582" t="s">
        <v>3497</v>
      </c>
      <c r="B142" s="582" t="s">
        <v>4129</v>
      </c>
      <c r="C142" s="582"/>
      <c r="D142" s="582"/>
      <c r="E142" s="582"/>
      <c r="F142" s="582" t="s">
        <v>2115</v>
      </c>
      <c r="G142" s="582" t="s">
        <v>2116</v>
      </c>
      <c r="H142" s="582" t="s">
        <v>157</v>
      </c>
      <c r="I142" s="582" t="s">
        <v>197</v>
      </c>
      <c r="J142" s="582" t="s">
        <v>198</v>
      </c>
      <c r="K142" s="582" t="s">
        <v>160</v>
      </c>
      <c r="L142" s="582" t="s">
        <v>161</v>
      </c>
      <c r="M142" s="582" t="s">
        <v>162</v>
      </c>
      <c r="N142" s="582" t="s">
        <v>4115</v>
      </c>
    </row>
    <row r="143" spans="1:14" ht="16.5">
      <c r="A143" s="582" t="s">
        <v>3497</v>
      </c>
      <c r="B143" s="582" t="s">
        <v>3605</v>
      </c>
      <c r="C143" s="585">
        <v>2.7083333333333334E-3</v>
      </c>
      <c r="D143" s="582" t="s">
        <v>3606</v>
      </c>
      <c r="E143" s="582" t="s">
        <v>154</v>
      </c>
      <c r="F143" s="582" t="s">
        <v>3607</v>
      </c>
      <c r="G143" s="582" t="s">
        <v>3608</v>
      </c>
      <c r="H143" s="582" t="s">
        <v>157</v>
      </c>
      <c r="I143" s="582" t="s">
        <v>158</v>
      </c>
      <c r="J143" s="582" t="s">
        <v>168</v>
      </c>
      <c r="K143" s="582" t="s">
        <v>2714</v>
      </c>
      <c r="L143" s="582" t="s">
        <v>161</v>
      </c>
      <c r="M143" s="582" t="s">
        <v>162</v>
      </c>
      <c r="N143" s="582" t="s">
        <v>3609</v>
      </c>
    </row>
    <row r="144" spans="1:14" ht="16.5">
      <c r="A144" s="582" t="s">
        <v>3497</v>
      </c>
      <c r="B144" s="582" t="s">
        <v>3610</v>
      </c>
      <c r="C144" s="585">
        <v>4.6527777777777774E-3</v>
      </c>
      <c r="D144" s="582" t="s">
        <v>3611</v>
      </c>
      <c r="E144" s="582" t="s">
        <v>154</v>
      </c>
      <c r="F144" s="582" t="s">
        <v>2598</v>
      </c>
      <c r="G144" s="582" t="s">
        <v>2602</v>
      </c>
      <c r="H144" s="582" t="s">
        <v>157</v>
      </c>
      <c r="I144" s="582" t="s">
        <v>197</v>
      </c>
      <c r="J144" s="582" t="s">
        <v>198</v>
      </c>
      <c r="K144" s="582" t="s">
        <v>160</v>
      </c>
      <c r="L144" s="582" t="s">
        <v>161</v>
      </c>
      <c r="M144" s="582" t="s">
        <v>162</v>
      </c>
      <c r="N144" s="582" t="s">
        <v>3612</v>
      </c>
    </row>
    <row r="145" spans="1:14" ht="16.5">
      <c r="A145" s="582" t="s">
        <v>3497</v>
      </c>
      <c r="B145" s="582" t="s">
        <v>3613</v>
      </c>
      <c r="C145" s="585">
        <v>9.1435185185185185E-4</v>
      </c>
      <c r="D145" s="582" t="s">
        <v>3614</v>
      </c>
      <c r="E145" s="582" t="s">
        <v>154</v>
      </c>
      <c r="F145" s="582" t="s">
        <v>156</v>
      </c>
      <c r="G145" s="582" t="s">
        <v>3615</v>
      </c>
      <c r="H145" s="582" t="s">
        <v>157</v>
      </c>
      <c r="I145" s="582" t="s">
        <v>158</v>
      </c>
      <c r="J145" s="582" t="s">
        <v>159</v>
      </c>
      <c r="K145" s="582" t="s">
        <v>2084</v>
      </c>
      <c r="L145" s="582" t="s">
        <v>161</v>
      </c>
      <c r="M145" s="582" t="s">
        <v>162</v>
      </c>
      <c r="N145" s="582" t="s">
        <v>3616</v>
      </c>
    </row>
    <row r="146" spans="1:14" ht="16.5">
      <c r="A146" s="582" t="s">
        <v>3497</v>
      </c>
      <c r="B146" s="582" t="s">
        <v>4130</v>
      </c>
      <c r="C146" s="582"/>
      <c r="D146" s="582"/>
      <c r="E146" s="582"/>
      <c r="F146" s="582" t="s">
        <v>3617</v>
      </c>
      <c r="G146" s="582" t="s">
        <v>3618</v>
      </c>
      <c r="H146" s="582" t="s">
        <v>157</v>
      </c>
      <c r="I146" s="582" t="s">
        <v>158</v>
      </c>
      <c r="J146" s="582" t="s">
        <v>168</v>
      </c>
      <c r="K146" s="582" t="s">
        <v>2714</v>
      </c>
      <c r="L146" s="582" t="s">
        <v>161</v>
      </c>
      <c r="M146" s="582" t="s">
        <v>162</v>
      </c>
      <c r="N146" s="582" t="s">
        <v>2913</v>
      </c>
    </row>
    <row r="147" spans="1:14" ht="16.5">
      <c r="A147" s="582" t="s">
        <v>3497</v>
      </c>
      <c r="B147" s="582" t="s">
        <v>3619</v>
      </c>
      <c r="C147" s="585">
        <v>1.0185185185185186E-3</v>
      </c>
      <c r="D147" s="582" t="s">
        <v>3620</v>
      </c>
      <c r="E147" s="582" t="s">
        <v>154</v>
      </c>
      <c r="F147" s="582" t="s">
        <v>2181</v>
      </c>
      <c r="G147" s="582" t="s">
        <v>2605</v>
      </c>
      <c r="H147" s="582" t="s">
        <v>157</v>
      </c>
      <c r="I147" s="582" t="s">
        <v>197</v>
      </c>
      <c r="J147" s="582" t="s">
        <v>198</v>
      </c>
      <c r="K147" s="582" t="s">
        <v>160</v>
      </c>
      <c r="L147" s="582" t="s">
        <v>161</v>
      </c>
      <c r="M147" s="582" t="s">
        <v>162</v>
      </c>
      <c r="N147" s="582" t="s">
        <v>3621</v>
      </c>
    </row>
    <row r="148" spans="1:14" ht="16.5">
      <c r="A148" s="582" t="s">
        <v>3497</v>
      </c>
      <c r="B148" s="582" t="s">
        <v>3622</v>
      </c>
      <c r="C148" s="585">
        <v>1.261574074074074E-3</v>
      </c>
      <c r="D148" s="582" t="s">
        <v>3623</v>
      </c>
      <c r="E148" s="582" t="s">
        <v>154</v>
      </c>
      <c r="F148" s="582" t="s">
        <v>3602</v>
      </c>
      <c r="G148" s="582" t="s">
        <v>3603</v>
      </c>
      <c r="H148" s="582" t="s">
        <v>157</v>
      </c>
      <c r="I148" s="582" t="s">
        <v>158</v>
      </c>
      <c r="J148" s="582" t="s">
        <v>159</v>
      </c>
      <c r="K148" s="582" t="s">
        <v>2084</v>
      </c>
      <c r="L148" s="582" t="s">
        <v>161</v>
      </c>
      <c r="M148" s="582" t="s">
        <v>162</v>
      </c>
      <c r="N148" s="582" t="s">
        <v>3624</v>
      </c>
    </row>
    <row r="149" spans="1:14" ht="16.5">
      <c r="A149" s="582" t="s">
        <v>3497</v>
      </c>
      <c r="B149" s="582" t="s">
        <v>3625</v>
      </c>
      <c r="C149" s="585">
        <v>1.6203703703703703E-3</v>
      </c>
      <c r="D149" s="582" t="s">
        <v>3626</v>
      </c>
      <c r="E149" s="582" t="s">
        <v>154</v>
      </c>
      <c r="F149" s="582" t="s">
        <v>3627</v>
      </c>
      <c r="G149" s="582" t="s">
        <v>362</v>
      </c>
      <c r="H149" s="582" t="s">
        <v>157</v>
      </c>
      <c r="I149" s="582" t="s">
        <v>158</v>
      </c>
      <c r="J149" s="582" t="s">
        <v>212</v>
      </c>
      <c r="K149" s="582" t="s">
        <v>160</v>
      </c>
      <c r="L149" s="582" t="s">
        <v>161</v>
      </c>
      <c r="M149" s="582" t="s">
        <v>162</v>
      </c>
      <c r="N149" s="582" t="s">
        <v>3628</v>
      </c>
    </row>
    <row r="150" spans="1:14" ht="16.5">
      <c r="A150" s="582" t="s">
        <v>3497</v>
      </c>
      <c r="B150" s="582" t="s">
        <v>3629</v>
      </c>
      <c r="C150" s="585">
        <v>1.2731481481481483E-3</v>
      </c>
      <c r="D150" s="582" t="s">
        <v>3630</v>
      </c>
      <c r="E150" s="582" t="s">
        <v>154</v>
      </c>
      <c r="F150" s="582" t="s">
        <v>155</v>
      </c>
      <c r="G150" s="582" t="s">
        <v>3631</v>
      </c>
      <c r="H150" s="582" t="s">
        <v>157</v>
      </c>
      <c r="I150" s="582" t="s">
        <v>158</v>
      </c>
      <c r="J150" s="582" t="s">
        <v>191</v>
      </c>
      <c r="K150" s="582" t="s">
        <v>2714</v>
      </c>
      <c r="L150" s="582" t="s">
        <v>161</v>
      </c>
      <c r="M150" s="582" t="s">
        <v>162</v>
      </c>
      <c r="N150" s="582" t="s">
        <v>3632</v>
      </c>
    </row>
    <row r="151" spans="1:14" ht="16.5">
      <c r="A151" s="582" t="s">
        <v>3497</v>
      </c>
      <c r="B151" s="582" t="s">
        <v>4131</v>
      </c>
      <c r="C151" s="582"/>
      <c r="D151" s="582"/>
      <c r="E151" s="582"/>
      <c r="F151" s="582" t="s">
        <v>4093</v>
      </c>
      <c r="G151" s="582" t="s">
        <v>4132</v>
      </c>
      <c r="H151" s="582" t="s">
        <v>157</v>
      </c>
      <c r="I151" s="582" t="s">
        <v>158</v>
      </c>
      <c r="J151" s="582" t="s">
        <v>168</v>
      </c>
      <c r="K151" s="582" t="s">
        <v>2084</v>
      </c>
      <c r="L151" s="582" t="s">
        <v>161</v>
      </c>
      <c r="M151" s="582" t="s">
        <v>162</v>
      </c>
      <c r="N151" s="582" t="s">
        <v>4133</v>
      </c>
    </row>
    <row r="152" spans="1:14" ht="16.5">
      <c r="A152" s="582" t="s">
        <v>3497</v>
      </c>
      <c r="B152" s="582" t="s">
        <v>4134</v>
      </c>
      <c r="C152" s="582"/>
      <c r="D152" s="582"/>
      <c r="E152" s="582"/>
      <c r="F152" s="582" t="s">
        <v>428</v>
      </c>
      <c r="G152" s="582" t="s">
        <v>429</v>
      </c>
      <c r="H152" s="582" t="s">
        <v>157</v>
      </c>
      <c r="I152" s="582" t="s">
        <v>158</v>
      </c>
      <c r="J152" s="582" t="s">
        <v>191</v>
      </c>
      <c r="K152" s="582" t="s">
        <v>160</v>
      </c>
      <c r="L152" s="582" t="s">
        <v>161</v>
      </c>
      <c r="M152" s="582" t="s">
        <v>162</v>
      </c>
      <c r="N152" s="582" t="s">
        <v>4135</v>
      </c>
    </row>
    <row r="153" spans="1:14" ht="16.5">
      <c r="A153" s="582" t="s">
        <v>3497</v>
      </c>
      <c r="B153" s="582" t="s">
        <v>3633</v>
      </c>
      <c r="C153" s="585">
        <v>1.1574074074074073E-5</v>
      </c>
      <c r="D153" s="582" t="s">
        <v>3634</v>
      </c>
      <c r="E153" s="582" t="s">
        <v>154</v>
      </c>
      <c r="F153" s="582" t="s">
        <v>3276</v>
      </c>
      <c r="G153" s="582" t="s">
        <v>3230</v>
      </c>
      <c r="H153" s="582" t="s">
        <v>157</v>
      </c>
      <c r="I153" s="582" t="s">
        <v>158</v>
      </c>
      <c r="J153" s="582" t="s">
        <v>159</v>
      </c>
      <c r="K153" s="582" t="s">
        <v>2714</v>
      </c>
      <c r="L153" s="582" t="s">
        <v>161</v>
      </c>
      <c r="M153" s="582" t="s">
        <v>162</v>
      </c>
      <c r="N153" s="582" t="s">
        <v>3635</v>
      </c>
    </row>
    <row r="154" spans="1:14" ht="16.5">
      <c r="A154" s="582" t="s">
        <v>3497</v>
      </c>
      <c r="B154" s="582" t="s">
        <v>3636</v>
      </c>
      <c r="C154" s="585">
        <v>1.4004629629629629E-3</v>
      </c>
      <c r="D154" s="582" t="s">
        <v>3637</v>
      </c>
      <c r="E154" s="582" t="s">
        <v>154</v>
      </c>
      <c r="F154" s="582" t="s">
        <v>182</v>
      </c>
      <c r="G154" s="582" t="s">
        <v>183</v>
      </c>
      <c r="H154" s="582" t="s">
        <v>157</v>
      </c>
      <c r="I154" s="582" t="s">
        <v>158</v>
      </c>
      <c r="J154" s="582" t="s">
        <v>191</v>
      </c>
      <c r="K154" s="582" t="s">
        <v>160</v>
      </c>
      <c r="L154" s="582" t="s">
        <v>161</v>
      </c>
      <c r="M154" s="582" t="s">
        <v>162</v>
      </c>
      <c r="N154" s="582" t="s">
        <v>3638</v>
      </c>
    </row>
    <row r="155" spans="1:14" ht="16.5">
      <c r="A155" s="582" t="s">
        <v>3497</v>
      </c>
      <c r="B155" s="582" t="s">
        <v>3639</v>
      </c>
      <c r="C155" s="585">
        <v>6.8287037037037025E-4</v>
      </c>
      <c r="D155" s="582" t="s">
        <v>3640</v>
      </c>
      <c r="E155" s="582" t="s">
        <v>154</v>
      </c>
      <c r="F155" s="582" t="s">
        <v>3641</v>
      </c>
      <c r="G155" s="582" t="s">
        <v>3381</v>
      </c>
      <c r="H155" s="582" t="s">
        <v>157</v>
      </c>
      <c r="I155" s="582" t="s">
        <v>158</v>
      </c>
      <c r="J155" s="582" t="s">
        <v>212</v>
      </c>
      <c r="K155" s="582" t="s">
        <v>2084</v>
      </c>
      <c r="L155" s="582" t="s">
        <v>161</v>
      </c>
      <c r="M155" s="582" t="s">
        <v>162</v>
      </c>
      <c r="N155" s="582" t="s">
        <v>3642</v>
      </c>
    </row>
    <row r="156" spans="1:14" ht="16.5">
      <c r="A156" s="582" t="s">
        <v>3497</v>
      </c>
      <c r="B156" s="582" t="s">
        <v>3643</v>
      </c>
      <c r="C156" s="585">
        <v>1.1574074074074073E-4</v>
      </c>
      <c r="D156" s="582" t="s">
        <v>3644</v>
      </c>
      <c r="E156" s="582" t="s">
        <v>154</v>
      </c>
      <c r="F156" s="582" t="s">
        <v>389</v>
      </c>
      <c r="G156" s="582" t="s">
        <v>390</v>
      </c>
      <c r="H156" s="582" t="s">
        <v>157</v>
      </c>
      <c r="I156" s="582" t="s">
        <v>158</v>
      </c>
      <c r="J156" s="582" t="s">
        <v>191</v>
      </c>
      <c r="K156" s="582" t="s">
        <v>2714</v>
      </c>
      <c r="L156" s="582" t="s">
        <v>161</v>
      </c>
      <c r="M156" s="582" t="s">
        <v>162</v>
      </c>
      <c r="N156" s="582" t="s">
        <v>3645</v>
      </c>
    </row>
    <row r="157" spans="1:14" ht="16.5">
      <c r="A157" s="582" t="s">
        <v>3497</v>
      </c>
      <c r="B157" s="582" t="s">
        <v>3646</v>
      </c>
      <c r="C157" s="585">
        <v>1.5509259259259261E-3</v>
      </c>
      <c r="D157" s="582" t="s">
        <v>3647</v>
      </c>
      <c r="E157" s="582" t="s">
        <v>154</v>
      </c>
      <c r="F157" s="582" t="s">
        <v>2304</v>
      </c>
      <c r="G157" s="582" t="s">
        <v>3648</v>
      </c>
      <c r="H157" s="582" t="s">
        <v>157</v>
      </c>
      <c r="I157" s="582" t="s">
        <v>158</v>
      </c>
      <c r="J157" s="582" t="s">
        <v>212</v>
      </c>
      <c r="K157" s="582" t="s">
        <v>2714</v>
      </c>
      <c r="L157" s="582" t="s">
        <v>161</v>
      </c>
      <c r="M157" s="582" t="s">
        <v>162</v>
      </c>
      <c r="N157" s="582" t="s">
        <v>3649</v>
      </c>
    </row>
    <row r="158" spans="1:14" ht="16.5">
      <c r="A158" s="582" t="s">
        <v>3497</v>
      </c>
      <c r="B158" s="582" t="s">
        <v>3650</v>
      </c>
      <c r="C158" s="585">
        <v>3.4722222222222222E-5</v>
      </c>
      <c r="D158" s="582" t="s">
        <v>3651</v>
      </c>
      <c r="E158" s="582" t="s">
        <v>154</v>
      </c>
      <c r="F158" s="582" t="s">
        <v>3143</v>
      </c>
      <c r="G158" s="582" t="s">
        <v>3144</v>
      </c>
      <c r="H158" s="582" t="s">
        <v>157</v>
      </c>
      <c r="I158" s="582" t="s">
        <v>158</v>
      </c>
      <c r="J158" s="582" t="s">
        <v>168</v>
      </c>
      <c r="K158" s="582" t="s">
        <v>160</v>
      </c>
      <c r="L158" s="582" t="s">
        <v>161</v>
      </c>
      <c r="M158" s="582" t="s">
        <v>162</v>
      </c>
      <c r="N158" s="582" t="s">
        <v>3652</v>
      </c>
    </row>
    <row r="159" spans="1:14" ht="16.5">
      <c r="A159" s="582" t="s">
        <v>3497</v>
      </c>
      <c r="B159" s="582" t="s">
        <v>4136</v>
      </c>
      <c r="C159" s="582"/>
      <c r="D159" s="582"/>
      <c r="E159" s="582"/>
      <c r="F159" s="582" t="s">
        <v>2911</v>
      </c>
      <c r="G159" s="582" t="s">
        <v>2912</v>
      </c>
      <c r="H159" s="582" t="s">
        <v>157</v>
      </c>
      <c r="I159" s="582" t="s">
        <v>158</v>
      </c>
      <c r="J159" s="582" t="s">
        <v>168</v>
      </c>
      <c r="K159" s="582" t="s">
        <v>2714</v>
      </c>
      <c r="L159" s="582" t="s">
        <v>161</v>
      </c>
      <c r="M159" s="582" t="s">
        <v>162</v>
      </c>
      <c r="N159" s="582" t="s">
        <v>4137</v>
      </c>
    </row>
    <row r="160" spans="1:14" ht="16.5">
      <c r="A160" s="582" t="s">
        <v>3497</v>
      </c>
      <c r="B160" s="582" t="s">
        <v>3653</v>
      </c>
      <c r="C160" s="585">
        <v>3.1481481481481482E-3</v>
      </c>
      <c r="D160" s="582" t="s">
        <v>3654</v>
      </c>
      <c r="E160" s="582" t="s">
        <v>154</v>
      </c>
      <c r="F160" s="582" t="s">
        <v>3655</v>
      </c>
      <c r="G160" s="582" t="s">
        <v>3656</v>
      </c>
      <c r="H160" s="582" t="s">
        <v>157</v>
      </c>
      <c r="I160" s="582" t="s">
        <v>158</v>
      </c>
      <c r="J160" s="582" t="s">
        <v>168</v>
      </c>
      <c r="K160" s="582" t="s">
        <v>160</v>
      </c>
      <c r="L160" s="582" t="s">
        <v>161</v>
      </c>
      <c r="M160" s="582" t="s">
        <v>162</v>
      </c>
      <c r="N160" s="582" t="s">
        <v>3657</v>
      </c>
    </row>
    <row r="161" spans="1:14" s="324" customFormat="1" ht="16.5">
      <c r="A161" s="582" t="s">
        <v>3497</v>
      </c>
      <c r="B161" s="582" t="s">
        <v>4138</v>
      </c>
      <c r="C161" s="582"/>
      <c r="D161" s="582"/>
      <c r="E161" s="582"/>
      <c r="F161" s="582" t="s">
        <v>3174</v>
      </c>
      <c r="G161" s="582" t="s">
        <v>4139</v>
      </c>
      <c r="H161" s="582" t="s">
        <v>157</v>
      </c>
      <c r="I161" s="582" t="s">
        <v>158</v>
      </c>
      <c r="J161" s="582" t="s">
        <v>191</v>
      </c>
      <c r="K161" s="582" t="s">
        <v>2714</v>
      </c>
      <c r="L161" s="582" t="s">
        <v>161</v>
      </c>
      <c r="M161" s="582" t="s">
        <v>162</v>
      </c>
      <c r="N161" s="582" t="s">
        <v>4140</v>
      </c>
    </row>
    <row r="162" spans="1:14" s="324" customFormat="1" ht="16.5">
      <c r="A162" s="582" t="s">
        <v>3497</v>
      </c>
      <c r="B162" s="582" t="s">
        <v>4141</v>
      </c>
      <c r="C162" s="582"/>
      <c r="D162" s="582"/>
      <c r="E162" s="582"/>
      <c r="F162" s="582" t="s">
        <v>4048</v>
      </c>
      <c r="G162" s="582" t="s">
        <v>4049</v>
      </c>
      <c r="H162" s="582" t="s">
        <v>157</v>
      </c>
      <c r="I162" s="582" t="s">
        <v>158</v>
      </c>
      <c r="J162" s="582" t="s">
        <v>168</v>
      </c>
      <c r="K162" s="582" t="s">
        <v>160</v>
      </c>
      <c r="L162" s="582" t="s">
        <v>161</v>
      </c>
      <c r="M162" s="582" t="s">
        <v>162</v>
      </c>
      <c r="N162" s="582" t="s">
        <v>2510</v>
      </c>
    </row>
    <row r="163" spans="1:14" s="324" customFormat="1" ht="16.5">
      <c r="A163" s="582" t="s">
        <v>3497</v>
      </c>
      <c r="B163" s="582" t="s">
        <v>4142</v>
      </c>
      <c r="C163" s="582"/>
      <c r="D163" s="582"/>
      <c r="E163" s="582"/>
      <c r="F163" s="582" t="s">
        <v>1389</v>
      </c>
      <c r="G163" s="582" t="s">
        <v>1397</v>
      </c>
      <c r="H163" s="582" t="s">
        <v>157</v>
      </c>
      <c r="I163" s="582" t="s">
        <v>197</v>
      </c>
      <c r="J163" s="582" t="s">
        <v>198</v>
      </c>
      <c r="K163" s="582" t="s">
        <v>160</v>
      </c>
      <c r="L163" s="582" t="s">
        <v>161</v>
      </c>
      <c r="M163" s="582" t="s">
        <v>162</v>
      </c>
      <c r="N163" s="582" t="s">
        <v>4115</v>
      </c>
    </row>
    <row r="164" spans="1:14" s="324" customFormat="1" ht="16.5">
      <c r="A164" s="582" t="s">
        <v>3497</v>
      </c>
      <c r="B164" s="582" t="s">
        <v>3658</v>
      </c>
      <c r="C164" s="585">
        <v>5.0347222222222225E-3</v>
      </c>
      <c r="D164" s="582" t="s">
        <v>3659</v>
      </c>
      <c r="E164" s="582" t="s">
        <v>154</v>
      </c>
      <c r="F164" s="582" t="s">
        <v>3174</v>
      </c>
      <c r="G164" s="582" t="s">
        <v>2053</v>
      </c>
      <c r="H164" s="582" t="s">
        <v>157</v>
      </c>
      <c r="I164" s="582" t="s">
        <v>158</v>
      </c>
      <c r="J164" s="582" t="s">
        <v>191</v>
      </c>
      <c r="K164" s="582" t="s">
        <v>2714</v>
      </c>
      <c r="L164" s="582" t="s">
        <v>161</v>
      </c>
      <c r="M164" s="582" t="s">
        <v>162</v>
      </c>
      <c r="N164" s="582" t="s">
        <v>3660</v>
      </c>
    </row>
    <row r="165" spans="1:14" s="324" customFormat="1" ht="16.5">
      <c r="A165" s="582" t="s">
        <v>3497</v>
      </c>
      <c r="B165" s="582" t="s">
        <v>4143</v>
      </c>
      <c r="C165" s="582"/>
      <c r="D165" s="582"/>
      <c r="E165" s="582"/>
      <c r="F165" s="582" t="s">
        <v>3661</v>
      </c>
      <c r="G165" s="582" t="s">
        <v>2329</v>
      </c>
      <c r="H165" s="582" t="s">
        <v>157</v>
      </c>
      <c r="I165" s="582" t="s">
        <v>158</v>
      </c>
      <c r="J165" s="582" t="s">
        <v>191</v>
      </c>
      <c r="K165" s="582" t="s">
        <v>160</v>
      </c>
      <c r="L165" s="582" t="s">
        <v>161</v>
      </c>
      <c r="M165" s="582" t="s">
        <v>162</v>
      </c>
      <c r="N165" s="582" t="s">
        <v>4144</v>
      </c>
    </row>
    <row r="166" spans="1:14" s="324" customFormat="1" ht="16.5">
      <c r="A166" s="582" t="s">
        <v>3497</v>
      </c>
      <c r="B166" s="582" t="s">
        <v>3662</v>
      </c>
      <c r="C166" s="585">
        <v>5.2083333333333333E-4</v>
      </c>
      <c r="D166" s="582" t="s">
        <v>3663</v>
      </c>
      <c r="E166" s="582" t="s">
        <v>154</v>
      </c>
      <c r="F166" s="582" t="s">
        <v>1799</v>
      </c>
      <c r="G166" s="582" t="s">
        <v>1800</v>
      </c>
      <c r="H166" s="582" t="s">
        <v>157</v>
      </c>
      <c r="I166" s="582" t="s">
        <v>158</v>
      </c>
      <c r="J166" s="582" t="s">
        <v>168</v>
      </c>
      <c r="K166" s="582" t="s">
        <v>160</v>
      </c>
      <c r="L166" s="582" t="s">
        <v>161</v>
      </c>
      <c r="M166" s="582" t="s">
        <v>162</v>
      </c>
      <c r="N166" s="582" t="s">
        <v>3664</v>
      </c>
    </row>
    <row r="167" spans="1:14" s="324" customFormat="1" ht="16.5">
      <c r="A167" s="582" t="s">
        <v>3497</v>
      </c>
      <c r="B167" s="582" t="s">
        <v>3665</v>
      </c>
      <c r="C167" s="585">
        <v>1.0416666666666667E-4</v>
      </c>
      <c r="D167" s="582" t="s">
        <v>3666</v>
      </c>
      <c r="E167" s="582" t="s">
        <v>154</v>
      </c>
      <c r="F167" s="582" t="s">
        <v>3667</v>
      </c>
      <c r="G167" s="582" t="s">
        <v>3040</v>
      </c>
      <c r="H167" s="582" t="s">
        <v>157</v>
      </c>
      <c r="I167" s="582" t="s">
        <v>158</v>
      </c>
      <c r="J167" s="582" t="s">
        <v>212</v>
      </c>
      <c r="K167" s="582" t="s">
        <v>2714</v>
      </c>
      <c r="L167" s="582" t="s">
        <v>161</v>
      </c>
      <c r="M167" s="582" t="s">
        <v>162</v>
      </c>
      <c r="N167" s="582" t="s">
        <v>3668</v>
      </c>
    </row>
    <row r="168" spans="1:14" s="324" customFormat="1" ht="16.5">
      <c r="A168" s="582" t="s">
        <v>3497</v>
      </c>
      <c r="B168" s="582" t="s">
        <v>2747</v>
      </c>
      <c r="C168" s="585">
        <v>6.7129629629629625E-4</v>
      </c>
      <c r="D168" s="582" t="s">
        <v>3669</v>
      </c>
      <c r="E168" s="582" t="s">
        <v>154</v>
      </c>
      <c r="F168" s="582" t="s">
        <v>3670</v>
      </c>
      <c r="G168" s="582" t="s">
        <v>3671</v>
      </c>
      <c r="H168" s="582" t="s">
        <v>157</v>
      </c>
      <c r="I168" s="582" t="s">
        <v>158</v>
      </c>
      <c r="J168" s="582" t="s">
        <v>212</v>
      </c>
      <c r="K168" s="582" t="s">
        <v>160</v>
      </c>
      <c r="L168" s="582" t="s">
        <v>161</v>
      </c>
      <c r="M168" s="582" t="s">
        <v>162</v>
      </c>
      <c r="N168" s="582" t="s">
        <v>3672</v>
      </c>
    </row>
    <row r="169" spans="1:14" s="324" customFormat="1" ht="16.5">
      <c r="A169" s="582" t="s">
        <v>3497</v>
      </c>
      <c r="B169" s="582" t="s">
        <v>3673</v>
      </c>
      <c r="C169" s="585">
        <v>2.2685185185185182E-3</v>
      </c>
      <c r="D169" s="582" t="s">
        <v>3674</v>
      </c>
      <c r="E169" s="582" t="s">
        <v>154</v>
      </c>
      <c r="F169" s="582" t="s">
        <v>3675</v>
      </c>
      <c r="G169" s="582" t="s">
        <v>3676</v>
      </c>
      <c r="H169" s="582" t="s">
        <v>157</v>
      </c>
      <c r="I169" s="582" t="s">
        <v>158</v>
      </c>
      <c r="J169" s="582" t="s">
        <v>212</v>
      </c>
      <c r="K169" s="582" t="s">
        <v>2714</v>
      </c>
      <c r="L169" s="582" t="s">
        <v>161</v>
      </c>
      <c r="M169" s="582" t="s">
        <v>162</v>
      </c>
      <c r="N169" s="582" t="s">
        <v>3677</v>
      </c>
    </row>
    <row r="170" spans="1:14" s="324" customFormat="1" ht="16.5">
      <c r="A170" s="582" t="s">
        <v>3497</v>
      </c>
      <c r="B170" s="582" t="s">
        <v>4145</v>
      </c>
      <c r="C170" s="582"/>
      <c r="D170" s="582"/>
      <c r="E170" s="582"/>
      <c r="F170" s="582" t="s">
        <v>2844</v>
      </c>
      <c r="G170" s="582" t="s">
        <v>4112</v>
      </c>
      <c r="H170" s="582" t="s">
        <v>157</v>
      </c>
      <c r="I170" s="582" t="s">
        <v>158</v>
      </c>
      <c r="J170" s="582" t="s">
        <v>212</v>
      </c>
      <c r="K170" s="582" t="s">
        <v>160</v>
      </c>
      <c r="L170" s="582" t="s">
        <v>161</v>
      </c>
      <c r="M170" s="582" t="s">
        <v>162</v>
      </c>
      <c r="N170" s="582" t="s">
        <v>4146</v>
      </c>
    </row>
    <row r="171" spans="1:14" s="324" customFormat="1" ht="16.5">
      <c r="A171" s="582" t="s">
        <v>3327</v>
      </c>
      <c r="B171" s="582" t="s">
        <v>3328</v>
      </c>
      <c r="C171" s="585">
        <v>1.6319444444444445E-3</v>
      </c>
      <c r="D171" s="582" t="s">
        <v>3329</v>
      </c>
      <c r="E171" s="582" t="s">
        <v>154</v>
      </c>
      <c r="F171" s="582" t="s">
        <v>2919</v>
      </c>
      <c r="G171" s="582" t="s">
        <v>2974</v>
      </c>
      <c r="H171" s="582" t="s">
        <v>157</v>
      </c>
      <c r="I171" s="582" t="s">
        <v>158</v>
      </c>
      <c r="J171" s="582" t="s">
        <v>168</v>
      </c>
      <c r="K171" s="582" t="s">
        <v>2714</v>
      </c>
      <c r="L171" s="582" t="s">
        <v>161</v>
      </c>
      <c r="M171" s="582" t="s">
        <v>162</v>
      </c>
      <c r="N171" s="582" t="s">
        <v>3443</v>
      </c>
    </row>
    <row r="172" spans="1:14" s="324" customFormat="1" ht="16.5">
      <c r="A172" s="582" t="s">
        <v>3327</v>
      </c>
      <c r="B172" s="582" t="s">
        <v>3330</v>
      </c>
      <c r="C172" s="585">
        <v>1.0995370370370371E-3</v>
      </c>
      <c r="D172" s="582" t="s">
        <v>3331</v>
      </c>
      <c r="E172" s="582" t="s">
        <v>154</v>
      </c>
      <c r="F172" s="582" t="s">
        <v>2799</v>
      </c>
      <c r="G172" s="582" t="s">
        <v>3332</v>
      </c>
      <c r="H172" s="582" t="s">
        <v>157</v>
      </c>
      <c r="I172" s="582" t="s">
        <v>158</v>
      </c>
      <c r="J172" s="582" t="s">
        <v>191</v>
      </c>
      <c r="K172" s="582" t="s">
        <v>2714</v>
      </c>
      <c r="L172" s="582" t="s">
        <v>161</v>
      </c>
      <c r="M172" s="582" t="s">
        <v>162</v>
      </c>
      <c r="N172" s="582" t="s">
        <v>3444</v>
      </c>
    </row>
    <row r="173" spans="1:14" s="324" customFormat="1" ht="16.5">
      <c r="A173" s="582" t="s">
        <v>3327</v>
      </c>
      <c r="B173" s="582" t="s">
        <v>3333</v>
      </c>
      <c r="C173" s="585">
        <v>2.3148148148148147E-5</v>
      </c>
      <c r="D173" s="582" t="s">
        <v>3334</v>
      </c>
      <c r="E173" s="582" t="s">
        <v>154</v>
      </c>
      <c r="F173" s="582" t="s">
        <v>2799</v>
      </c>
      <c r="G173" s="582" t="s">
        <v>2800</v>
      </c>
      <c r="H173" s="582" t="s">
        <v>157</v>
      </c>
      <c r="I173" s="582" t="s">
        <v>158</v>
      </c>
      <c r="J173" s="582" t="s">
        <v>191</v>
      </c>
      <c r="K173" s="582" t="s">
        <v>2714</v>
      </c>
      <c r="L173" s="582" t="s">
        <v>161</v>
      </c>
      <c r="M173" s="582" t="s">
        <v>162</v>
      </c>
      <c r="N173" s="582" t="s">
        <v>3445</v>
      </c>
    </row>
    <row r="174" spans="1:14" s="324" customFormat="1" ht="16.5">
      <c r="A174" s="582" t="s">
        <v>3327</v>
      </c>
      <c r="B174" s="582" t="s">
        <v>4147</v>
      </c>
      <c r="C174" s="582"/>
      <c r="D174" s="582"/>
      <c r="E174" s="582"/>
      <c r="F174" s="582" t="s">
        <v>4148</v>
      </c>
      <c r="G174" s="582" t="s">
        <v>1634</v>
      </c>
      <c r="H174" s="582" t="s">
        <v>157</v>
      </c>
      <c r="I174" s="582" t="s">
        <v>176</v>
      </c>
      <c r="J174" s="582" t="s">
        <v>1497</v>
      </c>
      <c r="K174" s="582" t="s">
        <v>160</v>
      </c>
      <c r="L174" s="582" t="s">
        <v>161</v>
      </c>
      <c r="M174" s="582" t="s">
        <v>162</v>
      </c>
      <c r="N174" s="582" t="s">
        <v>4149</v>
      </c>
    </row>
    <row r="175" spans="1:14" s="324" customFormat="1" ht="16.5">
      <c r="A175" s="582" t="s">
        <v>3327</v>
      </c>
      <c r="B175" s="582" t="s">
        <v>3335</v>
      </c>
      <c r="C175" s="585">
        <v>2.7893518518518519E-3</v>
      </c>
      <c r="D175" s="582" t="s">
        <v>3336</v>
      </c>
      <c r="E175" s="582" t="s">
        <v>154</v>
      </c>
      <c r="F175" s="582" t="s">
        <v>2799</v>
      </c>
      <c r="G175" s="582" t="s">
        <v>3044</v>
      </c>
      <c r="H175" s="582" t="s">
        <v>157</v>
      </c>
      <c r="I175" s="582" t="s">
        <v>158</v>
      </c>
      <c r="J175" s="582" t="s">
        <v>212</v>
      </c>
      <c r="K175" s="582" t="s">
        <v>2714</v>
      </c>
      <c r="L175" s="582" t="s">
        <v>161</v>
      </c>
      <c r="M175" s="582" t="s">
        <v>162</v>
      </c>
      <c r="N175" s="582" t="s">
        <v>3446</v>
      </c>
    </row>
    <row r="176" spans="1:14" s="324" customFormat="1" ht="16.5">
      <c r="A176" s="582" t="s">
        <v>3327</v>
      </c>
      <c r="B176" s="582" t="s">
        <v>3337</v>
      </c>
      <c r="C176" s="585">
        <v>4.6296296296296294E-5</v>
      </c>
      <c r="D176" s="582" t="s">
        <v>3338</v>
      </c>
      <c r="E176" s="582" t="s">
        <v>154</v>
      </c>
      <c r="F176" s="582" t="s">
        <v>3234</v>
      </c>
      <c r="G176" s="582" t="s">
        <v>3339</v>
      </c>
      <c r="H176" s="582" t="s">
        <v>157</v>
      </c>
      <c r="I176" s="582" t="s">
        <v>158</v>
      </c>
      <c r="J176" s="582" t="s">
        <v>481</v>
      </c>
      <c r="K176" s="582" t="s">
        <v>160</v>
      </c>
      <c r="L176" s="582" t="s">
        <v>161</v>
      </c>
      <c r="M176" s="582" t="s">
        <v>162</v>
      </c>
      <c r="N176" s="582" t="s">
        <v>3447</v>
      </c>
    </row>
    <row r="177" spans="1:14" s="324" customFormat="1" ht="16.5">
      <c r="A177" s="582" t="s">
        <v>3327</v>
      </c>
      <c r="B177" s="582" t="s">
        <v>3340</v>
      </c>
      <c r="C177" s="585">
        <v>1.6319444444444445E-3</v>
      </c>
      <c r="D177" s="582" t="s">
        <v>3341</v>
      </c>
      <c r="E177" s="582" t="s">
        <v>154</v>
      </c>
      <c r="F177" s="582" t="s">
        <v>2799</v>
      </c>
      <c r="G177" s="582" t="s">
        <v>3332</v>
      </c>
      <c r="H177" s="582" t="s">
        <v>157</v>
      </c>
      <c r="I177" s="582" t="s">
        <v>158</v>
      </c>
      <c r="J177" s="582" t="s">
        <v>212</v>
      </c>
      <c r="K177" s="582" t="s">
        <v>2714</v>
      </c>
      <c r="L177" s="582" t="s">
        <v>161</v>
      </c>
      <c r="M177" s="582" t="s">
        <v>162</v>
      </c>
      <c r="N177" s="582" t="s">
        <v>3448</v>
      </c>
    </row>
    <row r="178" spans="1:14" s="324" customFormat="1" ht="16.5">
      <c r="A178" s="582" t="s">
        <v>3327</v>
      </c>
      <c r="B178" s="582" t="s">
        <v>3342</v>
      </c>
      <c r="C178" s="585">
        <v>1.25E-3</v>
      </c>
      <c r="D178" s="582" t="s">
        <v>3343</v>
      </c>
      <c r="E178" s="582" t="s">
        <v>154</v>
      </c>
      <c r="F178" s="582" t="s">
        <v>173</v>
      </c>
      <c r="G178" s="582" t="s">
        <v>174</v>
      </c>
      <c r="H178" s="582" t="s">
        <v>157</v>
      </c>
      <c r="I178" s="582" t="s">
        <v>197</v>
      </c>
      <c r="J178" s="582" t="s">
        <v>198</v>
      </c>
      <c r="K178" s="582" t="s">
        <v>160</v>
      </c>
      <c r="L178" s="582" t="s">
        <v>161</v>
      </c>
      <c r="M178" s="582" t="s">
        <v>162</v>
      </c>
      <c r="N178" s="582" t="s">
        <v>3449</v>
      </c>
    </row>
    <row r="179" spans="1:14" s="324" customFormat="1" ht="16.5">
      <c r="A179" s="582" t="s">
        <v>3327</v>
      </c>
      <c r="B179" s="582" t="s">
        <v>3344</v>
      </c>
      <c r="C179" s="585">
        <v>3.8078703703703707E-3</v>
      </c>
      <c r="D179" s="582" t="s">
        <v>3345</v>
      </c>
      <c r="E179" s="582" t="s">
        <v>154</v>
      </c>
      <c r="F179" s="582" t="s">
        <v>3094</v>
      </c>
      <c r="G179" s="582" t="s">
        <v>828</v>
      </c>
      <c r="H179" s="582" t="s">
        <v>157</v>
      </c>
      <c r="I179" s="582" t="s">
        <v>158</v>
      </c>
      <c r="J179" s="582" t="s">
        <v>481</v>
      </c>
      <c r="K179" s="582" t="s">
        <v>2714</v>
      </c>
      <c r="L179" s="582" t="s">
        <v>161</v>
      </c>
      <c r="M179" s="582" t="s">
        <v>162</v>
      </c>
      <c r="N179" s="582" t="s">
        <v>3450</v>
      </c>
    </row>
    <row r="180" spans="1:14" s="324" customFormat="1" ht="16.5">
      <c r="A180" s="582" t="s">
        <v>3327</v>
      </c>
      <c r="B180" s="582" t="s">
        <v>2794</v>
      </c>
      <c r="C180" s="585">
        <v>1.8171296296296297E-3</v>
      </c>
      <c r="D180" s="582" t="s">
        <v>3346</v>
      </c>
      <c r="E180" s="582" t="s">
        <v>154</v>
      </c>
      <c r="F180" s="582" t="s">
        <v>3347</v>
      </c>
      <c r="G180" s="582" t="s">
        <v>3348</v>
      </c>
      <c r="H180" s="582" t="s">
        <v>157</v>
      </c>
      <c r="I180" s="582" t="s">
        <v>158</v>
      </c>
      <c r="J180" s="582" t="s">
        <v>212</v>
      </c>
      <c r="K180" s="582" t="s">
        <v>160</v>
      </c>
      <c r="L180" s="582" t="s">
        <v>161</v>
      </c>
      <c r="M180" s="582" t="s">
        <v>162</v>
      </c>
      <c r="N180" s="582" t="s">
        <v>3451</v>
      </c>
    </row>
    <row r="181" spans="1:14" s="324" customFormat="1" ht="16.5">
      <c r="A181" s="582" t="s">
        <v>3327</v>
      </c>
      <c r="B181" s="582" t="s">
        <v>3349</v>
      </c>
      <c r="C181" s="585">
        <v>3.5648148148148154E-3</v>
      </c>
      <c r="D181" s="582" t="s">
        <v>3350</v>
      </c>
      <c r="E181" s="582" t="s">
        <v>154</v>
      </c>
      <c r="F181" s="582" t="s">
        <v>2818</v>
      </c>
      <c r="G181" s="582" t="s">
        <v>3351</v>
      </c>
      <c r="H181" s="582" t="s">
        <v>157</v>
      </c>
      <c r="I181" s="582" t="s">
        <v>158</v>
      </c>
      <c r="J181" s="582" t="s">
        <v>168</v>
      </c>
      <c r="K181" s="582" t="s">
        <v>2714</v>
      </c>
      <c r="L181" s="582" t="s">
        <v>161</v>
      </c>
      <c r="M181" s="582" t="s">
        <v>162</v>
      </c>
      <c r="N181" s="582" t="s">
        <v>3452</v>
      </c>
    </row>
    <row r="182" spans="1:14" s="324" customFormat="1" ht="16.5">
      <c r="A182" s="582" t="s">
        <v>3327</v>
      </c>
      <c r="B182" s="582" t="s">
        <v>3352</v>
      </c>
      <c r="C182" s="585">
        <v>5.7870370370370366E-5</v>
      </c>
      <c r="D182" s="582" t="s">
        <v>3353</v>
      </c>
      <c r="E182" s="582" t="s">
        <v>154</v>
      </c>
      <c r="F182" s="582" t="s">
        <v>1851</v>
      </c>
      <c r="G182" s="582" t="s">
        <v>2321</v>
      </c>
      <c r="H182" s="582" t="s">
        <v>157</v>
      </c>
      <c r="I182" s="582" t="s">
        <v>158</v>
      </c>
      <c r="J182" s="582" t="s">
        <v>481</v>
      </c>
      <c r="K182" s="582" t="s">
        <v>2714</v>
      </c>
      <c r="L182" s="582" t="s">
        <v>161</v>
      </c>
      <c r="M182" s="582" t="s">
        <v>162</v>
      </c>
      <c r="N182" s="582" t="s">
        <v>3453</v>
      </c>
    </row>
    <row r="183" spans="1:14" s="323" customFormat="1" ht="16.5">
      <c r="A183" s="582" t="s">
        <v>3327</v>
      </c>
      <c r="B183" s="582" t="s">
        <v>3354</v>
      </c>
      <c r="C183" s="585">
        <v>1.1342592592592591E-3</v>
      </c>
      <c r="D183" s="582" t="s">
        <v>3355</v>
      </c>
      <c r="E183" s="582" t="s">
        <v>154</v>
      </c>
      <c r="F183" s="582" t="s">
        <v>3347</v>
      </c>
      <c r="G183" s="582" t="s">
        <v>3348</v>
      </c>
      <c r="H183" s="582" t="s">
        <v>157</v>
      </c>
      <c r="I183" s="582" t="s">
        <v>158</v>
      </c>
      <c r="J183" s="582" t="s">
        <v>212</v>
      </c>
      <c r="K183" s="582" t="s">
        <v>160</v>
      </c>
      <c r="L183" s="582" t="s">
        <v>161</v>
      </c>
      <c r="M183" s="582" t="s">
        <v>162</v>
      </c>
      <c r="N183" s="582" t="s">
        <v>3454</v>
      </c>
    </row>
    <row r="184" spans="1:14" s="323" customFormat="1" ht="16.5">
      <c r="A184" s="582" t="s">
        <v>3327</v>
      </c>
      <c r="B184" s="582" t="s">
        <v>3356</v>
      </c>
      <c r="C184" s="585">
        <v>9.0277777777777784E-4</v>
      </c>
      <c r="D184" s="582" t="s">
        <v>3357</v>
      </c>
      <c r="E184" s="582" t="s">
        <v>154</v>
      </c>
      <c r="F184" s="582" t="s">
        <v>2824</v>
      </c>
      <c r="G184" s="582" t="s">
        <v>3358</v>
      </c>
      <c r="H184" s="582" t="s">
        <v>157</v>
      </c>
      <c r="I184" s="582" t="s">
        <v>158</v>
      </c>
      <c r="J184" s="582" t="s">
        <v>212</v>
      </c>
      <c r="K184" s="582" t="s">
        <v>160</v>
      </c>
      <c r="L184" s="582" t="s">
        <v>161</v>
      </c>
      <c r="M184" s="582" t="s">
        <v>162</v>
      </c>
      <c r="N184" s="582" t="s">
        <v>3455</v>
      </c>
    </row>
    <row r="185" spans="1:14" s="323" customFormat="1" ht="16.5">
      <c r="A185" s="582" t="s">
        <v>3327</v>
      </c>
      <c r="B185" s="582" t="s">
        <v>3359</v>
      </c>
      <c r="C185" s="585">
        <v>1.0763888888888889E-3</v>
      </c>
      <c r="D185" s="582" t="s">
        <v>3360</v>
      </c>
      <c r="E185" s="582" t="s">
        <v>154</v>
      </c>
      <c r="F185" s="582" t="s">
        <v>2012</v>
      </c>
      <c r="G185" s="582" t="s">
        <v>2474</v>
      </c>
      <c r="H185" s="582" t="s">
        <v>157</v>
      </c>
      <c r="I185" s="582" t="s">
        <v>158</v>
      </c>
      <c r="J185" s="582" t="s">
        <v>191</v>
      </c>
      <c r="K185" s="582" t="s">
        <v>2714</v>
      </c>
      <c r="L185" s="582" t="s">
        <v>161</v>
      </c>
      <c r="M185" s="582" t="s">
        <v>162</v>
      </c>
      <c r="N185" s="582" t="s">
        <v>3456</v>
      </c>
    </row>
    <row r="186" spans="1:14" s="323" customFormat="1" ht="16.5">
      <c r="A186" s="582" t="s">
        <v>3327</v>
      </c>
      <c r="B186" s="582" t="s">
        <v>3361</v>
      </c>
      <c r="C186" s="585">
        <v>1.8287037037037037E-3</v>
      </c>
      <c r="D186" s="582" t="s">
        <v>3362</v>
      </c>
      <c r="E186" s="582" t="s">
        <v>154</v>
      </c>
      <c r="F186" s="582" t="s">
        <v>2824</v>
      </c>
      <c r="G186" s="582" t="s">
        <v>2825</v>
      </c>
      <c r="H186" s="582" t="s">
        <v>157</v>
      </c>
      <c r="I186" s="582" t="s">
        <v>158</v>
      </c>
      <c r="J186" s="582" t="s">
        <v>168</v>
      </c>
      <c r="K186" s="582" t="s">
        <v>160</v>
      </c>
      <c r="L186" s="582" t="s">
        <v>161</v>
      </c>
      <c r="M186" s="582" t="s">
        <v>162</v>
      </c>
      <c r="N186" s="582" t="s">
        <v>3457</v>
      </c>
    </row>
    <row r="187" spans="1:14" ht="16.5">
      <c r="A187" s="582" t="s">
        <v>3327</v>
      </c>
      <c r="B187" s="582" t="s">
        <v>3363</v>
      </c>
      <c r="C187" s="585">
        <v>1.7245370370370372E-3</v>
      </c>
      <c r="D187" s="582" t="s">
        <v>3364</v>
      </c>
      <c r="E187" s="582" t="s">
        <v>154</v>
      </c>
      <c r="F187" s="582" t="s">
        <v>2824</v>
      </c>
      <c r="G187" s="582" t="s">
        <v>2825</v>
      </c>
      <c r="H187" s="582" t="s">
        <v>157</v>
      </c>
      <c r="I187" s="582" t="s">
        <v>158</v>
      </c>
      <c r="J187" s="582" t="s">
        <v>168</v>
      </c>
      <c r="K187" s="582" t="s">
        <v>160</v>
      </c>
      <c r="L187" s="582" t="s">
        <v>161</v>
      </c>
      <c r="M187" s="582" t="s">
        <v>162</v>
      </c>
      <c r="N187" s="582" t="s">
        <v>3458</v>
      </c>
    </row>
    <row r="188" spans="1:14" ht="16.5">
      <c r="A188" s="582" t="s">
        <v>3327</v>
      </c>
      <c r="B188" s="582" t="s">
        <v>3365</v>
      </c>
      <c r="C188" s="585">
        <v>1.25E-3</v>
      </c>
      <c r="D188" s="582" t="s">
        <v>3366</v>
      </c>
      <c r="E188" s="582" t="s">
        <v>154</v>
      </c>
      <c r="F188" s="582" t="s">
        <v>1413</v>
      </c>
      <c r="G188" s="582" t="s">
        <v>1956</v>
      </c>
      <c r="H188" s="582" t="s">
        <v>157</v>
      </c>
      <c r="I188" s="582" t="s">
        <v>197</v>
      </c>
      <c r="J188" s="582" t="s">
        <v>198</v>
      </c>
      <c r="K188" s="582" t="s">
        <v>160</v>
      </c>
      <c r="L188" s="582" t="s">
        <v>161</v>
      </c>
      <c r="M188" s="582" t="s">
        <v>162</v>
      </c>
      <c r="N188" s="582" t="s">
        <v>3459</v>
      </c>
    </row>
    <row r="189" spans="1:14" ht="16.5">
      <c r="A189" s="582" t="s">
        <v>3327</v>
      </c>
      <c r="B189" s="582" t="s">
        <v>3367</v>
      </c>
      <c r="C189" s="585">
        <v>1.2731481481481483E-3</v>
      </c>
      <c r="D189" s="582" t="s">
        <v>3368</v>
      </c>
      <c r="E189" s="582" t="s">
        <v>154</v>
      </c>
      <c r="F189" s="582" t="s">
        <v>1413</v>
      </c>
      <c r="G189" s="582" t="s">
        <v>2389</v>
      </c>
      <c r="H189" s="582" t="s">
        <v>157</v>
      </c>
      <c r="I189" s="582" t="s">
        <v>197</v>
      </c>
      <c r="J189" s="582" t="s">
        <v>198</v>
      </c>
      <c r="K189" s="582" t="s">
        <v>160</v>
      </c>
      <c r="L189" s="582" t="s">
        <v>161</v>
      </c>
      <c r="M189" s="582" t="s">
        <v>162</v>
      </c>
      <c r="N189" s="582" t="s">
        <v>2106</v>
      </c>
    </row>
    <row r="190" spans="1:14" ht="16.5">
      <c r="A190" s="582" t="s">
        <v>3327</v>
      </c>
      <c r="B190" s="582" t="s">
        <v>3369</v>
      </c>
      <c r="C190" s="585">
        <v>3.7037037037037035E-4</v>
      </c>
      <c r="D190" s="582" t="s">
        <v>3370</v>
      </c>
      <c r="E190" s="582" t="s">
        <v>154</v>
      </c>
      <c r="F190" s="582" t="s">
        <v>1413</v>
      </c>
      <c r="G190" s="582" t="s">
        <v>2389</v>
      </c>
      <c r="H190" s="582" t="s">
        <v>157</v>
      </c>
      <c r="I190" s="582" t="s">
        <v>197</v>
      </c>
      <c r="J190" s="582" t="s">
        <v>198</v>
      </c>
      <c r="K190" s="582" t="s">
        <v>160</v>
      </c>
      <c r="L190" s="582" t="s">
        <v>161</v>
      </c>
      <c r="M190" s="582" t="s">
        <v>162</v>
      </c>
      <c r="N190" s="582" t="s">
        <v>2109</v>
      </c>
    </row>
    <row r="191" spans="1:14" ht="16.5">
      <c r="A191" s="582" t="s">
        <v>3327</v>
      </c>
      <c r="B191" s="582" t="s">
        <v>1024</v>
      </c>
      <c r="C191" s="585">
        <v>1.0416666666666667E-4</v>
      </c>
      <c r="D191" s="582" t="s">
        <v>3371</v>
      </c>
      <c r="E191" s="582" t="s">
        <v>154</v>
      </c>
      <c r="F191" s="582" t="s">
        <v>2535</v>
      </c>
      <c r="G191" s="582" t="s">
        <v>2795</v>
      </c>
      <c r="H191" s="582" t="s">
        <v>157</v>
      </c>
      <c r="I191" s="582" t="s">
        <v>158</v>
      </c>
      <c r="J191" s="582" t="s">
        <v>212</v>
      </c>
      <c r="K191" s="582" t="s">
        <v>2084</v>
      </c>
      <c r="L191" s="582" t="s">
        <v>161</v>
      </c>
      <c r="M191" s="582" t="s">
        <v>162</v>
      </c>
      <c r="N191" s="582" t="s">
        <v>3460</v>
      </c>
    </row>
    <row r="192" spans="1:14" ht="16.5">
      <c r="A192" s="582" t="s">
        <v>3327</v>
      </c>
      <c r="B192" s="582" t="s">
        <v>3372</v>
      </c>
      <c r="C192" s="585">
        <v>1.9675925925925926E-4</v>
      </c>
      <c r="D192" s="582" t="s">
        <v>3373</v>
      </c>
      <c r="E192" s="582" t="s">
        <v>154</v>
      </c>
      <c r="F192" s="582" t="s">
        <v>1128</v>
      </c>
      <c r="G192" s="582" t="s">
        <v>1132</v>
      </c>
      <c r="H192" s="582" t="s">
        <v>157</v>
      </c>
      <c r="I192" s="582" t="s">
        <v>158</v>
      </c>
      <c r="J192" s="582" t="s">
        <v>391</v>
      </c>
      <c r="K192" s="582" t="s">
        <v>2084</v>
      </c>
      <c r="L192" s="582" t="s">
        <v>161</v>
      </c>
      <c r="M192" s="582" t="s">
        <v>162</v>
      </c>
      <c r="N192" s="582" t="s">
        <v>3461</v>
      </c>
    </row>
    <row r="193" spans="1:14" ht="16.5">
      <c r="A193" s="582" t="s">
        <v>3327</v>
      </c>
      <c r="B193" s="582" t="s">
        <v>3374</v>
      </c>
      <c r="C193" s="585">
        <v>9.2592592592592585E-4</v>
      </c>
      <c r="D193" s="582" t="s">
        <v>3375</v>
      </c>
      <c r="E193" s="582" t="s">
        <v>154</v>
      </c>
      <c r="F193" s="582" t="s">
        <v>2012</v>
      </c>
      <c r="G193" s="582" t="s">
        <v>3376</v>
      </c>
      <c r="H193" s="582" t="s">
        <v>157</v>
      </c>
      <c r="I193" s="582" t="s">
        <v>197</v>
      </c>
      <c r="J193" s="582" t="s">
        <v>198</v>
      </c>
      <c r="K193" s="582" t="s">
        <v>2714</v>
      </c>
      <c r="L193" s="582" t="s">
        <v>161</v>
      </c>
      <c r="M193" s="582" t="s">
        <v>162</v>
      </c>
      <c r="N193" s="582" t="s">
        <v>3462</v>
      </c>
    </row>
    <row r="194" spans="1:14" ht="16.5">
      <c r="A194" s="582" t="s">
        <v>3327</v>
      </c>
      <c r="B194" s="582" t="s">
        <v>3377</v>
      </c>
      <c r="C194" s="585">
        <v>6.2500000000000001E-4</v>
      </c>
      <c r="D194" s="582" t="s">
        <v>3378</v>
      </c>
      <c r="E194" s="582" t="s">
        <v>154</v>
      </c>
      <c r="F194" s="582" t="s">
        <v>1413</v>
      </c>
      <c r="G194" s="582" t="s">
        <v>2389</v>
      </c>
      <c r="H194" s="582" t="s">
        <v>157</v>
      </c>
      <c r="I194" s="582" t="s">
        <v>197</v>
      </c>
      <c r="J194" s="582" t="s">
        <v>198</v>
      </c>
      <c r="K194" s="582" t="s">
        <v>160</v>
      </c>
      <c r="L194" s="582" t="s">
        <v>161</v>
      </c>
      <c r="M194" s="582" t="s">
        <v>162</v>
      </c>
      <c r="N194" s="582" t="s">
        <v>3463</v>
      </c>
    </row>
    <row r="195" spans="1:14" ht="16.5">
      <c r="A195" s="582" t="s">
        <v>3327</v>
      </c>
      <c r="B195" s="582" t="s">
        <v>3379</v>
      </c>
      <c r="C195" s="585">
        <v>1.4467592592592594E-3</v>
      </c>
      <c r="D195" s="582" t="s">
        <v>3380</v>
      </c>
      <c r="E195" s="582" t="s">
        <v>154</v>
      </c>
      <c r="F195" s="582" t="s">
        <v>2343</v>
      </c>
      <c r="G195" s="582" t="s">
        <v>3381</v>
      </c>
      <c r="H195" s="582" t="s">
        <v>157</v>
      </c>
      <c r="I195" s="582" t="s">
        <v>158</v>
      </c>
      <c r="J195" s="582" t="s">
        <v>212</v>
      </c>
      <c r="K195" s="582" t="s">
        <v>2084</v>
      </c>
      <c r="L195" s="582" t="s">
        <v>161</v>
      </c>
      <c r="M195" s="582" t="s">
        <v>162</v>
      </c>
      <c r="N195" s="582" t="s">
        <v>3464</v>
      </c>
    </row>
    <row r="196" spans="1:14" ht="16.5">
      <c r="A196" s="582" t="s">
        <v>3327</v>
      </c>
      <c r="B196" s="582" t="s">
        <v>3382</v>
      </c>
      <c r="C196" s="585">
        <v>2.3148148148148151E-3</v>
      </c>
      <c r="D196" s="582" t="s">
        <v>3383</v>
      </c>
      <c r="E196" s="582" t="s">
        <v>154</v>
      </c>
      <c r="F196" s="582" t="s">
        <v>2758</v>
      </c>
      <c r="G196" s="582" t="s">
        <v>2769</v>
      </c>
      <c r="H196" s="582" t="s">
        <v>157</v>
      </c>
      <c r="I196" s="582" t="s">
        <v>158</v>
      </c>
      <c r="J196" s="582" t="s">
        <v>168</v>
      </c>
      <c r="K196" s="582" t="s">
        <v>160</v>
      </c>
      <c r="L196" s="582" t="s">
        <v>161</v>
      </c>
      <c r="M196" s="582" t="s">
        <v>162</v>
      </c>
      <c r="N196" s="582" t="s">
        <v>3465</v>
      </c>
    </row>
    <row r="197" spans="1:14" ht="16.5">
      <c r="A197" s="582" t="s">
        <v>3327</v>
      </c>
      <c r="B197" s="582" t="s">
        <v>3384</v>
      </c>
      <c r="C197" s="585">
        <v>1.4351851851851854E-3</v>
      </c>
      <c r="D197" s="582" t="s">
        <v>3385</v>
      </c>
      <c r="E197" s="582" t="s">
        <v>154</v>
      </c>
      <c r="F197" s="582" t="s">
        <v>3386</v>
      </c>
      <c r="G197" s="582" t="s">
        <v>2344</v>
      </c>
      <c r="H197" s="582" t="s">
        <v>157</v>
      </c>
      <c r="I197" s="582" t="s">
        <v>158</v>
      </c>
      <c r="J197" s="582" t="s">
        <v>159</v>
      </c>
      <c r="K197" s="582" t="s">
        <v>2084</v>
      </c>
      <c r="L197" s="582" t="s">
        <v>161</v>
      </c>
      <c r="M197" s="582" t="s">
        <v>162</v>
      </c>
      <c r="N197" s="582" t="s">
        <v>3466</v>
      </c>
    </row>
    <row r="198" spans="1:14" ht="16.5">
      <c r="A198" s="582" t="s">
        <v>3327</v>
      </c>
      <c r="B198" s="582" t="s">
        <v>3387</v>
      </c>
      <c r="C198" s="585">
        <v>8.9120370370370362E-4</v>
      </c>
      <c r="D198" s="582" t="s">
        <v>3388</v>
      </c>
      <c r="E198" s="582" t="s">
        <v>154</v>
      </c>
      <c r="F198" s="582" t="s">
        <v>1413</v>
      </c>
      <c r="G198" s="582" t="s">
        <v>1956</v>
      </c>
      <c r="H198" s="582" t="s">
        <v>157</v>
      </c>
      <c r="I198" s="582" t="s">
        <v>197</v>
      </c>
      <c r="J198" s="582" t="s">
        <v>198</v>
      </c>
      <c r="K198" s="582" t="s">
        <v>160</v>
      </c>
      <c r="L198" s="582" t="s">
        <v>161</v>
      </c>
      <c r="M198" s="582" t="s">
        <v>162</v>
      </c>
      <c r="N198" s="582" t="s">
        <v>3467</v>
      </c>
    </row>
    <row r="199" spans="1:14" ht="16.5">
      <c r="A199" s="582" t="s">
        <v>3327</v>
      </c>
      <c r="B199" s="582" t="s">
        <v>3389</v>
      </c>
      <c r="C199" s="585">
        <v>3.8657407407407408E-3</v>
      </c>
      <c r="D199" s="582" t="s">
        <v>3390</v>
      </c>
      <c r="E199" s="582" t="s">
        <v>154</v>
      </c>
      <c r="F199" s="582" t="s">
        <v>2900</v>
      </c>
      <c r="G199" s="582" t="s">
        <v>3391</v>
      </c>
      <c r="H199" s="582" t="s">
        <v>157</v>
      </c>
      <c r="I199" s="582" t="s">
        <v>158</v>
      </c>
      <c r="J199" s="582" t="s">
        <v>212</v>
      </c>
      <c r="K199" s="582" t="s">
        <v>2084</v>
      </c>
      <c r="L199" s="582" t="s">
        <v>161</v>
      </c>
      <c r="M199" s="582" t="s">
        <v>162</v>
      </c>
      <c r="N199" s="582" t="s">
        <v>3468</v>
      </c>
    </row>
    <row r="200" spans="1:14" ht="16.5">
      <c r="A200" s="582" t="s">
        <v>3327</v>
      </c>
      <c r="B200" s="582" t="s">
        <v>1873</v>
      </c>
      <c r="C200" s="585">
        <v>5.6712962962962956E-4</v>
      </c>
      <c r="D200" s="582" t="s">
        <v>3392</v>
      </c>
      <c r="E200" s="582" t="s">
        <v>154</v>
      </c>
      <c r="F200" s="582" t="s">
        <v>3347</v>
      </c>
      <c r="G200" s="582" t="s">
        <v>3348</v>
      </c>
      <c r="H200" s="582" t="s">
        <v>157</v>
      </c>
      <c r="I200" s="582" t="s">
        <v>158</v>
      </c>
      <c r="J200" s="582" t="s">
        <v>212</v>
      </c>
      <c r="K200" s="582" t="s">
        <v>160</v>
      </c>
      <c r="L200" s="582" t="s">
        <v>161</v>
      </c>
      <c r="M200" s="582" t="s">
        <v>162</v>
      </c>
      <c r="N200" s="582" t="s">
        <v>3469</v>
      </c>
    </row>
    <row r="201" spans="1:14" ht="16.5">
      <c r="A201" s="582" t="s">
        <v>3327</v>
      </c>
      <c r="B201" s="582" t="s">
        <v>3393</v>
      </c>
      <c r="C201" s="585">
        <v>2.199074074074074E-4</v>
      </c>
      <c r="D201" s="582" t="s">
        <v>3394</v>
      </c>
      <c r="E201" s="582" t="s">
        <v>154</v>
      </c>
      <c r="F201" s="582" t="s">
        <v>2900</v>
      </c>
      <c r="G201" s="582" t="s">
        <v>2796</v>
      </c>
      <c r="H201" s="582" t="s">
        <v>157</v>
      </c>
      <c r="I201" s="582" t="s">
        <v>158</v>
      </c>
      <c r="J201" s="582" t="s">
        <v>212</v>
      </c>
      <c r="K201" s="582" t="s">
        <v>2084</v>
      </c>
      <c r="L201" s="582" t="s">
        <v>161</v>
      </c>
      <c r="M201" s="582" t="s">
        <v>162</v>
      </c>
      <c r="N201" s="582" t="s">
        <v>3470</v>
      </c>
    </row>
    <row r="202" spans="1:14" ht="16.5">
      <c r="A202" s="582" t="s">
        <v>3327</v>
      </c>
      <c r="B202" s="582" t="s">
        <v>3395</v>
      </c>
      <c r="C202" s="585">
        <v>9.1435185185185185E-4</v>
      </c>
      <c r="D202" s="582" t="s">
        <v>3396</v>
      </c>
      <c r="E202" s="582" t="s">
        <v>154</v>
      </c>
      <c r="F202" s="582" t="s">
        <v>3347</v>
      </c>
      <c r="G202" s="582" t="s">
        <v>3397</v>
      </c>
      <c r="H202" s="582" t="s">
        <v>157</v>
      </c>
      <c r="I202" s="582" t="s">
        <v>158</v>
      </c>
      <c r="J202" s="582" t="s">
        <v>212</v>
      </c>
      <c r="K202" s="582" t="s">
        <v>160</v>
      </c>
      <c r="L202" s="582" t="s">
        <v>161</v>
      </c>
      <c r="M202" s="582" t="s">
        <v>162</v>
      </c>
      <c r="N202" s="582" t="s">
        <v>3471</v>
      </c>
    </row>
    <row r="203" spans="1:14" ht="16.5">
      <c r="A203" s="582" t="s">
        <v>3327</v>
      </c>
      <c r="B203" s="582" t="s">
        <v>3398</v>
      </c>
      <c r="C203" s="585">
        <v>3.4722222222222222E-5</v>
      </c>
      <c r="D203" s="582" t="s">
        <v>3399</v>
      </c>
      <c r="E203" s="582" t="s">
        <v>154</v>
      </c>
      <c r="F203" s="582" t="s">
        <v>3089</v>
      </c>
      <c r="G203" s="582" t="s">
        <v>3090</v>
      </c>
      <c r="H203" s="582" t="s">
        <v>157</v>
      </c>
      <c r="I203" s="582" t="s">
        <v>158</v>
      </c>
      <c r="J203" s="582" t="s">
        <v>168</v>
      </c>
      <c r="K203" s="582" t="s">
        <v>160</v>
      </c>
      <c r="L203" s="582" t="s">
        <v>161</v>
      </c>
      <c r="M203" s="582" t="s">
        <v>162</v>
      </c>
      <c r="N203" s="582" t="s">
        <v>3472</v>
      </c>
    </row>
    <row r="204" spans="1:14" ht="16.5">
      <c r="A204" s="582" t="s">
        <v>3327</v>
      </c>
      <c r="B204" s="582" t="s">
        <v>3400</v>
      </c>
      <c r="C204" s="585">
        <v>2.4768518518518516E-3</v>
      </c>
      <c r="D204" s="582" t="s">
        <v>3401</v>
      </c>
      <c r="E204" s="582" t="s">
        <v>154</v>
      </c>
      <c r="F204" s="582" t="s">
        <v>2012</v>
      </c>
      <c r="G204" s="582" t="s">
        <v>3376</v>
      </c>
      <c r="H204" s="582" t="s">
        <v>157</v>
      </c>
      <c r="I204" s="582" t="s">
        <v>197</v>
      </c>
      <c r="J204" s="582" t="s">
        <v>198</v>
      </c>
      <c r="K204" s="582" t="s">
        <v>2714</v>
      </c>
      <c r="L204" s="582" t="s">
        <v>161</v>
      </c>
      <c r="M204" s="582" t="s">
        <v>162</v>
      </c>
      <c r="N204" s="582" t="s">
        <v>2109</v>
      </c>
    </row>
    <row r="205" spans="1:14" ht="16.5">
      <c r="A205" s="582" t="s">
        <v>3327</v>
      </c>
      <c r="B205" s="582" t="s">
        <v>3402</v>
      </c>
      <c r="C205" s="585">
        <v>1.2731481481481483E-3</v>
      </c>
      <c r="D205" s="582" t="s">
        <v>3403</v>
      </c>
      <c r="E205" s="582" t="s">
        <v>154</v>
      </c>
      <c r="F205" s="582" t="s">
        <v>2325</v>
      </c>
      <c r="G205" s="582" t="s">
        <v>362</v>
      </c>
      <c r="H205" s="582" t="s">
        <v>157</v>
      </c>
      <c r="I205" s="582" t="s">
        <v>158</v>
      </c>
      <c r="J205" s="582" t="s">
        <v>212</v>
      </c>
      <c r="K205" s="582" t="s">
        <v>160</v>
      </c>
      <c r="L205" s="582" t="s">
        <v>161</v>
      </c>
      <c r="M205" s="582" t="s">
        <v>162</v>
      </c>
      <c r="N205" s="582" t="s">
        <v>3473</v>
      </c>
    </row>
    <row r="206" spans="1:14" ht="16.5">
      <c r="A206" s="582" t="s">
        <v>3327</v>
      </c>
      <c r="B206" s="582" t="s">
        <v>3404</v>
      </c>
      <c r="C206" s="585">
        <v>4.7453703703703704E-4</v>
      </c>
      <c r="D206" s="582" t="s">
        <v>3405</v>
      </c>
      <c r="E206" s="582" t="s">
        <v>154</v>
      </c>
      <c r="F206" s="582" t="s">
        <v>2900</v>
      </c>
      <c r="G206" s="582" t="s">
        <v>2796</v>
      </c>
      <c r="H206" s="582" t="s">
        <v>157</v>
      </c>
      <c r="I206" s="582" t="s">
        <v>158</v>
      </c>
      <c r="J206" s="582" t="s">
        <v>212</v>
      </c>
      <c r="K206" s="582" t="s">
        <v>2084</v>
      </c>
      <c r="L206" s="582" t="s">
        <v>161</v>
      </c>
      <c r="M206" s="582" t="s">
        <v>162</v>
      </c>
      <c r="N206" s="582" t="s">
        <v>3474</v>
      </c>
    </row>
    <row r="207" spans="1:14" ht="16.5">
      <c r="A207" s="582" t="s">
        <v>3327</v>
      </c>
      <c r="B207" s="582" t="s">
        <v>3406</v>
      </c>
      <c r="C207" s="585">
        <v>2.7430555555555559E-3</v>
      </c>
      <c r="D207" s="582" t="s">
        <v>3407</v>
      </c>
      <c r="E207" s="582" t="s">
        <v>154</v>
      </c>
      <c r="F207" s="582" t="s">
        <v>3347</v>
      </c>
      <c r="G207" s="582" t="s">
        <v>3408</v>
      </c>
      <c r="H207" s="582" t="s">
        <v>157</v>
      </c>
      <c r="I207" s="582" t="s">
        <v>158</v>
      </c>
      <c r="J207" s="582" t="s">
        <v>168</v>
      </c>
      <c r="K207" s="582" t="s">
        <v>160</v>
      </c>
      <c r="L207" s="582" t="s">
        <v>161</v>
      </c>
      <c r="M207" s="582" t="s">
        <v>162</v>
      </c>
      <c r="N207" s="582" t="s">
        <v>3475</v>
      </c>
    </row>
    <row r="208" spans="1:14" ht="16.5">
      <c r="A208" s="582" t="s">
        <v>3327</v>
      </c>
      <c r="B208" s="582" t="s">
        <v>4150</v>
      </c>
      <c r="C208" s="582"/>
      <c r="D208" s="582"/>
      <c r="E208" s="582"/>
      <c r="F208" s="582" t="s">
        <v>2900</v>
      </c>
      <c r="G208" s="582" t="s">
        <v>4151</v>
      </c>
      <c r="H208" s="582" t="s">
        <v>157</v>
      </c>
      <c r="I208" s="582" t="s">
        <v>158</v>
      </c>
      <c r="J208" s="582" t="s">
        <v>212</v>
      </c>
      <c r="K208" s="582" t="s">
        <v>2084</v>
      </c>
      <c r="L208" s="582" t="s">
        <v>161</v>
      </c>
      <c r="M208" s="582" t="s">
        <v>162</v>
      </c>
      <c r="N208" s="582" t="s">
        <v>4152</v>
      </c>
    </row>
    <row r="209" spans="1:14" ht="16.5">
      <c r="A209" s="582" t="s">
        <v>3327</v>
      </c>
      <c r="B209" s="582" t="s">
        <v>3409</v>
      </c>
      <c r="C209" s="585">
        <v>1.4583333333333334E-3</v>
      </c>
      <c r="D209" s="582" t="s">
        <v>3410</v>
      </c>
      <c r="E209" s="582" t="s">
        <v>154</v>
      </c>
      <c r="F209" s="582" t="s">
        <v>2900</v>
      </c>
      <c r="G209" s="582" t="s">
        <v>2981</v>
      </c>
      <c r="H209" s="582" t="s">
        <v>157</v>
      </c>
      <c r="I209" s="582" t="s">
        <v>158</v>
      </c>
      <c r="J209" s="582" t="s">
        <v>159</v>
      </c>
      <c r="K209" s="582" t="s">
        <v>2084</v>
      </c>
      <c r="L209" s="582" t="s">
        <v>161</v>
      </c>
      <c r="M209" s="582" t="s">
        <v>162</v>
      </c>
      <c r="N209" s="582" t="s">
        <v>3476</v>
      </c>
    </row>
    <row r="210" spans="1:14" ht="16.5">
      <c r="A210" s="582" t="s">
        <v>3327</v>
      </c>
      <c r="B210" s="582" t="s">
        <v>3411</v>
      </c>
      <c r="C210" s="585">
        <v>0</v>
      </c>
      <c r="D210" s="582" t="s">
        <v>3412</v>
      </c>
      <c r="E210" s="582" t="s">
        <v>154</v>
      </c>
      <c r="F210" s="582" t="s">
        <v>2012</v>
      </c>
      <c r="G210" s="582" t="s">
        <v>3376</v>
      </c>
      <c r="H210" s="582" t="s">
        <v>157</v>
      </c>
      <c r="I210" s="582" t="s">
        <v>197</v>
      </c>
      <c r="J210" s="582" t="s">
        <v>198</v>
      </c>
      <c r="K210" s="582" t="s">
        <v>2714</v>
      </c>
      <c r="L210" s="582" t="s">
        <v>161</v>
      </c>
      <c r="M210" s="582" t="s">
        <v>162</v>
      </c>
      <c r="N210" s="582" t="s">
        <v>3477</v>
      </c>
    </row>
    <row r="211" spans="1:14" ht="16.5">
      <c r="A211" s="582" t="s">
        <v>3327</v>
      </c>
      <c r="B211" s="582" t="s">
        <v>3413</v>
      </c>
      <c r="C211" s="585">
        <v>1.3657407407407409E-3</v>
      </c>
      <c r="D211" s="582" t="s">
        <v>3414</v>
      </c>
      <c r="E211" s="582" t="s">
        <v>154</v>
      </c>
      <c r="F211" s="582" t="s">
        <v>1257</v>
      </c>
      <c r="G211" s="582" t="s">
        <v>1258</v>
      </c>
      <c r="H211" s="582" t="s">
        <v>157</v>
      </c>
      <c r="I211" s="582" t="s">
        <v>158</v>
      </c>
      <c r="J211" s="582" t="s">
        <v>191</v>
      </c>
      <c r="K211" s="582" t="s">
        <v>2084</v>
      </c>
      <c r="L211" s="582" t="s">
        <v>161</v>
      </c>
      <c r="M211" s="582" t="s">
        <v>162</v>
      </c>
      <c r="N211" s="582" t="s">
        <v>3478</v>
      </c>
    </row>
    <row r="212" spans="1:14" ht="16.5">
      <c r="A212" s="582" t="s">
        <v>3327</v>
      </c>
      <c r="B212" s="582" t="s">
        <v>3415</v>
      </c>
      <c r="C212" s="585">
        <v>1.3773148148148147E-3</v>
      </c>
      <c r="D212" s="582" t="s">
        <v>3416</v>
      </c>
      <c r="E212" s="582" t="s">
        <v>154</v>
      </c>
      <c r="F212" s="582" t="s">
        <v>173</v>
      </c>
      <c r="G212" s="582" t="s">
        <v>174</v>
      </c>
      <c r="H212" s="582" t="s">
        <v>157</v>
      </c>
      <c r="I212" s="582" t="s">
        <v>197</v>
      </c>
      <c r="J212" s="582" t="s">
        <v>198</v>
      </c>
      <c r="K212" s="582" t="s">
        <v>160</v>
      </c>
      <c r="L212" s="582" t="s">
        <v>161</v>
      </c>
      <c r="M212" s="582" t="s">
        <v>162</v>
      </c>
      <c r="N212" s="582" t="s">
        <v>3479</v>
      </c>
    </row>
    <row r="213" spans="1:14" ht="16.5">
      <c r="A213" s="582" t="s">
        <v>3327</v>
      </c>
      <c r="B213" s="582" t="s">
        <v>4153</v>
      </c>
      <c r="C213" s="582"/>
      <c r="D213" s="582"/>
      <c r="E213" s="582"/>
      <c r="F213" s="582" t="s">
        <v>4048</v>
      </c>
      <c r="G213" s="582" t="s">
        <v>4049</v>
      </c>
      <c r="H213" s="582" t="s">
        <v>157</v>
      </c>
      <c r="I213" s="582" t="s">
        <v>158</v>
      </c>
      <c r="J213" s="582" t="s">
        <v>168</v>
      </c>
      <c r="K213" s="582" t="s">
        <v>160</v>
      </c>
      <c r="L213" s="582" t="s">
        <v>161</v>
      </c>
      <c r="M213" s="582" t="s">
        <v>162</v>
      </c>
      <c r="N213" s="582" t="s">
        <v>4154</v>
      </c>
    </row>
    <row r="214" spans="1:14" ht="16.5">
      <c r="A214" s="582" t="s">
        <v>3327</v>
      </c>
      <c r="B214" s="582" t="s">
        <v>3417</v>
      </c>
      <c r="C214" s="585">
        <v>1.3425925925925925E-3</v>
      </c>
      <c r="D214" s="582" t="s">
        <v>3418</v>
      </c>
      <c r="E214" s="582" t="s">
        <v>154</v>
      </c>
      <c r="F214" s="582" t="s">
        <v>2012</v>
      </c>
      <c r="G214" s="582" t="s">
        <v>3376</v>
      </c>
      <c r="H214" s="582" t="s">
        <v>157</v>
      </c>
      <c r="I214" s="582" t="s">
        <v>197</v>
      </c>
      <c r="J214" s="582" t="s">
        <v>198</v>
      </c>
      <c r="K214" s="582" t="s">
        <v>160</v>
      </c>
      <c r="L214" s="582" t="s">
        <v>161</v>
      </c>
      <c r="M214" s="582" t="s">
        <v>162</v>
      </c>
      <c r="N214" s="582" t="s">
        <v>3480</v>
      </c>
    </row>
    <row r="215" spans="1:14" ht="16.5">
      <c r="A215" s="582" t="s">
        <v>3327</v>
      </c>
      <c r="B215" s="582" t="s">
        <v>3419</v>
      </c>
      <c r="C215" s="585">
        <v>2.6388888888888885E-3</v>
      </c>
      <c r="D215" s="582" t="s">
        <v>3420</v>
      </c>
      <c r="E215" s="582" t="s">
        <v>154</v>
      </c>
      <c r="F215" s="582" t="s">
        <v>1633</v>
      </c>
      <c r="G215" s="582" t="s">
        <v>1634</v>
      </c>
      <c r="H215" s="582" t="s">
        <v>157</v>
      </c>
      <c r="I215" s="582" t="s">
        <v>176</v>
      </c>
      <c r="J215" s="582" t="s">
        <v>481</v>
      </c>
      <c r="K215" s="582" t="s">
        <v>2714</v>
      </c>
      <c r="L215" s="582" t="s">
        <v>161</v>
      </c>
      <c r="M215" s="582" t="s">
        <v>162</v>
      </c>
      <c r="N215" s="582" t="s">
        <v>3481</v>
      </c>
    </row>
    <row r="216" spans="1:14" ht="16.5">
      <c r="A216" s="582" t="s">
        <v>3327</v>
      </c>
      <c r="B216" s="582" t="s">
        <v>3421</v>
      </c>
      <c r="C216" s="585">
        <v>1.5393518518518519E-3</v>
      </c>
      <c r="D216" s="582" t="s">
        <v>3422</v>
      </c>
      <c r="E216" s="582" t="s">
        <v>154</v>
      </c>
      <c r="F216" s="582" t="s">
        <v>1633</v>
      </c>
      <c r="G216" s="582" t="s">
        <v>3423</v>
      </c>
      <c r="H216" s="582" t="s">
        <v>157</v>
      </c>
      <c r="I216" s="582" t="s">
        <v>176</v>
      </c>
      <c r="J216" s="582" t="s">
        <v>481</v>
      </c>
      <c r="K216" s="582" t="s">
        <v>2714</v>
      </c>
      <c r="L216" s="582" t="s">
        <v>161</v>
      </c>
      <c r="M216" s="582" t="s">
        <v>162</v>
      </c>
      <c r="N216" s="582" t="s">
        <v>3482</v>
      </c>
    </row>
    <row r="217" spans="1:14" ht="16.5">
      <c r="A217" s="582" t="s">
        <v>3327</v>
      </c>
      <c r="B217" s="582" t="s">
        <v>1377</v>
      </c>
      <c r="C217" s="585">
        <v>3.4722222222222222E-5</v>
      </c>
      <c r="D217" s="582" t="s">
        <v>3424</v>
      </c>
      <c r="E217" s="582" t="s">
        <v>154</v>
      </c>
      <c r="F217" s="582" t="s">
        <v>3143</v>
      </c>
      <c r="G217" s="582" t="s">
        <v>3144</v>
      </c>
      <c r="H217" s="582" t="s">
        <v>157</v>
      </c>
      <c r="I217" s="582" t="s">
        <v>158</v>
      </c>
      <c r="J217" s="582" t="s">
        <v>168</v>
      </c>
      <c r="K217" s="582" t="s">
        <v>160</v>
      </c>
      <c r="L217" s="582" t="s">
        <v>161</v>
      </c>
      <c r="M217" s="582" t="s">
        <v>162</v>
      </c>
      <c r="N217" s="582" t="s">
        <v>3483</v>
      </c>
    </row>
    <row r="218" spans="1:14" ht="16.5">
      <c r="A218" s="582" t="s">
        <v>3327</v>
      </c>
      <c r="B218" s="582" t="s">
        <v>4155</v>
      </c>
      <c r="C218" s="582"/>
      <c r="D218" s="582"/>
      <c r="E218" s="582"/>
      <c r="F218" s="582" t="s">
        <v>156</v>
      </c>
      <c r="G218" s="582" t="s">
        <v>1634</v>
      </c>
      <c r="H218" s="582" t="s">
        <v>157</v>
      </c>
      <c r="I218" s="582" t="s">
        <v>158</v>
      </c>
      <c r="J218" s="582" t="s">
        <v>481</v>
      </c>
      <c r="K218" s="582" t="s">
        <v>160</v>
      </c>
      <c r="L218" s="582" t="s">
        <v>161</v>
      </c>
      <c r="M218" s="582" t="s">
        <v>162</v>
      </c>
      <c r="N218" s="582" t="s">
        <v>4156</v>
      </c>
    </row>
    <row r="219" spans="1:14" ht="16.5">
      <c r="A219" s="582" t="s">
        <v>3327</v>
      </c>
      <c r="B219" s="582" t="s">
        <v>3425</v>
      </c>
      <c r="C219" s="585">
        <v>2.2685185185185182E-3</v>
      </c>
      <c r="D219" s="582" t="s">
        <v>3426</v>
      </c>
      <c r="E219" s="582" t="s">
        <v>154</v>
      </c>
      <c r="F219" s="582" t="s">
        <v>2761</v>
      </c>
      <c r="G219" s="582" t="s">
        <v>2762</v>
      </c>
      <c r="H219" s="582" t="s">
        <v>157</v>
      </c>
      <c r="I219" s="582" t="s">
        <v>158</v>
      </c>
      <c r="J219" s="582" t="s">
        <v>168</v>
      </c>
      <c r="K219" s="582" t="s">
        <v>2714</v>
      </c>
      <c r="L219" s="582" t="s">
        <v>161</v>
      </c>
      <c r="M219" s="582" t="s">
        <v>162</v>
      </c>
      <c r="N219" s="582" t="s">
        <v>3484</v>
      </c>
    </row>
    <row r="220" spans="1:14" ht="16.5">
      <c r="A220" s="582" t="s">
        <v>3327</v>
      </c>
      <c r="B220" s="582" t="s">
        <v>3427</v>
      </c>
      <c r="C220" s="585">
        <v>1.2037037037037038E-3</v>
      </c>
      <c r="D220" s="582" t="s">
        <v>3428</v>
      </c>
      <c r="E220" s="582" t="s">
        <v>154</v>
      </c>
      <c r="F220" s="582" t="s">
        <v>3174</v>
      </c>
      <c r="G220" s="582" t="s">
        <v>362</v>
      </c>
      <c r="H220" s="582" t="s">
        <v>157</v>
      </c>
      <c r="I220" s="582" t="s">
        <v>158</v>
      </c>
      <c r="J220" s="582" t="s">
        <v>212</v>
      </c>
      <c r="K220" s="582" t="s">
        <v>160</v>
      </c>
      <c r="L220" s="582" t="s">
        <v>161</v>
      </c>
      <c r="M220" s="582" t="s">
        <v>162</v>
      </c>
      <c r="N220" s="582" t="s">
        <v>3485</v>
      </c>
    </row>
    <row r="221" spans="1:14" ht="16.5">
      <c r="A221" s="582" t="s">
        <v>3327</v>
      </c>
      <c r="B221" s="582" t="s">
        <v>3429</v>
      </c>
      <c r="C221" s="585">
        <v>1.2731481481481483E-3</v>
      </c>
      <c r="D221" s="582" t="s">
        <v>3430</v>
      </c>
      <c r="E221" s="582" t="s">
        <v>154</v>
      </c>
      <c r="F221" s="582" t="s">
        <v>3174</v>
      </c>
      <c r="G221" s="582" t="s">
        <v>2053</v>
      </c>
      <c r="H221" s="582" t="s">
        <v>157</v>
      </c>
      <c r="I221" s="582" t="s">
        <v>158</v>
      </c>
      <c r="J221" s="582" t="s">
        <v>212</v>
      </c>
      <c r="K221" s="582" t="s">
        <v>160</v>
      </c>
      <c r="L221" s="582" t="s">
        <v>161</v>
      </c>
      <c r="M221" s="582" t="s">
        <v>162</v>
      </c>
      <c r="N221" s="582" t="s">
        <v>3486</v>
      </c>
    </row>
    <row r="222" spans="1:14" ht="16.5">
      <c r="A222" s="582" t="s">
        <v>3327</v>
      </c>
      <c r="B222" s="582" t="s">
        <v>3431</v>
      </c>
      <c r="C222" s="585">
        <v>8.2175925925925917E-4</v>
      </c>
      <c r="D222" s="582" t="s">
        <v>3432</v>
      </c>
      <c r="E222" s="582" t="s">
        <v>154</v>
      </c>
      <c r="F222" s="582" t="s">
        <v>2304</v>
      </c>
      <c r="G222" s="582" t="s">
        <v>3034</v>
      </c>
      <c r="H222" s="582" t="s">
        <v>157</v>
      </c>
      <c r="I222" s="582" t="s">
        <v>158</v>
      </c>
      <c r="J222" s="582" t="s">
        <v>212</v>
      </c>
      <c r="K222" s="582" t="s">
        <v>2714</v>
      </c>
      <c r="L222" s="582" t="s">
        <v>161</v>
      </c>
      <c r="M222" s="582" t="s">
        <v>162</v>
      </c>
      <c r="N222" s="582" t="s">
        <v>3487</v>
      </c>
    </row>
    <row r="223" spans="1:14" ht="16.5">
      <c r="A223" s="582" t="s">
        <v>3327</v>
      </c>
      <c r="B223" s="582" t="s">
        <v>3433</v>
      </c>
      <c r="C223" s="585">
        <v>2.0023148148148148E-3</v>
      </c>
      <c r="D223" s="582" t="s">
        <v>3434</v>
      </c>
      <c r="E223" s="582" t="s">
        <v>154</v>
      </c>
      <c r="F223" s="582" t="s">
        <v>2310</v>
      </c>
      <c r="G223" s="582" t="s">
        <v>3435</v>
      </c>
      <c r="H223" s="582" t="s">
        <v>157</v>
      </c>
      <c r="I223" s="582" t="s">
        <v>158</v>
      </c>
      <c r="J223" s="582" t="s">
        <v>212</v>
      </c>
      <c r="K223" s="582" t="s">
        <v>160</v>
      </c>
      <c r="L223" s="582" t="s">
        <v>161</v>
      </c>
      <c r="M223" s="582" t="s">
        <v>162</v>
      </c>
      <c r="N223" s="582" t="s">
        <v>3488</v>
      </c>
    </row>
    <row r="224" spans="1:14" ht="16.5">
      <c r="A224" s="582" t="s">
        <v>3327</v>
      </c>
      <c r="B224" s="582" t="s">
        <v>3436</v>
      </c>
      <c r="C224" s="585">
        <v>9.2592592592592588E-5</v>
      </c>
      <c r="D224" s="582" t="s">
        <v>3437</v>
      </c>
      <c r="E224" s="582" t="s">
        <v>154</v>
      </c>
      <c r="F224" s="582" t="s">
        <v>2285</v>
      </c>
      <c r="G224" s="582" t="s">
        <v>3438</v>
      </c>
      <c r="H224" s="582" t="s">
        <v>157</v>
      </c>
      <c r="I224" s="582" t="s">
        <v>158</v>
      </c>
      <c r="J224" s="582" t="s">
        <v>212</v>
      </c>
      <c r="K224" s="582" t="s">
        <v>2714</v>
      </c>
      <c r="L224" s="582" t="s">
        <v>161</v>
      </c>
      <c r="M224" s="582" t="s">
        <v>162</v>
      </c>
      <c r="N224" s="582" t="s">
        <v>3489</v>
      </c>
    </row>
    <row r="225" spans="1:14" ht="16.5">
      <c r="A225" s="582" t="s">
        <v>3327</v>
      </c>
      <c r="B225" s="582" t="s">
        <v>4157</v>
      </c>
      <c r="C225" s="582"/>
      <c r="D225" s="582"/>
      <c r="E225" s="582"/>
      <c r="F225" s="582" t="s">
        <v>1799</v>
      </c>
      <c r="G225" s="582" t="s">
        <v>1800</v>
      </c>
      <c r="H225" s="582" t="s">
        <v>157</v>
      </c>
      <c r="I225" s="582" t="s">
        <v>158</v>
      </c>
      <c r="J225" s="582" t="s">
        <v>168</v>
      </c>
      <c r="K225" s="582" t="s">
        <v>160</v>
      </c>
      <c r="L225" s="582" t="s">
        <v>161</v>
      </c>
      <c r="M225" s="582" t="s">
        <v>162</v>
      </c>
      <c r="N225" s="582" t="s">
        <v>4158</v>
      </c>
    </row>
    <row r="226" spans="1:14" ht="16.5">
      <c r="A226" s="582" t="s">
        <v>3327</v>
      </c>
      <c r="B226" s="582" t="s">
        <v>4159</v>
      </c>
      <c r="C226" s="582"/>
      <c r="D226" s="582"/>
      <c r="E226" s="582"/>
      <c r="F226" s="582" t="s">
        <v>2911</v>
      </c>
      <c r="G226" s="582" t="s">
        <v>2912</v>
      </c>
      <c r="H226" s="582" t="s">
        <v>157</v>
      </c>
      <c r="I226" s="582" t="s">
        <v>158</v>
      </c>
      <c r="J226" s="582" t="s">
        <v>168</v>
      </c>
      <c r="K226" s="582" t="s">
        <v>2714</v>
      </c>
      <c r="L226" s="582" t="s">
        <v>161</v>
      </c>
      <c r="M226" s="582" t="s">
        <v>162</v>
      </c>
      <c r="N226" s="582" t="s">
        <v>4137</v>
      </c>
    </row>
    <row r="227" spans="1:14" ht="16.5">
      <c r="A227" s="582" t="s">
        <v>3327</v>
      </c>
      <c r="B227" s="582" t="s">
        <v>3439</v>
      </c>
      <c r="C227" s="585">
        <v>6.018518518518519E-4</v>
      </c>
      <c r="D227" s="582" t="s">
        <v>3440</v>
      </c>
      <c r="E227" s="582" t="s">
        <v>154</v>
      </c>
      <c r="F227" s="582" t="s">
        <v>1951</v>
      </c>
      <c r="G227" s="582" t="s">
        <v>2024</v>
      </c>
      <c r="H227" s="582" t="s">
        <v>157</v>
      </c>
      <c r="I227" s="582" t="s">
        <v>158</v>
      </c>
      <c r="J227" s="582" t="s">
        <v>212</v>
      </c>
      <c r="K227" s="582" t="s">
        <v>160</v>
      </c>
      <c r="L227" s="582" t="s">
        <v>161</v>
      </c>
      <c r="M227" s="582" t="s">
        <v>162</v>
      </c>
      <c r="N227" s="582" t="s">
        <v>3490</v>
      </c>
    </row>
    <row r="228" spans="1:14" ht="16.5">
      <c r="A228" s="582" t="s">
        <v>3327</v>
      </c>
      <c r="B228" s="582" t="s">
        <v>3441</v>
      </c>
      <c r="C228" s="585">
        <v>4.6527777777777774E-3</v>
      </c>
      <c r="D228" s="582" t="s">
        <v>3442</v>
      </c>
      <c r="E228" s="582" t="s">
        <v>154</v>
      </c>
      <c r="F228" s="582" t="s">
        <v>155</v>
      </c>
      <c r="G228" s="582" t="s">
        <v>362</v>
      </c>
      <c r="H228" s="582" t="s">
        <v>157</v>
      </c>
      <c r="I228" s="582" t="s">
        <v>158</v>
      </c>
      <c r="J228" s="582" t="s">
        <v>212</v>
      </c>
      <c r="K228" s="582" t="s">
        <v>160</v>
      </c>
      <c r="L228" s="582" t="s">
        <v>161</v>
      </c>
      <c r="M228" s="582" t="s">
        <v>162</v>
      </c>
      <c r="N228" s="582" t="s">
        <v>3491</v>
      </c>
    </row>
    <row r="229" spans="1:14" ht="16.5">
      <c r="A229" s="582" t="s">
        <v>2968</v>
      </c>
      <c r="B229" s="582" t="s">
        <v>2969</v>
      </c>
      <c r="C229" s="585">
        <v>1.2731481481481483E-3</v>
      </c>
      <c r="D229" s="582" t="s">
        <v>2970</v>
      </c>
      <c r="E229" s="582" t="s">
        <v>154</v>
      </c>
      <c r="F229" s="582" t="s">
        <v>2012</v>
      </c>
      <c r="G229" s="582" t="s">
        <v>2474</v>
      </c>
      <c r="H229" s="582" t="s">
        <v>157</v>
      </c>
      <c r="I229" s="582" t="s">
        <v>197</v>
      </c>
      <c r="J229" s="582" t="s">
        <v>198</v>
      </c>
      <c r="K229" s="582" t="s">
        <v>160</v>
      </c>
      <c r="L229" s="582" t="s">
        <v>161</v>
      </c>
      <c r="M229" s="582" t="s">
        <v>162</v>
      </c>
      <c r="N229" s="582" t="s">
        <v>2971</v>
      </c>
    </row>
    <row r="230" spans="1:14" ht="16.5">
      <c r="A230" s="582" t="s">
        <v>2968</v>
      </c>
      <c r="B230" s="582" t="s">
        <v>2972</v>
      </c>
      <c r="C230" s="585">
        <v>6.5972222222222213E-4</v>
      </c>
      <c r="D230" s="582" t="s">
        <v>2973</v>
      </c>
      <c r="E230" s="582" t="s">
        <v>154</v>
      </c>
      <c r="F230" s="582" t="s">
        <v>2919</v>
      </c>
      <c r="G230" s="582" t="s">
        <v>2974</v>
      </c>
      <c r="H230" s="582" t="s">
        <v>157</v>
      </c>
      <c r="I230" s="582" t="s">
        <v>158</v>
      </c>
      <c r="J230" s="582" t="s">
        <v>168</v>
      </c>
      <c r="K230" s="582" t="s">
        <v>2714</v>
      </c>
      <c r="L230" s="582" t="s">
        <v>161</v>
      </c>
      <c r="M230" s="582" t="s">
        <v>162</v>
      </c>
      <c r="N230" s="582" t="s">
        <v>2975</v>
      </c>
    </row>
    <row r="231" spans="1:14" ht="16.5">
      <c r="A231" s="582" t="s">
        <v>2968</v>
      </c>
      <c r="B231" s="582" t="s">
        <v>2976</v>
      </c>
      <c r="C231" s="585">
        <v>1.7245370370370372E-3</v>
      </c>
      <c r="D231" s="582" t="s">
        <v>2977</v>
      </c>
      <c r="E231" s="582" t="s">
        <v>154</v>
      </c>
      <c r="F231" s="582" t="s">
        <v>1787</v>
      </c>
      <c r="G231" s="582" t="s">
        <v>1788</v>
      </c>
      <c r="H231" s="582" t="s">
        <v>157</v>
      </c>
      <c r="I231" s="582" t="s">
        <v>158</v>
      </c>
      <c r="J231" s="582" t="s">
        <v>159</v>
      </c>
      <c r="K231" s="582" t="s">
        <v>2714</v>
      </c>
      <c r="L231" s="582" t="s">
        <v>161</v>
      </c>
      <c r="M231" s="582" t="s">
        <v>162</v>
      </c>
      <c r="N231" s="582" t="s">
        <v>2978</v>
      </c>
    </row>
    <row r="232" spans="1:14" ht="16.5">
      <c r="A232" s="582" t="s">
        <v>2968</v>
      </c>
      <c r="B232" s="582" t="s">
        <v>2979</v>
      </c>
      <c r="C232" s="585">
        <v>9.2592592592592588E-5</v>
      </c>
      <c r="D232" s="582" t="s">
        <v>2980</v>
      </c>
      <c r="E232" s="582" t="s">
        <v>154</v>
      </c>
      <c r="F232" s="582" t="s">
        <v>2900</v>
      </c>
      <c r="G232" s="582" t="s">
        <v>2981</v>
      </c>
      <c r="H232" s="582" t="s">
        <v>157</v>
      </c>
      <c r="I232" s="582" t="s">
        <v>158</v>
      </c>
      <c r="J232" s="582" t="s">
        <v>391</v>
      </c>
      <c r="K232" s="582" t="s">
        <v>2084</v>
      </c>
      <c r="L232" s="582" t="s">
        <v>161</v>
      </c>
      <c r="M232" s="582" t="s">
        <v>162</v>
      </c>
      <c r="N232" s="582" t="s">
        <v>2982</v>
      </c>
    </row>
    <row r="233" spans="1:14" ht="16.5">
      <c r="A233" s="582" t="s">
        <v>2968</v>
      </c>
      <c r="B233" s="582" t="s">
        <v>2983</v>
      </c>
      <c r="C233" s="585">
        <v>1.2152777777777778E-3</v>
      </c>
      <c r="D233" s="582" t="s">
        <v>2984</v>
      </c>
      <c r="E233" s="582" t="s">
        <v>154</v>
      </c>
      <c r="F233" s="582" t="s">
        <v>2334</v>
      </c>
      <c r="G233" s="582" t="s">
        <v>1517</v>
      </c>
      <c r="H233" s="582" t="s">
        <v>157</v>
      </c>
      <c r="I233" s="582" t="s">
        <v>197</v>
      </c>
      <c r="J233" s="582" t="s">
        <v>198</v>
      </c>
      <c r="K233" s="582" t="s">
        <v>160</v>
      </c>
      <c r="L233" s="582" t="s">
        <v>161</v>
      </c>
      <c r="M233" s="582" t="s">
        <v>162</v>
      </c>
      <c r="N233" s="582" t="s">
        <v>2985</v>
      </c>
    </row>
    <row r="234" spans="1:14" ht="16.5">
      <c r="A234" s="582" t="s">
        <v>2968</v>
      </c>
      <c r="B234" s="582" t="s">
        <v>2986</v>
      </c>
      <c r="C234" s="585">
        <v>2.3148148148148151E-3</v>
      </c>
      <c r="D234" s="582" t="s">
        <v>2987</v>
      </c>
      <c r="E234" s="582" t="s">
        <v>154</v>
      </c>
      <c r="F234" s="582" t="s">
        <v>1320</v>
      </c>
      <c r="G234" s="582" t="s">
        <v>1441</v>
      </c>
      <c r="H234" s="582" t="s">
        <v>157</v>
      </c>
      <c r="I234" s="582" t="s">
        <v>158</v>
      </c>
      <c r="J234" s="582" t="s">
        <v>212</v>
      </c>
      <c r="K234" s="582" t="s">
        <v>2084</v>
      </c>
      <c r="L234" s="582" t="s">
        <v>161</v>
      </c>
      <c r="M234" s="582" t="s">
        <v>162</v>
      </c>
      <c r="N234" s="582" t="s">
        <v>2988</v>
      </c>
    </row>
    <row r="235" spans="1:14" ht="16.5">
      <c r="A235" s="582" t="s">
        <v>2968</v>
      </c>
      <c r="B235" s="582" t="s">
        <v>2989</v>
      </c>
      <c r="C235" s="585">
        <v>1.8634259259259261E-3</v>
      </c>
      <c r="D235" s="582" t="s">
        <v>2990</v>
      </c>
      <c r="E235" s="582" t="s">
        <v>154</v>
      </c>
      <c r="F235" s="582" t="s">
        <v>2991</v>
      </c>
      <c r="G235" s="582" t="s">
        <v>362</v>
      </c>
      <c r="H235" s="582" t="s">
        <v>157</v>
      </c>
      <c r="I235" s="582" t="s">
        <v>158</v>
      </c>
      <c r="J235" s="582" t="s">
        <v>212</v>
      </c>
      <c r="K235" s="582" t="s">
        <v>2714</v>
      </c>
      <c r="L235" s="582" t="s">
        <v>161</v>
      </c>
      <c r="M235" s="582" t="s">
        <v>162</v>
      </c>
      <c r="N235" s="582" t="s">
        <v>2992</v>
      </c>
    </row>
    <row r="236" spans="1:14" ht="16.5">
      <c r="A236" s="582" t="s">
        <v>2968</v>
      </c>
      <c r="B236" s="582" t="s">
        <v>4160</v>
      </c>
      <c r="C236" s="582"/>
      <c r="D236" s="582"/>
      <c r="E236" s="582"/>
      <c r="F236" s="582" t="s">
        <v>1320</v>
      </c>
      <c r="G236" s="582" t="s">
        <v>1321</v>
      </c>
      <c r="H236" s="582" t="s">
        <v>157</v>
      </c>
      <c r="I236" s="582" t="s">
        <v>158</v>
      </c>
      <c r="J236" s="582" t="s">
        <v>212</v>
      </c>
      <c r="K236" s="582" t="s">
        <v>2084</v>
      </c>
      <c r="L236" s="582" t="s">
        <v>161</v>
      </c>
      <c r="M236" s="582" t="s">
        <v>162</v>
      </c>
      <c r="N236" s="582" t="s">
        <v>4161</v>
      </c>
    </row>
    <row r="237" spans="1:14" ht="16.5">
      <c r="A237" s="582" t="s">
        <v>2968</v>
      </c>
      <c r="B237" s="582" t="s">
        <v>2993</v>
      </c>
      <c r="C237" s="585">
        <v>4.6296296296296294E-5</v>
      </c>
      <c r="D237" s="582" t="s">
        <v>2994</v>
      </c>
      <c r="E237" s="582" t="s">
        <v>154</v>
      </c>
      <c r="F237" s="582" t="s">
        <v>2995</v>
      </c>
      <c r="G237" s="582" t="s">
        <v>2796</v>
      </c>
      <c r="H237" s="582" t="s">
        <v>157</v>
      </c>
      <c r="I237" s="582" t="s">
        <v>158</v>
      </c>
      <c r="J237" s="582" t="s">
        <v>212</v>
      </c>
      <c r="K237" s="582" t="s">
        <v>2084</v>
      </c>
      <c r="L237" s="582" t="s">
        <v>161</v>
      </c>
      <c r="M237" s="582" t="s">
        <v>162</v>
      </c>
      <c r="N237" s="582" t="s">
        <v>2996</v>
      </c>
    </row>
    <row r="238" spans="1:14" ht="16.5">
      <c r="A238" s="582" t="s">
        <v>2968</v>
      </c>
      <c r="B238" s="582" t="s">
        <v>2997</v>
      </c>
      <c r="C238" s="585">
        <v>3.1250000000000001E-4</v>
      </c>
      <c r="D238" s="582" t="s">
        <v>2998</v>
      </c>
      <c r="E238" s="582" t="s">
        <v>154</v>
      </c>
      <c r="F238" s="582" t="s">
        <v>1320</v>
      </c>
      <c r="G238" s="582" t="s">
        <v>1321</v>
      </c>
      <c r="H238" s="582" t="s">
        <v>157</v>
      </c>
      <c r="I238" s="582" t="s">
        <v>158</v>
      </c>
      <c r="J238" s="582" t="s">
        <v>212</v>
      </c>
      <c r="K238" s="582" t="s">
        <v>2084</v>
      </c>
      <c r="L238" s="582" t="s">
        <v>161</v>
      </c>
      <c r="M238" s="582" t="s">
        <v>162</v>
      </c>
      <c r="N238" s="582" t="s">
        <v>2999</v>
      </c>
    </row>
    <row r="239" spans="1:14" ht="16.5">
      <c r="A239" s="582" t="s">
        <v>2968</v>
      </c>
      <c r="B239" s="582" t="s">
        <v>4162</v>
      </c>
      <c r="C239" s="582"/>
      <c r="D239" s="582"/>
      <c r="E239" s="582"/>
      <c r="F239" s="582" t="s">
        <v>4048</v>
      </c>
      <c r="G239" s="582" t="s">
        <v>4049</v>
      </c>
      <c r="H239" s="582" t="s">
        <v>157</v>
      </c>
      <c r="I239" s="582" t="s">
        <v>158</v>
      </c>
      <c r="J239" s="582" t="s">
        <v>168</v>
      </c>
      <c r="K239" s="582" t="s">
        <v>160</v>
      </c>
      <c r="L239" s="582" t="s">
        <v>161</v>
      </c>
      <c r="M239" s="582" t="s">
        <v>162</v>
      </c>
      <c r="N239" s="582" t="s">
        <v>796</v>
      </c>
    </row>
    <row r="240" spans="1:14" ht="16.5">
      <c r="A240" s="582" t="s">
        <v>2968</v>
      </c>
      <c r="B240" s="582" t="s">
        <v>3000</v>
      </c>
      <c r="C240" s="585">
        <v>2.1990740740740742E-3</v>
      </c>
      <c r="D240" s="582" t="s">
        <v>3001</v>
      </c>
      <c r="E240" s="582" t="s">
        <v>154</v>
      </c>
      <c r="F240" s="582" t="s">
        <v>2919</v>
      </c>
      <c r="G240" s="582" t="s">
        <v>2974</v>
      </c>
      <c r="H240" s="582" t="s">
        <v>157</v>
      </c>
      <c r="I240" s="582" t="s">
        <v>158</v>
      </c>
      <c r="J240" s="582" t="s">
        <v>168</v>
      </c>
      <c r="K240" s="582" t="s">
        <v>2714</v>
      </c>
      <c r="L240" s="582" t="s">
        <v>161</v>
      </c>
      <c r="M240" s="582" t="s">
        <v>162</v>
      </c>
      <c r="N240" s="582" t="s">
        <v>3002</v>
      </c>
    </row>
    <row r="241" spans="1:14" ht="16.5">
      <c r="A241" s="582" t="s">
        <v>2968</v>
      </c>
      <c r="B241" s="582" t="s">
        <v>3003</v>
      </c>
      <c r="C241" s="585">
        <v>6.134259259259259E-4</v>
      </c>
      <c r="D241" s="582" t="s">
        <v>3004</v>
      </c>
      <c r="E241" s="582" t="s">
        <v>154</v>
      </c>
      <c r="F241" s="582" t="s">
        <v>3005</v>
      </c>
      <c r="G241" s="582" t="s">
        <v>3006</v>
      </c>
      <c r="H241" s="582" t="s">
        <v>157</v>
      </c>
      <c r="I241" s="582" t="s">
        <v>158</v>
      </c>
      <c r="J241" s="582" t="s">
        <v>212</v>
      </c>
      <c r="K241" s="582" t="s">
        <v>2084</v>
      </c>
      <c r="L241" s="582" t="s">
        <v>161</v>
      </c>
      <c r="M241" s="582" t="s">
        <v>162</v>
      </c>
      <c r="N241" s="582" t="s">
        <v>3007</v>
      </c>
    </row>
    <row r="242" spans="1:14" ht="16.5">
      <c r="A242" s="582" t="s">
        <v>2968</v>
      </c>
      <c r="B242" s="582" t="s">
        <v>3008</v>
      </c>
      <c r="C242" s="585">
        <v>2.3148148148148147E-5</v>
      </c>
      <c r="D242" s="582" t="s">
        <v>3009</v>
      </c>
      <c r="E242" s="582" t="s">
        <v>154</v>
      </c>
      <c r="F242" s="582" t="s">
        <v>2454</v>
      </c>
      <c r="G242" s="582" t="s">
        <v>3010</v>
      </c>
      <c r="H242" s="582" t="s">
        <v>157</v>
      </c>
      <c r="I242" s="582" t="s">
        <v>158</v>
      </c>
      <c r="J242" s="582" t="s">
        <v>168</v>
      </c>
      <c r="K242" s="582" t="s">
        <v>2084</v>
      </c>
      <c r="L242" s="582" t="s">
        <v>161</v>
      </c>
      <c r="M242" s="582" t="s">
        <v>162</v>
      </c>
      <c r="N242" s="582" t="s">
        <v>3011</v>
      </c>
    </row>
    <row r="243" spans="1:14" ht="16.5">
      <c r="A243" s="582" t="s">
        <v>2968</v>
      </c>
      <c r="B243" s="582" t="s">
        <v>3012</v>
      </c>
      <c r="C243" s="585">
        <v>4.9768518518518521E-4</v>
      </c>
      <c r="D243" s="582" t="s">
        <v>3013</v>
      </c>
      <c r="E243" s="582" t="s">
        <v>154</v>
      </c>
      <c r="F243" s="582" t="s">
        <v>3014</v>
      </c>
      <c r="G243" s="582" t="s">
        <v>3015</v>
      </c>
      <c r="H243" s="582" t="s">
        <v>157</v>
      </c>
      <c r="I243" s="582" t="s">
        <v>158</v>
      </c>
      <c r="J243" s="582" t="s">
        <v>713</v>
      </c>
      <c r="K243" s="582" t="s">
        <v>160</v>
      </c>
      <c r="L243" s="582" t="s">
        <v>161</v>
      </c>
      <c r="M243" s="582" t="s">
        <v>162</v>
      </c>
      <c r="N243" s="582" t="s">
        <v>3016</v>
      </c>
    </row>
    <row r="244" spans="1:14" ht="16.5">
      <c r="A244" s="582" t="s">
        <v>2968</v>
      </c>
      <c r="B244" s="582" t="s">
        <v>3017</v>
      </c>
      <c r="C244" s="585">
        <v>8.1018518518518516E-5</v>
      </c>
      <c r="D244" s="582" t="s">
        <v>3018</v>
      </c>
      <c r="E244" s="582" t="s">
        <v>154</v>
      </c>
      <c r="F244" s="582" t="s">
        <v>988</v>
      </c>
      <c r="G244" s="582" t="s">
        <v>3019</v>
      </c>
      <c r="H244" s="582" t="s">
        <v>157</v>
      </c>
      <c r="I244" s="582" t="s">
        <v>158</v>
      </c>
      <c r="J244" s="582" t="s">
        <v>713</v>
      </c>
      <c r="K244" s="582" t="s">
        <v>160</v>
      </c>
      <c r="L244" s="582" t="s">
        <v>161</v>
      </c>
      <c r="M244" s="582" t="s">
        <v>162</v>
      </c>
      <c r="N244" s="582" t="s">
        <v>3020</v>
      </c>
    </row>
    <row r="245" spans="1:14" ht="16.5">
      <c r="A245" s="582" t="s">
        <v>2968</v>
      </c>
      <c r="B245" s="582" t="s">
        <v>3021</v>
      </c>
      <c r="C245" s="585">
        <v>5.9027777777777778E-4</v>
      </c>
      <c r="D245" s="582" t="s">
        <v>3022</v>
      </c>
      <c r="E245" s="582" t="s">
        <v>154</v>
      </c>
      <c r="F245" s="582" t="s">
        <v>988</v>
      </c>
      <c r="G245" s="582" t="s">
        <v>3023</v>
      </c>
      <c r="H245" s="582" t="s">
        <v>157</v>
      </c>
      <c r="I245" s="582" t="s">
        <v>158</v>
      </c>
      <c r="J245" s="582" t="s">
        <v>713</v>
      </c>
      <c r="K245" s="582" t="s">
        <v>160</v>
      </c>
      <c r="L245" s="582" t="s">
        <v>161</v>
      </c>
      <c r="M245" s="582" t="s">
        <v>162</v>
      </c>
      <c r="N245" s="582" t="s">
        <v>3024</v>
      </c>
    </row>
    <row r="246" spans="1:14" ht="16.5">
      <c r="A246" s="582" t="s">
        <v>2968</v>
      </c>
      <c r="B246" s="582" t="s">
        <v>3025</v>
      </c>
      <c r="C246" s="585">
        <v>6.4814814814814813E-4</v>
      </c>
      <c r="D246" s="582" t="s">
        <v>3026</v>
      </c>
      <c r="E246" s="582" t="s">
        <v>154</v>
      </c>
      <c r="F246" s="582" t="s">
        <v>988</v>
      </c>
      <c r="G246" s="582" t="s">
        <v>3027</v>
      </c>
      <c r="H246" s="582" t="s">
        <v>157</v>
      </c>
      <c r="I246" s="582" t="s">
        <v>158</v>
      </c>
      <c r="J246" s="582" t="s">
        <v>168</v>
      </c>
      <c r="K246" s="582" t="s">
        <v>160</v>
      </c>
      <c r="L246" s="582" t="s">
        <v>161</v>
      </c>
      <c r="M246" s="582" t="s">
        <v>162</v>
      </c>
      <c r="N246" s="582" t="s">
        <v>3028</v>
      </c>
    </row>
    <row r="247" spans="1:14" ht="16.5">
      <c r="A247" s="582" t="s">
        <v>2968</v>
      </c>
      <c r="B247" s="582" t="s">
        <v>3029</v>
      </c>
      <c r="C247" s="585">
        <v>2.3148148148148147E-5</v>
      </c>
      <c r="D247" s="582" t="s">
        <v>3030</v>
      </c>
      <c r="E247" s="582" t="s">
        <v>154</v>
      </c>
      <c r="F247" s="582" t="s">
        <v>2824</v>
      </c>
      <c r="G247" s="582" t="s">
        <v>2825</v>
      </c>
      <c r="H247" s="582" t="s">
        <v>157</v>
      </c>
      <c r="I247" s="582" t="s">
        <v>158</v>
      </c>
      <c r="J247" s="582" t="s">
        <v>168</v>
      </c>
      <c r="K247" s="582" t="s">
        <v>160</v>
      </c>
      <c r="L247" s="582" t="s">
        <v>161</v>
      </c>
      <c r="M247" s="582" t="s">
        <v>162</v>
      </c>
      <c r="N247" s="582" t="s">
        <v>3031</v>
      </c>
    </row>
    <row r="248" spans="1:14" ht="16.5">
      <c r="A248" s="582" t="s">
        <v>2968</v>
      </c>
      <c r="B248" s="582" t="s">
        <v>3032</v>
      </c>
      <c r="C248" s="585">
        <v>8.2175925925925917E-4</v>
      </c>
      <c r="D248" s="582" t="s">
        <v>3033</v>
      </c>
      <c r="E248" s="582" t="s">
        <v>154</v>
      </c>
      <c r="F248" s="582" t="s">
        <v>2304</v>
      </c>
      <c r="G248" s="582" t="s">
        <v>3034</v>
      </c>
      <c r="H248" s="582" t="s">
        <v>157</v>
      </c>
      <c r="I248" s="582" t="s">
        <v>158</v>
      </c>
      <c r="J248" s="582" t="s">
        <v>212</v>
      </c>
      <c r="K248" s="582" t="s">
        <v>2714</v>
      </c>
      <c r="L248" s="582" t="s">
        <v>161</v>
      </c>
      <c r="M248" s="582" t="s">
        <v>162</v>
      </c>
      <c r="N248" s="582" t="s">
        <v>3035</v>
      </c>
    </row>
    <row r="249" spans="1:14" ht="16.5">
      <c r="A249" s="582" t="s">
        <v>2968</v>
      </c>
      <c r="B249" s="582" t="s">
        <v>214</v>
      </c>
      <c r="C249" s="585">
        <v>1.0416666666666667E-3</v>
      </c>
      <c r="D249" s="582" t="s">
        <v>3036</v>
      </c>
      <c r="E249" s="582" t="s">
        <v>154</v>
      </c>
      <c r="F249" s="582" t="s">
        <v>1995</v>
      </c>
      <c r="G249" s="582" t="s">
        <v>1996</v>
      </c>
      <c r="H249" s="582" t="s">
        <v>157</v>
      </c>
      <c r="I249" s="582" t="s">
        <v>197</v>
      </c>
      <c r="J249" s="582" t="s">
        <v>198</v>
      </c>
      <c r="K249" s="582" t="s">
        <v>160</v>
      </c>
      <c r="L249" s="582" t="s">
        <v>161</v>
      </c>
      <c r="M249" s="582" t="s">
        <v>162</v>
      </c>
      <c r="N249" s="582" t="s">
        <v>3037</v>
      </c>
    </row>
    <row r="250" spans="1:14" ht="16.5">
      <c r="A250" s="582" t="s">
        <v>2968</v>
      </c>
      <c r="B250" s="582" t="s">
        <v>3038</v>
      </c>
      <c r="C250" s="585">
        <v>1.0416666666666667E-4</v>
      </c>
      <c r="D250" s="582" t="s">
        <v>3039</v>
      </c>
      <c r="E250" s="582" t="s">
        <v>154</v>
      </c>
      <c r="F250" s="582" t="s">
        <v>2285</v>
      </c>
      <c r="G250" s="582" t="s">
        <v>3040</v>
      </c>
      <c r="H250" s="582" t="s">
        <v>157</v>
      </c>
      <c r="I250" s="582" t="s">
        <v>158</v>
      </c>
      <c r="J250" s="582" t="s">
        <v>212</v>
      </c>
      <c r="K250" s="582" t="s">
        <v>2714</v>
      </c>
      <c r="L250" s="582" t="s">
        <v>161</v>
      </c>
      <c r="M250" s="582" t="s">
        <v>162</v>
      </c>
      <c r="N250" s="582" t="s">
        <v>3041</v>
      </c>
    </row>
    <row r="251" spans="1:14" ht="16.5">
      <c r="A251" s="582" t="s">
        <v>2968</v>
      </c>
      <c r="B251" s="582" t="s">
        <v>4164</v>
      </c>
      <c r="C251" s="582"/>
      <c r="D251" s="582"/>
      <c r="E251" s="582"/>
      <c r="F251" s="582" t="s">
        <v>2818</v>
      </c>
      <c r="G251" s="582" t="s">
        <v>4165</v>
      </c>
      <c r="H251" s="582" t="s">
        <v>157</v>
      </c>
      <c r="I251" s="582" t="s">
        <v>158</v>
      </c>
      <c r="J251" s="582" t="s">
        <v>168</v>
      </c>
      <c r="K251" s="582" t="s">
        <v>2714</v>
      </c>
      <c r="L251" s="582" t="s">
        <v>161</v>
      </c>
      <c r="M251" s="582" t="s">
        <v>162</v>
      </c>
      <c r="N251" s="582" t="s">
        <v>3679</v>
      </c>
    </row>
    <row r="252" spans="1:14" ht="16.5">
      <c r="A252" s="582" t="s">
        <v>2968</v>
      </c>
      <c r="B252" s="582" t="s">
        <v>4166</v>
      </c>
      <c r="C252" s="582"/>
      <c r="D252" s="582"/>
      <c r="E252" s="582"/>
      <c r="F252" s="582" t="s">
        <v>2799</v>
      </c>
      <c r="G252" s="582" t="s">
        <v>2800</v>
      </c>
      <c r="H252" s="582" t="s">
        <v>157</v>
      </c>
      <c r="I252" s="582" t="s">
        <v>158</v>
      </c>
      <c r="J252" s="582" t="s">
        <v>212</v>
      </c>
      <c r="K252" s="582" t="s">
        <v>2714</v>
      </c>
      <c r="L252" s="582" t="s">
        <v>161</v>
      </c>
      <c r="M252" s="582" t="s">
        <v>162</v>
      </c>
      <c r="N252" s="582" t="s">
        <v>4167</v>
      </c>
    </row>
    <row r="253" spans="1:14" ht="16.5">
      <c r="A253" s="582" t="s">
        <v>2968</v>
      </c>
      <c r="B253" s="582" t="s">
        <v>3042</v>
      </c>
      <c r="C253" s="585">
        <v>2.3148148148148151E-3</v>
      </c>
      <c r="D253" s="582" t="s">
        <v>3043</v>
      </c>
      <c r="E253" s="582" t="s">
        <v>154</v>
      </c>
      <c r="F253" s="582" t="s">
        <v>2799</v>
      </c>
      <c r="G253" s="582" t="s">
        <v>3044</v>
      </c>
      <c r="H253" s="582" t="s">
        <v>157</v>
      </c>
      <c r="I253" s="582" t="s">
        <v>158</v>
      </c>
      <c r="J253" s="582" t="s">
        <v>212</v>
      </c>
      <c r="K253" s="582" t="s">
        <v>2714</v>
      </c>
      <c r="L253" s="582" t="s">
        <v>161</v>
      </c>
      <c r="M253" s="582" t="s">
        <v>162</v>
      </c>
      <c r="N253" s="582" t="s">
        <v>3045</v>
      </c>
    </row>
    <row r="254" spans="1:14" ht="16.5">
      <c r="A254" s="582" t="s">
        <v>2968</v>
      </c>
      <c r="B254" s="582" t="s">
        <v>3046</v>
      </c>
      <c r="C254" s="585">
        <v>2.673611111111111E-3</v>
      </c>
      <c r="D254" s="582" t="s">
        <v>3047</v>
      </c>
      <c r="E254" s="582" t="s">
        <v>154</v>
      </c>
      <c r="F254" s="582" t="s">
        <v>2351</v>
      </c>
      <c r="G254" s="582" t="s">
        <v>2352</v>
      </c>
      <c r="H254" s="582" t="s">
        <v>157</v>
      </c>
      <c r="I254" s="582" t="s">
        <v>158</v>
      </c>
      <c r="J254" s="582" t="s">
        <v>168</v>
      </c>
      <c r="K254" s="582" t="s">
        <v>160</v>
      </c>
      <c r="L254" s="582" t="s">
        <v>161</v>
      </c>
      <c r="M254" s="582" t="s">
        <v>162</v>
      </c>
      <c r="N254" s="582" t="s">
        <v>3048</v>
      </c>
    </row>
    <row r="255" spans="1:14" ht="16.5">
      <c r="A255" s="582" t="s">
        <v>2968</v>
      </c>
      <c r="B255" s="582" t="s">
        <v>2010</v>
      </c>
      <c r="C255" s="585">
        <v>6.2500000000000001E-4</v>
      </c>
      <c r="D255" s="582" t="s">
        <v>3049</v>
      </c>
      <c r="E255" s="582" t="s">
        <v>154</v>
      </c>
      <c r="F255" s="582" t="s">
        <v>3050</v>
      </c>
      <c r="G255" s="582" t="s">
        <v>2839</v>
      </c>
      <c r="H255" s="582" t="s">
        <v>157</v>
      </c>
      <c r="I255" s="582" t="s">
        <v>158</v>
      </c>
      <c r="J255" s="582" t="s">
        <v>159</v>
      </c>
      <c r="K255" s="582" t="s">
        <v>2084</v>
      </c>
      <c r="L255" s="582" t="s">
        <v>161</v>
      </c>
      <c r="M255" s="582" t="s">
        <v>162</v>
      </c>
      <c r="N255" s="582" t="s">
        <v>3051</v>
      </c>
    </row>
    <row r="256" spans="1:14" ht="16.5">
      <c r="A256" s="582" t="s">
        <v>2968</v>
      </c>
      <c r="B256" s="582" t="s">
        <v>4168</v>
      </c>
      <c r="C256" s="582"/>
      <c r="D256" s="582"/>
      <c r="E256" s="582"/>
      <c r="F256" s="582" t="s">
        <v>2799</v>
      </c>
      <c r="G256" s="582" t="s">
        <v>4169</v>
      </c>
      <c r="H256" s="582" t="s">
        <v>157</v>
      </c>
      <c r="I256" s="582" t="s">
        <v>158</v>
      </c>
      <c r="J256" s="582" t="s">
        <v>212</v>
      </c>
      <c r="K256" s="582" t="s">
        <v>2714</v>
      </c>
      <c r="L256" s="582" t="s">
        <v>161</v>
      </c>
      <c r="M256" s="582" t="s">
        <v>162</v>
      </c>
      <c r="N256" s="582" t="s">
        <v>4170</v>
      </c>
    </row>
    <row r="257" spans="1:14" ht="16.5">
      <c r="A257" s="582" t="s">
        <v>2968</v>
      </c>
      <c r="B257" s="582" t="s">
        <v>3052</v>
      </c>
      <c r="C257" s="585">
        <v>3.4722222222222224E-4</v>
      </c>
      <c r="D257" s="582" t="s">
        <v>3053</v>
      </c>
      <c r="E257" s="582" t="s">
        <v>154</v>
      </c>
      <c r="F257" s="582" t="s">
        <v>2299</v>
      </c>
      <c r="G257" s="582" t="s">
        <v>3054</v>
      </c>
      <c r="H257" s="582" t="s">
        <v>157</v>
      </c>
      <c r="I257" s="582" t="s">
        <v>158</v>
      </c>
      <c r="J257" s="582" t="s">
        <v>212</v>
      </c>
      <c r="K257" s="582" t="s">
        <v>2084</v>
      </c>
      <c r="L257" s="582" t="s">
        <v>161</v>
      </c>
      <c r="M257" s="582" t="s">
        <v>162</v>
      </c>
      <c r="N257" s="582" t="s">
        <v>3055</v>
      </c>
    </row>
    <row r="258" spans="1:14" ht="16.5">
      <c r="A258" s="582" t="s">
        <v>2968</v>
      </c>
      <c r="B258" s="582" t="s">
        <v>3056</v>
      </c>
      <c r="C258" s="585">
        <v>2.4305555555555556E-3</v>
      </c>
      <c r="D258" s="582" t="s">
        <v>3057</v>
      </c>
      <c r="E258" s="582" t="s">
        <v>154</v>
      </c>
      <c r="F258" s="582" t="s">
        <v>2862</v>
      </c>
      <c r="G258" s="582" t="s">
        <v>276</v>
      </c>
      <c r="H258" s="582" t="s">
        <v>157</v>
      </c>
      <c r="I258" s="582" t="s">
        <v>158</v>
      </c>
      <c r="J258" s="582" t="s">
        <v>212</v>
      </c>
      <c r="K258" s="582" t="s">
        <v>160</v>
      </c>
      <c r="L258" s="582" t="s">
        <v>161</v>
      </c>
      <c r="M258" s="582" t="s">
        <v>162</v>
      </c>
      <c r="N258" s="582" t="s">
        <v>3058</v>
      </c>
    </row>
    <row r="259" spans="1:14" ht="16.5">
      <c r="A259" s="582" t="s">
        <v>2968</v>
      </c>
      <c r="B259" s="582" t="s">
        <v>4171</v>
      </c>
      <c r="C259" s="582"/>
      <c r="D259" s="582"/>
      <c r="E259" s="582"/>
      <c r="F259" s="582" t="s">
        <v>2761</v>
      </c>
      <c r="G259" s="582" t="s">
        <v>2762</v>
      </c>
      <c r="H259" s="582" t="s">
        <v>157</v>
      </c>
      <c r="I259" s="582" t="s">
        <v>158</v>
      </c>
      <c r="J259" s="582" t="s">
        <v>168</v>
      </c>
      <c r="K259" s="582" t="s">
        <v>2714</v>
      </c>
      <c r="L259" s="582" t="s">
        <v>161</v>
      </c>
      <c r="M259" s="582" t="s">
        <v>162</v>
      </c>
      <c r="N259" s="582" t="s">
        <v>4172</v>
      </c>
    </row>
    <row r="260" spans="1:14" ht="16.5">
      <c r="A260" s="582" t="s">
        <v>2968</v>
      </c>
      <c r="B260" s="582" t="s">
        <v>3059</v>
      </c>
      <c r="C260" s="585">
        <v>1.0416666666666667E-4</v>
      </c>
      <c r="D260" s="582" t="s">
        <v>3060</v>
      </c>
      <c r="E260" s="582" t="s">
        <v>154</v>
      </c>
      <c r="F260" s="582" t="s">
        <v>1799</v>
      </c>
      <c r="G260" s="582" t="s">
        <v>2727</v>
      </c>
      <c r="H260" s="582" t="s">
        <v>157</v>
      </c>
      <c r="I260" s="582" t="s">
        <v>158</v>
      </c>
      <c r="J260" s="582" t="s">
        <v>713</v>
      </c>
      <c r="K260" s="582" t="s">
        <v>2084</v>
      </c>
      <c r="L260" s="582" t="s">
        <v>161</v>
      </c>
      <c r="M260" s="582" t="s">
        <v>162</v>
      </c>
      <c r="N260" s="582" t="s">
        <v>3061</v>
      </c>
    </row>
    <row r="261" spans="1:14" ht="16.5">
      <c r="A261" s="582" t="s">
        <v>2968</v>
      </c>
      <c r="B261" s="582" t="s">
        <v>3062</v>
      </c>
      <c r="C261" s="585">
        <v>2.8703703703703708E-3</v>
      </c>
      <c r="D261" s="582" t="s">
        <v>3063</v>
      </c>
      <c r="E261" s="582" t="s">
        <v>154</v>
      </c>
      <c r="F261" s="582" t="s">
        <v>2325</v>
      </c>
      <c r="G261" s="582" t="s">
        <v>362</v>
      </c>
      <c r="H261" s="582" t="s">
        <v>157</v>
      </c>
      <c r="I261" s="582" t="s">
        <v>158</v>
      </c>
      <c r="J261" s="582" t="s">
        <v>212</v>
      </c>
      <c r="K261" s="582" t="s">
        <v>2714</v>
      </c>
      <c r="L261" s="582" t="s">
        <v>161</v>
      </c>
      <c r="M261" s="582" t="s">
        <v>162</v>
      </c>
      <c r="N261" s="582" t="s">
        <v>3064</v>
      </c>
    </row>
    <row r="262" spans="1:14" ht="16.5">
      <c r="A262" s="582" t="s">
        <v>2968</v>
      </c>
      <c r="B262" s="582" t="s">
        <v>3065</v>
      </c>
      <c r="C262" s="585">
        <v>2.7083333333333334E-3</v>
      </c>
      <c r="D262" s="582" t="s">
        <v>3066</v>
      </c>
      <c r="E262" s="582" t="s">
        <v>154</v>
      </c>
      <c r="F262" s="582" t="s">
        <v>2844</v>
      </c>
      <c r="G262" s="582" t="s">
        <v>2845</v>
      </c>
      <c r="H262" s="582" t="s">
        <v>157</v>
      </c>
      <c r="I262" s="582" t="s">
        <v>158</v>
      </c>
      <c r="J262" s="582" t="s">
        <v>168</v>
      </c>
      <c r="K262" s="582" t="s">
        <v>160</v>
      </c>
      <c r="L262" s="582" t="s">
        <v>161</v>
      </c>
      <c r="M262" s="582" t="s">
        <v>162</v>
      </c>
      <c r="N262" s="582" t="s">
        <v>3067</v>
      </c>
    </row>
    <row r="263" spans="1:14" ht="16.5">
      <c r="A263" s="582" t="s">
        <v>2968</v>
      </c>
      <c r="B263" s="582" t="s">
        <v>3068</v>
      </c>
      <c r="C263" s="585">
        <v>8.1018518518518516E-5</v>
      </c>
      <c r="D263" s="582" t="s">
        <v>3069</v>
      </c>
      <c r="E263" s="582" t="s">
        <v>154</v>
      </c>
      <c r="F263" s="582" t="s">
        <v>2535</v>
      </c>
      <c r="G263" s="582" t="s">
        <v>2536</v>
      </c>
      <c r="H263" s="582" t="s">
        <v>157</v>
      </c>
      <c r="I263" s="582" t="s">
        <v>158</v>
      </c>
      <c r="J263" s="582" t="s">
        <v>391</v>
      </c>
      <c r="K263" s="582" t="s">
        <v>2084</v>
      </c>
      <c r="L263" s="582" t="s">
        <v>161</v>
      </c>
      <c r="M263" s="582" t="s">
        <v>162</v>
      </c>
      <c r="N263" s="582" t="s">
        <v>3070</v>
      </c>
    </row>
    <row r="264" spans="1:14" ht="16.5">
      <c r="A264" s="582" t="s">
        <v>2968</v>
      </c>
      <c r="B264" s="582" t="s">
        <v>3071</v>
      </c>
      <c r="C264" s="585">
        <v>3.7152777777777774E-3</v>
      </c>
      <c r="D264" s="582" t="s">
        <v>3072</v>
      </c>
      <c r="E264" s="582" t="s">
        <v>154</v>
      </c>
      <c r="F264" s="582" t="s">
        <v>1586</v>
      </c>
      <c r="G264" s="582" t="s">
        <v>1607</v>
      </c>
      <c r="H264" s="582" t="s">
        <v>157</v>
      </c>
      <c r="I264" s="582" t="s">
        <v>158</v>
      </c>
      <c r="J264" s="582" t="s">
        <v>191</v>
      </c>
      <c r="K264" s="582" t="s">
        <v>2714</v>
      </c>
      <c r="L264" s="582" t="s">
        <v>161</v>
      </c>
      <c r="M264" s="582" t="s">
        <v>162</v>
      </c>
      <c r="N264" s="582" t="s">
        <v>3073</v>
      </c>
    </row>
    <row r="265" spans="1:14" ht="16.5">
      <c r="A265" s="582" t="s">
        <v>2968</v>
      </c>
      <c r="B265" s="582" t="s">
        <v>3074</v>
      </c>
      <c r="C265" s="585">
        <v>4.8611111111111104E-4</v>
      </c>
      <c r="D265" s="582" t="s">
        <v>3075</v>
      </c>
      <c r="E265" s="582" t="s">
        <v>154</v>
      </c>
      <c r="F265" s="582" t="s">
        <v>1804</v>
      </c>
      <c r="G265" s="582" t="s">
        <v>1805</v>
      </c>
      <c r="H265" s="582" t="s">
        <v>157</v>
      </c>
      <c r="I265" s="582" t="s">
        <v>158</v>
      </c>
      <c r="J265" s="582" t="s">
        <v>391</v>
      </c>
      <c r="K265" s="582" t="s">
        <v>2084</v>
      </c>
      <c r="L265" s="582" t="s">
        <v>161</v>
      </c>
      <c r="M265" s="582" t="s">
        <v>162</v>
      </c>
      <c r="N265" s="582" t="s">
        <v>3076</v>
      </c>
    </row>
    <row r="266" spans="1:14" ht="16.5">
      <c r="A266" s="582" t="s">
        <v>2968</v>
      </c>
      <c r="B266" s="582" t="s">
        <v>4173</v>
      </c>
      <c r="C266" s="582"/>
      <c r="D266" s="582"/>
      <c r="E266" s="582"/>
      <c r="F266" s="582" t="s">
        <v>2911</v>
      </c>
      <c r="G266" s="582" t="s">
        <v>3680</v>
      </c>
      <c r="H266" s="582" t="s">
        <v>157</v>
      </c>
      <c r="I266" s="582" t="s">
        <v>158</v>
      </c>
      <c r="J266" s="582" t="s">
        <v>168</v>
      </c>
      <c r="K266" s="582" t="s">
        <v>160</v>
      </c>
      <c r="L266" s="582" t="s">
        <v>161</v>
      </c>
      <c r="M266" s="582" t="s">
        <v>162</v>
      </c>
      <c r="N266" s="582" t="s">
        <v>3652</v>
      </c>
    </row>
    <row r="267" spans="1:14" ht="16.5">
      <c r="A267" s="582" t="s">
        <v>2968</v>
      </c>
      <c r="B267" s="582" t="s">
        <v>3077</v>
      </c>
      <c r="C267" s="585">
        <v>1.6203703703703703E-4</v>
      </c>
      <c r="D267" s="582" t="s">
        <v>3078</v>
      </c>
      <c r="E267" s="582" t="s">
        <v>154</v>
      </c>
      <c r="F267" s="582" t="s">
        <v>1320</v>
      </c>
      <c r="G267" s="582" t="s">
        <v>1441</v>
      </c>
      <c r="H267" s="582" t="s">
        <v>157</v>
      </c>
      <c r="I267" s="582" t="s">
        <v>158</v>
      </c>
      <c r="J267" s="582" t="s">
        <v>212</v>
      </c>
      <c r="K267" s="582" t="s">
        <v>2084</v>
      </c>
      <c r="L267" s="582" t="s">
        <v>161</v>
      </c>
      <c r="M267" s="582" t="s">
        <v>162</v>
      </c>
      <c r="N267" s="582" t="s">
        <v>3079</v>
      </c>
    </row>
    <row r="268" spans="1:14" ht="16.5">
      <c r="A268" s="582" t="s">
        <v>2968</v>
      </c>
      <c r="B268" s="582" t="s">
        <v>3080</v>
      </c>
      <c r="C268" s="585">
        <v>4.2824074074074075E-4</v>
      </c>
      <c r="D268" s="582" t="s">
        <v>3081</v>
      </c>
      <c r="E268" s="582" t="s">
        <v>154</v>
      </c>
      <c r="F268" s="582" t="s">
        <v>2299</v>
      </c>
      <c r="G268" s="582" t="s">
        <v>3054</v>
      </c>
      <c r="H268" s="582" t="s">
        <v>157</v>
      </c>
      <c r="I268" s="582" t="s">
        <v>158</v>
      </c>
      <c r="J268" s="582" t="s">
        <v>212</v>
      </c>
      <c r="K268" s="582" t="s">
        <v>2084</v>
      </c>
      <c r="L268" s="582" t="s">
        <v>161</v>
      </c>
      <c r="M268" s="582" t="s">
        <v>162</v>
      </c>
      <c r="N268" s="582" t="s">
        <v>3082</v>
      </c>
    </row>
    <row r="269" spans="1:14" ht="16.5">
      <c r="A269" s="582" t="s">
        <v>2968</v>
      </c>
      <c r="B269" s="582" t="s">
        <v>3083</v>
      </c>
      <c r="C269" s="585">
        <v>1.1458333333333333E-3</v>
      </c>
      <c r="D269" s="582" t="s">
        <v>3084</v>
      </c>
      <c r="E269" s="582" t="s">
        <v>154</v>
      </c>
      <c r="F269" s="582" t="s">
        <v>2228</v>
      </c>
      <c r="G269" s="582" t="s">
        <v>3085</v>
      </c>
      <c r="H269" s="582" t="s">
        <v>157</v>
      </c>
      <c r="I269" s="582" t="s">
        <v>158</v>
      </c>
      <c r="J269" s="582" t="s">
        <v>159</v>
      </c>
      <c r="K269" s="582" t="s">
        <v>160</v>
      </c>
      <c r="L269" s="582" t="s">
        <v>161</v>
      </c>
      <c r="M269" s="582" t="s">
        <v>162</v>
      </c>
      <c r="N269" s="582" t="s">
        <v>3086</v>
      </c>
    </row>
    <row r="270" spans="1:14" ht="16.5">
      <c r="A270" s="582" t="s">
        <v>2968</v>
      </c>
      <c r="B270" s="582" t="s">
        <v>3087</v>
      </c>
      <c r="C270" s="585">
        <v>4.6296296296296294E-5</v>
      </c>
      <c r="D270" s="582" t="s">
        <v>3088</v>
      </c>
      <c r="E270" s="582" t="s">
        <v>154</v>
      </c>
      <c r="F270" s="582" t="s">
        <v>3089</v>
      </c>
      <c r="G270" s="582" t="s">
        <v>3090</v>
      </c>
      <c r="H270" s="582" t="s">
        <v>157</v>
      </c>
      <c r="I270" s="582" t="s">
        <v>158</v>
      </c>
      <c r="J270" s="582" t="s">
        <v>168</v>
      </c>
      <c r="K270" s="582" t="s">
        <v>160</v>
      </c>
      <c r="L270" s="582" t="s">
        <v>161</v>
      </c>
      <c r="M270" s="582" t="s">
        <v>162</v>
      </c>
      <c r="N270" s="582" t="s">
        <v>3091</v>
      </c>
    </row>
    <row r="271" spans="1:14" ht="16.5">
      <c r="A271" s="582" t="s">
        <v>2968</v>
      </c>
      <c r="B271" s="582" t="s">
        <v>3092</v>
      </c>
      <c r="C271" s="585">
        <v>1.1574074074074073E-4</v>
      </c>
      <c r="D271" s="582" t="s">
        <v>3093</v>
      </c>
      <c r="E271" s="582" t="s">
        <v>154</v>
      </c>
      <c r="F271" s="582" t="s">
        <v>3094</v>
      </c>
      <c r="G271" s="582" t="s">
        <v>828</v>
      </c>
      <c r="H271" s="582" t="s">
        <v>157</v>
      </c>
      <c r="I271" s="582" t="s">
        <v>158</v>
      </c>
      <c r="J271" s="582" t="s">
        <v>191</v>
      </c>
      <c r="K271" s="582" t="s">
        <v>2714</v>
      </c>
      <c r="L271" s="582" t="s">
        <v>161</v>
      </c>
      <c r="M271" s="582" t="s">
        <v>162</v>
      </c>
      <c r="N271" s="582" t="s">
        <v>3095</v>
      </c>
    </row>
    <row r="272" spans="1:14" ht="16.5">
      <c r="A272" s="582" t="s">
        <v>2968</v>
      </c>
      <c r="B272" s="582" t="s">
        <v>3096</v>
      </c>
      <c r="C272" s="585">
        <v>1.261574074074074E-3</v>
      </c>
      <c r="D272" s="582" t="s">
        <v>3097</v>
      </c>
      <c r="E272" s="582" t="s">
        <v>154</v>
      </c>
      <c r="F272" s="582" t="s">
        <v>2012</v>
      </c>
      <c r="G272" s="582" t="s">
        <v>2474</v>
      </c>
      <c r="H272" s="582" t="s">
        <v>157</v>
      </c>
      <c r="I272" s="582" t="s">
        <v>197</v>
      </c>
      <c r="J272" s="582" t="s">
        <v>198</v>
      </c>
      <c r="K272" s="582" t="s">
        <v>160</v>
      </c>
      <c r="L272" s="582" t="s">
        <v>161</v>
      </c>
      <c r="M272" s="582" t="s">
        <v>162</v>
      </c>
      <c r="N272" s="582" t="s">
        <v>3098</v>
      </c>
    </row>
    <row r="273" spans="1:14" ht="16.5">
      <c r="A273" s="582" t="s">
        <v>2968</v>
      </c>
      <c r="B273" s="582" t="s">
        <v>3099</v>
      </c>
      <c r="C273" s="585">
        <v>1.5509259259259261E-3</v>
      </c>
      <c r="D273" s="582" t="s">
        <v>3100</v>
      </c>
      <c r="E273" s="582" t="s">
        <v>154</v>
      </c>
      <c r="F273" s="582" t="s">
        <v>2900</v>
      </c>
      <c r="G273" s="582" t="s">
        <v>2796</v>
      </c>
      <c r="H273" s="582" t="s">
        <v>157</v>
      </c>
      <c r="I273" s="582" t="s">
        <v>158</v>
      </c>
      <c r="J273" s="582" t="s">
        <v>168</v>
      </c>
      <c r="K273" s="582" t="s">
        <v>2084</v>
      </c>
      <c r="L273" s="582" t="s">
        <v>161</v>
      </c>
      <c r="M273" s="582" t="s">
        <v>162</v>
      </c>
      <c r="N273" s="582" t="s">
        <v>3101</v>
      </c>
    </row>
    <row r="274" spans="1:14" ht="16.5">
      <c r="A274" s="582" t="s">
        <v>2968</v>
      </c>
      <c r="B274" s="582" t="s">
        <v>3102</v>
      </c>
      <c r="C274" s="585">
        <v>4.6296296296296294E-5</v>
      </c>
      <c r="D274" s="582" t="s">
        <v>3103</v>
      </c>
      <c r="E274" s="582" t="s">
        <v>154</v>
      </c>
      <c r="F274" s="582" t="s">
        <v>2900</v>
      </c>
      <c r="G274" s="582" t="s">
        <v>2981</v>
      </c>
      <c r="H274" s="582" t="s">
        <v>157</v>
      </c>
      <c r="I274" s="582" t="s">
        <v>158</v>
      </c>
      <c r="J274" s="582" t="s">
        <v>168</v>
      </c>
      <c r="K274" s="582" t="s">
        <v>2084</v>
      </c>
      <c r="L274" s="582" t="s">
        <v>161</v>
      </c>
      <c r="M274" s="582" t="s">
        <v>162</v>
      </c>
      <c r="N274" s="582" t="s">
        <v>3104</v>
      </c>
    </row>
    <row r="275" spans="1:14" ht="16.5">
      <c r="A275" s="582" t="s">
        <v>2968</v>
      </c>
      <c r="B275" s="582" t="s">
        <v>3105</v>
      </c>
      <c r="C275" s="585">
        <v>2.7662037037037034E-3</v>
      </c>
      <c r="D275" s="582" t="s">
        <v>3106</v>
      </c>
      <c r="E275" s="582" t="s">
        <v>154</v>
      </c>
      <c r="F275" s="582" t="s">
        <v>2228</v>
      </c>
      <c r="G275" s="582" t="s">
        <v>3085</v>
      </c>
      <c r="H275" s="582" t="s">
        <v>157</v>
      </c>
      <c r="I275" s="582" t="s">
        <v>158</v>
      </c>
      <c r="J275" s="582" t="s">
        <v>168</v>
      </c>
      <c r="K275" s="582" t="s">
        <v>160</v>
      </c>
      <c r="L275" s="582" t="s">
        <v>161</v>
      </c>
      <c r="M275" s="582" t="s">
        <v>162</v>
      </c>
      <c r="N275" s="582" t="s">
        <v>3107</v>
      </c>
    </row>
    <row r="276" spans="1:14" ht="16.5">
      <c r="A276" s="582" t="s">
        <v>2968</v>
      </c>
      <c r="B276" s="582" t="s">
        <v>3108</v>
      </c>
      <c r="C276" s="585">
        <v>6.9444444444444444E-5</v>
      </c>
      <c r="D276" s="582" t="s">
        <v>3109</v>
      </c>
      <c r="E276" s="582" t="s">
        <v>154</v>
      </c>
      <c r="F276" s="582" t="s">
        <v>1851</v>
      </c>
      <c r="G276" s="582" t="s">
        <v>1852</v>
      </c>
      <c r="H276" s="582" t="s">
        <v>157</v>
      </c>
      <c r="I276" s="582" t="s">
        <v>158</v>
      </c>
      <c r="J276" s="582" t="s">
        <v>481</v>
      </c>
      <c r="K276" s="582" t="s">
        <v>2714</v>
      </c>
      <c r="L276" s="582" t="s">
        <v>161</v>
      </c>
      <c r="M276" s="582" t="s">
        <v>162</v>
      </c>
      <c r="N276" s="582" t="s">
        <v>3110</v>
      </c>
    </row>
    <row r="277" spans="1:14" ht="16.5">
      <c r="A277" s="582" t="s">
        <v>2968</v>
      </c>
      <c r="B277" s="582" t="s">
        <v>3111</v>
      </c>
      <c r="C277" s="585">
        <v>5.6712962962962956E-4</v>
      </c>
      <c r="D277" s="582" t="s">
        <v>3112</v>
      </c>
      <c r="E277" s="582" t="s">
        <v>154</v>
      </c>
      <c r="F277" s="582" t="s">
        <v>2726</v>
      </c>
      <c r="G277" s="582" t="s">
        <v>3113</v>
      </c>
      <c r="H277" s="582" t="s">
        <v>157</v>
      </c>
      <c r="I277" s="582" t="s">
        <v>158</v>
      </c>
      <c r="J277" s="582" t="s">
        <v>212</v>
      </c>
      <c r="K277" s="582" t="s">
        <v>160</v>
      </c>
      <c r="L277" s="582" t="s">
        <v>161</v>
      </c>
      <c r="M277" s="582" t="s">
        <v>162</v>
      </c>
      <c r="N277" s="582" t="s">
        <v>3114</v>
      </c>
    </row>
    <row r="278" spans="1:14" ht="16.5">
      <c r="A278" s="582" t="s">
        <v>2968</v>
      </c>
      <c r="B278" s="582" t="s">
        <v>3115</v>
      </c>
      <c r="C278" s="585">
        <v>1.7245370370370372E-3</v>
      </c>
      <c r="D278" s="582" t="s">
        <v>3116</v>
      </c>
      <c r="E278" s="582" t="s">
        <v>154</v>
      </c>
      <c r="F278" s="582" t="s">
        <v>2726</v>
      </c>
      <c r="G278" s="582" t="s">
        <v>3117</v>
      </c>
      <c r="H278" s="582" t="s">
        <v>157</v>
      </c>
      <c r="I278" s="582" t="s">
        <v>158</v>
      </c>
      <c r="J278" s="582" t="s">
        <v>168</v>
      </c>
      <c r="K278" s="582" t="s">
        <v>160</v>
      </c>
      <c r="L278" s="582" t="s">
        <v>161</v>
      </c>
      <c r="M278" s="582" t="s">
        <v>162</v>
      </c>
      <c r="N278" s="582" t="s">
        <v>1019</v>
      </c>
    </row>
    <row r="279" spans="1:14" ht="16.5">
      <c r="A279" s="582" t="s">
        <v>2968</v>
      </c>
      <c r="B279" s="582" t="s">
        <v>3118</v>
      </c>
      <c r="C279" s="585">
        <v>1.7361111111111112E-4</v>
      </c>
      <c r="D279" s="582" t="s">
        <v>3119</v>
      </c>
      <c r="E279" s="582" t="s">
        <v>154</v>
      </c>
      <c r="F279" s="582" t="s">
        <v>2012</v>
      </c>
      <c r="G279" s="582" t="s">
        <v>2474</v>
      </c>
      <c r="H279" s="582" t="s">
        <v>157</v>
      </c>
      <c r="I279" s="582" t="s">
        <v>197</v>
      </c>
      <c r="J279" s="582" t="s">
        <v>198</v>
      </c>
      <c r="K279" s="582" t="s">
        <v>160</v>
      </c>
      <c r="L279" s="582" t="s">
        <v>161</v>
      </c>
      <c r="M279" s="582" t="s">
        <v>162</v>
      </c>
      <c r="N279" s="582" t="s">
        <v>3120</v>
      </c>
    </row>
    <row r="280" spans="1:14" ht="16.5">
      <c r="A280" s="582" t="s">
        <v>2968</v>
      </c>
      <c r="B280" s="582" t="s">
        <v>3121</v>
      </c>
      <c r="C280" s="585">
        <v>1.9560185185185184E-3</v>
      </c>
      <c r="D280" s="582" t="s">
        <v>3122</v>
      </c>
      <c r="E280" s="582" t="s">
        <v>154</v>
      </c>
      <c r="F280" s="582" t="s">
        <v>2198</v>
      </c>
      <c r="G280" s="582" t="s">
        <v>2207</v>
      </c>
      <c r="H280" s="582" t="s">
        <v>157</v>
      </c>
      <c r="I280" s="582" t="s">
        <v>197</v>
      </c>
      <c r="J280" s="582" t="s">
        <v>198</v>
      </c>
      <c r="K280" s="582" t="s">
        <v>2084</v>
      </c>
      <c r="L280" s="582" t="s">
        <v>161</v>
      </c>
      <c r="M280" s="582" t="s">
        <v>162</v>
      </c>
      <c r="N280" s="582" t="s">
        <v>3123</v>
      </c>
    </row>
    <row r="281" spans="1:14" ht="16.5">
      <c r="A281" s="582" t="s">
        <v>2968</v>
      </c>
      <c r="B281" s="582" t="s">
        <v>3124</v>
      </c>
      <c r="C281" s="585">
        <v>9.6064814814814808E-4</v>
      </c>
      <c r="D281" s="582" t="s">
        <v>3125</v>
      </c>
      <c r="E281" s="582" t="s">
        <v>154</v>
      </c>
      <c r="F281" s="582" t="s">
        <v>1679</v>
      </c>
      <c r="G281" s="582" t="s">
        <v>1680</v>
      </c>
      <c r="H281" s="582" t="s">
        <v>157</v>
      </c>
      <c r="I281" s="582" t="s">
        <v>197</v>
      </c>
      <c r="J281" s="582" t="s">
        <v>198</v>
      </c>
      <c r="K281" s="582" t="s">
        <v>160</v>
      </c>
      <c r="L281" s="582" t="s">
        <v>161</v>
      </c>
      <c r="M281" s="582" t="s">
        <v>162</v>
      </c>
      <c r="N281" s="582" t="s">
        <v>3126</v>
      </c>
    </row>
    <row r="282" spans="1:14" ht="16.5">
      <c r="A282" s="582" t="s">
        <v>2968</v>
      </c>
      <c r="B282" s="582" t="s">
        <v>4174</v>
      </c>
      <c r="C282" s="582"/>
      <c r="D282" s="582"/>
      <c r="E282" s="582"/>
      <c r="F282" s="582" t="s">
        <v>2198</v>
      </c>
      <c r="G282" s="582" t="s">
        <v>3570</v>
      </c>
      <c r="H282" s="582" t="s">
        <v>157</v>
      </c>
      <c r="I282" s="582" t="s">
        <v>158</v>
      </c>
      <c r="J282" s="582" t="s">
        <v>168</v>
      </c>
      <c r="K282" s="582" t="s">
        <v>2084</v>
      </c>
      <c r="L282" s="582" t="s">
        <v>161</v>
      </c>
      <c r="M282" s="582" t="s">
        <v>162</v>
      </c>
      <c r="N282" s="582" t="s">
        <v>796</v>
      </c>
    </row>
    <row r="283" spans="1:14" ht="16.5">
      <c r="A283" s="582" t="s">
        <v>2968</v>
      </c>
      <c r="B283" s="582" t="s">
        <v>4175</v>
      </c>
      <c r="C283" s="582"/>
      <c r="D283" s="582"/>
      <c r="E283" s="582"/>
      <c r="F283" s="582" t="s">
        <v>1679</v>
      </c>
      <c r="G283" s="582" t="s">
        <v>4176</v>
      </c>
      <c r="H283" s="582" t="s">
        <v>157</v>
      </c>
      <c r="I283" s="582" t="s">
        <v>197</v>
      </c>
      <c r="J283" s="582" t="s">
        <v>198</v>
      </c>
      <c r="K283" s="582" t="s">
        <v>160</v>
      </c>
      <c r="L283" s="582" t="s">
        <v>161</v>
      </c>
      <c r="M283" s="582" t="s">
        <v>162</v>
      </c>
      <c r="N283" s="582" t="s">
        <v>4177</v>
      </c>
    </row>
    <row r="284" spans="1:14" ht="16.5">
      <c r="A284" s="582" t="s">
        <v>2968</v>
      </c>
      <c r="B284" s="582" t="s">
        <v>3127</v>
      </c>
      <c r="C284" s="585">
        <v>1.5393518518518519E-3</v>
      </c>
      <c r="D284" s="582" t="s">
        <v>3128</v>
      </c>
      <c r="E284" s="582" t="s">
        <v>154</v>
      </c>
      <c r="F284" s="582" t="s">
        <v>1679</v>
      </c>
      <c r="G284" s="582" t="s">
        <v>3129</v>
      </c>
      <c r="H284" s="582" t="s">
        <v>157</v>
      </c>
      <c r="I284" s="582" t="s">
        <v>197</v>
      </c>
      <c r="J284" s="582" t="s">
        <v>198</v>
      </c>
      <c r="K284" s="582" t="s">
        <v>160</v>
      </c>
      <c r="L284" s="582" t="s">
        <v>161</v>
      </c>
      <c r="M284" s="582" t="s">
        <v>162</v>
      </c>
      <c r="N284" s="582" t="s">
        <v>3130</v>
      </c>
    </row>
    <row r="285" spans="1:14" ht="16.5">
      <c r="A285" s="582" t="s">
        <v>2968</v>
      </c>
      <c r="B285" s="582" t="s">
        <v>3131</v>
      </c>
      <c r="C285" s="585">
        <v>1.0995370370370371E-3</v>
      </c>
      <c r="D285" s="582" t="s">
        <v>3132</v>
      </c>
      <c r="E285" s="582" t="s">
        <v>154</v>
      </c>
      <c r="F285" s="582" t="s">
        <v>1679</v>
      </c>
      <c r="G285" s="582" t="s">
        <v>3129</v>
      </c>
      <c r="H285" s="582" t="s">
        <v>157</v>
      </c>
      <c r="I285" s="582" t="s">
        <v>197</v>
      </c>
      <c r="J285" s="582" t="s">
        <v>198</v>
      </c>
      <c r="K285" s="582" t="s">
        <v>160</v>
      </c>
      <c r="L285" s="582" t="s">
        <v>161</v>
      </c>
      <c r="M285" s="582" t="s">
        <v>162</v>
      </c>
      <c r="N285" s="582" t="s">
        <v>1778</v>
      </c>
    </row>
    <row r="286" spans="1:14" ht="16.5">
      <c r="A286" s="582" t="s">
        <v>2968</v>
      </c>
      <c r="B286" s="582" t="s">
        <v>3133</v>
      </c>
      <c r="C286" s="585">
        <v>1.3888888888888889E-4</v>
      </c>
      <c r="D286" s="582" t="s">
        <v>3134</v>
      </c>
      <c r="E286" s="582" t="s">
        <v>154</v>
      </c>
      <c r="F286" s="582" t="s">
        <v>2454</v>
      </c>
      <c r="G286" s="582" t="s">
        <v>2455</v>
      </c>
      <c r="H286" s="582" t="s">
        <v>157</v>
      </c>
      <c r="I286" s="582" t="s">
        <v>158</v>
      </c>
      <c r="J286" s="582" t="s">
        <v>168</v>
      </c>
      <c r="K286" s="582" t="s">
        <v>2084</v>
      </c>
      <c r="L286" s="582" t="s">
        <v>161</v>
      </c>
      <c r="M286" s="582" t="s">
        <v>162</v>
      </c>
      <c r="N286" s="582" t="s">
        <v>3135</v>
      </c>
    </row>
    <row r="287" spans="1:14" ht="16.5">
      <c r="A287" s="582" t="s">
        <v>2968</v>
      </c>
      <c r="B287" s="582" t="s">
        <v>4178</v>
      </c>
      <c r="C287" s="582"/>
      <c r="D287" s="582"/>
      <c r="E287" s="582"/>
      <c r="F287" s="582" t="s">
        <v>2454</v>
      </c>
      <c r="G287" s="582" t="s">
        <v>4179</v>
      </c>
      <c r="H287" s="582" t="s">
        <v>157</v>
      </c>
      <c r="I287" s="582" t="s">
        <v>158</v>
      </c>
      <c r="J287" s="582" t="s">
        <v>212</v>
      </c>
      <c r="K287" s="582" t="s">
        <v>2084</v>
      </c>
      <c r="L287" s="582" t="s">
        <v>161</v>
      </c>
      <c r="M287" s="582" t="s">
        <v>162</v>
      </c>
      <c r="N287" s="582" t="s">
        <v>4180</v>
      </c>
    </row>
    <row r="288" spans="1:14" ht="16.5">
      <c r="A288" s="582" t="s">
        <v>2968</v>
      </c>
      <c r="B288" s="582" t="s">
        <v>4181</v>
      </c>
      <c r="C288" s="582"/>
      <c r="D288" s="582"/>
      <c r="E288" s="582"/>
      <c r="F288" s="582" t="s">
        <v>3136</v>
      </c>
      <c r="G288" s="582" t="s">
        <v>4182</v>
      </c>
      <c r="H288" s="582" t="s">
        <v>157</v>
      </c>
      <c r="I288" s="582" t="s">
        <v>158</v>
      </c>
      <c r="J288" s="582" t="s">
        <v>713</v>
      </c>
      <c r="K288" s="582" t="s">
        <v>160</v>
      </c>
      <c r="L288" s="582" t="s">
        <v>161</v>
      </c>
      <c r="M288" s="582" t="s">
        <v>162</v>
      </c>
      <c r="N288" s="582" t="s">
        <v>4183</v>
      </c>
    </row>
    <row r="289" spans="1:14" ht="16.5">
      <c r="A289" s="582" t="s">
        <v>2968</v>
      </c>
      <c r="B289" s="582" t="s">
        <v>3137</v>
      </c>
      <c r="C289" s="585">
        <v>7.8703703703703705E-4</v>
      </c>
      <c r="D289" s="582" t="s">
        <v>3138</v>
      </c>
      <c r="E289" s="582" t="s">
        <v>154</v>
      </c>
      <c r="F289" s="582" t="s">
        <v>3136</v>
      </c>
      <c r="G289" s="582" t="s">
        <v>3139</v>
      </c>
      <c r="H289" s="582" t="s">
        <v>157</v>
      </c>
      <c r="I289" s="582" t="s">
        <v>158</v>
      </c>
      <c r="J289" s="582" t="s">
        <v>713</v>
      </c>
      <c r="K289" s="582" t="s">
        <v>160</v>
      </c>
      <c r="L289" s="582" t="s">
        <v>161</v>
      </c>
      <c r="M289" s="582" t="s">
        <v>162</v>
      </c>
      <c r="N289" s="582" t="s">
        <v>3140</v>
      </c>
    </row>
    <row r="290" spans="1:14" ht="16.5">
      <c r="A290" s="582" t="s">
        <v>2968</v>
      </c>
      <c r="B290" s="582" t="s">
        <v>3141</v>
      </c>
      <c r="C290" s="585">
        <v>2.3148148148148147E-5</v>
      </c>
      <c r="D290" s="582" t="s">
        <v>3142</v>
      </c>
      <c r="E290" s="582" t="s">
        <v>154</v>
      </c>
      <c r="F290" s="582" t="s">
        <v>3143</v>
      </c>
      <c r="G290" s="582" t="s">
        <v>3144</v>
      </c>
      <c r="H290" s="582" t="s">
        <v>157</v>
      </c>
      <c r="I290" s="582" t="s">
        <v>158</v>
      </c>
      <c r="J290" s="582" t="s">
        <v>168</v>
      </c>
      <c r="K290" s="582" t="s">
        <v>160</v>
      </c>
      <c r="L290" s="582" t="s">
        <v>161</v>
      </c>
      <c r="M290" s="582" t="s">
        <v>162</v>
      </c>
      <c r="N290" s="582" t="s">
        <v>2746</v>
      </c>
    </row>
    <row r="291" spans="1:14" ht="16.5">
      <c r="A291" s="582" t="s">
        <v>2968</v>
      </c>
      <c r="B291" s="582" t="s">
        <v>3145</v>
      </c>
      <c r="C291" s="585">
        <v>1.1689814814814816E-3</v>
      </c>
      <c r="D291" s="582" t="s">
        <v>3146</v>
      </c>
      <c r="E291" s="582" t="s">
        <v>154</v>
      </c>
      <c r="F291" s="582" t="s">
        <v>2892</v>
      </c>
      <c r="G291" s="582" t="s">
        <v>3147</v>
      </c>
      <c r="H291" s="582" t="s">
        <v>157</v>
      </c>
      <c r="I291" s="582" t="s">
        <v>158</v>
      </c>
      <c r="J291" s="582" t="s">
        <v>212</v>
      </c>
      <c r="K291" s="582" t="s">
        <v>2714</v>
      </c>
      <c r="L291" s="582" t="s">
        <v>161</v>
      </c>
      <c r="M291" s="582" t="s">
        <v>162</v>
      </c>
      <c r="N291" s="582" t="s">
        <v>3148</v>
      </c>
    </row>
    <row r="292" spans="1:14" ht="16.5">
      <c r="A292" s="582" t="s">
        <v>2968</v>
      </c>
      <c r="B292" s="582" t="s">
        <v>3149</v>
      </c>
      <c r="C292" s="585">
        <v>3.4722222222222222E-5</v>
      </c>
      <c r="D292" s="582" t="s">
        <v>3150</v>
      </c>
      <c r="E292" s="582" t="s">
        <v>154</v>
      </c>
      <c r="F292" s="582" t="s">
        <v>1666</v>
      </c>
      <c r="G292" s="582" t="s">
        <v>1667</v>
      </c>
      <c r="H292" s="582" t="s">
        <v>157</v>
      </c>
      <c r="I292" s="582" t="s">
        <v>158</v>
      </c>
      <c r="J292" s="582" t="s">
        <v>168</v>
      </c>
      <c r="K292" s="582" t="s">
        <v>160</v>
      </c>
      <c r="L292" s="582" t="s">
        <v>161</v>
      </c>
      <c r="M292" s="582" t="s">
        <v>162</v>
      </c>
      <c r="N292" s="582" t="s">
        <v>3151</v>
      </c>
    </row>
    <row r="293" spans="1:14" ht="16.5">
      <c r="A293" s="582" t="s">
        <v>2968</v>
      </c>
      <c r="B293" s="582" t="s">
        <v>3152</v>
      </c>
      <c r="C293" s="585">
        <v>8.9120370370370362E-4</v>
      </c>
      <c r="D293" s="582" t="s">
        <v>3153</v>
      </c>
      <c r="E293" s="582" t="s">
        <v>154</v>
      </c>
      <c r="F293" s="582" t="s">
        <v>2862</v>
      </c>
      <c r="G293" s="582" t="s">
        <v>2863</v>
      </c>
      <c r="H293" s="582" t="s">
        <v>157</v>
      </c>
      <c r="I293" s="582" t="s">
        <v>158</v>
      </c>
      <c r="J293" s="582" t="s">
        <v>391</v>
      </c>
      <c r="K293" s="582" t="s">
        <v>160</v>
      </c>
      <c r="L293" s="582" t="s">
        <v>161</v>
      </c>
      <c r="M293" s="582" t="s">
        <v>162</v>
      </c>
      <c r="N293" s="582" t="s">
        <v>3154</v>
      </c>
    </row>
    <row r="294" spans="1:14" ht="16.5">
      <c r="A294" s="582" t="s">
        <v>2968</v>
      </c>
      <c r="B294" s="582" t="s">
        <v>3155</v>
      </c>
      <c r="C294" s="585">
        <v>4.2939814814814811E-3</v>
      </c>
      <c r="D294" s="582" t="s">
        <v>3156</v>
      </c>
      <c r="E294" s="582" t="s">
        <v>154</v>
      </c>
      <c r="F294" s="582" t="s">
        <v>2862</v>
      </c>
      <c r="G294" s="582" t="s">
        <v>2863</v>
      </c>
      <c r="H294" s="582" t="s">
        <v>157</v>
      </c>
      <c r="I294" s="582" t="s">
        <v>158</v>
      </c>
      <c r="J294" s="582" t="s">
        <v>168</v>
      </c>
      <c r="K294" s="582" t="s">
        <v>160</v>
      </c>
      <c r="L294" s="582" t="s">
        <v>161</v>
      </c>
      <c r="M294" s="582" t="s">
        <v>162</v>
      </c>
      <c r="N294" s="582" t="s">
        <v>3157</v>
      </c>
    </row>
    <row r="295" spans="1:14" ht="16.5">
      <c r="A295" s="582" t="s">
        <v>2968</v>
      </c>
      <c r="B295" s="582" t="s">
        <v>3158</v>
      </c>
      <c r="C295" s="585">
        <v>8.3333333333333339E-4</v>
      </c>
      <c r="D295" s="582" t="s">
        <v>3159</v>
      </c>
      <c r="E295" s="582" t="s">
        <v>154</v>
      </c>
      <c r="F295" s="582" t="s">
        <v>3160</v>
      </c>
      <c r="G295" s="582" t="s">
        <v>3161</v>
      </c>
      <c r="H295" s="582" t="s">
        <v>157</v>
      </c>
      <c r="I295" s="582" t="s">
        <v>158</v>
      </c>
      <c r="J295" s="582" t="s">
        <v>168</v>
      </c>
      <c r="K295" s="582" t="s">
        <v>2714</v>
      </c>
      <c r="L295" s="582" t="s">
        <v>161</v>
      </c>
      <c r="M295" s="582" t="s">
        <v>162</v>
      </c>
      <c r="N295" s="582" t="s">
        <v>3162</v>
      </c>
    </row>
    <row r="296" spans="1:14" ht="16.5">
      <c r="A296" s="582" t="s">
        <v>2968</v>
      </c>
      <c r="B296" s="582" t="s">
        <v>3163</v>
      </c>
      <c r="C296" s="585">
        <v>9.9537037037037042E-4</v>
      </c>
      <c r="D296" s="582" t="s">
        <v>3164</v>
      </c>
      <c r="E296" s="582" t="s">
        <v>154</v>
      </c>
      <c r="F296" s="582" t="s">
        <v>1679</v>
      </c>
      <c r="G296" s="582" t="s">
        <v>1680</v>
      </c>
      <c r="H296" s="582" t="s">
        <v>157</v>
      </c>
      <c r="I296" s="582" t="s">
        <v>197</v>
      </c>
      <c r="J296" s="582" t="s">
        <v>198</v>
      </c>
      <c r="K296" s="582" t="s">
        <v>160</v>
      </c>
      <c r="L296" s="582" t="s">
        <v>161</v>
      </c>
      <c r="M296" s="582" t="s">
        <v>162</v>
      </c>
      <c r="N296" s="582" t="s">
        <v>3165</v>
      </c>
    </row>
    <row r="297" spans="1:14" ht="16.5">
      <c r="A297" s="582" t="s">
        <v>2968</v>
      </c>
      <c r="B297" s="582" t="s">
        <v>3166</v>
      </c>
      <c r="C297" s="585">
        <v>1.6087962962962963E-3</v>
      </c>
      <c r="D297" s="582" t="s">
        <v>3167</v>
      </c>
      <c r="E297" s="582" t="s">
        <v>154</v>
      </c>
      <c r="F297" s="582" t="s">
        <v>428</v>
      </c>
      <c r="G297" s="582" t="s">
        <v>362</v>
      </c>
      <c r="H297" s="582" t="s">
        <v>157</v>
      </c>
      <c r="I297" s="582" t="s">
        <v>158</v>
      </c>
      <c r="J297" s="582" t="s">
        <v>159</v>
      </c>
      <c r="K297" s="582" t="s">
        <v>2714</v>
      </c>
      <c r="L297" s="582" t="s">
        <v>161</v>
      </c>
      <c r="M297" s="582" t="s">
        <v>162</v>
      </c>
      <c r="N297" s="582" t="s">
        <v>3168</v>
      </c>
    </row>
    <row r="298" spans="1:14" ht="16.5">
      <c r="A298" s="582" t="s">
        <v>2968</v>
      </c>
      <c r="B298" s="582" t="s">
        <v>3169</v>
      </c>
      <c r="C298" s="585">
        <v>1.5046296296296294E-3</v>
      </c>
      <c r="D298" s="582" t="s">
        <v>3170</v>
      </c>
      <c r="E298" s="582" t="s">
        <v>154</v>
      </c>
      <c r="F298" s="582" t="s">
        <v>428</v>
      </c>
      <c r="G298" s="582" t="s">
        <v>429</v>
      </c>
      <c r="H298" s="582" t="s">
        <v>157</v>
      </c>
      <c r="I298" s="582" t="s">
        <v>158</v>
      </c>
      <c r="J298" s="582" t="s">
        <v>168</v>
      </c>
      <c r="K298" s="582" t="s">
        <v>2714</v>
      </c>
      <c r="L298" s="582" t="s">
        <v>161</v>
      </c>
      <c r="M298" s="582" t="s">
        <v>162</v>
      </c>
      <c r="N298" s="582" t="s">
        <v>3171</v>
      </c>
    </row>
    <row r="299" spans="1:14" ht="16.5">
      <c r="A299" s="582" t="s">
        <v>2968</v>
      </c>
      <c r="B299" s="582" t="s">
        <v>4184</v>
      </c>
      <c r="C299" s="582"/>
      <c r="D299" s="582"/>
      <c r="E299" s="582"/>
      <c r="F299" s="582" t="s">
        <v>2052</v>
      </c>
      <c r="G299" s="582" t="s">
        <v>2527</v>
      </c>
      <c r="H299" s="582" t="s">
        <v>157</v>
      </c>
      <c r="I299" s="582" t="s">
        <v>158</v>
      </c>
      <c r="J299" s="582" t="s">
        <v>212</v>
      </c>
      <c r="K299" s="582" t="s">
        <v>160</v>
      </c>
      <c r="L299" s="582" t="s">
        <v>161</v>
      </c>
      <c r="M299" s="582" t="s">
        <v>162</v>
      </c>
      <c r="N299" s="582" t="s">
        <v>4185</v>
      </c>
    </row>
    <row r="300" spans="1:14" ht="16.5">
      <c r="A300" s="582" t="s">
        <v>2968</v>
      </c>
      <c r="B300" s="582" t="s">
        <v>3172</v>
      </c>
      <c r="C300" s="585">
        <v>3.2407407407407406E-4</v>
      </c>
      <c r="D300" s="582" t="s">
        <v>3173</v>
      </c>
      <c r="E300" s="582" t="s">
        <v>154</v>
      </c>
      <c r="F300" s="582" t="s">
        <v>3174</v>
      </c>
      <c r="G300" s="582" t="s">
        <v>3175</v>
      </c>
      <c r="H300" s="582" t="s">
        <v>157</v>
      </c>
      <c r="I300" s="582" t="s">
        <v>158</v>
      </c>
      <c r="J300" s="582" t="s">
        <v>212</v>
      </c>
      <c r="K300" s="582" t="s">
        <v>160</v>
      </c>
      <c r="L300" s="582" t="s">
        <v>161</v>
      </c>
      <c r="M300" s="582" t="s">
        <v>162</v>
      </c>
      <c r="N300" s="582" t="s">
        <v>3176</v>
      </c>
    </row>
    <row r="301" spans="1:14" ht="16.5">
      <c r="A301" s="582" t="s">
        <v>2968</v>
      </c>
      <c r="B301" s="582" t="s">
        <v>3177</v>
      </c>
      <c r="C301" s="585">
        <v>2.5000000000000001E-3</v>
      </c>
      <c r="D301" s="582" t="s">
        <v>3178</v>
      </c>
      <c r="E301" s="582" t="s">
        <v>154</v>
      </c>
      <c r="F301" s="582" t="s">
        <v>182</v>
      </c>
      <c r="G301" s="582" t="s">
        <v>362</v>
      </c>
      <c r="H301" s="582" t="s">
        <v>157</v>
      </c>
      <c r="I301" s="582" t="s">
        <v>158</v>
      </c>
      <c r="J301" s="582" t="s">
        <v>212</v>
      </c>
      <c r="K301" s="582" t="s">
        <v>2714</v>
      </c>
      <c r="L301" s="582" t="s">
        <v>161</v>
      </c>
      <c r="M301" s="582" t="s">
        <v>162</v>
      </c>
      <c r="N301" s="582" t="s">
        <v>3179</v>
      </c>
    </row>
    <row r="302" spans="1:14" ht="16.5">
      <c r="A302" s="582" t="s">
        <v>2968</v>
      </c>
      <c r="B302" s="582" t="s">
        <v>3180</v>
      </c>
      <c r="C302" s="585">
        <v>5.9027777777777778E-4</v>
      </c>
      <c r="D302" s="582" t="s">
        <v>3181</v>
      </c>
      <c r="E302" s="582" t="s">
        <v>154</v>
      </c>
      <c r="F302" s="582" t="s">
        <v>182</v>
      </c>
      <c r="G302" s="582" t="s">
        <v>3182</v>
      </c>
      <c r="H302" s="582" t="s">
        <v>157</v>
      </c>
      <c r="I302" s="582" t="s">
        <v>158</v>
      </c>
      <c r="J302" s="582" t="s">
        <v>212</v>
      </c>
      <c r="K302" s="582" t="s">
        <v>2714</v>
      </c>
      <c r="L302" s="582" t="s">
        <v>161</v>
      </c>
      <c r="M302" s="582" t="s">
        <v>162</v>
      </c>
      <c r="N302" s="582" t="s">
        <v>3183</v>
      </c>
    </row>
    <row r="303" spans="1:14" ht="16.5">
      <c r="A303" s="582" t="s">
        <v>2968</v>
      </c>
      <c r="B303" s="582" t="s">
        <v>3184</v>
      </c>
      <c r="C303" s="585">
        <v>3.1597222222222222E-3</v>
      </c>
      <c r="D303" s="582" t="s">
        <v>3185</v>
      </c>
      <c r="E303" s="582" t="s">
        <v>154</v>
      </c>
      <c r="F303" s="582" t="s">
        <v>155</v>
      </c>
      <c r="G303" s="582" t="s">
        <v>362</v>
      </c>
      <c r="H303" s="582" t="s">
        <v>157</v>
      </c>
      <c r="I303" s="582" t="s">
        <v>158</v>
      </c>
      <c r="J303" s="582" t="s">
        <v>212</v>
      </c>
      <c r="K303" s="582" t="s">
        <v>160</v>
      </c>
      <c r="L303" s="582" t="s">
        <v>161</v>
      </c>
      <c r="M303" s="582" t="s">
        <v>162</v>
      </c>
      <c r="N303" s="582" t="s">
        <v>3186</v>
      </c>
    </row>
    <row r="304" spans="1:14" ht="16.5">
      <c r="A304" s="582" t="s">
        <v>2968</v>
      </c>
      <c r="B304" s="582" t="s">
        <v>4186</v>
      </c>
      <c r="C304" s="582"/>
      <c r="D304" s="582"/>
      <c r="E304" s="582"/>
      <c r="F304" s="582" t="s">
        <v>1951</v>
      </c>
      <c r="G304" s="582" t="s">
        <v>2024</v>
      </c>
      <c r="H304" s="582" t="s">
        <v>157</v>
      </c>
      <c r="I304" s="582" t="s">
        <v>158</v>
      </c>
      <c r="J304" s="582" t="s">
        <v>212</v>
      </c>
      <c r="K304" s="582" t="s">
        <v>160</v>
      </c>
      <c r="L304" s="582" t="s">
        <v>161</v>
      </c>
      <c r="M304" s="582" t="s">
        <v>162</v>
      </c>
      <c r="N304" s="582" t="s">
        <v>4187</v>
      </c>
    </row>
    <row r="305" spans="1:14" ht="16.5">
      <c r="A305" s="582" t="s">
        <v>2751</v>
      </c>
      <c r="B305" s="582" t="s">
        <v>2752</v>
      </c>
      <c r="C305" s="585">
        <v>3.4722222222222224E-4</v>
      </c>
      <c r="D305" s="582" t="s">
        <v>2753</v>
      </c>
      <c r="E305" s="582" t="s">
        <v>154</v>
      </c>
      <c r="F305" s="582" t="s">
        <v>2310</v>
      </c>
      <c r="G305" s="582" t="s">
        <v>2754</v>
      </c>
      <c r="H305" s="582" t="s">
        <v>157</v>
      </c>
      <c r="I305" s="582" t="s">
        <v>158</v>
      </c>
      <c r="J305" s="582" t="s">
        <v>212</v>
      </c>
      <c r="K305" s="582" t="s">
        <v>2084</v>
      </c>
      <c r="L305" s="582" t="s">
        <v>161</v>
      </c>
      <c r="M305" s="582" t="s">
        <v>162</v>
      </c>
      <c r="N305" s="582" t="s">
        <v>2755</v>
      </c>
    </row>
    <row r="306" spans="1:14" ht="16.5">
      <c r="A306" s="582" t="s">
        <v>2751</v>
      </c>
      <c r="B306" s="582" t="s">
        <v>2756</v>
      </c>
      <c r="C306" s="585">
        <v>3.0324074074074073E-3</v>
      </c>
      <c r="D306" s="582" t="s">
        <v>2757</v>
      </c>
      <c r="E306" s="582" t="s">
        <v>154</v>
      </c>
      <c r="F306" s="582" t="s">
        <v>2758</v>
      </c>
      <c r="G306" s="582" t="s">
        <v>2759</v>
      </c>
      <c r="H306" s="582" t="s">
        <v>157</v>
      </c>
      <c r="I306" s="582" t="s">
        <v>158</v>
      </c>
      <c r="J306" s="582" t="s">
        <v>391</v>
      </c>
      <c r="K306" s="582" t="s">
        <v>2084</v>
      </c>
      <c r="L306" s="582" t="s">
        <v>161</v>
      </c>
      <c r="M306" s="582" t="s">
        <v>162</v>
      </c>
      <c r="N306" s="582" t="s">
        <v>2760</v>
      </c>
    </row>
    <row r="307" spans="1:14" ht="16.5">
      <c r="A307" s="582" t="s">
        <v>2751</v>
      </c>
      <c r="B307" s="582" t="s">
        <v>4188</v>
      </c>
      <c r="C307" s="582"/>
      <c r="D307" s="582"/>
      <c r="E307" s="582"/>
      <c r="F307" s="582" t="s">
        <v>2761</v>
      </c>
      <c r="G307" s="582" t="s">
        <v>2762</v>
      </c>
      <c r="H307" s="582" t="s">
        <v>157</v>
      </c>
      <c r="I307" s="582" t="s">
        <v>158</v>
      </c>
      <c r="J307" s="582" t="s">
        <v>168</v>
      </c>
      <c r="K307" s="582" t="s">
        <v>2714</v>
      </c>
      <c r="L307" s="582" t="s">
        <v>161</v>
      </c>
      <c r="M307" s="582" t="s">
        <v>162</v>
      </c>
      <c r="N307" s="582" t="s">
        <v>4189</v>
      </c>
    </row>
    <row r="308" spans="1:14" ht="16.5">
      <c r="A308" s="582" t="s">
        <v>2751</v>
      </c>
      <c r="B308" s="582" t="s">
        <v>2763</v>
      </c>
      <c r="C308" s="585">
        <v>1.1574074074074073E-5</v>
      </c>
      <c r="D308" s="582" t="s">
        <v>2764</v>
      </c>
      <c r="E308" s="582" t="s">
        <v>154</v>
      </c>
      <c r="F308" s="582" t="s">
        <v>156</v>
      </c>
      <c r="G308" s="582" t="s">
        <v>2765</v>
      </c>
      <c r="H308" s="582" t="s">
        <v>157</v>
      </c>
      <c r="I308" s="582" t="s">
        <v>158</v>
      </c>
      <c r="J308" s="582" t="s">
        <v>168</v>
      </c>
      <c r="K308" s="582" t="s">
        <v>2714</v>
      </c>
      <c r="L308" s="582" t="s">
        <v>161</v>
      </c>
      <c r="M308" s="582" t="s">
        <v>162</v>
      </c>
      <c r="N308" s="582" t="s">
        <v>2766</v>
      </c>
    </row>
    <row r="309" spans="1:14" ht="16.5">
      <c r="A309" s="582" t="s">
        <v>2751</v>
      </c>
      <c r="B309" s="582" t="s">
        <v>2767</v>
      </c>
      <c r="C309" s="585">
        <v>2.8935185185185189E-4</v>
      </c>
      <c r="D309" s="582" t="s">
        <v>2768</v>
      </c>
      <c r="E309" s="582" t="s">
        <v>154</v>
      </c>
      <c r="F309" s="582" t="s">
        <v>2758</v>
      </c>
      <c r="G309" s="582" t="s">
        <v>2769</v>
      </c>
      <c r="H309" s="582" t="s">
        <v>157</v>
      </c>
      <c r="I309" s="582" t="s">
        <v>158</v>
      </c>
      <c r="J309" s="582" t="s">
        <v>168</v>
      </c>
      <c r="K309" s="582" t="s">
        <v>160</v>
      </c>
      <c r="L309" s="582" t="s">
        <v>161</v>
      </c>
      <c r="M309" s="582" t="s">
        <v>162</v>
      </c>
      <c r="N309" s="582" t="s">
        <v>2770</v>
      </c>
    </row>
    <row r="310" spans="1:14" ht="16.5">
      <c r="A310" s="582" t="s">
        <v>2751</v>
      </c>
      <c r="B310" s="582" t="s">
        <v>4190</v>
      </c>
      <c r="C310" s="582"/>
      <c r="D310" s="582"/>
      <c r="E310" s="582"/>
      <c r="F310" s="582" t="s">
        <v>2771</v>
      </c>
      <c r="G310" s="582" t="s">
        <v>4191</v>
      </c>
      <c r="H310" s="582" t="s">
        <v>157</v>
      </c>
      <c r="I310" s="582" t="s">
        <v>158</v>
      </c>
      <c r="J310" s="582" t="s">
        <v>168</v>
      </c>
      <c r="K310" s="582" t="s">
        <v>2714</v>
      </c>
      <c r="L310" s="582" t="s">
        <v>161</v>
      </c>
      <c r="M310" s="582" t="s">
        <v>162</v>
      </c>
      <c r="N310" s="582" t="s">
        <v>4192</v>
      </c>
    </row>
    <row r="311" spans="1:14" ht="16.5">
      <c r="A311" s="582" t="s">
        <v>2751</v>
      </c>
      <c r="B311" s="582" t="s">
        <v>2772</v>
      </c>
      <c r="C311" s="585">
        <v>1.8402777777777777E-3</v>
      </c>
      <c r="D311" s="582" t="s">
        <v>2773</v>
      </c>
      <c r="E311" s="582" t="s">
        <v>154</v>
      </c>
      <c r="F311" s="582" t="s">
        <v>2774</v>
      </c>
      <c r="G311" s="582" t="s">
        <v>2775</v>
      </c>
      <c r="H311" s="582" t="s">
        <v>157</v>
      </c>
      <c r="I311" s="582" t="s">
        <v>158</v>
      </c>
      <c r="J311" s="582" t="s">
        <v>391</v>
      </c>
      <c r="K311" s="582" t="s">
        <v>2084</v>
      </c>
      <c r="L311" s="582" t="s">
        <v>161</v>
      </c>
      <c r="M311" s="582" t="s">
        <v>162</v>
      </c>
      <c r="N311" s="582" t="s">
        <v>2776</v>
      </c>
    </row>
    <row r="312" spans="1:14" ht="16.5">
      <c r="A312" s="582" t="s">
        <v>2751</v>
      </c>
      <c r="B312" s="582" t="s">
        <v>2777</v>
      </c>
      <c r="C312" s="585">
        <v>7.0601851851851847E-4</v>
      </c>
      <c r="D312" s="582" t="s">
        <v>2778</v>
      </c>
      <c r="E312" s="582" t="s">
        <v>154</v>
      </c>
      <c r="F312" s="582" t="s">
        <v>166</v>
      </c>
      <c r="G312" s="582" t="s">
        <v>167</v>
      </c>
      <c r="H312" s="582" t="s">
        <v>157</v>
      </c>
      <c r="I312" s="582" t="s">
        <v>197</v>
      </c>
      <c r="J312" s="582" t="s">
        <v>198</v>
      </c>
      <c r="K312" s="582" t="s">
        <v>95</v>
      </c>
      <c r="L312" s="582" t="s">
        <v>161</v>
      </c>
      <c r="M312" s="582" t="s">
        <v>162</v>
      </c>
      <c r="N312" s="582" t="s">
        <v>2779</v>
      </c>
    </row>
    <row r="313" spans="1:14" ht="16.5">
      <c r="A313" s="582" t="s">
        <v>2751</v>
      </c>
      <c r="B313" s="582" t="s">
        <v>2780</v>
      </c>
      <c r="C313" s="585">
        <v>3.7500000000000003E-3</v>
      </c>
      <c r="D313" s="582" t="s">
        <v>2781</v>
      </c>
      <c r="E313" s="582" t="s">
        <v>154</v>
      </c>
      <c r="F313" s="582" t="s">
        <v>166</v>
      </c>
      <c r="G313" s="582" t="s">
        <v>2782</v>
      </c>
      <c r="H313" s="582" t="s">
        <v>157</v>
      </c>
      <c r="I313" s="582" t="s">
        <v>197</v>
      </c>
      <c r="J313" s="582" t="s">
        <v>198</v>
      </c>
      <c r="K313" s="582" t="s">
        <v>95</v>
      </c>
      <c r="L313" s="582" t="s">
        <v>161</v>
      </c>
      <c r="M313" s="582" t="s">
        <v>162</v>
      </c>
      <c r="N313" s="582" t="s">
        <v>876</v>
      </c>
    </row>
    <row r="314" spans="1:14" ht="16.5">
      <c r="A314" s="582" t="s">
        <v>2751</v>
      </c>
      <c r="B314" s="582" t="s">
        <v>2783</v>
      </c>
      <c r="C314" s="585">
        <v>1.0648148148148147E-3</v>
      </c>
      <c r="D314" s="582" t="s">
        <v>2784</v>
      </c>
      <c r="E314" s="582" t="s">
        <v>154</v>
      </c>
      <c r="F314" s="582" t="s">
        <v>166</v>
      </c>
      <c r="G314" s="582" t="s">
        <v>167</v>
      </c>
      <c r="H314" s="582" t="s">
        <v>157</v>
      </c>
      <c r="I314" s="582" t="s">
        <v>197</v>
      </c>
      <c r="J314" s="582" t="s">
        <v>198</v>
      </c>
      <c r="K314" s="582" t="s">
        <v>95</v>
      </c>
      <c r="L314" s="582" t="s">
        <v>161</v>
      </c>
      <c r="M314" s="582" t="s">
        <v>162</v>
      </c>
      <c r="N314" s="582" t="s">
        <v>2785</v>
      </c>
    </row>
    <row r="315" spans="1:14" ht="16.5">
      <c r="A315" s="582" t="s">
        <v>2751</v>
      </c>
      <c r="B315" s="582" t="s">
        <v>2786</v>
      </c>
      <c r="C315" s="585">
        <v>5.3240740740740744E-4</v>
      </c>
      <c r="D315" s="582" t="s">
        <v>2787</v>
      </c>
      <c r="E315" s="582" t="s">
        <v>154</v>
      </c>
      <c r="F315" s="582" t="s">
        <v>2788</v>
      </c>
      <c r="G315" s="582" t="s">
        <v>1546</v>
      </c>
      <c r="H315" s="582" t="s">
        <v>157</v>
      </c>
      <c r="I315" s="582" t="s">
        <v>197</v>
      </c>
      <c r="J315" s="582" t="s">
        <v>198</v>
      </c>
      <c r="K315" s="582" t="s">
        <v>2714</v>
      </c>
      <c r="L315" s="582" t="s">
        <v>161</v>
      </c>
      <c r="M315" s="582" t="s">
        <v>162</v>
      </c>
      <c r="N315" s="582" t="s">
        <v>1031</v>
      </c>
    </row>
    <row r="316" spans="1:14" ht="16.5">
      <c r="A316" s="582" t="s">
        <v>2751</v>
      </c>
      <c r="B316" s="582" t="s">
        <v>998</v>
      </c>
      <c r="C316" s="585">
        <v>4.0509259259259258E-4</v>
      </c>
      <c r="D316" s="582" t="s">
        <v>2789</v>
      </c>
      <c r="E316" s="582" t="s">
        <v>154</v>
      </c>
      <c r="F316" s="582" t="s">
        <v>2788</v>
      </c>
      <c r="G316" s="582" t="s">
        <v>1546</v>
      </c>
      <c r="H316" s="582" t="s">
        <v>157</v>
      </c>
      <c r="I316" s="582" t="s">
        <v>197</v>
      </c>
      <c r="J316" s="582" t="s">
        <v>198</v>
      </c>
      <c r="K316" s="582" t="s">
        <v>2714</v>
      </c>
      <c r="L316" s="582" t="s">
        <v>161</v>
      </c>
      <c r="M316" s="582" t="s">
        <v>162</v>
      </c>
      <c r="N316" s="582" t="s">
        <v>2790</v>
      </c>
    </row>
    <row r="317" spans="1:14" ht="16.5">
      <c r="A317" s="582" t="s">
        <v>2751</v>
      </c>
      <c r="B317" s="582" t="s">
        <v>2791</v>
      </c>
      <c r="C317" s="585">
        <v>1.4004629629629629E-3</v>
      </c>
      <c r="D317" s="582" t="s">
        <v>2792</v>
      </c>
      <c r="E317" s="582" t="s">
        <v>154</v>
      </c>
      <c r="F317" s="582" t="s">
        <v>2788</v>
      </c>
      <c r="G317" s="582" t="s">
        <v>1546</v>
      </c>
      <c r="H317" s="582" t="s">
        <v>157</v>
      </c>
      <c r="I317" s="582" t="s">
        <v>197</v>
      </c>
      <c r="J317" s="582" t="s">
        <v>198</v>
      </c>
      <c r="K317" s="582" t="s">
        <v>2714</v>
      </c>
      <c r="L317" s="582" t="s">
        <v>161</v>
      </c>
      <c r="M317" s="582" t="s">
        <v>162</v>
      </c>
      <c r="N317" s="582" t="s">
        <v>2793</v>
      </c>
    </row>
    <row r="318" spans="1:14" ht="16.5">
      <c r="A318" s="582" t="s">
        <v>2751</v>
      </c>
      <c r="B318" s="582" t="s">
        <v>4193</v>
      </c>
      <c r="C318" s="582"/>
      <c r="D318" s="582"/>
      <c r="E318" s="582"/>
      <c r="F318" s="582" t="s">
        <v>2788</v>
      </c>
      <c r="G318" s="582" t="s">
        <v>4194</v>
      </c>
      <c r="H318" s="582" t="s">
        <v>157</v>
      </c>
      <c r="I318" s="582" t="s">
        <v>197</v>
      </c>
      <c r="J318" s="582" t="s">
        <v>198</v>
      </c>
      <c r="K318" s="582" t="s">
        <v>2714</v>
      </c>
      <c r="L318" s="582" t="s">
        <v>161</v>
      </c>
      <c r="M318" s="582" t="s">
        <v>162</v>
      </c>
      <c r="N318" s="582" t="s">
        <v>4195</v>
      </c>
    </row>
    <row r="319" spans="1:14" ht="16.5">
      <c r="A319" s="582" t="s">
        <v>2751</v>
      </c>
      <c r="B319" s="582" t="s">
        <v>4196</v>
      </c>
      <c r="C319" s="582"/>
      <c r="D319" s="582"/>
      <c r="E319" s="582"/>
      <c r="F319" s="582" t="s">
        <v>2535</v>
      </c>
      <c r="G319" s="582" t="s">
        <v>2795</v>
      </c>
      <c r="H319" s="582" t="s">
        <v>157</v>
      </c>
      <c r="I319" s="582" t="s">
        <v>158</v>
      </c>
      <c r="J319" s="582" t="s">
        <v>212</v>
      </c>
      <c r="K319" s="582" t="s">
        <v>2084</v>
      </c>
      <c r="L319" s="582" t="s">
        <v>161</v>
      </c>
      <c r="M319" s="582" t="s">
        <v>162</v>
      </c>
      <c r="N319" s="582" t="s">
        <v>4197</v>
      </c>
    </row>
    <row r="320" spans="1:14" ht="16.5">
      <c r="A320" s="582" t="s">
        <v>2751</v>
      </c>
      <c r="B320" s="582" t="s">
        <v>4198</v>
      </c>
      <c r="C320" s="582"/>
      <c r="D320" s="582"/>
      <c r="E320" s="582"/>
      <c r="F320" s="582" t="s">
        <v>156</v>
      </c>
      <c r="G320" s="582" t="s">
        <v>2796</v>
      </c>
      <c r="H320" s="582" t="s">
        <v>157</v>
      </c>
      <c r="I320" s="582" t="s">
        <v>158</v>
      </c>
      <c r="J320" s="582" t="s">
        <v>168</v>
      </c>
      <c r="K320" s="582" t="s">
        <v>2084</v>
      </c>
      <c r="L320" s="582" t="s">
        <v>161</v>
      </c>
      <c r="M320" s="582" t="s">
        <v>162</v>
      </c>
      <c r="N320" s="582" t="s">
        <v>4199</v>
      </c>
    </row>
    <row r="321" spans="1:14" ht="16.5">
      <c r="A321" s="582" t="s">
        <v>2751</v>
      </c>
      <c r="B321" s="582" t="s">
        <v>2797</v>
      </c>
      <c r="C321" s="585">
        <v>2.2106481481481478E-3</v>
      </c>
      <c r="D321" s="582" t="s">
        <v>2798</v>
      </c>
      <c r="E321" s="582" t="s">
        <v>154</v>
      </c>
      <c r="F321" s="582" t="s">
        <v>2799</v>
      </c>
      <c r="G321" s="582" t="s">
        <v>2800</v>
      </c>
      <c r="H321" s="582" t="s">
        <v>157</v>
      </c>
      <c r="I321" s="582" t="s">
        <v>158</v>
      </c>
      <c r="J321" s="582" t="s">
        <v>168</v>
      </c>
      <c r="K321" s="582" t="s">
        <v>2714</v>
      </c>
      <c r="L321" s="582" t="s">
        <v>161</v>
      </c>
      <c r="M321" s="582" t="s">
        <v>162</v>
      </c>
      <c r="N321" s="582" t="s">
        <v>2801</v>
      </c>
    </row>
    <row r="322" spans="1:14" ht="16.5">
      <c r="A322" s="582" t="s">
        <v>2751</v>
      </c>
      <c r="B322" s="582" t="s">
        <v>2802</v>
      </c>
      <c r="C322" s="585">
        <v>4.6296296296296293E-4</v>
      </c>
      <c r="D322" s="582" t="s">
        <v>2803</v>
      </c>
      <c r="E322" s="582" t="s">
        <v>154</v>
      </c>
      <c r="F322" s="582" t="s">
        <v>1320</v>
      </c>
      <c r="G322" s="582" t="s">
        <v>1441</v>
      </c>
      <c r="H322" s="582" t="s">
        <v>157</v>
      </c>
      <c r="I322" s="582" t="s">
        <v>158</v>
      </c>
      <c r="J322" s="582" t="s">
        <v>212</v>
      </c>
      <c r="K322" s="582" t="s">
        <v>2084</v>
      </c>
      <c r="L322" s="582" t="s">
        <v>161</v>
      </c>
      <c r="M322" s="582" t="s">
        <v>162</v>
      </c>
      <c r="N322" s="582" t="s">
        <v>2804</v>
      </c>
    </row>
    <row r="323" spans="1:14" ht="16.5">
      <c r="A323" s="582" t="s">
        <v>2751</v>
      </c>
      <c r="B323" s="582" t="s">
        <v>2805</v>
      </c>
      <c r="C323" s="585">
        <v>2.1527777777777778E-3</v>
      </c>
      <c r="D323" s="582" t="s">
        <v>2806</v>
      </c>
      <c r="E323" s="582" t="s">
        <v>154</v>
      </c>
      <c r="F323" s="582" t="s">
        <v>2807</v>
      </c>
      <c r="G323" s="582" t="s">
        <v>2808</v>
      </c>
      <c r="H323" s="582" t="s">
        <v>157</v>
      </c>
      <c r="I323" s="582" t="s">
        <v>158</v>
      </c>
      <c r="J323" s="582" t="s">
        <v>212</v>
      </c>
      <c r="K323" s="582" t="s">
        <v>160</v>
      </c>
      <c r="L323" s="582" t="s">
        <v>161</v>
      </c>
      <c r="M323" s="582" t="s">
        <v>162</v>
      </c>
      <c r="N323" s="582" t="s">
        <v>2809</v>
      </c>
    </row>
    <row r="324" spans="1:14" ht="16.5">
      <c r="A324" s="582" t="s">
        <v>2751</v>
      </c>
      <c r="B324" s="582" t="s">
        <v>2810</v>
      </c>
      <c r="C324" s="585">
        <v>6.9444444444444447E-4</v>
      </c>
      <c r="D324" s="582" t="s">
        <v>2811</v>
      </c>
      <c r="E324" s="582" t="s">
        <v>154</v>
      </c>
      <c r="F324" s="582" t="s">
        <v>2774</v>
      </c>
      <c r="G324" s="582" t="s">
        <v>2812</v>
      </c>
      <c r="H324" s="582" t="s">
        <v>157</v>
      </c>
      <c r="I324" s="582" t="s">
        <v>158</v>
      </c>
      <c r="J324" s="582" t="s">
        <v>212</v>
      </c>
      <c r="K324" s="582" t="s">
        <v>2084</v>
      </c>
      <c r="L324" s="582" t="s">
        <v>161</v>
      </c>
      <c r="M324" s="582" t="s">
        <v>162</v>
      </c>
      <c r="N324" s="582" t="s">
        <v>2813</v>
      </c>
    </row>
    <row r="325" spans="1:14" ht="16.5">
      <c r="A325" s="582" t="s">
        <v>2751</v>
      </c>
      <c r="B325" s="582" t="s">
        <v>2814</v>
      </c>
      <c r="C325" s="585">
        <v>2.2453703703703702E-3</v>
      </c>
      <c r="D325" s="582" t="s">
        <v>2815</v>
      </c>
      <c r="E325" s="582" t="s">
        <v>154</v>
      </c>
      <c r="F325" s="582" t="s">
        <v>2816</v>
      </c>
      <c r="G325" s="582" t="s">
        <v>2817</v>
      </c>
      <c r="H325" s="582" t="s">
        <v>157</v>
      </c>
      <c r="I325" s="582" t="s">
        <v>158</v>
      </c>
      <c r="J325" s="582" t="s">
        <v>168</v>
      </c>
      <c r="K325" s="582" t="s">
        <v>160</v>
      </c>
      <c r="L325" s="582" t="s">
        <v>161</v>
      </c>
      <c r="M325" s="582" t="s">
        <v>162</v>
      </c>
      <c r="N325" s="582" t="s">
        <v>1019</v>
      </c>
    </row>
    <row r="326" spans="1:14" ht="16.5">
      <c r="A326" s="582" t="s">
        <v>2751</v>
      </c>
      <c r="B326" s="582" t="s">
        <v>4200</v>
      </c>
      <c r="C326" s="582"/>
      <c r="D326" s="582"/>
      <c r="E326" s="582"/>
      <c r="F326" s="582" t="s">
        <v>2818</v>
      </c>
      <c r="G326" s="582" t="s">
        <v>4165</v>
      </c>
      <c r="H326" s="582" t="s">
        <v>157</v>
      </c>
      <c r="I326" s="582" t="s">
        <v>158</v>
      </c>
      <c r="J326" s="582" t="s">
        <v>168</v>
      </c>
      <c r="K326" s="582" t="s">
        <v>2714</v>
      </c>
      <c r="L326" s="582" t="s">
        <v>161</v>
      </c>
      <c r="M326" s="582" t="s">
        <v>162</v>
      </c>
      <c r="N326" s="582" t="s">
        <v>3679</v>
      </c>
    </row>
    <row r="327" spans="1:14" ht="16.5">
      <c r="A327" s="582" t="s">
        <v>2751</v>
      </c>
      <c r="B327" s="582" t="s">
        <v>2819</v>
      </c>
      <c r="C327" s="585">
        <v>1.712962962962963E-3</v>
      </c>
      <c r="D327" s="582" t="s">
        <v>2820</v>
      </c>
      <c r="E327" s="582" t="s">
        <v>154</v>
      </c>
      <c r="F327" s="582" t="s">
        <v>2774</v>
      </c>
      <c r="G327" s="582" t="s">
        <v>2821</v>
      </c>
      <c r="H327" s="582" t="s">
        <v>157</v>
      </c>
      <c r="I327" s="582" t="s">
        <v>158</v>
      </c>
      <c r="J327" s="582" t="s">
        <v>168</v>
      </c>
      <c r="K327" s="582" t="s">
        <v>2084</v>
      </c>
      <c r="L327" s="582" t="s">
        <v>161</v>
      </c>
      <c r="M327" s="582" t="s">
        <v>162</v>
      </c>
      <c r="N327" s="582" t="s">
        <v>2822</v>
      </c>
    </row>
    <row r="328" spans="1:14" ht="16.5">
      <c r="A328" s="582" t="s">
        <v>2751</v>
      </c>
      <c r="B328" s="582" t="s">
        <v>1811</v>
      </c>
      <c r="C328" s="585">
        <v>3.4722222222222222E-5</v>
      </c>
      <c r="D328" s="582" t="s">
        <v>2823</v>
      </c>
      <c r="E328" s="582" t="s">
        <v>154</v>
      </c>
      <c r="F328" s="582" t="s">
        <v>2824</v>
      </c>
      <c r="G328" s="582" t="s">
        <v>2825</v>
      </c>
      <c r="H328" s="582" t="s">
        <v>157</v>
      </c>
      <c r="I328" s="582" t="s">
        <v>158</v>
      </c>
      <c r="J328" s="582" t="s">
        <v>168</v>
      </c>
      <c r="K328" s="582" t="s">
        <v>160</v>
      </c>
      <c r="L328" s="582" t="s">
        <v>161</v>
      </c>
      <c r="M328" s="582" t="s">
        <v>162</v>
      </c>
      <c r="N328" s="582" t="s">
        <v>2826</v>
      </c>
    </row>
    <row r="329" spans="1:14" ht="16.5">
      <c r="A329" s="582" t="s">
        <v>2751</v>
      </c>
      <c r="B329" s="582" t="s">
        <v>2827</v>
      </c>
      <c r="C329" s="585">
        <v>2.2106481481481478E-3</v>
      </c>
      <c r="D329" s="582" t="s">
        <v>2828</v>
      </c>
      <c r="E329" s="582" t="s">
        <v>154</v>
      </c>
      <c r="F329" s="582" t="s">
        <v>2829</v>
      </c>
      <c r="G329" s="582" t="s">
        <v>2830</v>
      </c>
      <c r="H329" s="582" t="s">
        <v>157</v>
      </c>
      <c r="I329" s="582" t="s">
        <v>158</v>
      </c>
      <c r="J329" s="582" t="s">
        <v>713</v>
      </c>
      <c r="K329" s="582" t="s">
        <v>160</v>
      </c>
      <c r="L329" s="582" t="s">
        <v>161</v>
      </c>
      <c r="M329" s="582" t="s">
        <v>162</v>
      </c>
      <c r="N329" s="582" t="s">
        <v>2831</v>
      </c>
    </row>
    <row r="330" spans="1:14" ht="16.5">
      <c r="A330" s="582" t="s">
        <v>2751</v>
      </c>
      <c r="B330" s="582" t="s">
        <v>4201</v>
      </c>
      <c r="C330" s="582"/>
      <c r="D330" s="582"/>
      <c r="E330" s="582"/>
      <c r="F330" s="582" t="s">
        <v>2299</v>
      </c>
      <c r="G330" s="582" t="s">
        <v>4202</v>
      </c>
      <c r="H330" s="582" t="s">
        <v>157</v>
      </c>
      <c r="I330" s="582" t="s">
        <v>158</v>
      </c>
      <c r="J330" s="582" t="s">
        <v>391</v>
      </c>
      <c r="K330" s="582" t="s">
        <v>2084</v>
      </c>
      <c r="L330" s="582" t="s">
        <v>161</v>
      </c>
      <c r="M330" s="582" t="s">
        <v>162</v>
      </c>
      <c r="N330" s="582" t="s">
        <v>4203</v>
      </c>
    </row>
    <row r="331" spans="1:14" ht="16.5">
      <c r="A331" s="582" t="s">
        <v>2751</v>
      </c>
      <c r="B331" s="582" t="s">
        <v>2832</v>
      </c>
      <c r="C331" s="585">
        <v>4.8842592592592592E-3</v>
      </c>
      <c r="D331" s="582" t="s">
        <v>2833</v>
      </c>
      <c r="E331" s="582" t="s">
        <v>154</v>
      </c>
      <c r="F331" s="582" t="s">
        <v>1851</v>
      </c>
      <c r="G331" s="582" t="s">
        <v>1852</v>
      </c>
      <c r="H331" s="582" t="s">
        <v>157</v>
      </c>
      <c r="I331" s="582" t="s">
        <v>197</v>
      </c>
      <c r="J331" s="582" t="s">
        <v>481</v>
      </c>
      <c r="K331" s="582" t="s">
        <v>2714</v>
      </c>
      <c r="L331" s="582" t="s">
        <v>161</v>
      </c>
      <c r="M331" s="582" t="s">
        <v>162</v>
      </c>
      <c r="N331" s="582" t="s">
        <v>2834</v>
      </c>
    </row>
    <row r="332" spans="1:14" ht="16.5">
      <c r="A332" s="582" t="s">
        <v>2751</v>
      </c>
      <c r="B332" s="582" t="s">
        <v>2361</v>
      </c>
      <c r="C332" s="585">
        <v>1.6782407407407406E-3</v>
      </c>
      <c r="D332" s="582" t="s">
        <v>2835</v>
      </c>
      <c r="E332" s="582" t="s">
        <v>154</v>
      </c>
      <c r="F332" s="582" t="s">
        <v>1679</v>
      </c>
      <c r="G332" s="582" t="s">
        <v>1680</v>
      </c>
      <c r="H332" s="582" t="s">
        <v>157</v>
      </c>
      <c r="I332" s="582" t="s">
        <v>197</v>
      </c>
      <c r="J332" s="582" t="s">
        <v>198</v>
      </c>
      <c r="K332" s="582" t="s">
        <v>95</v>
      </c>
      <c r="L332" s="582" t="s">
        <v>161</v>
      </c>
      <c r="M332" s="582" t="s">
        <v>162</v>
      </c>
      <c r="N332" s="582" t="s">
        <v>2836</v>
      </c>
    </row>
    <row r="333" spans="1:14" ht="16.5">
      <c r="A333" s="582" t="s">
        <v>2751</v>
      </c>
      <c r="B333" s="582" t="s">
        <v>2837</v>
      </c>
      <c r="C333" s="585">
        <v>5.3240740740740744E-4</v>
      </c>
      <c r="D333" s="582" t="s">
        <v>2838</v>
      </c>
      <c r="E333" s="582" t="s">
        <v>154</v>
      </c>
      <c r="F333" s="582" t="s">
        <v>2299</v>
      </c>
      <c r="G333" s="582" t="s">
        <v>2839</v>
      </c>
      <c r="H333" s="582" t="s">
        <v>157</v>
      </c>
      <c r="I333" s="582" t="s">
        <v>158</v>
      </c>
      <c r="J333" s="582" t="s">
        <v>212</v>
      </c>
      <c r="K333" s="582" t="s">
        <v>2084</v>
      </c>
      <c r="L333" s="582" t="s">
        <v>161</v>
      </c>
      <c r="M333" s="582" t="s">
        <v>162</v>
      </c>
      <c r="N333" s="582" t="s">
        <v>2840</v>
      </c>
    </row>
    <row r="334" spans="1:14" ht="16.5">
      <c r="A334" s="582" t="s">
        <v>2751</v>
      </c>
      <c r="B334" s="582" t="s">
        <v>2841</v>
      </c>
      <c r="C334" s="585">
        <v>1.4004629629629629E-3</v>
      </c>
      <c r="D334" s="582" t="s">
        <v>2842</v>
      </c>
      <c r="E334" s="582" t="s">
        <v>154</v>
      </c>
      <c r="F334" s="582" t="s">
        <v>1851</v>
      </c>
      <c r="G334" s="582" t="s">
        <v>2321</v>
      </c>
      <c r="H334" s="582" t="s">
        <v>157</v>
      </c>
      <c r="I334" s="582" t="s">
        <v>197</v>
      </c>
      <c r="J334" s="582" t="s">
        <v>198</v>
      </c>
      <c r="K334" s="582" t="s">
        <v>2714</v>
      </c>
      <c r="L334" s="582" t="s">
        <v>161</v>
      </c>
      <c r="M334" s="582" t="s">
        <v>162</v>
      </c>
      <c r="N334" s="582" t="s">
        <v>2843</v>
      </c>
    </row>
    <row r="335" spans="1:14" ht="16.5">
      <c r="A335" s="582" t="s">
        <v>2751</v>
      </c>
      <c r="B335" s="582" t="s">
        <v>4204</v>
      </c>
      <c r="C335" s="582"/>
      <c r="D335" s="582"/>
      <c r="E335" s="582"/>
      <c r="F335" s="582" t="s">
        <v>2844</v>
      </c>
      <c r="G335" s="582" t="s">
        <v>2845</v>
      </c>
      <c r="H335" s="582" t="s">
        <v>157</v>
      </c>
      <c r="I335" s="582" t="s">
        <v>158</v>
      </c>
      <c r="J335" s="582" t="s">
        <v>168</v>
      </c>
      <c r="K335" s="582" t="s">
        <v>160</v>
      </c>
      <c r="L335" s="582" t="s">
        <v>161</v>
      </c>
      <c r="M335" s="582" t="s">
        <v>162</v>
      </c>
      <c r="N335" s="582" t="s">
        <v>4205</v>
      </c>
    </row>
    <row r="336" spans="1:14" ht="16.5">
      <c r="A336" s="582" t="s">
        <v>2751</v>
      </c>
      <c r="B336" s="582" t="s">
        <v>1334</v>
      </c>
      <c r="C336" s="585">
        <v>3.4722222222222222E-5</v>
      </c>
      <c r="D336" s="582" t="s">
        <v>2846</v>
      </c>
      <c r="E336" s="582" t="s">
        <v>154</v>
      </c>
      <c r="F336" s="582" t="s">
        <v>2824</v>
      </c>
      <c r="G336" s="582" t="s">
        <v>2825</v>
      </c>
      <c r="H336" s="582" t="s">
        <v>157</v>
      </c>
      <c r="I336" s="582" t="s">
        <v>158</v>
      </c>
      <c r="J336" s="582" t="s">
        <v>168</v>
      </c>
      <c r="K336" s="582" t="s">
        <v>160</v>
      </c>
      <c r="L336" s="582" t="s">
        <v>161</v>
      </c>
      <c r="M336" s="582" t="s">
        <v>162</v>
      </c>
      <c r="N336" s="582" t="s">
        <v>2847</v>
      </c>
    </row>
    <row r="337" spans="1:14" ht="16.5">
      <c r="A337" s="582" t="s">
        <v>2751</v>
      </c>
      <c r="B337" s="582" t="s">
        <v>2848</v>
      </c>
      <c r="C337" s="585">
        <v>3.9351851851851852E-4</v>
      </c>
      <c r="D337" s="582" t="s">
        <v>2849</v>
      </c>
      <c r="E337" s="582" t="s">
        <v>154</v>
      </c>
      <c r="F337" s="582" t="s">
        <v>2774</v>
      </c>
      <c r="G337" s="582" t="s">
        <v>2821</v>
      </c>
      <c r="H337" s="582" t="s">
        <v>157</v>
      </c>
      <c r="I337" s="582" t="s">
        <v>158</v>
      </c>
      <c r="J337" s="582" t="s">
        <v>168</v>
      </c>
      <c r="K337" s="582" t="s">
        <v>2084</v>
      </c>
      <c r="L337" s="582" t="s">
        <v>161</v>
      </c>
      <c r="M337" s="582" t="s">
        <v>162</v>
      </c>
      <c r="N337" s="582" t="s">
        <v>2850</v>
      </c>
    </row>
    <row r="338" spans="1:14" ht="16.5">
      <c r="A338" s="582" t="s">
        <v>2751</v>
      </c>
      <c r="B338" s="582" t="s">
        <v>2851</v>
      </c>
      <c r="C338" s="585">
        <v>8.9120370370370362E-4</v>
      </c>
      <c r="D338" s="582" t="s">
        <v>2852</v>
      </c>
      <c r="E338" s="582" t="s">
        <v>154</v>
      </c>
      <c r="F338" s="582" t="s">
        <v>2088</v>
      </c>
      <c r="G338" s="582" t="s">
        <v>2518</v>
      </c>
      <c r="H338" s="582" t="s">
        <v>157</v>
      </c>
      <c r="I338" s="582" t="s">
        <v>158</v>
      </c>
      <c r="J338" s="582" t="s">
        <v>168</v>
      </c>
      <c r="K338" s="582" t="s">
        <v>2084</v>
      </c>
      <c r="L338" s="582" t="s">
        <v>161</v>
      </c>
      <c r="M338" s="582" t="s">
        <v>162</v>
      </c>
      <c r="N338" s="582" t="s">
        <v>2853</v>
      </c>
    </row>
    <row r="339" spans="1:14" ht="16.5">
      <c r="A339" s="582" t="s">
        <v>2751</v>
      </c>
      <c r="B339" s="582" t="s">
        <v>4206</v>
      </c>
      <c r="C339" s="582"/>
      <c r="D339" s="582"/>
      <c r="E339" s="582"/>
      <c r="F339" s="582" t="s">
        <v>2535</v>
      </c>
      <c r="G339" s="582" t="s">
        <v>2795</v>
      </c>
      <c r="H339" s="582" t="s">
        <v>157</v>
      </c>
      <c r="I339" s="582" t="s">
        <v>158</v>
      </c>
      <c r="J339" s="582" t="s">
        <v>391</v>
      </c>
      <c r="K339" s="582" t="s">
        <v>2084</v>
      </c>
      <c r="L339" s="582" t="s">
        <v>161</v>
      </c>
      <c r="M339" s="582" t="s">
        <v>162</v>
      </c>
      <c r="N339" s="582" t="s">
        <v>4207</v>
      </c>
    </row>
    <row r="340" spans="1:14" ht="16.5">
      <c r="A340" s="582" t="s">
        <v>2751</v>
      </c>
      <c r="B340" s="582" t="s">
        <v>2854</v>
      </c>
      <c r="C340" s="585">
        <v>8.7962962962962962E-4</v>
      </c>
      <c r="D340" s="582" t="s">
        <v>2855</v>
      </c>
      <c r="E340" s="582" t="s">
        <v>154</v>
      </c>
      <c r="F340" s="582" t="s">
        <v>166</v>
      </c>
      <c r="G340" s="582" t="s">
        <v>167</v>
      </c>
      <c r="H340" s="582" t="s">
        <v>157</v>
      </c>
      <c r="I340" s="582" t="s">
        <v>197</v>
      </c>
      <c r="J340" s="582" t="s">
        <v>198</v>
      </c>
      <c r="K340" s="582" t="s">
        <v>95</v>
      </c>
      <c r="L340" s="582" t="s">
        <v>161</v>
      </c>
      <c r="M340" s="582" t="s">
        <v>162</v>
      </c>
      <c r="N340" s="582" t="s">
        <v>2856</v>
      </c>
    </row>
    <row r="341" spans="1:14" ht="16.5">
      <c r="A341" s="582" t="s">
        <v>2751</v>
      </c>
      <c r="B341" s="582" t="s">
        <v>2857</v>
      </c>
      <c r="C341" s="585">
        <v>6.3657407407407402E-4</v>
      </c>
      <c r="D341" s="582" t="s">
        <v>2858</v>
      </c>
      <c r="E341" s="582" t="s">
        <v>154</v>
      </c>
      <c r="F341" s="582" t="s">
        <v>2535</v>
      </c>
      <c r="G341" s="582" t="s">
        <v>276</v>
      </c>
      <c r="H341" s="582" t="s">
        <v>157</v>
      </c>
      <c r="I341" s="582" t="s">
        <v>158</v>
      </c>
      <c r="J341" s="582" t="s">
        <v>212</v>
      </c>
      <c r="K341" s="582" t="s">
        <v>2084</v>
      </c>
      <c r="L341" s="582" t="s">
        <v>161</v>
      </c>
      <c r="M341" s="582" t="s">
        <v>162</v>
      </c>
      <c r="N341" s="582" t="s">
        <v>2859</v>
      </c>
    </row>
    <row r="342" spans="1:14" ht="16.5">
      <c r="A342" s="582" t="s">
        <v>2751</v>
      </c>
      <c r="B342" s="582" t="s">
        <v>2860</v>
      </c>
      <c r="C342" s="585">
        <v>8.1018518518518516E-4</v>
      </c>
      <c r="D342" s="582" t="s">
        <v>2861</v>
      </c>
      <c r="E342" s="582" t="s">
        <v>154</v>
      </c>
      <c r="F342" s="582" t="s">
        <v>2862</v>
      </c>
      <c r="G342" s="582" t="s">
        <v>2863</v>
      </c>
      <c r="H342" s="582" t="s">
        <v>157</v>
      </c>
      <c r="I342" s="582" t="s">
        <v>158</v>
      </c>
      <c r="J342" s="582" t="s">
        <v>168</v>
      </c>
      <c r="K342" s="582" t="s">
        <v>160</v>
      </c>
      <c r="L342" s="582" t="s">
        <v>161</v>
      </c>
      <c r="M342" s="582" t="s">
        <v>162</v>
      </c>
      <c r="N342" s="582" t="s">
        <v>2864</v>
      </c>
    </row>
    <row r="343" spans="1:14" ht="16.5">
      <c r="A343" s="582" t="s">
        <v>2751</v>
      </c>
      <c r="B343" s="582" t="s">
        <v>2865</v>
      </c>
      <c r="C343" s="585">
        <v>3.0092592592592595E-4</v>
      </c>
      <c r="D343" s="582" t="s">
        <v>2866</v>
      </c>
      <c r="E343" s="582" t="s">
        <v>154</v>
      </c>
      <c r="F343" s="582" t="s">
        <v>2867</v>
      </c>
      <c r="G343" s="582" t="s">
        <v>2868</v>
      </c>
      <c r="H343" s="582" t="s">
        <v>157</v>
      </c>
      <c r="I343" s="582" t="s">
        <v>158</v>
      </c>
      <c r="J343" s="582" t="s">
        <v>713</v>
      </c>
      <c r="K343" s="582" t="s">
        <v>160</v>
      </c>
      <c r="L343" s="582" t="s">
        <v>161</v>
      </c>
      <c r="M343" s="582" t="s">
        <v>162</v>
      </c>
      <c r="N343" s="582" t="s">
        <v>2869</v>
      </c>
    </row>
    <row r="344" spans="1:14" ht="16.5">
      <c r="A344" s="582" t="s">
        <v>2751</v>
      </c>
      <c r="B344" s="582" t="s">
        <v>2870</v>
      </c>
      <c r="C344" s="585">
        <v>2.0833333333333335E-4</v>
      </c>
      <c r="D344" s="582" t="s">
        <v>2871</v>
      </c>
      <c r="E344" s="582" t="s">
        <v>154</v>
      </c>
      <c r="F344" s="582" t="s">
        <v>2872</v>
      </c>
      <c r="G344" s="582" t="s">
        <v>2873</v>
      </c>
      <c r="H344" s="582" t="s">
        <v>157</v>
      </c>
      <c r="I344" s="582" t="s">
        <v>158</v>
      </c>
      <c r="J344" s="582" t="s">
        <v>713</v>
      </c>
      <c r="K344" s="582" t="s">
        <v>160</v>
      </c>
      <c r="L344" s="582" t="s">
        <v>161</v>
      </c>
      <c r="M344" s="582" t="s">
        <v>162</v>
      </c>
      <c r="N344" s="582" t="s">
        <v>2874</v>
      </c>
    </row>
    <row r="345" spans="1:14" ht="16.5">
      <c r="A345" s="582" t="s">
        <v>2751</v>
      </c>
      <c r="B345" s="582" t="s">
        <v>2875</v>
      </c>
      <c r="C345" s="585">
        <v>5.5555555555555556E-4</v>
      </c>
      <c r="D345" s="582" t="s">
        <v>2876</v>
      </c>
      <c r="E345" s="582" t="s">
        <v>154</v>
      </c>
      <c r="F345" s="582" t="s">
        <v>2877</v>
      </c>
      <c r="G345" s="582" t="s">
        <v>2878</v>
      </c>
      <c r="H345" s="582" t="s">
        <v>157</v>
      </c>
      <c r="I345" s="582" t="s">
        <v>158</v>
      </c>
      <c r="J345" s="582" t="s">
        <v>713</v>
      </c>
      <c r="K345" s="582" t="s">
        <v>160</v>
      </c>
      <c r="L345" s="582" t="s">
        <v>161</v>
      </c>
      <c r="M345" s="582" t="s">
        <v>162</v>
      </c>
      <c r="N345" s="582" t="s">
        <v>2879</v>
      </c>
    </row>
    <row r="346" spans="1:14" ht="16.5">
      <c r="A346" s="582" t="s">
        <v>2751</v>
      </c>
      <c r="B346" s="582" t="s">
        <v>2880</v>
      </c>
      <c r="C346" s="585">
        <v>1.5624999999999999E-3</v>
      </c>
      <c r="D346" s="582" t="s">
        <v>2881</v>
      </c>
      <c r="E346" s="582" t="s">
        <v>154</v>
      </c>
      <c r="F346" s="582" t="s">
        <v>2882</v>
      </c>
      <c r="G346" s="582" t="s">
        <v>2883</v>
      </c>
      <c r="H346" s="582" t="s">
        <v>157</v>
      </c>
      <c r="I346" s="582" t="s">
        <v>158</v>
      </c>
      <c r="J346" s="582" t="s">
        <v>391</v>
      </c>
      <c r="K346" s="582" t="s">
        <v>2084</v>
      </c>
      <c r="L346" s="582" t="s">
        <v>161</v>
      </c>
      <c r="M346" s="582" t="s">
        <v>162</v>
      </c>
      <c r="N346" s="582" t="s">
        <v>2884</v>
      </c>
    </row>
    <row r="347" spans="1:14" ht="16.5">
      <c r="A347" s="582" t="s">
        <v>2751</v>
      </c>
      <c r="B347" s="582" t="s">
        <v>2885</v>
      </c>
      <c r="C347" s="585">
        <v>1.1574074074074073E-4</v>
      </c>
      <c r="D347" s="582" t="s">
        <v>2886</v>
      </c>
      <c r="E347" s="582" t="s">
        <v>154</v>
      </c>
      <c r="F347" s="582" t="s">
        <v>2887</v>
      </c>
      <c r="G347" s="582" t="s">
        <v>2888</v>
      </c>
      <c r="H347" s="582" t="s">
        <v>157</v>
      </c>
      <c r="I347" s="582" t="s">
        <v>158</v>
      </c>
      <c r="J347" s="582" t="s">
        <v>713</v>
      </c>
      <c r="K347" s="582" t="s">
        <v>160</v>
      </c>
      <c r="L347" s="582" t="s">
        <v>161</v>
      </c>
      <c r="M347" s="582" t="s">
        <v>162</v>
      </c>
      <c r="N347" s="582" t="s">
        <v>2889</v>
      </c>
    </row>
    <row r="348" spans="1:14" ht="16.5">
      <c r="A348" s="582" t="s">
        <v>2751</v>
      </c>
      <c r="B348" s="582" t="s">
        <v>2890</v>
      </c>
      <c r="C348" s="585">
        <v>1.8402777777777777E-3</v>
      </c>
      <c r="D348" s="582" t="s">
        <v>2891</v>
      </c>
      <c r="E348" s="582" t="s">
        <v>154</v>
      </c>
      <c r="F348" s="582" t="s">
        <v>2892</v>
      </c>
      <c r="G348" s="582" t="s">
        <v>2893</v>
      </c>
      <c r="H348" s="582" t="s">
        <v>157</v>
      </c>
      <c r="I348" s="582" t="s">
        <v>158</v>
      </c>
      <c r="J348" s="582" t="s">
        <v>168</v>
      </c>
      <c r="K348" s="582" t="s">
        <v>2714</v>
      </c>
      <c r="L348" s="582" t="s">
        <v>161</v>
      </c>
      <c r="M348" s="582" t="s">
        <v>162</v>
      </c>
      <c r="N348" s="582" t="s">
        <v>2894</v>
      </c>
    </row>
    <row r="349" spans="1:14" ht="16.5">
      <c r="A349" s="582" t="s">
        <v>2751</v>
      </c>
      <c r="B349" s="582" t="s">
        <v>1877</v>
      </c>
      <c r="C349" s="585">
        <v>1.712962962962963E-3</v>
      </c>
      <c r="D349" s="582" t="s">
        <v>2895</v>
      </c>
      <c r="E349" s="582" t="s">
        <v>154</v>
      </c>
      <c r="F349" s="582" t="s">
        <v>2715</v>
      </c>
      <c r="G349" s="582" t="s">
        <v>2716</v>
      </c>
      <c r="H349" s="582" t="s">
        <v>157</v>
      </c>
      <c r="I349" s="582" t="s">
        <v>158</v>
      </c>
      <c r="J349" s="582" t="s">
        <v>168</v>
      </c>
      <c r="K349" s="582" t="s">
        <v>2084</v>
      </c>
      <c r="L349" s="582" t="s">
        <v>161</v>
      </c>
      <c r="M349" s="582" t="s">
        <v>162</v>
      </c>
      <c r="N349" s="582" t="s">
        <v>2896</v>
      </c>
    </row>
    <row r="350" spans="1:14" ht="16.5">
      <c r="A350" s="582" t="s">
        <v>2751</v>
      </c>
      <c r="B350" s="582" t="s">
        <v>2897</v>
      </c>
      <c r="C350" s="585">
        <v>1.2962962962962963E-3</v>
      </c>
      <c r="D350" s="582" t="s">
        <v>2898</v>
      </c>
      <c r="E350" s="582" t="s">
        <v>154</v>
      </c>
      <c r="F350" s="582" t="s">
        <v>2788</v>
      </c>
      <c r="G350" s="582" t="s">
        <v>1546</v>
      </c>
      <c r="H350" s="582" t="s">
        <v>157</v>
      </c>
      <c r="I350" s="582" t="s">
        <v>197</v>
      </c>
      <c r="J350" s="582" t="s">
        <v>198</v>
      </c>
      <c r="K350" s="582" t="s">
        <v>95</v>
      </c>
      <c r="L350" s="582" t="s">
        <v>161</v>
      </c>
      <c r="M350" s="582" t="s">
        <v>162</v>
      </c>
      <c r="N350" s="582" t="s">
        <v>2899</v>
      </c>
    </row>
    <row r="351" spans="1:14" ht="16.5">
      <c r="A351" s="582" t="s">
        <v>2751</v>
      </c>
      <c r="B351" s="582" t="s">
        <v>4208</v>
      </c>
      <c r="C351" s="582"/>
      <c r="D351" s="582"/>
      <c r="E351" s="582"/>
      <c r="F351" s="582" t="s">
        <v>2900</v>
      </c>
      <c r="G351" s="582" t="s">
        <v>2796</v>
      </c>
      <c r="H351" s="582" t="s">
        <v>157</v>
      </c>
      <c r="I351" s="582" t="s">
        <v>158</v>
      </c>
      <c r="J351" s="582" t="s">
        <v>713</v>
      </c>
      <c r="K351" s="582" t="s">
        <v>2084</v>
      </c>
      <c r="L351" s="582" t="s">
        <v>161</v>
      </c>
      <c r="M351" s="582" t="s">
        <v>162</v>
      </c>
      <c r="N351" s="582" t="s">
        <v>2160</v>
      </c>
    </row>
    <row r="352" spans="1:14" ht="16.5">
      <c r="A352" s="582" t="s">
        <v>2751</v>
      </c>
      <c r="B352" s="582" t="s">
        <v>4209</v>
      </c>
      <c r="C352" s="582"/>
      <c r="D352" s="582"/>
      <c r="E352" s="582"/>
      <c r="F352" s="582" t="s">
        <v>1320</v>
      </c>
      <c r="G352" s="582" t="s">
        <v>1321</v>
      </c>
      <c r="H352" s="582" t="s">
        <v>157</v>
      </c>
      <c r="I352" s="582" t="s">
        <v>158</v>
      </c>
      <c r="J352" s="582" t="s">
        <v>212</v>
      </c>
      <c r="K352" s="582" t="s">
        <v>2084</v>
      </c>
      <c r="L352" s="582" t="s">
        <v>161</v>
      </c>
      <c r="M352" s="582" t="s">
        <v>162</v>
      </c>
      <c r="N352" s="582" t="s">
        <v>4210</v>
      </c>
    </row>
    <row r="353" spans="1:14" ht="16.5">
      <c r="A353" s="582" t="s">
        <v>2751</v>
      </c>
      <c r="B353" s="582" t="s">
        <v>2901</v>
      </c>
      <c r="C353" s="585">
        <v>1.6319444444444445E-3</v>
      </c>
      <c r="D353" s="582" t="s">
        <v>2902</v>
      </c>
      <c r="E353" s="582" t="s">
        <v>154</v>
      </c>
      <c r="F353" s="582" t="s">
        <v>2115</v>
      </c>
      <c r="G353" s="582" t="s">
        <v>2116</v>
      </c>
      <c r="H353" s="582" t="s">
        <v>157</v>
      </c>
      <c r="I353" s="582" t="s">
        <v>158</v>
      </c>
      <c r="J353" s="582" t="s">
        <v>212</v>
      </c>
      <c r="K353" s="582" t="s">
        <v>160</v>
      </c>
      <c r="L353" s="582" t="s">
        <v>161</v>
      </c>
      <c r="M353" s="582" t="s">
        <v>162</v>
      </c>
      <c r="N353" s="582" t="s">
        <v>2903</v>
      </c>
    </row>
    <row r="354" spans="1:14" ht="16.5">
      <c r="A354" s="582" t="s">
        <v>2751</v>
      </c>
      <c r="B354" s="582" t="s">
        <v>2904</v>
      </c>
      <c r="C354" s="585">
        <v>7.0601851851851847E-4</v>
      </c>
      <c r="D354" s="582" t="s">
        <v>2905</v>
      </c>
      <c r="E354" s="582" t="s">
        <v>154</v>
      </c>
      <c r="F354" s="582" t="s">
        <v>2906</v>
      </c>
      <c r="G354" s="582" t="s">
        <v>2907</v>
      </c>
      <c r="H354" s="582" t="s">
        <v>157</v>
      </c>
      <c r="I354" s="582" t="s">
        <v>158</v>
      </c>
      <c r="J354" s="582" t="s">
        <v>168</v>
      </c>
      <c r="K354" s="582" t="s">
        <v>160</v>
      </c>
      <c r="L354" s="582" t="s">
        <v>161</v>
      </c>
      <c r="M354" s="582" t="s">
        <v>162</v>
      </c>
      <c r="N354" s="582" t="s">
        <v>2908</v>
      </c>
    </row>
    <row r="355" spans="1:14" ht="16.5">
      <c r="A355" s="582" t="s">
        <v>2751</v>
      </c>
      <c r="B355" s="582" t="s">
        <v>2909</v>
      </c>
      <c r="C355" s="585">
        <v>1.1574074074074073E-5</v>
      </c>
      <c r="D355" s="582" t="s">
        <v>2910</v>
      </c>
      <c r="E355" s="582" t="s">
        <v>154</v>
      </c>
      <c r="F355" s="582" t="s">
        <v>2911</v>
      </c>
      <c r="G355" s="582" t="s">
        <v>2912</v>
      </c>
      <c r="H355" s="582" t="s">
        <v>157</v>
      </c>
      <c r="I355" s="582" t="s">
        <v>158</v>
      </c>
      <c r="J355" s="582" t="s">
        <v>168</v>
      </c>
      <c r="K355" s="582" t="s">
        <v>2714</v>
      </c>
      <c r="L355" s="582" t="s">
        <v>161</v>
      </c>
      <c r="M355" s="582" t="s">
        <v>162</v>
      </c>
      <c r="N355" s="582" t="s">
        <v>2913</v>
      </c>
    </row>
    <row r="356" spans="1:14" ht="16.5">
      <c r="A356" s="582" t="s">
        <v>2751</v>
      </c>
      <c r="B356" s="582" t="s">
        <v>2914</v>
      </c>
      <c r="C356" s="585">
        <v>4.3981481481481481E-4</v>
      </c>
      <c r="D356" s="582" t="s">
        <v>2915</v>
      </c>
      <c r="E356" s="582" t="s">
        <v>154</v>
      </c>
      <c r="F356" s="582" t="s">
        <v>1851</v>
      </c>
      <c r="G356" s="582" t="s">
        <v>1852</v>
      </c>
      <c r="H356" s="582" t="s">
        <v>157</v>
      </c>
      <c r="I356" s="582" t="s">
        <v>197</v>
      </c>
      <c r="J356" s="582" t="s">
        <v>198</v>
      </c>
      <c r="K356" s="582" t="s">
        <v>95</v>
      </c>
      <c r="L356" s="582" t="s">
        <v>161</v>
      </c>
      <c r="M356" s="582" t="s">
        <v>162</v>
      </c>
      <c r="N356" s="582" t="s">
        <v>2916</v>
      </c>
    </row>
    <row r="357" spans="1:14" ht="16.5">
      <c r="A357" s="582" t="s">
        <v>2751</v>
      </c>
      <c r="B357" s="582" t="s">
        <v>1364</v>
      </c>
      <c r="C357" s="582"/>
      <c r="D357" s="582"/>
      <c r="E357" s="582"/>
      <c r="F357" s="582" t="s">
        <v>2816</v>
      </c>
      <c r="G357" s="582" t="s">
        <v>2817</v>
      </c>
      <c r="H357" s="582" t="s">
        <v>157</v>
      </c>
      <c r="I357" s="582" t="s">
        <v>158</v>
      </c>
      <c r="J357" s="582" t="s">
        <v>168</v>
      </c>
      <c r="K357" s="582" t="s">
        <v>160</v>
      </c>
      <c r="L357" s="582" t="s">
        <v>161</v>
      </c>
      <c r="M357" s="582" t="s">
        <v>162</v>
      </c>
      <c r="N357" s="582" t="s">
        <v>1744</v>
      </c>
    </row>
    <row r="358" spans="1:14" ht="16.5">
      <c r="A358" s="582" t="s">
        <v>2751</v>
      </c>
      <c r="B358" s="582" t="s">
        <v>4211</v>
      </c>
      <c r="C358" s="582"/>
      <c r="D358" s="582"/>
      <c r="E358" s="582"/>
      <c r="F358" s="582" t="s">
        <v>2310</v>
      </c>
      <c r="G358" s="582" t="s">
        <v>2527</v>
      </c>
      <c r="H358" s="582" t="s">
        <v>157</v>
      </c>
      <c r="I358" s="582" t="s">
        <v>158</v>
      </c>
      <c r="J358" s="582" t="s">
        <v>212</v>
      </c>
      <c r="K358" s="582" t="s">
        <v>160</v>
      </c>
      <c r="L358" s="582" t="s">
        <v>161</v>
      </c>
      <c r="M358" s="582" t="s">
        <v>162</v>
      </c>
      <c r="N358" s="582" t="s">
        <v>4212</v>
      </c>
    </row>
    <row r="359" spans="1:14" ht="16.5">
      <c r="A359" s="582" t="s">
        <v>2751</v>
      </c>
      <c r="B359" s="582" t="s">
        <v>4213</v>
      </c>
      <c r="C359" s="582"/>
      <c r="D359" s="582"/>
      <c r="E359" s="582"/>
      <c r="F359" s="582" t="s">
        <v>1951</v>
      </c>
      <c r="G359" s="582" t="s">
        <v>2024</v>
      </c>
      <c r="H359" s="582" t="s">
        <v>157</v>
      </c>
      <c r="I359" s="582" t="s">
        <v>158</v>
      </c>
      <c r="J359" s="582" t="s">
        <v>212</v>
      </c>
      <c r="K359" s="582" t="s">
        <v>160</v>
      </c>
      <c r="L359" s="582" t="s">
        <v>161</v>
      </c>
      <c r="M359" s="582" t="s">
        <v>162</v>
      </c>
      <c r="N359" s="582" t="s">
        <v>4214</v>
      </c>
    </row>
    <row r="360" spans="1:14" ht="16.5">
      <c r="A360" s="582" t="s">
        <v>2751</v>
      </c>
      <c r="B360" s="582" t="s">
        <v>2917</v>
      </c>
      <c r="C360" s="585">
        <v>6.851851851851852E-3</v>
      </c>
      <c r="D360" s="582" t="s">
        <v>2918</v>
      </c>
      <c r="E360" s="582" t="s">
        <v>154</v>
      </c>
      <c r="F360" s="582" t="s">
        <v>2919</v>
      </c>
      <c r="G360" s="582" t="s">
        <v>2920</v>
      </c>
      <c r="H360" s="582" t="s">
        <v>157</v>
      </c>
      <c r="I360" s="582" t="s">
        <v>158</v>
      </c>
      <c r="J360" s="582" t="s">
        <v>168</v>
      </c>
      <c r="K360" s="582" t="s">
        <v>2714</v>
      </c>
      <c r="L360" s="582" t="s">
        <v>161</v>
      </c>
      <c r="M360" s="582" t="s">
        <v>162</v>
      </c>
      <c r="N360" s="582" t="s">
        <v>2921</v>
      </c>
    </row>
    <row r="361" spans="1:14" ht="16.5">
      <c r="A361" s="582" t="s">
        <v>2751</v>
      </c>
      <c r="B361" s="582" t="s">
        <v>2922</v>
      </c>
      <c r="C361" s="585">
        <v>3.4722222222222222E-5</v>
      </c>
      <c r="D361" s="582" t="s">
        <v>2923</v>
      </c>
      <c r="E361" s="582" t="s">
        <v>154</v>
      </c>
      <c r="F361" s="582" t="s">
        <v>1647</v>
      </c>
      <c r="G361" s="582" t="s">
        <v>1648</v>
      </c>
      <c r="H361" s="582" t="s">
        <v>157</v>
      </c>
      <c r="I361" s="582" t="s">
        <v>158</v>
      </c>
      <c r="J361" s="582" t="s">
        <v>191</v>
      </c>
      <c r="K361" s="582" t="s">
        <v>95</v>
      </c>
      <c r="L361" s="582" t="s">
        <v>161</v>
      </c>
      <c r="M361" s="582" t="s">
        <v>162</v>
      </c>
      <c r="N361" s="582" t="s">
        <v>2924</v>
      </c>
    </row>
    <row r="362" spans="1:14" ht="16.5">
      <c r="A362" s="582" t="s">
        <v>2751</v>
      </c>
      <c r="B362" s="582" t="s">
        <v>4215</v>
      </c>
      <c r="C362" s="582"/>
      <c r="D362" s="582"/>
      <c r="E362" s="582"/>
      <c r="F362" s="582" t="s">
        <v>2198</v>
      </c>
      <c r="G362" s="582" t="s">
        <v>3570</v>
      </c>
      <c r="H362" s="582" t="s">
        <v>157</v>
      </c>
      <c r="I362" s="582" t="s">
        <v>197</v>
      </c>
      <c r="J362" s="582" t="s">
        <v>198</v>
      </c>
      <c r="K362" s="582" t="s">
        <v>95</v>
      </c>
      <c r="L362" s="582" t="s">
        <v>161</v>
      </c>
      <c r="M362" s="582" t="s">
        <v>162</v>
      </c>
      <c r="N362" s="582" t="s">
        <v>4216</v>
      </c>
    </row>
    <row r="363" spans="1:14" ht="16.5">
      <c r="A363" s="582" t="s">
        <v>2751</v>
      </c>
      <c r="B363" s="582" t="s">
        <v>2925</v>
      </c>
      <c r="C363" s="585">
        <v>6.9444444444444447E-4</v>
      </c>
      <c r="D363" s="582" t="s">
        <v>2926</v>
      </c>
      <c r="E363" s="582" t="s">
        <v>154</v>
      </c>
      <c r="F363" s="582" t="s">
        <v>2012</v>
      </c>
      <c r="G363" s="582" t="s">
        <v>2474</v>
      </c>
      <c r="H363" s="582" t="s">
        <v>157</v>
      </c>
      <c r="I363" s="582" t="s">
        <v>197</v>
      </c>
      <c r="J363" s="582" t="s">
        <v>198</v>
      </c>
      <c r="K363" s="582" t="s">
        <v>160</v>
      </c>
      <c r="L363" s="582" t="s">
        <v>161</v>
      </c>
      <c r="M363" s="582" t="s">
        <v>162</v>
      </c>
      <c r="N363" s="582" t="s">
        <v>2927</v>
      </c>
    </row>
    <row r="364" spans="1:14" ht="16.5">
      <c r="A364" s="582" t="s">
        <v>2751</v>
      </c>
      <c r="B364" s="582" t="s">
        <v>4217</v>
      </c>
      <c r="C364" s="582"/>
      <c r="D364" s="582"/>
      <c r="E364" s="582"/>
      <c r="F364" s="582" t="s">
        <v>1995</v>
      </c>
      <c r="G364" s="582" t="s">
        <v>1996</v>
      </c>
      <c r="H364" s="582" t="s">
        <v>157</v>
      </c>
      <c r="I364" s="582" t="s">
        <v>197</v>
      </c>
      <c r="J364" s="582" t="s">
        <v>198</v>
      </c>
      <c r="K364" s="582" t="s">
        <v>160</v>
      </c>
      <c r="L364" s="582" t="s">
        <v>161</v>
      </c>
      <c r="M364" s="582" t="s">
        <v>162</v>
      </c>
      <c r="N364" s="582" t="s">
        <v>4218</v>
      </c>
    </row>
    <row r="365" spans="1:14" ht="16.5">
      <c r="A365" s="582" t="s">
        <v>2751</v>
      </c>
      <c r="B365" s="582" t="s">
        <v>4219</v>
      </c>
      <c r="C365" s="582"/>
      <c r="D365" s="582"/>
      <c r="E365" s="582"/>
      <c r="F365" s="582" t="s">
        <v>2388</v>
      </c>
      <c r="G365" s="582" t="s">
        <v>1414</v>
      </c>
      <c r="H365" s="582" t="s">
        <v>157</v>
      </c>
      <c r="I365" s="582" t="s">
        <v>158</v>
      </c>
      <c r="J365" s="582" t="s">
        <v>212</v>
      </c>
      <c r="K365" s="582" t="s">
        <v>160</v>
      </c>
      <c r="L365" s="582" t="s">
        <v>161</v>
      </c>
      <c r="M365" s="582" t="s">
        <v>162</v>
      </c>
      <c r="N365" s="582" t="s">
        <v>4220</v>
      </c>
    </row>
    <row r="366" spans="1:14" ht="16.5">
      <c r="A366" s="582" t="s">
        <v>2751</v>
      </c>
      <c r="B366" s="582" t="s">
        <v>2928</v>
      </c>
      <c r="C366" s="585">
        <v>5.7870370370370378E-4</v>
      </c>
      <c r="D366" s="582" t="s">
        <v>2929</v>
      </c>
      <c r="E366" s="582" t="s">
        <v>154</v>
      </c>
      <c r="F366" s="582" t="s">
        <v>2088</v>
      </c>
      <c r="G366" s="582" t="s">
        <v>2518</v>
      </c>
      <c r="H366" s="582" t="s">
        <v>157</v>
      </c>
      <c r="I366" s="582" t="s">
        <v>158</v>
      </c>
      <c r="J366" s="582" t="s">
        <v>713</v>
      </c>
      <c r="K366" s="582" t="s">
        <v>2084</v>
      </c>
      <c r="L366" s="582" t="s">
        <v>161</v>
      </c>
      <c r="M366" s="582" t="s">
        <v>162</v>
      </c>
      <c r="N366" s="582" t="s">
        <v>2930</v>
      </c>
    </row>
    <row r="367" spans="1:14" ht="16.5">
      <c r="A367" s="582" t="s">
        <v>2751</v>
      </c>
      <c r="B367" s="582" t="s">
        <v>2931</v>
      </c>
      <c r="C367" s="585">
        <v>2.8356481481481479E-3</v>
      </c>
      <c r="D367" s="582" t="s">
        <v>2932</v>
      </c>
      <c r="E367" s="582" t="s">
        <v>154</v>
      </c>
      <c r="F367" s="582" t="s">
        <v>2712</v>
      </c>
      <c r="G367" s="582" t="s">
        <v>2713</v>
      </c>
      <c r="H367" s="582" t="s">
        <v>157</v>
      </c>
      <c r="I367" s="582" t="s">
        <v>158</v>
      </c>
      <c r="J367" s="582" t="s">
        <v>159</v>
      </c>
      <c r="K367" s="582" t="s">
        <v>2714</v>
      </c>
      <c r="L367" s="582" t="s">
        <v>161</v>
      </c>
      <c r="M367" s="582" t="s">
        <v>162</v>
      </c>
      <c r="N367" s="582" t="s">
        <v>2933</v>
      </c>
    </row>
    <row r="368" spans="1:14" ht="16.5">
      <c r="A368" s="582" t="s">
        <v>2751</v>
      </c>
      <c r="B368" s="582" t="s">
        <v>4221</v>
      </c>
      <c r="C368" s="582"/>
      <c r="D368" s="582"/>
      <c r="E368" s="582"/>
      <c r="F368" s="582" t="s">
        <v>2712</v>
      </c>
      <c r="G368" s="582" t="s">
        <v>2725</v>
      </c>
      <c r="H368" s="582" t="s">
        <v>157</v>
      </c>
      <c r="I368" s="582" t="s">
        <v>158</v>
      </c>
      <c r="J368" s="582" t="s">
        <v>159</v>
      </c>
      <c r="K368" s="582" t="s">
        <v>2714</v>
      </c>
      <c r="L368" s="582" t="s">
        <v>161</v>
      </c>
      <c r="M368" s="582" t="s">
        <v>162</v>
      </c>
      <c r="N368" s="582" t="s">
        <v>4222</v>
      </c>
    </row>
    <row r="369" spans="1:14" ht="16.5">
      <c r="A369" s="582" t="s">
        <v>2751</v>
      </c>
      <c r="B369" s="582" t="s">
        <v>2934</v>
      </c>
      <c r="C369" s="585">
        <v>2.1874999999999998E-3</v>
      </c>
      <c r="D369" s="582" t="s">
        <v>2935</v>
      </c>
      <c r="E369" s="582" t="s">
        <v>154</v>
      </c>
      <c r="F369" s="582" t="s">
        <v>2521</v>
      </c>
      <c r="G369" s="582" t="s">
        <v>2936</v>
      </c>
      <c r="H369" s="582" t="s">
        <v>157</v>
      </c>
      <c r="I369" s="582" t="s">
        <v>158</v>
      </c>
      <c r="J369" s="582" t="s">
        <v>212</v>
      </c>
      <c r="K369" s="582" t="s">
        <v>160</v>
      </c>
      <c r="L369" s="582" t="s">
        <v>161</v>
      </c>
      <c r="M369" s="582" t="s">
        <v>162</v>
      </c>
      <c r="N369" s="582" t="s">
        <v>2937</v>
      </c>
    </row>
    <row r="370" spans="1:14" ht="16.5">
      <c r="A370" s="582" t="s">
        <v>2751</v>
      </c>
      <c r="B370" s="582" t="s">
        <v>2938</v>
      </c>
      <c r="C370" s="585">
        <v>1.4467592592592594E-3</v>
      </c>
      <c r="D370" s="582" t="s">
        <v>2939</v>
      </c>
      <c r="E370" s="582" t="s">
        <v>154</v>
      </c>
      <c r="F370" s="582" t="s">
        <v>2521</v>
      </c>
      <c r="G370" s="582" t="s">
        <v>2593</v>
      </c>
      <c r="H370" s="582" t="s">
        <v>157</v>
      </c>
      <c r="I370" s="582" t="s">
        <v>158</v>
      </c>
      <c r="J370" s="582" t="s">
        <v>168</v>
      </c>
      <c r="K370" s="582" t="s">
        <v>160</v>
      </c>
      <c r="L370" s="582" t="s">
        <v>161</v>
      </c>
      <c r="M370" s="582" t="s">
        <v>162</v>
      </c>
      <c r="N370" s="582" t="s">
        <v>2940</v>
      </c>
    </row>
    <row r="371" spans="1:14" ht="16.5">
      <c r="A371" s="582" t="s">
        <v>2751</v>
      </c>
      <c r="B371" s="582" t="s">
        <v>2941</v>
      </c>
      <c r="C371" s="585">
        <v>4.6296296296296294E-5</v>
      </c>
      <c r="D371" s="582" t="s">
        <v>2942</v>
      </c>
      <c r="E371" s="582" t="s">
        <v>154</v>
      </c>
      <c r="F371" s="582" t="s">
        <v>1666</v>
      </c>
      <c r="G371" s="582" t="s">
        <v>1667</v>
      </c>
      <c r="H371" s="582" t="s">
        <v>157</v>
      </c>
      <c r="I371" s="582" t="s">
        <v>158</v>
      </c>
      <c r="J371" s="582" t="s">
        <v>168</v>
      </c>
      <c r="K371" s="582" t="s">
        <v>160</v>
      </c>
      <c r="L371" s="582" t="s">
        <v>161</v>
      </c>
      <c r="M371" s="582" t="s">
        <v>162</v>
      </c>
      <c r="N371" s="582" t="s">
        <v>2943</v>
      </c>
    </row>
    <row r="372" spans="1:14" ht="16.5">
      <c r="A372" s="582" t="s">
        <v>2751</v>
      </c>
      <c r="B372" s="582" t="s">
        <v>4223</v>
      </c>
      <c r="C372" s="582"/>
      <c r="D372" s="582"/>
      <c r="E372" s="582"/>
      <c r="F372" s="582" t="s">
        <v>1951</v>
      </c>
      <c r="G372" s="582" t="s">
        <v>2024</v>
      </c>
      <c r="H372" s="582" t="s">
        <v>157</v>
      </c>
      <c r="I372" s="582" t="s">
        <v>158</v>
      </c>
      <c r="J372" s="582" t="s">
        <v>212</v>
      </c>
      <c r="K372" s="582" t="s">
        <v>160</v>
      </c>
      <c r="L372" s="582" t="s">
        <v>161</v>
      </c>
      <c r="M372" s="582" t="s">
        <v>162</v>
      </c>
      <c r="N372" s="582" t="s">
        <v>4224</v>
      </c>
    </row>
    <row r="373" spans="1:14" ht="16.5">
      <c r="A373" s="582" t="s">
        <v>2751</v>
      </c>
      <c r="B373" s="582" t="s">
        <v>2944</v>
      </c>
      <c r="C373" s="585">
        <v>1.1574074074074073E-5</v>
      </c>
      <c r="D373" s="582" t="s">
        <v>2945</v>
      </c>
      <c r="E373" s="582" t="s">
        <v>154</v>
      </c>
      <c r="F373" s="582" t="s">
        <v>2712</v>
      </c>
      <c r="G373" s="582" t="s">
        <v>2725</v>
      </c>
      <c r="H373" s="582" t="s">
        <v>157</v>
      </c>
      <c r="I373" s="582" t="s">
        <v>158</v>
      </c>
      <c r="J373" s="582" t="s">
        <v>391</v>
      </c>
      <c r="K373" s="582" t="s">
        <v>2714</v>
      </c>
      <c r="L373" s="582" t="s">
        <v>161</v>
      </c>
      <c r="M373" s="582" t="s">
        <v>162</v>
      </c>
      <c r="N373" s="582" t="s">
        <v>2946</v>
      </c>
    </row>
    <row r="374" spans="1:14" ht="16.5">
      <c r="A374" s="582" t="s">
        <v>2751</v>
      </c>
      <c r="B374" s="582" t="s">
        <v>2947</v>
      </c>
      <c r="C374" s="585">
        <v>2.1180555555555553E-3</v>
      </c>
      <c r="D374" s="582" t="s">
        <v>2948</v>
      </c>
      <c r="E374" s="582" t="s">
        <v>154</v>
      </c>
      <c r="F374" s="582" t="s">
        <v>2949</v>
      </c>
      <c r="G374" s="582" t="s">
        <v>2950</v>
      </c>
      <c r="H374" s="582" t="s">
        <v>157</v>
      </c>
      <c r="I374" s="582" t="s">
        <v>158</v>
      </c>
      <c r="J374" s="582" t="s">
        <v>168</v>
      </c>
      <c r="K374" s="582" t="s">
        <v>160</v>
      </c>
      <c r="L374" s="582" t="s">
        <v>161</v>
      </c>
      <c r="M374" s="582" t="s">
        <v>162</v>
      </c>
      <c r="N374" s="582" t="s">
        <v>2951</v>
      </c>
    </row>
    <row r="375" spans="1:14" ht="16.5">
      <c r="A375" s="582" t="s">
        <v>2751</v>
      </c>
      <c r="B375" s="582" t="s">
        <v>4225</v>
      </c>
      <c r="C375" s="582"/>
      <c r="D375" s="582"/>
      <c r="E375" s="582"/>
      <c r="F375" s="582" t="s">
        <v>2310</v>
      </c>
      <c r="G375" s="582" t="s">
        <v>2527</v>
      </c>
      <c r="H375" s="582" t="s">
        <v>157</v>
      </c>
      <c r="I375" s="582" t="s">
        <v>158</v>
      </c>
      <c r="J375" s="582" t="s">
        <v>212</v>
      </c>
      <c r="K375" s="582" t="s">
        <v>160</v>
      </c>
      <c r="L375" s="582" t="s">
        <v>161</v>
      </c>
      <c r="M375" s="582" t="s">
        <v>162</v>
      </c>
      <c r="N375" s="582" t="s">
        <v>4226</v>
      </c>
    </row>
    <row r="376" spans="1:14" ht="16.5">
      <c r="A376" s="582" t="s">
        <v>2751</v>
      </c>
      <c r="B376" s="582" t="s">
        <v>2952</v>
      </c>
      <c r="C376" s="585">
        <v>1.6087962962962963E-3</v>
      </c>
      <c r="D376" s="582" t="s">
        <v>2953</v>
      </c>
      <c r="E376" s="582" t="s">
        <v>154</v>
      </c>
      <c r="F376" s="582" t="s">
        <v>2724</v>
      </c>
      <c r="G376" s="582" t="s">
        <v>607</v>
      </c>
      <c r="H376" s="582" t="s">
        <v>157</v>
      </c>
      <c r="I376" s="582" t="s">
        <v>158</v>
      </c>
      <c r="J376" s="582" t="s">
        <v>212</v>
      </c>
      <c r="K376" s="582" t="s">
        <v>160</v>
      </c>
      <c r="L376" s="582" t="s">
        <v>161</v>
      </c>
      <c r="M376" s="582" t="s">
        <v>162</v>
      </c>
      <c r="N376" s="582" t="s">
        <v>2954</v>
      </c>
    </row>
    <row r="377" spans="1:14" ht="16.5">
      <c r="A377" s="582" t="s">
        <v>2751</v>
      </c>
      <c r="B377" s="582" t="s">
        <v>2955</v>
      </c>
      <c r="C377" s="585">
        <v>2.3148148148148147E-5</v>
      </c>
      <c r="D377" s="582" t="s">
        <v>2956</v>
      </c>
      <c r="E377" s="582" t="s">
        <v>154</v>
      </c>
      <c r="F377" s="582" t="s">
        <v>2712</v>
      </c>
      <c r="G377" s="582" t="s">
        <v>2713</v>
      </c>
      <c r="H377" s="582" t="s">
        <v>157</v>
      </c>
      <c r="I377" s="582" t="s">
        <v>158</v>
      </c>
      <c r="J377" s="582" t="s">
        <v>159</v>
      </c>
      <c r="K377" s="582" t="s">
        <v>2714</v>
      </c>
      <c r="L377" s="582" t="s">
        <v>161</v>
      </c>
      <c r="M377" s="582" t="s">
        <v>162</v>
      </c>
      <c r="N377" s="582" t="s">
        <v>2957</v>
      </c>
    </row>
    <row r="378" spans="1:14" ht="16.5">
      <c r="A378" s="582" t="s">
        <v>2711</v>
      </c>
      <c r="B378" s="582" t="s">
        <v>3187</v>
      </c>
      <c r="C378" s="585">
        <v>2.0717592592592593E-3</v>
      </c>
      <c r="D378" s="582" t="s">
        <v>3188</v>
      </c>
      <c r="E378" s="582" t="s">
        <v>154</v>
      </c>
      <c r="F378" s="582" t="s">
        <v>2088</v>
      </c>
      <c r="G378" s="582" t="s">
        <v>2089</v>
      </c>
      <c r="H378" s="582" t="s">
        <v>157</v>
      </c>
      <c r="I378" s="582" t="s">
        <v>158</v>
      </c>
      <c r="J378" s="582" t="s">
        <v>168</v>
      </c>
      <c r="K378" s="582" t="s">
        <v>2084</v>
      </c>
      <c r="L378" s="582" t="s">
        <v>161</v>
      </c>
      <c r="M378" s="582" t="s">
        <v>162</v>
      </c>
      <c r="N378" s="582" t="s">
        <v>3189</v>
      </c>
    </row>
    <row r="379" spans="1:14" ht="16.5">
      <c r="A379" s="582" t="s">
        <v>2711</v>
      </c>
      <c r="B379" s="582" t="s">
        <v>4227</v>
      </c>
      <c r="C379" s="582"/>
      <c r="D379" s="582"/>
      <c r="E379" s="582"/>
      <c r="F379" s="582" t="s">
        <v>1320</v>
      </c>
      <c r="G379" s="582" t="s">
        <v>1321</v>
      </c>
      <c r="H379" s="582" t="s">
        <v>157</v>
      </c>
      <c r="I379" s="582" t="s">
        <v>158</v>
      </c>
      <c r="J379" s="582" t="s">
        <v>713</v>
      </c>
      <c r="K379" s="582" t="s">
        <v>2084</v>
      </c>
      <c r="L379" s="582" t="s">
        <v>161</v>
      </c>
      <c r="M379" s="582" t="s">
        <v>162</v>
      </c>
      <c r="N379" s="582" t="s">
        <v>4228</v>
      </c>
    </row>
    <row r="380" spans="1:14" ht="16.5">
      <c r="A380" s="582" t="s">
        <v>2711</v>
      </c>
      <c r="B380" s="582" t="s">
        <v>3190</v>
      </c>
      <c r="C380" s="585">
        <v>4.6296296296296294E-5</v>
      </c>
      <c r="D380" s="582" t="s">
        <v>3191</v>
      </c>
      <c r="E380" s="582" t="s">
        <v>154</v>
      </c>
      <c r="F380" s="582" t="s">
        <v>2299</v>
      </c>
      <c r="G380" s="582" t="s">
        <v>2300</v>
      </c>
      <c r="H380" s="582" t="s">
        <v>157</v>
      </c>
      <c r="I380" s="582" t="s">
        <v>158</v>
      </c>
      <c r="J380" s="582" t="s">
        <v>713</v>
      </c>
      <c r="K380" s="582" t="s">
        <v>2084</v>
      </c>
      <c r="L380" s="582" t="s">
        <v>161</v>
      </c>
      <c r="M380" s="582" t="s">
        <v>162</v>
      </c>
      <c r="N380" s="582" t="s">
        <v>3192</v>
      </c>
    </row>
    <row r="381" spans="1:14" ht="16.5">
      <c r="A381" s="582" t="s">
        <v>2711</v>
      </c>
      <c r="B381" s="582" t="s">
        <v>3193</v>
      </c>
      <c r="C381" s="585">
        <v>2.0023148148148148E-3</v>
      </c>
      <c r="D381" s="582" t="s">
        <v>3194</v>
      </c>
      <c r="E381" s="582" t="s">
        <v>154</v>
      </c>
      <c r="F381" s="582" t="s">
        <v>2712</v>
      </c>
      <c r="G381" s="582" t="s">
        <v>2713</v>
      </c>
      <c r="H381" s="582" t="s">
        <v>157</v>
      </c>
      <c r="I381" s="582" t="s">
        <v>158</v>
      </c>
      <c r="J381" s="582" t="s">
        <v>391</v>
      </c>
      <c r="K381" s="582" t="s">
        <v>2714</v>
      </c>
      <c r="L381" s="582" t="s">
        <v>161</v>
      </c>
      <c r="M381" s="582" t="s">
        <v>162</v>
      </c>
      <c r="N381" s="582" t="s">
        <v>3195</v>
      </c>
    </row>
    <row r="382" spans="1:14" ht="16.5">
      <c r="A382" s="582" t="s">
        <v>2711</v>
      </c>
      <c r="B382" s="582" t="s">
        <v>3196</v>
      </c>
      <c r="C382" s="585">
        <v>3.4722222222222222E-5</v>
      </c>
      <c r="D382" s="582" t="s">
        <v>3197</v>
      </c>
      <c r="E382" s="582" t="s">
        <v>154</v>
      </c>
      <c r="F382" s="582" t="s">
        <v>1666</v>
      </c>
      <c r="G382" s="582" t="s">
        <v>1667</v>
      </c>
      <c r="H382" s="582" t="s">
        <v>157</v>
      </c>
      <c r="I382" s="582" t="s">
        <v>158</v>
      </c>
      <c r="J382" s="582" t="s">
        <v>168</v>
      </c>
      <c r="K382" s="582" t="s">
        <v>160</v>
      </c>
      <c r="L382" s="582" t="s">
        <v>161</v>
      </c>
      <c r="M382" s="582" t="s">
        <v>162</v>
      </c>
      <c r="N382" s="582" t="s">
        <v>3198</v>
      </c>
    </row>
    <row r="383" spans="1:14" ht="16.5">
      <c r="A383" s="582" t="s">
        <v>2711</v>
      </c>
      <c r="B383" s="582" t="s">
        <v>4229</v>
      </c>
      <c r="C383" s="582"/>
      <c r="D383" s="582"/>
      <c r="E383" s="582"/>
      <c r="F383" s="582" t="s">
        <v>2521</v>
      </c>
      <c r="G383" s="582" t="s">
        <v>2593</v>
      </c>
      <c r="H383" s="582" t="s">
        <v>157</v>
      </c>
      <c r="I383" s="582" t="s">
        <v>158</v>
      </c>
      <c r="J383" s="582" t="s">
        <v>168</v>
      </c>
      <c r="K383" s="582" t="s">
        <v>160</v>
      </c>
      <c r="L383" s="582" t="s">
        <v>161</v>
      </c>
      <c r="M383" s="582" t="s">
        <v>162</v>
      </c>
      <c r="N383" s="582" t="s">
        <v>3031</v>
      </c>
    </row>
    <row r="384" spans="1:14" ht="16.5">
      <c r="A384" s="582" t="s">
        <v>2711</v>
      </c>
      <c r="B384" s="582" t="s">
        <v>2532</v>
      </c>
      <c r="C384" s="585">
        <v>9.6527777777777775E-3</v>
      </c>
      <c r="D384" s="582" t="s">
        <v>3199</v>
      </c>
      <c r="E384" s="582" t="s">
        <v>154</v>
      </c>
      <c r="F384" s="582" t="s">
        <v>156</v>
      </c>
      <c r="G384" s="582" t="s">
        <v>3200</v>
      </c>
      <c r="H384" s="582" t="s">
        <v>157</v>
      </c>
      <c r="I384" s="582" t="s">
        <v>158</v>
      </c>
      <c r="J384" s="582" t="s">
        <v>159</v>
      </c>
      <c r="K384" s="582" t="s">
        <v>2714</v>
      </c>
      <c r="L384" s="582" t="s">
        <v>161</v>
      </c>
      <c r="M384" s="582" t="s">
        <v>162</v>
      </c>
      <c r="N384" s="582" t="s">
        <v>3201</v>
      </c>
    </row>
    <row r="385" spans="1:14" ht="16.5">
      <c r="A385" s="582" t="s">
        <v>2711</v>
      </c>
      <c r="B385" s="582" t="s">
        <v>3202</v>
      </c>
      <c r="C385" s="585">
        <v>2.3958333333333336E-3</v>
      </c>
      <c r="D385" s="582" t="s">
        <v>3203</v>
      </c>
      <c r="E385" s="582" t="s">
        <v>154</v>
      </c>
      <c r="F385" s="582" t="s">
        <v>1769</v>
      </c>
      <c r="G385" s="582" t="s">
        <v>3204</v>
      </c>
      <c r="H385" s="582" t="s">
        <v>157</v>
      </c>
      <c r="I385" s="582" t="s">
        <v>158</v>
      </c>
      <c r="J385" s="582" t="s">
        <v>212</v>
      </c>
      <c r="K385" s="582" t="s">
        <v>160</v>
      </c>
      <c r="L385" s="582" t="s">
        <v>161</v>
      </c>
      <c r="M385" s="582" t="s">
        <v>162</v>
      </c>
      <c r="N385" s="582" t="s">
        <v>3205</v>
      </c>
    </row>
    <row r="386" spans="1:14" ht="16.5">
      <c r="A386" s="582" t="s">
        <v>2711</v>
      </c>
      <c r="B386" s="582" t="s">
        <v>3206</v>
      </c>
      <c r="C386" s="585">
        <v>1.0995370370370371E-3</v>
      </c>
      <c r="D386" s="582" t="s">
        <v>3207</v>
      </c>
      <c r="E386" s="582" t="s">
        <v>154</v>
      </c>
      <c r="F386" s="582" t="s">
        <v>1769</v>
      </c>
      <c r="G386" s="582" t="s">
        <v>3208</v>
      </c>
      <c r="H386" s="582" t="s">
        <v>157</v>
      </c>
      <c r="I386" s="582" t="s">
        <v>158</v>
      </c>
      <c r="J386" s="582" t="s">
        <v>159</v>
      </c>
      <c r="K386" s="582" t="s">
        <v>160</v>
      </c>
      <c r="L386" s="582" t="s">
        <v>161</v>
      </c>
      <c r="M386" s="582" t="s">
        <v>162</v>
      </c>
      <c r="N386" s="582" t="s">
        <v>3209</v>
      </c>
    </row>
    <row r="387" spans="1:14" ht="16.5">
      <c r="A387" s="582" t="s">
        <v>2711</v>
      </c>
      <c r="B387" s="582" t="s">
        <v>3210</v>
      </c>
      <c r="C387" s="585">
        <v>1.1574074074074073E-3</v>
      </c>
      <c r="D387" s="582" t="s">
        <v>3211</v>
      </c>
      <c r="E387" s="582" t="s">
        <v>154</v>
      </c>
      <c r="F387" s="582" t="s">
        <v>1769</v>
      </c>
      <c r="G387" s="582" t="s">
        <v>1770</v>
      </c>
      <c r="H387" s="582" t="s">
        <v>157</v>
      </c>
      <c r="I387" s="582" t="s">
        <v>158</v>
      </c>
      <c r="J387" s="582" t="s">
        <v>159</v>
      </c>
      <c r="K387" s="582" t="s">
        <v>160</v>
      </c>
      <c r="L387" s="582" t="s">
        <v>161</v>
      </c>
      <c r="M387" s="582" t="s">
        <v>162</v>
      </c>
      <c r="N387" s="582" t="s">
        <v>3212</v>
      </c>
    </row>
    <row r="388" spans="1:14" ht="16.5">
      <c r="A388" s="582" t="s">
        <v>2711</v>
      </c>
      <c r="B388" s="582" t="s">
        <v>3213</v>
      </c>
      <c r="C388" s="585">
        <v>6.9907407407407409E-3</v>
      </c>
      <c r="D388" s="582" t="s">
        <v>3214</v>
      </c>
      <c r="E388" s="582" t="s">
        <v>154</v>
      </c>
      <c r="F388" s="582" t="s">
        <v>2334</v>
      </c>
      <c r="G388" s="582" t="s">
        <v>1517</v>
      </c>
      <c r="H388" s="582" t="s">
        <v>157</v>
      </c>
      <c r="I388" s="582" t="s">
        <v>197</v>
      </c>
      <c r="J388" s="582" t="s">
        <v>198</v>
      </c>
      <c r="K388" s="582" t="s">
        <v>160</v>
      </c>
      <c r="L388" s="582" t="s">
        <v>161</v>
      </c>
      <c r="M388" s="582" t="s">
        <v>162</v>
      </c>
      <c r="N388" s="582" t="s">
        <v>3215</v>
      </c>
    </row>
    <row r="389" spans="1:14" ht="16.5">
      <c r="A389" s="582" t="s">
        <v>2711</v>
      </c>
      <c r="B389" s="582" t="s">
        <v>4230</v>
      </c>
      <c r="C389" s="582"/>
      <c r="D389" s="582"/>
      <c r="E389" s="582"/>
      <c r="F389" s="582" t="s">
        <v>2715</v>
      </c>
      <c r="G389" s="582" t="s">
        <v>2716</v>
      </c>
      <c r="H389" s="582" t="s">
        <v>157</v>
      </c>
      <c r="I389" s="582" t="s">
        <v>158</v>
      </c>
      <c r="J389" s="582" t="s">
        <v>168</v>
      </c>
      <c r="K389" s="582" t="s">
        <v>160</v>
      </c>
      <c r="L389" s="582" t="s">
        <v>161</v>
      </c>
      <c r="M389" s="582" t="s">
        <v>162</v>
      </c>
      <c r="N389" s="582" t="s">
        <v>796</v>
      </c>
    </row>
    <row r="390" spans="1:14" ht="16.5">
      <c r="A390" s="582" t="s">
        <v>2711</v>
      </c>
      <c r="B390" s="582" t="s">
        <v>3216</v>
      </c>
      <c r="C390" s="585">
        <v>6.5972222222222213E-4</v>
      </c>
      <c r="D390" s="582" t="s">
        <v>3217</v>
      </c>
      <c r="E390" s="582" t="s">
        <v>154</v>
      </c>
      <c r="F390" s="582" t="s">
        <v>3218</v>
      </c>
      <c r="G390" s="582" t="s">
        <v>3219</v>
      </c>
      <c r="H390" s="582" t="s">
        <v>157</v>
      </c>
      <c r="I390" s="582" t="s">
        <v>158</v>
      </c>
      <c r="J390" s="582" t="s">
        <v>212</v>
      </c>
      <c r="K390" s="582" t="s">
        <v>160</v>
      </c>
      <c r="L390" s="582" t="s">
        <v>161</v>
      </c>
      <c r="M390" s="582" t="s">
        <v>162</v>
      </c>
      <c r="N390" s="582" t="s">
        <v>3220</v>
      </c>
    </row>
    <row r="391" spans="1:14" ht="16.5">
      <c r="A391" s="582" t="s">
        <v>2711</v>
      </c>
      <c r="B391" s="582" t="s">
        <v>3221</v>
      </c>
      <c r="C391" s="585">
        <v>3.4722222222222222E-5</v>
      </c>
      <c r="D391" s="582" t="s">
        <v>3222</v>
      </c>
      <c r="E391" s="582" t="s">
        <v>154</v>
      </c>
      <c r="F391" s="582" t="s">
        <v>156</v>
      </c>
      <c r="G391" s="582" t="s">
        <v>3200</v>
      </c>
      <c r="H391" s="582" t="s">
        <v>157</v>
      </c>
      <c r="I391" s="582" t="s">
        <v>158</v>
      </c>
      <c r="J391" s="582" t="s">
        <v>481</v>
      </c>
      <c r="K391" s="582" t="s">
        <v>2714</v>
      </c>
      <c r="L391" s="582" t="s">
        <v>161</v>
      </c>
      <c r="M391" s="582" t="s">
        <v>162</v>
      </c>
      <c r="N391" s="582" t="s">
        <v>3223</v>
      </c>
    </row>
    <row r="392" spans="1:14" ht="16.5">
      <c r="A392" s="582" t="s">
        <v>2711</v>
      </c>
      <c r="B392" s="582" t="s">
        <v>3224</v>
      </c>
      <c r="C392" s="585">
        <v>2.3611111111111111E-3</v>
      </c>
      <c r="D392" s="582" t="s">
        <v>3225</v>
      </c>
      <c r="E392" s="582" t="s">
        <v>154</v>
      </c>
      <c r="F392" s="582" t="s">
        <v>3218</v>
      </c>
      <c r="G392" s="582" t="s">
        <v>3226</v>
      </c>
      <c r="H392" s="582" t="s">
        <v>157</v>
      </c>
      <c r="I392" s="582" t="s">
        <v>158</v>
      </c>
      <c r="J392" s="582" t="s">
        <v>168</v>
      </c>
      <c r="K392" s="582" t="s">
        <v>160</v>
      </c>
      <c r="L392" s="582" t="s">
        <v>161</v>
      </c>
      <c r="M392" s="582" t="s">
        <v>162</v>
      </c>
      <c r="N392" s="582" t="s">
        <v>3227</v>
      </c>
    </row>
    <row r="393" spans="1:14" ht="16.5">
      <c r="A393" s="582" t="s">
        <v>2711</v>
      </c>
      <c r="B393" s="582" t="s">
        <v>3228</v>
      </c>
      <c r="C393" s="585">
        <v>3.9699074074074072E-3</v>
      </c>
      <c r="D393" s="582" t="s">
        <v>3229</v>
      </c>
      <c r="E393" s="582" t="s">
        <v>154</v>
      </c>
      <c r="F393" s="582" t="s">
        <v>156</v>
      </c>
      <c r="G393" s="582" t="s">
        <v>3230</v>
      </c>
      <c r="H393" s="582" t="s">
        <v>157</v>
      </c>
      <c r="I393" s="582" t="s">
        <v>158</v>
      </c>
      <c r="J393" s="582" t="s">
        <v>168</v>
      </c>
      <c r="K393" s="582" t="s">
        <v>2714</v>
      </c>
      <c r="L393" s="582" t="s">
        <v>161</v>
      </c>
      <c r="M393" s="582" t="s">
        <v>162</v>
      </c>
      <c r="N393" s="582" t="s">
        <v>3231</v>
      </c>
    </row>
    <row r="394" spans="1:14" ht="16.5">
      <c r="A394" s="582" t="s">
        <v>2711</v>
      </c>
      <c r="B394" s="582" t="s">
        <v>4231</v>
      </c>
      <c r="C394" s="582"/>
      <c r="D394" s="582"/>
      <c r="E394" s="582"/>
      <c r="F394" s="582" t="s">
        <v>1995</v>
      </c>
      <c r="G394" s="582" t="s">
        <v>1996</v>
      </c>
      <c r="H394" s="582" t="s">
        <v>157</v>
      </c>
      <c r="I394" s="582" t="s">
        <v>197</v>
      </c>
      <c r="J394" s="582" t="s">
        <v>198</v>
      </c>
      <c r="K394" s="582" t="s">
        <v>160</v>
      </c>
      <c r="L394" s="582" t="s">
        <v>161</v>
      </c>
      <c r="M394" s="582" t="s">
        <v>162</v>
      </c>
      <c r="N394" s="582" t="s">
        <v>4232</v>
      </c>
    </row>
    <row r="395" spans="1:14" ht="16.5">
      <c r="A395" s="582" t="s">
        <v>2711</v>
      </c>
      <c r="B395" s="582" t="s">
        <v>3232</v>
      </c>
      <c r="C395" s="585">
        <v>5.7870370370370366E-5</v>
      </c>
      <c r="D395" s="582" t="s">
        <v>3233</v>
      </c>
      <c r="E395" s="582" t="s">
        <v>154</v>
      </c>
      <c r="F395" s="582" t="s">
        <v>3234</v>
      </c>
      <c r="G395" s="582" t="s">
        <v>3235</v>
      </c>
      <c r="H395" s="582" t="s">
        <v>157</v>
      </c>
      <c r="I395" s="582" t="s">
        <v>176</v>
      </c>
      <c r="J395" s="582" t="s">
        <v>481</v>
      </c>
      <c r="K395" s="582" t="s">
        <v>160</v>
      </c>
      <c r="L395" s="582" t="s">
        <v>161</v>
      </c>
      <c r="M395" s="582" t="s">
        <v>162</v>
      </c>
      <c r="N395" s="582" t="s">
        <v>3236</v>
      </c>
    </row>
    <row r="396" spans="1:14" ht="16.5">
      <c r="A396" s="582" t="s">
        <v>2711</v>
      </c>
      <c r="B396" s="582" t="s">
        <v>3237</v>
      </c>
      <c r="C396" s="585">
        <v>8.2175925925925917E-4</v>
      </c>
      <c r="D396" s="582" t="s">
        <v>3238</v>
      </c>
      <c r="E396" s="582" t="s">
        <v>154</v>
      </c>
      <c r="F396" s="582" t="s">
        <v>156</v>
      </c>
      <c r="G396" s="582" t="s">
        <v>3239</v>
      </c>
      <c r="H396" s="582" t="s">
        <v>157</v>
      </c>
      <c r="I396" s="582" t="s">
        <v>158</v>
      </c>
      <c r="J396" s="582" t="s">
        <v>212</v>
      </c>
      <c r="K396" s="582" t="s">
        <v>2714</v>
      </c>
      <c r="L396" s="582" t="s">
        <v>161</v>
      </c>
      <c r="M396" s="582" t="s">
        <v>162</v>
      </c>
      <c r="N396" s="582" t="s">
        <v>3240</v>
      </c>
    </row>
    <row r="397" spans="1:14" ht="16.5">
      <c r="A397" s="582" t="s">
        <v>2711</v>
      </c>
      <c r="B397" s="582" t="s">
        <v>3241</v>
      </c>
      <c r="C397" s="585">
        <v>1.4814814814814814E-3</v>
      </c>
      <c r="D397" s="582" t="s">
        <v>3242</v>
      </c>
      <c r="E397" s="582" t="s">
        <v>154</v>
      </c>
      <c r="F397" s="582" t="s">
        <v>2515</v>
      </c>
      <c r="G397" s="582" t="s">
        <v>3243</v>
      </c>
      <c r="H397" s="582" t="s">
        <v>157</v>
      </c>
      <c r="I397" s="582" t="s">
        <v>158</v>
      </c>
      <c r="J397" s="582" t="s">
        <v>212</v>
      </c>
      <c r="K397" s="582" t="s">
        <v>160</v>
      </c>
      <c r="L397" s="582" t="s">
        <v>161</v>
      </c>
      <c r="M397" s="582" t="s">
        <v>162</v>
      </c>
      <c r="N397" s="582" t="s">
        <v>3244</v>
      </c>
    </row>
    <row r="398" spans="1:14" ht="16.5">
      <c r="A398" s="582" t="s">
        <v>2711</v>
      </c>
      <c r="B398" s="582" t="s">
        <v>3245</v>
      </c>
      <c r="C398" s="585">
        <v>8.1018518518518516E-4</v>
      </c>
      <c r="D398" s="582" t="s">
        <v>3246</v>
      </c>
      <c r="E398" s="582" t="s">
        <v>154</v>
      </c>
      <c r="F398" s="582" t="s">
        <v>1679</v>
      </c>
      <c r="G398" s="582" t="s">
        <v>3247</v>
      </c>
      <c r="H398" s="582" t="s">
        <v>157</v>
      </c>
      <c r="I398" s="582" t="s">
        <v>158</v>
      </c>
      <c r="J398" s="582" t="s">
        <v>212</v>
      </c>
      <c r="K398" s="582" t="s">
        <v>160</v>
      </c>
      <c r="L398" s="582" t="s">
        <v>161</v>
      </c>
      <c r="M398" s="582" t="s">
        <v>162</v>
      </c>
      <c r="N398" s="582" t="s">
        <v>3248</v>
      </c>
    </row>
    <row r="399" spans="1:14" ht="16.5">
      <c r="A399" s="582" t="s">
        <v>2711</v>
      </c>
      <c r="B399" s="582" t="s">
        <v>4233</v>
      </c>
      <c r="C399" s="582"/>
      <c r="D399" s="582"/>
      <c r="E399" s="582"/>
      <c r="F399" s="582" t="s">
        <v>3174</v>
      </c>
      <c r="G399" s="582" t="s">
        <v>2527</v>
      </c>
      <c r="H399" s="582" t="s">
        <v>157</v>
      </c>
      <c r="I399" s="582" t="s">
        <v>197</v>
      </c>
      <c r="J399" s="582" t="s">
        <v>198</v>
      </c>
      <c r="K399" s="582" t="s">
        <v>160</v>
      </c>
      <c r="L399" s="582" t="s">
        <v>161</v>
      </c>
      <c r="M399" s="582" t="s">
        <v>162</v>
      </c>
      <c r="N399" s="582" t="s">
        <v>4234</v>
      </c>
    </row>
    <row r="400" spans="1:14" ht="16.5">
      <c r="A400" s="582" t="s">
        <v>2711</v>
      </c>
      <c r="B400" s="582" t="s">
        <v>3249</v>
      </c>
      <c r="C400" s="585">
        <v>2.673611111111111E-3</v>
      </c>
      <c r="D400" s="582" t="s">
        <v>3250</v>
      </c>
      <c r="E400" s="582" t="s">
        <v>154</v>
      </c>
      <c r="F400" s="582" t="s">
        <v>166</v>
      </c>
      <c r="G400" s="582" t="s">
        <v>602</v>
      </c>
      <c r="H400" s="582" t="s">
        <v>157</v>
      </c>
      <c r="I400" s="582" t="s">
        <v>158</v>
      </c>
      <c r="J400" s="582" t="s">
        <v>212</v>
      </c>
      <c r="K400" s="582" t="s">
        <v>160</v>
      </c>
      <c r="L400" s="582" t="s">
        <v>161</v>
      </c>
      <c r="M400" s="582" t="s">
        <v>162</v>
      </c>
      <c r="N400" s="582" t="s">
        <v>1611</v>
      </c>
    </row>
    <row r="401" spans="1:14" ht="16.5">
      <c r="A401" s="582" t="s">
        <v>2711</v>
      </c>
      <c r="B401" s="582" t="s">
        <v>3251</v>
      </c>
      <c r="C401" s="585">
        <v>3.0092592592592588E-3</v>
      </c>
      <c r="D401" s="582" t="s">
        <v>3252</v>
      </c>
      <c r="E401" s="582" t="s">
        <v>154</v>
      </c>
      <c r="F401" s="582" t="s">
        <v>156</v>
      </c>
      <c r="G401" s="582" t="s">
        <v>2307</v>
      </c>
      <c r="H401" s="582" t="s">
        <v>157</v>
      </c>
      <c r="I401" s="582" t="s">
        <v>158</v>
      </c>
      <c r="J401" s="582" t="s">
        <v>168</v>
      </c>
      <c r="K401" s="582" t="s">
        <v>2714</v>
      </c>
      <c r="L401" s="582" t="s">
        <v>161</v>
      </c>
      <c r="M401" s="582" t="s">
        <v>162</v>
      </c>
      <c r="N401" s="582" t="s">
        <v>3253</v>
      </c>
    </row>
    <row r="402" spans="1:14" ht="16.5">
      <c r="A402" s="582" t="s">
        <v>2711</v>
      </c>
      <c r="B402" s="582" t="s">
        <v>3254</v>
      </c>
      <c r="C402" s="585">
        <v>1.4699074074074074E-3</v>
      </c>
      <c r="D402" s="582" t="s">
        <v>3255</v>
      </c>
      <c r="E402" s="582" t="s">
        <v>154</v>
      </c>
      <c r="F402" s="582" t="s">
        <v>2717</v>
      </c>
      <c r="G402" s="582" t="s">
        <v>2718</v>
      </c>
      <c r="H402" s="582" t="s">
        <v>157</v>
      </c>
      <c r="I402" s="582" t="s">
        <v>158</v>
      </c>
      <c r="J402" s="582" t="s">
        <v>168</v>
      </c>
      <c r="K402" s="582" t="s">
        <v>160</v>
      </c>
      <c r="L402" s="582" t="s">
        <v>161</v>
      </c>
      <c r="M402" s="582" t="s">
        <v>162</v>
      </c>
      <c r="N402" s="582" t="s">
        <v>3256</v>
      </c>
    </row>
    <row r="403" spans="1:14" ht="16.5">
      <c r="A403" s="582" t="s">
        <v>2711</v>
      </c>
      <c r="B403" s="582" t="s">
        <v>3257</v>
      </c>
      <c r="C403" s="585">
        <v>7.175925925925927E-4</v>
      </c>
      <c r="D403" s="582" t="s">
        <v>3258</v>
      </c>
      <c r="E403" s="582" t="s">
        <v>154</v>
      </c>
      <c r="F403" s="582" t="s">
        <v>2645</v>
      </c>
      <c r="G403" s="582" t="s">
        <v>602</v>
      </c>
      <c r="H403" s="582" t="s">
        <v>157</v>
      </c>
      <c r="I403" s="582" t="s">
        <v>158</v>
      </c>
      <c r="J403" s="582" t="s">
        <v>212</v>
      </c>
      <c r="K403" s="582" t="s">
        <v>160</v>
      </c>
      <c r="L403" s="582" t="s">
        <v>161</v>
      </c>
      <c r="M403" s="582" t="s">
        <v>162</v>
      </c>
      <c r="N403" s="582" t="s">
        <v>1039</v>
      </c>
    </row>
    <row r="404" spans="1:14" ht="16.5">
      <c r="A404" s="582" t="s">
        <v>2711</v>
      </c>
      <c r="B404" s="582" t="s">
        <v>3259</v>
      </c>
      <c r="C404" s="585">
        <v>1.9328703703703704E-3</v>
      </c>
      <c r="D404" s="582" t="s">
        <v>3260</v>
      </c>
      <c r="E404" s="582" t="s">
        <v>154</v>
      </c>
      <c r="F404" s="582" t="s">
        <v>2645</v>
      </c>
      <c r="G404" s="582" t="s">
        <v>602</v>
      </c>
      <c r="H404" s="582" t="s">
        <v>157</v>
      </c>
      <c r="I404" s="582" t="s">
        <v>158</v>
      </c>
      <c r="J404" s="582" t="s">
        <v>212</v>
      </c>
      <c r="K404" s="582" t="s">
        <v>160</v>
      </c>
      <c r="L404" s="582" t="s">
        <v>161</v>
      </c>
      <c r="M404" s="582" t="s">
        <v>162</v>
      </c>
      <c r="N404" s="582" t="s">
        <v>3261</v>
      </c>
    </row>
    <row r="405" spans="1:14" ht="16.5">
      <c r="A405" s="582" t="s">
        <v>2711</v>
      </c>
      <c r="B405" s="582" t="s">
        <v>3262</v>
      </c>
      <c r="C405" s="585">
        <v>2.8240740740740739E-3</v>
      </c>
      <c r="D405" s="582" t="s">
        <v>3263</v>
      </c>
      <c r="E405" s="582" t="s">
        <v>154</v>
      </c>
      <c r="F405" s="582" t="s">
        <v>2530</v>
      </c>
      <c r="G405" s="582" t="s">
        <v>2531</v>
      </c>
      <c r="H405" s="582" t="s">
        <v>157</v>
      </c>
      <c r="I405" s="582" t="s">
        <v>158</v>
      </c>
      <c r="J405" s="582" t="s">
        <v>168</v>
      </c>
      <c r="K405" s="582" t="s">
        <v>160</v>
      </c>
      <c r="L405" s="582" t="s">
        <v>161</v>
      </c>
      <c r="M405" s="582" t="s">
        <v>162</v>
      </c>
      <c r="N405" s="582" t="s">
        <v>1317</v>
      </c>
    </row>
    <row r="406" spans="1:14" ht="16.5">
      <c r="A406" s="582" t="s">
        <v>2711</v>
      </c>
      <c r="B406" s="582" t="s">
        <v>3264</v>
      </c>
      <c r="C406" s="585">
        <v>8.1018518518518516E-5</v>
      </c>
      <c r="D406" s="582" t="s">
        <v>3265</v>
      </c>
      <c r="E406" s="582" t="s">
        <v>154</v>
      </c>
      <c r="F406" s="582" t="s">
        <v>1851</v>
      </c>
      <c r="G406" s="582" t="s">
        <v>1852</v>
      </c>
      <c r="H406" s="582" t="s">
        <v>157</v>
      </c>
      <c r="I406" s="582" t="s">
        <v>197</v>
      </c>
      <c r="J406" s="582" t="s">
        <v>198</v>
      </c>
      <c r="K406" s="582" t="s">
        <v>95</v>
      </c>
      <c r="L406" s="582" t="s">
        <v>161</v>
      </c>
      <c r="M406" s="582" t="s">
        <v>162</v>
      </c>
      <c r="N406" s="582" t="s">
        <v>3266</v>
      </c>
    </row>
    <row r="407" spans="1:14" ht="16.5">
      <c r="A407" s="582" t="s">
        <v>2711</v>
      </c>
      <c r="B407" s="582" t="s">
        <v>3267</v>
      </c>
      <c r="C407" s="585">
        <v>1.2847222222222223E-3</v>
      </c>
      <c r="D407" s="582" t="s">
        <v>3268</v>
      </c>
      <c r="E407" s="582" t="s">
        <v>154</v>
      </c>
      <c r="F407" s="582" t="s">
        <v>2724</v>
      </c>
      <c r="G407" s="582" t="s">
        <v>3269</v>
      </c>
      <c r="H407" s="582" t="s">
        <v>157</v>
      </c>
      <c r="I407" s="582" t="s">
        <v>158</v>
      </c>
      <c r="J407" s="582" t="s">
        <v>212</v>
      </c>
      <c r="K407" s="582" t="s">
        <v>160</v>
      </c>
      <c r="L407" s="582" t="s">
        <v>161</v>
      </c>
      <c r="M407" s="582" t="s">
        <v>162</v>
      </c>
      <c r="N407" s="582" t="s">
        <v>3270</v>
      </c>
    </row>
    <row r="408" spans="1:14" ht="16.5">
      <c r="A408" s="582" t="s">
        <v>2711</v>
      </c>
      <c r="B408" s="582" t="s">
        <v>3271</v>
      </c>
      <c r="C408" s="585">
        <v>3.2407407407407406E-3</v>
      </c>
      <c r="D408" s="582" t="s">
        <v>3272</v>
      </c>
      <c r="E408" s="582" t="s">
        <v>154</v>
      </c>
      <c r="F408" s="582" t="s">
        <v>2535</v>
      </c>
      <c r="G408" s="582" t="s">
        <v>2536</v>
      </c>
      <c r="H408" s="582" t="s">
        <v>157</v>
      </c>
      <c r="I408" s="582" t="s">
        <v>158</v>
      </c>
      <c r="J408" s="582" t="s">
        <v>212</v>
      </c>
      <c r="K408" s="582" t="s">
        <v>2084</v>
      </c>
      <c r="L408" s="582" t="s">
        <v>161</v>
      </c>
      <c r="M408" s="582" t="s">
        <v>162</v>
      </c>
      <c r="N408" s="582" t="s">
        <v>3273</v>
      </c>
    </row>
    <row r="409" spans="1:14" ht="16.5">
      <c r="A409" s="582" t="s">
        <v>2711</v>
      </c>
      <c r="B409" s="582" t="s">
        <v>3274</v>
      </c>
      <c r="C409" s="585">
        <v>5.5555555555555556E-4</v>
      </c>
      <c r="D409" s="582" t="s">
        <v>3275</v>
      </c>
      <c r="E409" s="582" t="s">
        <v>154</v>
      </c>
      <c r="F409" s="582" t="s">
        <v>3276</v>
      </c>
      <c r="G409" s="582" t="s">
        <v>3230</v>
      </c>
      <c r="H409" s="582" t="s">
        <v>157</v>
      </c>
      <c r="I409" s="582" t="s">
        <v>158</v>
      </c>
      <c r="J409" s="582" t="s">
        <v>168</v>
      </c>
      <c r="K409" s="582" t="s">
        <v>160</v>
      </c>
      <c r="L409" s="582" t="s">
        <v>161</v>
      </c>
      <c r="M409" s="582" t="s">
        <v>162</v>
      </c>
      <c r="N409" s="582" t="s">
        <v>3277</v>
      </c>
    </row>
    <row r="410" spans="1:14" ht="16.5">
      <c r="A410" s="582" t="s">
        <v>2711</v>
      </c>
      <c r="B410" s="582" t="s">
        <v>4235</v>
      </c>
      <c r="C410" s="582"/>
      <c r="D410" s="582"/>
      <c r="E410" s="582"/>
      <c r="F410" s="582" t="s">
        <v>2712</v>
      </c>
      <c r="G410" s="582" t="s">
        <v>2725</v>
      </c>
      <c r="H410" s="582" t="s">
        <v>157</v>
      </c>
      <c r="I410" s="582" t="s">
        <v>158</v>
      </c>
      <c r="J410" s="582" t="s">
        <v>212</v>
      </c>
      <c r="K410" s="582" t="s">
        <v>160</v>
      </c>
      <c r="L410" s="582" t="s">
        <v>161</v>
      </c>
      <c r="M410" s="582" t="s">
        <v>162</v>
      </c>
      <c r="N410" s="582" t="s">
        <v>4236</v>
      </c>
    </row>
    <row r="411" spans="1:14" ht="16.5">
      <c r="A411" s="582" t="s">
        <v>2711</v>
      </c>
      <c r="B411" s="582" t="s">
        <v>3278</v>
      </c>
      <c r="C411" s="585">
        <v>4.0509259259259258E-4</v>
      </c>
      <c r="D411" s="582" t="s">
        <v>3279</v>
      </c>
      <c r="E411" s="582" t="s">
        <v>154</v>
      </c>
      <c r="F411" s="582" t="s">
        <v>799</v>
      </c>
      <c r="G411" s="582" t="s">
        <v>800</v>
      </c>
      <c r="H411" s="582" t="s">
        <v>157</v>
      </c>
      <c r="I411" s="582" t="s">
        <v>197</v>
      </c>
      <c r="J411" s="582" t="s">
        <v>198</v>
      </c>
      <c r="K411" s="582" t="s">
        <v>160</v>
      </c>
      <c r="L411" s="582" t="s">
        <v>161</v>
      </c>
      <c r="M411" s="582" t="s">
        <v>162</v>
      </c>
      <c r="N411" s="582" t="s">
        <v>3280</v>
      </c>
    </row>
    <row r="412" spans="1:14" ht="16.5">
      <c r="A412" s="582" t="s">
        <v>2711</v>
      </c>
      <c r="B412" s="582" t="s">
        <v>3281</v>
      </c>
      <c r="C412" s="585">
        <v>1.1574074074074073E-3</v>
      </c>
      <c r="D412" s="582" t="s">
        <v>3282</v>
      </c>
      <c r="E412" s="582" t="s">
        <v>154</v>
      </c>
      <c r="F412" s="582" t="s">
        <v>799</v>
      </c>
      <c r="G412" s="582" t="s">
        <v>800</v>
      </c>
      <c r="H412" s="582" t="s">
        <v>157</v>
      </c>
      <c r="I412" s="582" t="s">
        <v>197</v>
      </c>
      <c r="J412" s="582" t="s">
        <v>198</v>
      </c>
      <c r="K412" s="582" t="s">
        <v>160</v>
      </c>
      <c r="L412" s="582" t="s">
        <v>161</v>
      </c>
      <c r="M412" s="582" t="s">
        <v>162</v>
      </c>
      <c r="N412" s="582" t="s">
        <v>3283</v>
      </c>
    </row>
    <row r="413" spans="1:14" ht="16.5">
      <c r="A413" s="582" t="s">
        <v>2711</v>
      </c>
      <c r="B413" s="582" t="s">
        <v>3284</v>
      </c>
      <c r="C413" s="585">
        <v>4.3287037037037035E-3</v>
      </c>
      <c r="D413" s="582" t="s">
        <v>3285</v>
      </c>
      <c r="E413" s="582" t="s">
        <v>154</v>
      </c>
      <c r="F413" s="582" t="s">
        <v>2547</v>
      </c>
      <c r="G413" s="582" t="s">
        <v>3286</v>
      </c>
      <c r="H413" s="582" t="s">
        <v>157</v>
      </c>
      <c r="I413" s="582" t="s">
        <v>158</v>
      </c>
      <c r="J413" s="582" t="s">
        <v>212</v>
      </c>
      <c r="K413" s="582" t="s">
        <v>2084</v>
      </c>
      <c r="L413" s="582" t="s">
        <v>161</v>
      </c>
      <c r="M413" s="582" t="s">
        <v>162</v>
      </c>
      <c r="N413" s="582" t="s">
        <v>3287</v>
      </c>
    </row>
    <row r="414" spans="1:14" ht="16.5">
      <c r="A414" s="582" t="s">
        <v>2711</v>
      </c>
      <c r="B414" s="582" t="s">
        <v>3288</v>
      </c>
      <c r="C414" s="585">
        <v>1.0185185185185186E-3</v>
      </c>
      <c r="D414" s="582" t="s">
        <v>3289</v>
      </c>
      <c r="E414" s="582" t="s">
        <v>154</v>
      </c>
      <c r="F414" s="582" t="s">
        <v>799</v>
      </c>
      <c r="G414" s="582" t="s">
        <v>800</v>
      </c>
      <c r="H414" s="582" t="s">
        <v>157</v>
      </c>
      <c r="I414" s="582" t="s">
        <v>197</v>
      </c>
      <c r="J414" s="582" t="s">
        <v>198</v>
      </c>
      <c r="K414" s="582" t="s">
        <v>160</v>
      </c>
      <c r="L414" s="582" t="s">
        <v>161</v>
      </c>
      <c r="M414" s="582" t="s">
        <v>162</v>
      </c>
      <c r="N414" s="582" t="s">
        <v>3290</v>
      </c>
    </row>
    <row r="415" spans="1:14" ht="16.5">
      <c r="A415" s="582" t="s">
        <v>2711</v>
      </c>
      <c r="B415" s="582" t="s">
        <v>4237</v>
      </c>
      <c r="C415" s="582"/>
      <c r="D415" s="582"/>
      <c r="E415" s="582"/>
      <c r="F415" s="582" t="s">
        <v>2541</v>
      </c>
      <c r="G415" s="582" t="s">
        <v>4238</v>
      </c>
      <c r="H415" s="582" t="s">
        <v>157</v>
      </c>
      <c r="I415" s="582" t="s">
        <v>158</v>
      </c>
      <c r="J415" s="582" t="s">
        <v>212</v>
      </c>
      <c r="K415" s="582" t="s">
        <v>2084</v>
      </c>
      <c r="L415" s="582" t="s">
        <v>161</v>
      </c>
      <c r="M415" s="582" t="s">
        <v>162</v>
      </c>
      <c r="N415" s="582" t="s">
        <v>4239</v>
      </c>
    </row>
    <row r="416" spans="1:14" ht="16.5">
      <c r="A416" s="582" t="s">
        <v>2711</v>
      </c>
      <c r="B416" s="582" t="s">
        <v>3291</v>
      </c>
      <c r="C416" s="585">
        <v>2.5462962962962961E-3</v>
      </c>
      <c r="D416" s="582" t="s">
        <v>3292</v>
      </c>
      <c r="E416" s="582" t="s">
        <v>154</v>
      </c>
      <c r="F416" s="582" t="s">
        <v>2712</v>
      </c>
      <c r="G416" s="582" t="s">
        <v>3293</v>
      </c>
      <c r="H416" s="582" t="s">
        <v>157</v>
      </c>
      <c r="I416" s="582" t="s">
        <v>158</v>
      </c>
      <c r="J416" s="582" t="s">
        <v>168</v>
      </c>
      <c r="K416" s="582" t="s">
        <v>160</v>
      </c>
      <c r="L416" s="582" t="s">
        <v>161</v>
      </c>
      <c r="M416" s="582" t="s">
        <v>162</v>
      </c>
      <c r="N416" s="582" t="s">
        <v>3294</v>
      </c>
    </row>
    <row r="417" spans="1:14" ht="16.5">
      <c r="A417" s="582" t="s">
        <v>2711</v>
      </c>
      <c r="B417" s="582" t="s">
        <v>3295</v>
      </c>
      <c r="C417" s="585">
        <v>2.3726851851851851E-3</v>
      </c>
      <c r="D417" s="582" t="s">
        <v>3296</v>
      </c>
      <c r="E417" s="582" t="s">
        <v>154</v>
      </c>
      <c r="F417" s="582" t="s">
        <v>2724</v>
      </c>
      <c r="G417" s="582" t="s">
        <v>3297</v>
      </c>
      <c r="H417" s="582" t="s">
        <v>157</v>
      </c>
      <c r="I417" s="582" t="s">
        <v>158</v>
      </c>
      <c r="J417" s="582" t="s">
        <v>168</v>
      </c>
      <c r="K417" s="582" t="s">
        <v>160</v>
      </c>
      <c r="L417" s="582" t="s">
        <v>161</v>
      </c>
      <c r="M417" s="582" t="s">
        <v>162</v>
      </c>
      <c r="N417" s="582" t="s">
        <v>3298</v>
      </c>
    </row>
    <row r="418" spans="1:14" ht="16.5">
      <c r="A418" s="582" t="s">
        <v>2711</v>
      </c>
      <c r="B418" s="582" t="s">
        <v>4240</v>
      </c>
      <c r="C418" s="582"/>
      <c r="D418" s="582"/>
      <c r="E418" s="582"/>
      <c r="F418" s="582" t="s">
        <v>2310</v>
      </c>
      <c r="G418" s="582" t="s">
        <v>2527</v>
      </c>
      <c r="H418" s="582" t="s">
        <v>157</v>
      </c>
      <c r="I418" s="582" t="s">
        <v>158</v>
      </c>
      <c r="J418" s="582" t="s">
        <v>212</v>
      </c>
      <c r="K418" s="582" t="s">
        <v>160</v>
      </c>
      <c r="L418" s="582" t="s">
        <v>161</v>
      </c>
      <c r="M418" s="582" t="s">
        <v>162</v>
      </c>
      <c r="N418" s="582" t="s">
        <v>4241</v>
      </c>
    </row>
    <row r="419" spans="1:14" ht="16.5">
      <c r="A419" s="582" t="s">
        <v>2514</v>
      </c>
      <c r="B419" s="582" t="s">
        <v>3299</v>
      </c>
      <c r="C419" s="585">
        <v>1.3888888888888889E-3</v>
      </c>
      <c r="D419" s="582" t="s">
        <v>3300</v>
      </c>
      <c r="E419" s="582" t="s">
        <v>154</v>
      </c>
      <c r="F419" s="582" t="s">
        <v>156</v>
      </c>
      <c r="G419" s="582" t="s">
        <v>3301</v>
      </c>
      <c r="H419" s="582" t="s">
        <v>157</v>
      </c>
      <c r="I419" s="582" t="s">
        <v>158</v>
      </c>
      <c r="J419" s="582" t="s">
        <v>713</v>
      </c>
      <c r="K419" s="582" t="s">
        <v>2084</v>
      </c>
      <c r="L419" s="582" t="s">
        <v>161</v>
      </c>
      <c r="M419" s="582" t="s">
        <v>162</v>
      </c>
      <c r="N419" s="582" t="s">
        <v>3302</v>
      </c>
    </row>
    <row r="420" spans="1:14" ht="16.5">
      <c r="A420" s="582" t="s">
        <v>2514</v>
      </c>
      <c r="B420" s="582" t="s">
        <v>3303</v>
      </c>
      <c r="C420" s="585">
        <v>1.2152777777777778E-3</v>
      </c>
      <c r="D420" s="582" t="s">
        <v>3304</v>
      </c>
      <c r="E420" s="582" t="s">
        <v>154</v>
      </c>
      <c r="F420" s="582" t="s">
        <v>2515</v>
      </c>
      <c r="G420" s="582" t="s">
        <v>3305</v>
      </c>
      <c r="H420" s="582" t="s">
        <v>157</v>
      </c>
      <c r="I420" s="582" t="s">
        <v>158</v>
      </c>
      <c r="J420" s="582" t="s">
        <v>159</v>
      </c>
      <c r="K420" s="582" t="s">
        <v>2084</v>
      </c>
      <c r="L420" s="582" t="s">
        <v>161</v>
      </c>
      <c r="M420" s="582" t="s">
        <v>162</v>
      </c>
      <c r="N420" s="582" t="s">
        <v>3306</v>
      </c>
    </row>
    <row r="421" spans="1:14" ht="16.5">
      <c r="A421" s="582" t="s">
        <v>2514</v>
      </c>
      <c r="B421" s="582" t="s">
        <v>2516</v>
      </c>
      <c r="C421" s="585">
        <v>9.2592592592592588E-5</v>
      </c>
      <c r="D421" s="582" t="s">
        <v>2517</v>
      </c>
      <c r="E421" s="582" t="s">
        <v>154</v>
      </c>
      <c r="F421" s="582" t="s">
        <v>156</v>
      </c>
      <c r="G421" s="582" t="s">
        <v>2518</v>
      </c>
      <c r="H421" s="582" t="s">
        <v>157</v>
      </c>
      <c r="I421" s="582" t="s">
        <v>158</v>
      </c>
      <c r="J421" s="582" t="s">
        <v>168</v>
      </c>
      <c r="K421" s="582" t="s">
        <v>2084</v>
      </c>
      <c r="L421" s="582" t="s">
        <v>161</v>
      </c>
      <c r="M421" s="582" t="s">
        <v>162</v>
      </c>
      <c r="N421" s="582" t="s">
        <v>2647</v>
      </c>
    </row>
    <row r="422" spans="1:14" ht="16.5">
      <c r="A422" s="582" t="s">
        <v>2514</v>
      </c>
      <c r="B422" s="582" t="s">
        <v>2519</v>
      </c>
      <c r="C422" s="585">
        <v>1.3888888888888889E-4</v>
      </c>
      <c r="D422" s="582" t="s">
        <v>2520</v>
      </c>
      <c r="E422" s="582" t="s">
        <v>154</v>
      </c>
      <c r="F422" s="582" t="s">
        <v>2521</v>
      </c>
      <c r="G422" s="582" t="s">
        <v>2522</v>
      </c>
      <c r="H422" s="582" t="s">
        <v>157</v>
      </c>
      <c r="I422" s="582" t="s">
        <v>158</v>
      </c>
      <c r="J422" s="582" t="s">
        <v>168</v>
      </c>
      <c r="K422" s="582" t="s">
        <v>2084</v>
      </c>
      <c r="L422" s="582" t="s">
        <v>161</v>
      </c>
      <c r="M422" s="582" t="s">
        <v>162</v>
      </c>
      <c r="N422" s="582" t="s">
        <v>2648</v>
      </c>
    </row>
    <row r="423" spans="1:14" ht="16.5">
      <c r="A423" s="582" t="s">
        <v>2514</v>
      </c>
      <c r="B423" s="582" t="s">
        <v>2523</v>
      </c>
      <c r="C423" s="585">
        <v>5.7870370370370366E-5</v>
      </c>
      <c r="D423" s="582" t="s">
        <v>2524</v>
      </c>
      <c r="E423" s="582" t="s">
        <v>154</v>
      </c>
      <c r="F423" s="582" t="s">
        <v>156</v>
      </c>
      <c r="G423" s="582" t="s">
        <v>2280</v>
      </c>
      <c r="H423" s="582" t="s">
        <v>157</v>
      </c>
      <c r="I423" s="582" t="s">
        <v>158</v>
      </c>
      <c r="J423" s="582" t="s">
        <v>212</v>
      </c>
      <c r="K423" s="582" t="s">
        <v>2084</v>
      </c>
      <c r="L423" s="582" t="s">
        <v>161</v>
      </c>
      <c r="M423" s="582" t="s">
        <v>162</v>
      </c>
      <c r="N423" s="582" t="s">
        <v>2649</v>
      </c>
    </row>
    <row r="424" spans="1:14" ht="16.5">
      <c r="A424" s="582" t="s">
        <v>2514</v>
      </c>
      <c r="B424" s="582" t="s">
        <v>2525</v>
      </c>
      <c r="C424" s="585">
        <v>4.7453703703703704E-4</v>
      </c>
      <c r="D424" s="582" t="s">
        <v>2526</v>
      </c>
      <c r="E424" s="582" t="s">
        <v>154</v>
      </c>
      <c r="F424" s="582" t="s">
        <v>2310</v>
      </c>
      <c r="G424" s="582" t="s">
        <v>2527</v>
      </c>
      <c r="H424" s="582" t="s">
        <v>157</v>
      </c>
      <c r="I424" s="582" t="s">
        <v>158</v>
      </c>
      <c r="J424" s="582" t="s">
        <v>159</v>
      </c>
      <c r="K424" s="582" t="s">
        <v>2084</v>
      </c>
      <c r="L424" s="582" t="s">
        <v>161</v>
      </c>
      <c r="M424" s="582" t="s">
        <v>162</v>
      </c>
      <c r="N424" s="582" t="s">
        <v>2650</v>
      </c>
    </row>
    <row r="425" spans="1:14" ht="16.5">
      <c r="A425" s="582" t="s">
        <v>2514</v>
      </c>
      <c r="B425" s="582" t="s">
        <v>2528</v>
      </c>
      <c r="C425" s="585">
        <v>4.1666666666666669E-4</v>
      </c>
      <c r="D425" s="582" t="s">
        <v>2529</v>
      </c>
      <c r="E425" s="582" t="s">
        <v>154</v>
      </c>
      <c r="F425" s="582" t="s">
        <v>2530</v>
      </c>
      <c r="G425" s="582" t="s">
        <v>2531</v>
      </c>
      <c r="H425" s="582" t="s">
        <v>157</v>
      </c>
      <c r="I425" s="582" t="s">
        <v>158</v>
      </c>
      <c r="J425" s="582" t="s">
        <v>168</v>
      </c>
      <c r="K425" s="582" t="s">
        <v>160</v>
      </c>
      <c r="L425" s="582" t="s">
        <v>161</v>
      </c>
      <c r="M425" s="582" t="s">
        <v>162</v>
      </c>
      <c r="N425" s="582" t="s">
        <v>2651</v>
      </c>
    </row>
    <row r="426" spans="1:14" ht="16.5">
      <c r="A426" s="582" t="s">
        <v>2514</v>
      </c>
      <c r="B426" s="582" t="s">
        <v>2533</v>
      </c>
      <c r="C426" s="585">
        <v>2.0138888888888888E-3</v>
      </c>
      <c r="D426" s="582" t="s">
        <v>2534</v>
      </c>
      <c r="E426" s="582" t="s">
        <v>154</v>
      </c>
      <c r="F426" s="582" t="s">
        <v>2535</v>
      </c>
      <c r="G426" s="582" t="s">
        <v>2536</v>
      </c>
      <c r="H426" s="582" t="s">
        <v>157</v>
      </c>
      <c r="I426" s="582" t="s">
        <v>158</v>
      </c>
      <c r="J426" s="582" t="s">
        <v>168</v>
      </c>
      <c r="K426" s="582" t="s">
        <v>160</v>
      </c>
      <c r="L426" s="582" t="s">
        <v>161</v>
      </c>
      <c r="M426" s="582" t="s">
        <v>162</v>
      </c>
      <c r="N426" s="582" t="s">
        <v>2652</v>
      </c>
    </row>
    <row r="427" spans="1:14" ht="16.5">
      <c r="A427" s="582" t="s">
        <v>2514</v>
      </c>
      <c r="B427" s="582" t="s">
        <v>2537</v>
      </c>
      <c r="C427" s="585">
        <v>2.1643518518518518E-3</v>
      </c>
      <c r="D427" s="582" t="s">
        <v>2538</v>
      </c>
      <c r="E427" s="582" t="s">
        <v>154</v>
      </c>
      <c r="F427" s="582" t="s">
        <v>2304</v>
      </c>
      <c r="G427" s="582" t="s">
        <v>2499</v>
      </c>
      <c r="H427" s="582" t="s">
        <v>157</v>
      </c>
      <c r="I427" s="582" t="s">
        <v>158</v>
      </c>
      <c r="J427" s="582" t="s">
        <v>168</v>
      </c>
      <c r="K427" s="582" t="s">
        <v>160</v>
      </c>
      <c r="L427" s="582" t="s">
        <v>161</v>
      </c>
      <c r="M427" s="582" t="s">
        <v>162</v>
      </c>
      <c r="N427" s="582" t="s">
        <v>2653</v>
      </c>
    </row>
    <row r="428" spans="1:14" ht="16.5">
      <c r="A428" s="582" t="s">
        <v>2514</v>
      </c>
      <c r="B428" s="582" t="s">
        <v>4242</v>
      </c>
      <c r="C428" s="582"/>
      <c r="D428" s="582"/>
      <c r="E428" s="582"/>
      <c r="F428" s="582" t="s">
        <v>2334</v>
      </c>
      <c r="G428" s="582" t="s">
        <v>1517</v>
      </c>
      <c r="H428" s="582" t="s">
        <v>157</v>
      </c>
      <c r="I428" s="582" t="s">
        <v>197</v>
      </c>
      <c r="J428" s="582" t="s">
        <v>198</v>
      </c>
      <c r="K428" s="582" t="s">
        <v>160</v>
      </c>
      <c r="L428" s="582" t="s">
        <v>161</v>
      </c>
      <c r="M428" s="582" t="s">
        <v>162</v>
      </c>
      <c r="N428" s="582" t="s">
        <v>796</v>
      </c>
    </row>
    <row r="429" spans="1:14" ht="16.5">
      <c r="A429" s="582" t="s">
        <v>2514</v>
      </c>
      <c r="B429" s="582" t="s">
        <v>2539</v>
      </c>
      <c r="C429" s="585">
        <v>1.8402777777777777E-3</v>
      </c>
      <c r="D429" s="582" t="s">
        <v>2540</v>
      </c>
      <c r="E429" s="582" t="s">
        <v>154</v>
      </c>
      <c r="F429" s="582" t="s">
        <v>2541</v>
      </c>
      <c r="G429" s="582" t="s">
        <v>2542</v>
      </c>
      <c r="H429" s="582" t="s">
        <v>157</v>
      </c>
      <c r="I429" s="582" t="s">
        <v>158</v>
      </c>
      <c r="J429" s="582" t="s">
        <v>168</v>
      </c>
      <c r="K429" s="582" t="s">
        <v>2084</v>
      </c>
      <c r="L429" s="582" t="s">
        <v>161</v>
      </c>
      <c r="M429" s="582" t="s">
        <v>162</v>
      </c>
      <c r="N429" s="582" t="s">
        <v>2654</v>
      </c>
    </row>
    <row r="430" spans="1:14" ht="16.5">
      <c r="A430" s="582" t="s">
        <v>2514</v>
      </c>
      <c r="B430" s="582" t="s">
        <v>2543</v>
      </c>
      <c r="C430" s="585">
        <v>5.0925925925925921E-4</v>
      </c>
      <c r="D430" s="582" t="s">
        <v>2544</v>
      </c>
      <c r="E430" s="582" t="s">
        <v>154</v>
      </c>
      <c r="F430" s="582" t="s">
        <v>1413</v>
      </c>
      <c r="G430" s="582" t="s">
        <v>2389</v>
      </c>
      <c r="H430" s="582" t="s">
        <v>157</v>
      </c>
      <c r="I430" s="582" t="s">
        <v>197</v>
      </c>
      <c r="J430" s="582" t="s">
        <v>198</v>
      </c>
      <c r="K430" s="582" t="s">
        <v>160</v>
      </c>
      <c r="L430" s="582" t="s">
        <v>161</v>
      </c>
      <c r="M430" s="582" t="s">
        <v>162</v>
      </c>
      <c r="N430" s="582" t="s">
        <v>2655</v>
      </c>
    </row>
    <row r="431" spans="1:14" ht="16.5">
      <c r="A431" s="582" t="s">
        <v>2514</v>
      </c>
      <c r="B431" s="582" t="s">
        <v>2545</v>
      </c>
      <c r="C431" s="585">
        <v>1.7476851851851852E-3</v>
      </c>
      <c r="D431" s="582" t="s">
        <v>2546</v>
      </c>
      <c r="E431" s="582" t="s">
        <v>154</v>
      </c>
      <c r="F431" s="582" t="s">
        <v>2547</v>
      </c>
      <c r="G431" s="582" t="s">
        <v>2548</v>
      </c>
      <c r="H431" s="582" t="s">
        <v>157</v>
      </c>
      <c r="I431" s="582" t="s">
        <v>158</v>
      </c>
      <c r="J431" s="582" t="s">
        <v>168</v>
      </c>
      <c r="K431" s="582" t="s">
        <v>2084</v>
      </c>
      <c r="L431" s="582" t="s">
        <v>161</v>
      </c>
      <c r="M431" s="582" t="s">
        <v>162</v>
      </c>
      <c r="N431" s="582" t="s">
        <v>2656</v>
      </c>
    </row>
    <row r="432" spans="1:14" ht="16.5">
      <c r="A432" s="582" t="s">
        <v>2514</v>
      </c>
      <c r="B432" s="582" t="s">
        <v>2549</v>
      </c>
      <c r="C432" s="585">
        <v>4.3981481481481481E-4</v>
      </c>
      <c r="D432" s="582" t="s">
        <v>2550</v>
      </c>
      <c r="E432" s="582" t="s">
        <v>154</v>
      </c>
      <c r="F432" s="582" t="s">
        <v>1413</v>
      </c>
      <c r="G432" s="582" t="s">
        <v>2389</v>
      </c>
      <c r="H432" s="582" t="s">
        <v>157</v>
      </c>
      <c r="I432" s="582" t="s">
        <v>197</v>
      </c>
      <c r="J432" s="582" t="s">
        <v>198</v>
      </c>
      <c r="K432" s="582" t="s">
        <v>160</v>
      </c>
      <c r="L432" s="582" t="s">
        <v>161</v>
      </c>
      <c r="M432" s="582" t="s">
        <v>162</v>
      </c>
      <c r="N432" s="582" t="s">
        <v>2657</v>
      </c>
    </row>
    <row r="433" spans="1:14" ht="16.5">
      <c r="A433" s="582" t="s">
        <v>2514</v>
      </c>
      <c r="B433" s="582" t="s">
        <v>2551</v>
      </c>
      <c r="C433" s="585">
        <v>4.9768518518518521E-4</v>
      </c>
      <c r="D433" s="582" t="s">
        <v>2552</v>
      </c>
      <c r="E433" s="582" t="s">
        <v>154</v>
      </c>
      <c r="F433" s="582" t="s">
        <v>1341</v>
      </c>
      <c r="G433" s="582" t="s">
        <v>1461</v>
      </c>
      <c r="H433" s="582" t="s">
        <v>157</v>
      </c>
      <c r="I433" s="582" t="s">
        <v>197</v>
      </c>
      <c r="J433" s="582" t="s">
        <v>198</v>
      </c>
      <c r="K433" s="582" t="s">
        <v>2084</v>
      </c>
      <c r="L433" s="582" t="s">
        <v>161</v>
      </c>
      <c r="M433" s="582" t="s">
        <v>162</v>
      </c>
      <c r="N433" s="582" t="s">
        <v>2658</v>
      </c>
    </row>
    <row r="434" spans="1:14" ht="16.5">
      <c r="A434" s="582" t="s">
        <v>2514</v>
      </c>
      <c r="B434" s="582" t="s">
        <v>2553</v>
      </c>
      <c r="C434" s="585">
        <v>5.7870370370370378E-4</v>
      </c>
      <c r="D434" s="582" t="s">
        <v>2554</v>
      </c>
      <c r="E434" s="582" t="s">
        <v>154</v>
      </c>
      <c r="F434" s="582" t="s">
        <v>156</v>
      </c>
      <c r="G434" s="582" t="s">
        <v>1461</v>
      </c>
      <c r="H434" s="582" t="s">
        <v>157</v>
      </c>
      <c r="I434" s="582" t="s">
        <v>197</v>
      </c>
      <c r="J434" s="582" t="s">
        <v>198</v>
      </c>
      <c r="K434" s="582" t="s">
        <v>2084</v>
      </c>
      <c r="L434" s="582" t="s">
        <v>161</v>
      </c>
      <c r="M434" s="582" t="s">
        <v>162</v>
      </c>
      <c r="N434" s="582" t="s">
        <v>2659</v>
      </c>
    </row>
    <row r="435" spans="1:14" ht="16.5">
      <c r="A435" s="582" t="s">
        <v>2514</v>
      </c>
      <c r="B435" s="582" t="s">
        <v>4243</v>
      </c>
      <c r="C435" s="582"/>
      <c r="D435" s="582"/>
      <c r="E435" s="582"/>
      <c r="F435" s="582" t="s">
        <v>1341</v>
      </c>
      <c r="G435" s="582" t="s">
        <v>1342</v>
      </c>
      <c r="H435" s="582" t="s">
        <v>157</v>
      </c>
      <c r="I435" s="582" t="s">
        <v>197</v>
      </c>
      <c r="J435" s="582" t="s">
        <v>198</v>
      </c>
      <c r="K435" s="582" t="s">
        <v>2084</v>
      </c>
      <c r="L435" s="582" t="s">
        <v>161</v>
      </c>
      <c r="M435" s="582" t="s">
        <v>162</v>
      </c>
      <c r="N435" s="582" t="s">
        <v>1031</v>
      </c>
    </row>
    <row r="436" spans="1:14" ht="16.5">
      <c r="A436" s="582" t="s">
        <v>2514</v>
      </c>
      <c r="B436" s="582" t="s">
        <v>1796</v>
      </c>
      <c r="C436" s="585">
        <v>1.1111111111111111E-3</v>
      </c>
      <c r="D436" s="582" t="s">
        <v>2555</v>
      </c>
      <c r="E436" s="582" t="s">
        <v>154</v>
      </c>
      <c r="F436" s="582" t="s">
        <v>1341</v>
      </c>
      <c r="G436" s="582" t="s">
        <v>1461</v>
      </c>
      <c r="H436" s="582" t="s">
        <v>157</v>
      </c>
      <c r="I436" s="582" t="s">
        <v>197</v>
      </c>
      <c r="J436" s="582" t="s">
        <v>198</v>
      </c>
      <c r="K436" s="582" t="s">
        <v>2084</v>
      </c>
      <c r="L436" s="582" t="s">
        <v>161</v>
      </c>
      <c r="M436" s="582" t="s">
        <v>162</v>
      </c>
      <c r="N436" s="582" t="s">
        <v>2660</v>
      </c>
    </row>
    <row r="437" spans="1:14" ht="16.5">
      <c r="A437" s="582" t="s">
        <v>2514</v>
      </c>
      <c r="B437" s="582" t="s">
        <v>2556</v>
      </c>
      <c r="C437" s="585">
        <v>1.8634259259259261E-3</v>
      </c>
      <c r="D437" s="582" t="s">
        <v>2557</v>
      </c>
      <c r="E437" s="582" t="s">
        <v>154</v>
      </c>
      <c r="F437" s="582" t="s">
        <v>1413</v>
      </c>
      <c r="G437" s="582" t="s">
        <v>2389</v>
      </c>
      <c r="H437" s="582" t="s">
        <v>157</v>
      </c>
      <c r="I437" s="582" t="s">
        <v>197</v>
      </c>
      <c r="J437" s="582" t="s">
        <v>198</v>
      </c>
      <c r="K437" s="582" t="s">
        <v>160</v>
      </c>
      <c r="L437" s="582" t="s">
        <v>161</v>
      </c>
      <c r="M437" s="582" t="s">
        <v>162</v>
      </c>
      <c r="N437" s="582" t="s">
        <v>876</v>
      </c>
    </row>
    <row r="438" spans="1:14" ht="16.5">
      <c r="A438" s="582" t="s">
        <v>2514</v>
      </c>
      <c r="B438" s="582" t="s">
        <v>4244</v>
      </c>
      <c r="C438" s="582"/>
      <c r="D438" s="582"/>
      <c r="E438" s="582"/>
      <c r="F438" s="582" t="s">
        <v>1413</v>
      </c>
      <c r="G438" s="582" t="s">
        <v>2389</v>
      </c>
      <c r="H438" s="582" t="s">
        <v>157</v>
      </c>
      <c r="I438" s="582" t="s">
        <v>197</v>
      </c>
      <c r="J438" s="582" t="s">
        <v>198</v>
      </c>
      <c r="K438" s="582" t="s">
        <v>160</v>
      </c>
      <c r="L438" s="582" t="s">
        <v>161</v>
      </c>
      <c r="M438" s="582" t="s">
        <v>162</v>
      </c>
      <c r="N438" s="582" t="s">
        <v>557</v>
      </c>
    </row>
    <row r="439" spans="1:14" ht="16.5">
      <c r="A439" s="582" t="s">
        <v>2514</v>
      </c>
      <c r="B439" s="582" t="s">
        <v>2558</v>
      </c>
      <c r="C439" s="585">
        <v>1.6203703703703703E-3</v>
      </c>
      <c r="D439" s="582" t="s">
        <v>2559</v>
      </c>
      <c r="E439" s="582" t="s">
        <v>154</v>
      </c>
      <c r="F439" s="582" t="s">
        <v>1413</v>
      </c>
      <c r="G439" s="582" t="s">
        <v>1956</v>
      </c>
      <c r="H439" s="582" t="s">
        <v>157</v>
      </c>
      <c r="I439" s="582" t="s">
        <v>197</v>
      </c>
      <c r="J439" s="582" t="s">
        <v>198</v>
      </c>
      <c r="K439" s="582" t="s">
        <v>160</v>
      </c>
      <c r="L439" s="582" t="s">
        <v>161</v>
      </c>
      <c r="M439" s="582" t="s">
        <v>162</v>
      </c>
      <c r="N439" s="582" t="s">
        <v>2661</v>
      </c>
    </row>
    <row r="440" spans="1:14" ht="16.5">
      <c r="A440" s="582" t="s">
        <v>2514</v>
      </c>
      <c r="B440" s="582" t="s">
        <v>2560</v>
      </c>
      <c r="C440" s="585">
        <v>1.25E-3</v>
      </c>
      <c r="D440" s="582" t="s">
        <v>2561</v>
      </c>
      <c r="E440" s="582" t="s">
        <v>154</v>
      </c>
      <c r="F440" s="582" t="s">
        <v>156</v>
      </c>
      <c r="G440" s="582" t="s">
        <v>2562</v>
      </c>
      <c r="H440" s="582" t="s">
        <v>157</v>
      </c>
      <c r="I440" s="582" t="s">
        <v>197</v>
      </c>
      <c r="J440" s="582" t="s">
        <v>198</v>
      </c>
      <c r="K440" s="582" t="s">
        <v>2084</v>
      </c>
      <c r="L440" s="582" t="s">
        <v>161</v>
      </c>
      <c r="M440" s="582" t="s">
        <v>162</v>
      </c>
      <c r="N440" s="582" t="s">
        <v>2662</v>
      </c>
    </row>
    <row r="441" spans="1:14" ht="16.5">
      <c r="A441" s="582" t="s">
        <v>2514</v>
      </c>
      <c r="B441" s="582" t="s">
        <v>2563</v>
      </c>
      <c r="C441" s="585">
        <v>4.1666666666666669E-4</v>
      </c>
      <c r="D441" s="582" t="s">
        <v>2564</v>
      </c>
      <c r="E441" s="582" t="s">
        <v>154</v>
      </c>
      <c r="F441" s="582" t="s">
        <v>1413</v>
      </c>
      <c r="G441" s="582" t="s">
        <v>1956</v>
      </c>
      <c r="H441" s="582" t="s">
        <v>157</v>
      </c>
      <c r="I441" s="582" t="s">
        <v>197</v>
      </c>
      <c r="J441" s="582" t="s">
        <v>198</v>
      </c>
      <c r="K441" s="582" t="s">
        <v>160</v>
      </c>
      <c r="L441" s="582" t="s">
        <v>161</v>
      </c>
      <c r="M441" s="582" t="s">
        <v>162</v>
      </c>
      <c r="N441" s="582" t="s">
        <v>2663</v>
      </c>
    </row>
    <row r="442" spans="1:14" ht="16.5">
      <c r="A442" s="582" t="s">
        <v>2514</v>
      </c>
      <c r="B442" s="582" t="s">
        <v>4245</v>
      </c>
      <c r="C442" s="582"/>
      <c r="D442" s="582"/>
      <c r="E442" s="582"/>
      <c r="F442" s="582" t="s">
        <v>4246</v>
      </c>
      <c r="G442" s="582" t="s">
        <v>2718</v>
      </c>
      <c r="H442" s="582" t="s">
        <v>157</v>
      </c>
      <c r="I442" s="582" t="s">
        <v>158</v>
      </c>
      <c r="J442" s="582" t="s">
        <v>168</v>
      </c>
      <c r="K442" s="582" t="s">
        <v>160</v>
      </c>
      <c r="L442" s="582" t="s">
        <v>161</v>
      </c>
      <c r="M442" s="582" t="s">
        <v>162</v>
      </c>
      <c r="N442" s="582" t="s">
        <v>4247</v>
      </c>
    </row>
    <row r="443" spans="1:14" ht="16.5">
      <c r="A443" s="582" t="s">
        <v>2514</v>
      </c>
      <c r="B443" s="582" t="s">
        <v>2565</v>
      </c>
      <c r="C443" s="585">
        <v>1.0879629629629629E-3</v>
      </c>
      <c r="D443" s="582" t="s">
        <v>2566</v>
      </c>
      <c r="E443" s="582" t="s">
        <v>154</v>
      </c>
      <c r="F443" s="582" t="s">
        <v>156</v>
      </c>
      <c r="G443" s="582" t="s">
        <v>2562</v>
      </c>
      <c r="H443" s="582" t="s">
        <v>157</v>
      </c>
      <c r="I443" s="582" t="s">
        <v>197</v>
      </c>
      <c r="J443" s="582" t="s">
        <v>198</v>
      </c>
      <c r="K443" s="582" t="s">
        <v>2084</v>
      </c>
      <c r="L443" s="582" t="s">
        <v>161</v>
      </c>
      <c r="M443" s="582" t="s">
        <v>162</v>
      </c>
      <c r="N443" s="582" t="s">
        <v>2664</v>
      </c>
    </row>
    <row r="444" spans="1:14" ht="16.5">
      <c r="A444" s="582" t="s">
        <v>2514</v>
      </c>
      <c r="B444" s="582" t="s">
        <v>2567</v>
      </c>
      <c r="C444" s="585">
        <v>2.1527777777777778E-3</v>
      </c>
      <c r="D444" s="582" t="s">
        <v>2568</v>
      </c>
      <c r="E444" s="582" t="s">
        <v>154</v>
      </c>
      <c r="F444" s="582" t="s">
        <v>1336</v>
      </c>
      <c r="G444" s="582" t="s">
        <v>1346</v>
      </c>
      <c r="H444" s="582" t="s">
        <v>157</v>
      </c>
      <c r="I444" s="582" t="s">
        <v>197</v>
      </c>
      <c r="J444" s="582" t="s">
        <v>198</v>
      </c>
      <c r="K444" s="582" t="s">
        <v>95</v>
      </c>
      <c r="L444" s="582" t="s">
        <v>161</v>
      </c>
      <c r="M444" s="582" t="s">
        <v>162</v>
      </c>
      <c r="N444" s="582" t="s">
        <v>2665</v>
      </c>
    </row>
    <row r="445" spans="1:14" ht="16.5">
      <c r="A445" s="582" t="s">
        <v>2514</v>
      </c>
      <c r="B445" s="582" t="s">
        <v>2569</v>
      </c>
      <c r="C445" s="585">
        <v>1.0069444444444444E-3</v>
      </c>
      <c r="D445" s="582" t="s">
        <v>2570</v>
      </c>
      <c r="E445" s="582" t="s">
        <v>154</v>
      </c>
      <c r="F445" s="582" t="s">
        <v>1540</v>
      </c>
      <c r="G445" s="582" t="s">
        <v>1541</v>
      </c>
      <c r="H445" s="582" t="s">
        <v>157</v>
      </c>
      <c r="I445" s="582" t="s">
        <v>197</v>
      </c>
      <c r="J445" s="582" t="s">
        <v>198</v>
      </c>
      <c r="K445" s="582" t="s">
        <v>160</v>
      </c>
      <c r="L445" s="582" t="s">
        <v>161</v>
      </c>
      <c r="M445" s="582" t="s">
        <v>162</v>
      </c>
      <c r="N445" s="582" t="s">
        <v>2666</v>
      </c>
    </row>
    <row r="446" spans="1:14" ht="16.5">
      <c r="A446" s="582" t="s">
        <v>2514</v>
      </c>
      <c r="B446" s="582" t="s">
        <v>2571</v>
      </c>
      <c r="C446" s="585">
        <v>2.199074074074074E-4</v>
      </c>
      <c r="D446" s="582" t="s">
        <v>2572</v>
      </c>
      <c r="E446" s="582" t="s">
        <v>154</v>
      </c>
      <c r="F446" s="582" t="s">
        <v>1336</v>
      </c>
      <c r="G446" s="582" t="s">
        <v>1346</v>
      </c>
      <c r="H446" s="582" t="s">
        <v>157</v>
      </c>
      <c r="I446" s="582" t="s">
        <v>197</v>
      </c>
      <c r="J446" s="582" t="s">
        <v>198</v>
      </c>
      <c r="K446" s="582" t="s">
        <v>95</v>
      </c>
      <c r="L446" s="582" t="s">
        <v>161</v>
      </c>
      <c r="M446" s="582" t="s">
        <v>162</v>
      </c>
      <c r="N446" s="582" t="s">
        <v>2667</v>
      </c>
    </row>
    <row r="447" spans="1:14" ht="16.5">
      <c r="A447" s="582" t="s">
        <v>2514</v>
      </c>
      <c r="B447" s="582" t="s">
        <v>2573</v>
      </c>
      <c r="C447" s="585">
        <v>1.1458333333333333E-3</v>
      </c>
      <c r="D447" s="582" t="s">
        <v>2574</v>
      </c>
      <c r="E447" s="582" t="s">
        <v>154</v>
      </c>
      <c r="F447" s="582" t="s">
        <v>1128</v>
      </c>
      <c r="G447" s="582" t="s">
        <v>1132</v>
      </c>
      <c r="H447" s="582" t="s">
        <v>157</v>
      </c>
      <c r="I447" s="582" t="s">
        <v>158</v>
      </c>
      <c r="J447" s="582" t="s">
        <v>391</v>
      </c>
      <c r="K447" s="582" t="s">
        <v>2084</v>
      </c>
      <c r="L447" s="582" t="s">
        <v>161</v>
      </c>
      <c r="M447" s="582" t="s">
        <v>162</v>
      </c>
      <c r="N447" s="582" t="s">
        <v>2668</v>
      </c>
    </row>
    <row r="448" spans="1:14" ht="16.5">
      <c r="A448" s="582" t="s">
        <v>2514</v>
      </c>
      <c r="B448" s="582" t="s">
        <v>2575</v>
      </c>
      <c r="C448" s="585">
        <v>4.2824074074074075E-4</v>
      </c>
      <c r="D448" s="582" t="s">
        <v>2576</v>
      </c>
      <c r="E448" s="582" t="s">
        <v>154</v>
      </c>
      <c r="F448" s="582" t="s">
        <v>1540</v>
      </c>
      <c r="G448" s="582" t="s">
        <v>1541</v>
      </c>
      <c r="H448" s="582" t="s">
        <v>157</v>
      </c>
      <c r="I448" s="582" t="s">
        <v>197</v>
      </c>
      <c r="J448" s="582" t="s">
        <v>198</v>
      </c>
      <c r="K448" s="582" t="s">
        <v>160</v>
      </c>
      <c r="L448" s="582" t="s">
        <v>161</v>
      </c>
      <c r="M448" s="582" t="s">
        <v>162</v>
      </c>
      <c r="N448" s="582" t="s">
        <v>2669</v>
      </c>
    </row>
    <row r="449" spans="1:14" ht="16.5">
      <c r="A449" s="582" t="s">
        <v>2514</v>
      </c>
      <c r="B449" s="582" t="s">
        <v>2577</v>
      </c>
      <c r="C449" s="585">
        <v>3.2060185185185191E-3</v>
      </c>
      <c r="D449" s="582" t="s">
        <v>2578</v>
      </c>
      <c r="E449" s="582" t="s">
        <v>154</v>
      </c>
      <c r="F449" s="582" t="s">
        <v>1336</v>
      </c>
      <c r="G449" s="582" t="s">
        <v>1346</v>
      </c>
      <c r="H449" s="582" t="s">
        <v>157</v>
      </c>
      <c r="I449" s="582" t="s">
        <v>197</v>
      </c>
      <c r="J449" s="582" t="s">
        <v>198</v>
      </c>
      <c r="K449" s="582" t="s">
        <v>95</v>
      </c>
      <c r="L449" s="582" t="s">
        <v>161</v>
      </c>
      <c r="M449" s="582" t="s">
        <v>162</v>
      </c>
      <c r="N449" s="582" t="s">
        <v>2670</v>
      </c>
    </row>
    <row r="450" spans="1:14" ht="16.5">
      <c r="A450" s="582" t="s">
        <v>2514</v>
      </c>
      <c r="B450" s="582" t="s">
        <v>2579</v>
      </c>
      <c r="C450" s="585">
        <v>7.175925925925927E-4</v>
      </c>
      <c r="D450" s="582" t="s">
        <v>2580</v>
      </c>
      <c r="E450" s="582" t="s">
        <v>154</v>
      </c>
      <c r="F450" s="582" t="s">
        <v>2178</v>
      </c>
      <c r="G450" s="582" t="s">
        <v>2581</v>
      </c>
      <c r="H450" s="582" t="s">
        <v>157</v>
      </c>
      <c r="I450" s="582" t="s">
        <v>197</v>
      </c>
      <c r="J450" s="582" t="s">
        <v>198</v>
      </c>
      <c r="K450" s="582" t="s">
        <v>2084</v>
      </c>
      <c r="L450" s="582" t="s">
        <v>161</v>
      </c>
      <c r="M450" s="582" t="s">
        <v>162</v>
      </c>
      <c r="N450" s="582" t="s">
        <v>2671</v>
      </c>
    </row>
    <row r="451" spans="1:14" ht="16.5">
      <c r="A451" s="582" t="s">
        <v>2514</v>
      </c>
      <c r="B451" s="582" t="s">
        <v>2582</v>
      </c>
      <c r="C451" s="585">
        <v>1.5277777777777779E-3</v>
      </c>
      <c r="D451" s="582" t="s">
        <v>2583</v>
      </c>
      <c r="E451" s="582" t="s">
        <v>154</v>
      </c>
      <c r="F451" s="582" t="s">
        <v>2178</v>
      </c>
      <c r="G451" s="582" t="s">
        <v>2193</v>
      </c>
      <c r="H451" s="582" t="s">
        <v>157</v>
      </c>
      <c r="I451" s="582" t="s">
        <v>197</v>
      </c>
      <c r="J451" s="582" t="s">
        <v>198</v>
      </c>
      <c r="K451" s="582" t="s">
        <v>2084</v>
      </c>
      <c r="L451" s="582" t="s">
        <v>161</v>
      </c>
      <c r="M451" s="582" t="s">
        <v>162</v>
      </c>
      <c r="N451" s="582" t="s">
        <v>2672</v>
      </c>
    </row>
    <row r="452" spans="1:14" ht="16.5">
      <c r="A452" s="582" t="s">
        <v>2514</v>
      </c>
      <c r="B452" s="582" t="s">
        <v>2584</v>
      </c>
      <c r="C452" s="585">
        <v>4.0509259259259258E-4</v>
      </c>
      <c r="D452" s="582" t="s">
        <v>2585</v>
      </c>
      <c r="E452" s="582" t="s">
        <v>154</v>
      </c>
      <c r="F452" s="582" t="s">
        <v>1540</v>
      </c>
      <c r="G452" s="582" t="s">
        <v>1541</v>
      </c>
      <c r="H452" s="582" t="s">
        <v>157</v>
      </c>
      <c r="I452" s="582" t="s">
        <v>197</v>
      </c>
      <c r="J452" s="582" t="s">
        <v>198</v>
      </c>
      <c r="K452" s="582" t="s">
        <v>160</v>
      </c>
      <c r="L452" s="582" t="s">
        <v>161</v>
      </c>
      <c r="M452" s="582" t="s">
        <v>162</v>
      </c>
      <c r="N452" s="582" t="s">
        <v>2673</v>
      </c>
    </row>
    <row r="453" spans="1:14" ht="16.5">
      <c r="A453" s="582" t="s">
        <v>2514</v>
      </c>
      <c r="B453" s="582" t="s">
        <v>2586</v>
      </c>
      <c r="C453" s="585">
        <v>7.175925925925927E-4</v>
      </c>
      <c r="D453" s="582" t="s">
        <v>2587</v>
      </c>
      <c r="E453" s="582" t="s">
        <v>154</v>
      </c>
      <c r="F453" s="582" t="s">
        <v>2052</v>
      </c>
      <c r="G453" s="582" t="s">
        <v>2053</v>
      </c>
      <c r="H453" s="582" t="s">
        <v>157</v>
      </c>
      <c r="I453" s="582" t="s">
        <v>158</v>
      </c>
      <c r="J453" s="582" t="s">
        <v>159</v>
      </c>
      <c r="K453" s="582" t="s">
        <v>160</v>
      </c>
      <c r="L453" s="582" t="s">
        <v>161</v>
      </c>
      <c r="M453" s="582" t="s">
        <v>162</v>
      </c>
      <c r="N453" s="582" t="s">
        <v>2674</v>
      </c>
    </row>
    <row r="454" spans="1:14" ht="16.5">
      <c r="A454" s="582" t="s">
        <v>2514</v>
      </c>
      <c r="B454" s="582" t="s">
        <v>2588</v>
      </c>
      <c r="C454" s="585">
        <v>1.4351851851851854E-3</v>
      </c>
      <c r="D454" s="582" t="s">
        <v>2589</v>
      </c>
      <c r="E454" s="582" t="s">
        <v>154</v>
      </c>
      <c r="F454" s="582" t="s">
        <v>2590</v>
      </c>
      <c r="G454" s="582" t="s">
        <v>1321</v>
      </c>
      <c r="H454" s="582" t="s">
        <v>157</v>
      </c>
      <c r="I454" s="582" t="s">
        <v>158</v>
      </c>
      <c r="J454" s="582" t="s">
        <v>212</v>
      </c>
      <c r="K454" s="582" t="s">
        <v>2084</v>
      </c>
      <c r="L454" s="582" t="s">
        <v>161</v>
      </c>
      <c r="M454" s="582" t="s">
        <v>162</v>
      </c>
      <c r="N454" s="582" t="s">
        <v>2675</v>
      </c>
    </row>
    <row r="455" spans="1:14" ht="16.5">
      <c r="A455" s="582" t="s">
        <v>2514</v>
      </c>
      <c r="B455" s="582" t="s">
        <v>2591</v>
      </c>
      <c r="C455" s="585">
        <v>8.564814814814815E-4</v>
      </c>
      <c r="D455" s="582" t="s">
        <v>2592</v>
      </c>
      <c r="E455" s="582" t="s">
        <v>154</v>
      </c>
      <c r="F455" s="582" t="s">
        <v>2521</v>
      </c>
      <c r="G455" s="582" t="s">
        <v>2593</v>
      </c>
      <c r="H455" s="582" t="s">
        <v>157</v>
      </c>
      <c r="I455" s="582" t="s">
        <v>158</v>
      </c>
      <c r="J455" s="582" t="s">
        <v>168</v>
      </c>
      <c r="K455" s="582" t="s">
        <v>2084</v>
      </c>
      <c r="L455" s="582" t="s">
        <v>161</v>
      </c>
      <c r="M455" s="582" t="s">
        <v>162</v>
      </c>
      <c r="N455" s="582" t="s">
        <v>2676</v>
      </c>
    </row>
    <row r="456" spans="1:14" ht="16.5">
      <c r="A456" s="582" t="s">
        <v>2514</v>
      </c>
      <c r="B456" s="582" t="s">
        <v>2594</v>
      </c>
      <c r="C456" s="585">
        <v>8.1018518518518516E-5</v>
      </c>
      <c r="D456" s="582" t="s">
        <v>2595</v>
      </c>
      <c r="E456" s="582" t="s">
        <v>154</v>
      </c>
      <c r="F456" s="582" t="s">
        <v>2285</v>
      </c>
      <c r="G456" s="582" t="s">
        <v>2286</v>
      </c>
      <c r="H456" s="582" t="s">
        <v>157</v>
      </c>
      <c r="I456" s="582" t="s">
        <v>158</v>
      </c>
      <c r="J456" s="582" t="s">
        <v>168</v>
      </c>
      <c r="K456" s="582" t="s">
        <v>2084</v>
      </c>
      <c r="L456" s="582" t="s">
        <v>161</v>
      </c>
      <c r="M456" s="582" t="s">
        <v>162</v>
      </c>
      <c r="N456" s="582" t="s">
        <v>2282</v>
      </c>
    </row>
    <row r="457" spans="1:14" ht="16.5">
      <c r="A457" s="582" t="s">
        <v>2514</v>
      </c>
      <c r="B457" s="582" t="s">
        <v>2596</v>
      </c>
      <c r="C457" s="585">
        <v>5.3240740740740744E-4</v>
      </c>
      <c r="D457" s="582" t="s">
        <v>2597</v>
      </c>
      <c r="E457" s="582" t="s">
        <v>154</v>
      </c>
      <c r="F457" s="582" t="s">
        <v>2598</v>
      </c>
      <c r="G457" s="582" t="s">
        <v>2599</v>
      </c>
      <c r="H457" s="582" t="s">
        <v>157</v>
      </c>
      <c r="I457" s="582" t="s">
        <v>158</v>
      </c>
      <c r="J457" s="582" t="s">
        <v>212</v>
      </c>
      <c r="K457" s="582" t="s">
        <v>160</v>
      </c>
      <c r="L457" s="582" t="s">
        <v>161</v>
      </c>
      <c r="M457" s="582" t="s">
        <v>162</v>
      </c>
      <c r="N457" s="582" t="s">
        <v>2677</v>
      </c>
    </row>
    <row r="458" spans="1:14" ht="16.5">
      <c r="A458" s="582" t="s">
        <v>2514</v>
      </c>
      <c r="B458" s="582" t="s">
        <v>2600</v>
      </c>
      <c r="C458" s="585">
        <v>2.6620370370370374E-3</v>
      </c>
      <c r="D458" s="582" t="s">
        <v>2601</v>
      </c>
      <c r="E458" s="582" t="s">
        <v>154</v>
      </c>
      <c r="F458" s="582" t="s">
        <v>2598</v>
      </c>
      <c r="G458" s="582" t="s">
        <v>2602</v>
      </c>
      <c r="H458" s="582" t="s">
        <v>157</v>
      </c>
      <c r="I458" s="582" t="s">
        <v>158</v>
      </c>
      <c r="J458" s="582" t="s">
        <v>168</v>
      </c>
      <c r="K458" s="582" t="s">
        <v>160</v>
      </c>
      <c r="L458" s="582" t="s">
        <v>161</v>
      </c>
      <c r="M458" s="582" t="s">
        <v>162</v>
      </c>
      <c r="N458" s="582" t="s">
        <v>2678</v>
      </c>
    </row>
    <row r="459" spans="1:14" ht="16.5">
      <c r="A459" s="582" t="s">
        <v>2514</v>
      </c>
      <c r="B459" s="582" t="s">
        <v>2603</v>
      </c>
      <c r="C459" s="585">
        <v>1.6435185185185183E-3</v>
      </c>
      <c r="D459" s="582" t="s">
        <v>2604</v>
      </c>
      <c r="E459" s="582" t="s">
        <v>154</v>
      </c>
      <c r="F459" s="582" t="s">
        <v>2181</v>
      </c>
      <c r="G459" s="582" t="s">
        <v>2605</v>
      </c>
      <c r="H459" s="582" t="s">
        <v>157</v>
      </c>
      <c r="I459" s="582" t="s">
        <v>158</v>
      </c>
      <c r="J459" s="582" t="s">
        <v>212</v>
      </c>
      <c r="K459" s="582" t="s">
        <v>160</v>
      </c>
      <c r="L459" s="582" t="s">
        <v>161</v>
      </c>
      <c r="M459" s="582" t="s">
        <v>162</v>
      </c>
      <c r="N459" s="582" t="s">
        <v>2679</v>
      </c>
    </row>
    <row r="460" spans="1:14" ht="16.5">
      <c r="A460" s="582" t="s">
        <v>2514</v>
      </c>
      <c r="B460" s="582" t="s">
        <v>2606</v>
      </c>
      <c r="C460" s="585">
        <v>6.9444444444444444E-5</v>
      </c>
      <c r="D460" s="582" t="s">
        <v>2607</v>
      </c>
      <c r="E460" s="582" t="s">
        <v>154</v>
      </c>
      <c r="F460" s="582" t="s">
        <v>1851</v>
      </c>
      <c r="G460" s="582" t="s">
        <v>2321</v>
      </c>
      <c r="H460" s="582" t="s">
        <v>157</v>
      </c>
      <c r="I460" s="582" t="s">
        <v>197</v>
      </c>
      <c r="J460" s="582" t="s">
        <v>198</v>
      </c>
      <c r="K460" s="582" t="s">
        <v>2084</v>
      </c>
      <c r="L460" s="582" t="s">
        <v>161</v>
      </c>
      <c r="M460" s="582" t="s">
        <v>162</v>
      </c>
      <c r="N460" s="582" t="s">
        <v>2160</v>
      </c>
    </row>
    <row r="461" spans="1:14" ht="16.5">
      <c r="A461" s="582" t="s">
        <v>2514</v>
      </c>
      <c r="B461" s="582" t="s">
        <v>2608</v>
      </c>
      <c r="C461" s="585">
        <v>4.2824074074074075E-4</v>
      </c>
      <c r="D461" s="582" t="s">
        <v>2609</v>
      </c>
      <c r="E461" s="582" t="s">
        <v>154</v>
      </c>
      <c r="F461" s="582" t="s">
        <v>156</v>
      </c>
      <c r="G461" s="582" t="s">
        <v>2610</v>
      </c>
      <c r="H461" s="582" t="s">
        <v>157</v>
      </c>
      <c r="I461" s="582" t="s">
        <v>197</v>
      </c>
      <c r="J461" s="582" t="s">
        <v>198</v>
      </c>
      <c r="K461" s="582" t="s">
        <v>2084</v>
      </c>
      <c r="L461" s="582" t="s">
        <v>161</v>
      </c>
      <c r="M461" s="582" t="s">
        <v>162</v>
      </c>
      <c r="N461" s="582" t="s">
        <v>2680</v>
      </c>
    </row>
    <row r="462" spans="1:14" ht="16.5">
      <c r="A462" s="582" t="s">
        <v>2514</v>
      </c>
      <c r="B462" s="582" t="s">
        <v>2231</v>
      </c>
      <c r="C462" s="585">
        <v>1.5972222222222221E-3</v>
      </c>
      <c r="D462" s="582" t="s">
        <v>2611</v>
      </c>
      <c r="E462" s="582" t="s">
        <v>154</v>
      </c>
      <c r="F462" s="582" t="s">
        <v>2515</v>
      </c>
      <c r="G462" s="582" t="s">
        <v>2612</v>
      </c>
      <c r="H462" s="582" t="s">
        <v>157</v>
      </c>
      <c r="I462" s="582" t="s">
        <v>158</v>
      </c>
      <c r="J462" s="582" t="s">
        <v>168</v>
      </c>
      <c r="K462" s="582" t="s">
        <v>2084</v>
      </c>
      <c r="L462" s="582" t="s">
        <v>161</v>
      </c>
      <c r="M462" s="582" t="s">
        <v>162</v>
      </c>
      <c r="N462" s="582" t="s">
        <v>2681</v>
      </c>
    </row>
    <row r="463" spans="1:14" ht="16.5">
      <c r="A463" s="582" t="s">
        <v>2514</v>
      </c>
      <c r="B463" s="582" t="s">
        <v>1757</v>
      </c>
      <c r="C463" s="585">
        <v>1.6087962962962963E-3</v>
      </c>
      <c r="D463" s="582" t="s">
        <v>2613</v>
      </c>
      <c r="E463" s="582" t="s">
        <v>154</v>
      </c>
      <c r="F463" s="582" t="s">
        <v>2614</v>
      </c>
      <c r="G463" s="582" t="s">
        <v>2615</v>
      </c>
      <c r="H463" s="582" t="s">
        <v>157</v>
      </c>
      <c r="I463" s="582" t="s">
        <v>197</v>
      </c>
      <c r="J463" s="582" t="s">
        <v>198</v>
      </c>
      <c r="K463" s="582" t="s">
        <v>95</v>
      </c>
      <c r="L463" s="582" t="s">
        <v>161</v>
      </c>
      <c r="M463" s="582" t="s">
        <v>162</v>
      </c>
      <c r="N463" s="582" t="s">
        <v>2682</v>
      </c>
    </row>
    <row r="464" spans="1:14" ht="16.5">
      <c r="A464" s="582" t="s">
        <v>2514</v>
      </c>
      <c r="B464" s="582" t="s">
        <v>2616</v>
      </c>
      <c r="C464" s="585">
        <v>2.3148148148148147E-5</v>
      </c>
      <c r="D464" s="582" t="s">
        <v>2617</v>
      </c>
      <c r="E464" s="582" t="s">
        <v>154</v>
      </c>
      <c r="F464" s="582" t="s">
        <v>2618</v>
      </c>
      <c r="G464" s="582" t="s">
        <v>2619</v>
      </c>
      <c r="H464" s="582" t="s">
        <v>157</v>
      </c>
      <c r="I464" s="582" t="s">
        <v>158</v>
      </c>
      <c r="J464" s="582" t="s">
        <v>168</v>
      </c>
      <c r="K464" s="582" t="s">
        <v>2084</v>
      </c>
      <c r="L464" s="582" t="s">
        <v>161</v>
      </c>
      <c r="M464" s="582" t="s">
        <v>162</v>
      </c>
      <c r="N464" s="582" t="s">
        <v>2160</v>
      </c>
    </row>
    <row r="465" spans="1:14" ht="16.5">
      <c r="A465" s="582" t="s">
        <v>2514</v>
      </c>
      <c r="B465" s="582" t="s">
        <v>2620</v>
      </c>
      <c r="C465" s="585">
        <v>1.3888888888888889E-3</v>
      </c>
      <c r="D465" s="582" t="s">
        <v>2621</v>
      </c>
      <c r="E465" s="582" t="s">
        <v>154</v>
      </c>
      <c r="F465" s="582" t="s">
        <v>2012</v>
      </c>
      <c r="G465" s="582" t="s">
        <v>2474</v>
      </c>
      <c r="H465" s="582" t="s">
        <v>157</v>
      </c>
      <c r="I465" s="582" t="s">
        <v>197</v>
      </c>
      <c r="J465" s="582" t="s">
        <v>198</v>
      </c>
      <c r="K465" s="582" t="s">
        <v>160</v>
      </c>
      <c r="L465" s="582" t="s">
        <v>161</v>
      </c>
      <c r="M465" s="582" t="s">
        <v>162</v>
      </c>
      <c r="N465" s="582" t="s">
        <v>2683</v>
      </c>
    </row>
    <row r="466" spans="1:14" ht="16.5">
      <c r="A466" s="582" t="s">
        <v>2514</v>
      </c>
      <c r="B466" s="582" t="s">
        <v>2622</v>
      </c>
      <c r="C466" s="585">
        <v>1.7013888888888892E-3</v>
      </c>
      <c r="D466" s="582" t="s">
        <v>2623</v>
      </c>
      <c r="E466" s="582" t="s">
        <v>154</v>
      </c>
      <c r="F466" s="582" t="s">
        <v>2012</v>
      </c>
      <c r="G466" s="582" t="s">
        <v>2474</v>
      </c>
      <c r="H466" s="582" t="s">
        <v>157</v>
      </c>
      <c r="I466" s="582" t="s">
        <v>197</v>
      </c>
      <c r="J466" s="582" t="s">
        <v>198</v>
      </c>
      <c r="K466" s="582" t="s">
        <v>160</v>
      </c>
      <c r="L466" s="582" t="s">
        <v>161</v>
      </c>
      <c r="M466" s="582" t="s">
        <v>162</v>
      </c>
      <c r="N466" s="582" t="s">
        <v>2684</v>
      </c>
    </row>
    <row r="467" spans="1:14" ht="16.5">
      <c r="A467" s="582" t="s">
        <v>2514</v>
      </c>
      <c r="B467" s="582" t="s">
        <v>2624</v>
      </c>
      <c r="C467" s="585">
        <v>7.175925925925927E-4</v>
      </c>
      <c r="D467" s="582" t="s">
        <v>2625</v>
      </c>
      <c r="E467" s="582" t="s">
        <v>154</v>
      </c>
      <c r="F467" s="582" t="s">
        <v>1990</v>
      </c>
      <c r="G467" s="582" t="s">
        <v>2626</v>
      </c>
      <c r="H467" s="582" t="s">
        <v>157</v>
      </c>
      <c r="I467" s="582" t="s">
        <v>158</v>
      </c>
      <c r="J467" s="582" t="s">
        <v>212</v>
      </c>
      <c r="K467" s="582" t="s">
        <v>2084</v>
      </c>
      <c r="L467" s="582" t="s">
        <v>161</v>
      </c>
      <c r="M467" s="582" t="s">
        <v>162</v>
      </c>
      <c r="N467" s="582" t="s">
        <v>2685</v>
      </c>
    </row>
    <row r="468" spans="1:14" ht="16.5">
      <c r="A468" s="582" t="s">
        <v>2514</v>
      </c>
      <c r="B468" s="582" t="s">
        <v>2627</v>
      </c>
      <c r="C468" s="585">
        <v>1.0879629629629629E-3</v>
      </c>
      <c r="D468" s="582" t="s">
        <v>2628</v>
      </c>
      <c r="E468" s="582" t="s">
        <v>154</v>
      </c>
      <c r="F468" s="582" t="s">
        <v>1990</v>
      </c>
      <c r="G468" s="582" t="s">
        <v>2626</v>
      </c>
      <c r="H468" s="582" t="s">
        <v>157</v>
      </c>
      <c r="I468" s="582" t="s">
        <v>158</v>
      </c>
      <c r="J468" s="582" t="s">
        <v>391</v>
      </c>
      <c r="K468" s="582" t="s">
        <v>2084</v>
      </c>
      <c r="L468" s="582" t="s">
        <v>161</v>
      </c>
      <c r="M468" s="582" t="s">
        <v>162</v>
      </c>
      <c r="N468" s="582" t="s">
        <v>2686</v>
      </c>
    </row>
    <row r="469" spans="1:14" ht="16.5">
      <c r="A469" s="582" t="s">
        <v>2514</v>
      </c>
      <c r="B469" s="582" t="s">
        <v>2629</v>
      </c>
      <c r="C469" s="585">
        <v>2.3263888888888887E-3</v>
      </c>
      <c r="D469" s="582" t="s">
        <v>2630</v>
      </c>
      <c r="E469" s="582" t="s">
        <v>154</v>
      </c>
      <c r="F469" s="582" t="s">
        <v>1320</v>
      </c>
      <c r="G469" s="582" t="s">
        <v>276</v>
      </c>
      <c r="H469" s="582" t="s">
        <v>157</v>
      </c>
      <c r="I469" s="582" t="s">
        <v>158</v>
      </c>
      <c r="J469" s="582" t="s">
        <v>212</v>
      </c>
      <c r="K469" s="582" t="s">
        <v>2084</v>
      </c>
      <c r="L469" s="582" t="s">
        <v>161</v>
      </c>
      <c r="M469" s="582" t="s">
        <v>162</v>
      </c>
      <c r="N469" s="582" t="s">
        <v>2687</v>
      </c>
    </row>
    <row r="470" spans="1:14" ht="16.5">
      <c r="A470" s="582" t="s">
        <v>2514</v>
      </c>
      <c r="B470" s="582" t="s">
        <v>4248</v>
      </c>
      <c r="C470" s="582"/>
      <c r="D470" s="582"/>
      <c r="E470" s="582"/>
      <c r="F470" s="582" t="s">
        <v>2503</v>
      </c>
      <c r="G470" s="582" t="s">
        <v>2503</v>
      </c>
      <c r="H470" s="582" t="s">
        <v>157</v>
      </c>
      <c r="I470" s="582" t="s">
        <v>158</v>
      </c>
      <c r="J470" s="582" t="s">
        <v>212</v>
      </c>
      <c r="K470" s="582" t="s">
        <v>2084</v>
      </c>
      <c r="L470" s="582" t="s">
        <v>161</v>
      </c>
      <c r="M470" s="582" t="s">
        <v>162</v>
      </c>
      <c r="N470" s="582" t="s">
        <v>4249</v>
      </c>
    </row>
    <row r="471" spans="1:14" ht="16.5">
      <c r="A471" s="582" t="s">
        <v>2514</v>
      </c>
      <c r="B471" s="582" t="s">
        <v>2631</v>
      </c>
      <c r="C471" s="585">
        <v>2.2800925925925927E-3</v>
      </c>
      <c r="D471" s="582" t="s">
        <v>2632</v>
      </c>
      <c r="E471" s="582" t="s">
        <v>154</v>
      </c>
      <c r="F471" s="582" t="s">
        <v>2181</v>
      </c>
      <c r="G471" s="582" t="s">
        <v>2195</v>
      </c>
      <c r="H471" s="582" t="s">
        <v>157</v>
      </c>
      <c r="I471" s="582" t="s">
        <v>158</v>
      </c>
      <c r="J471" s="582" t="s">
        <v>212</v>
      </c>
      <c r="K471" s="582" t="s">
        <v>160</v>
      </c>
      <c r="L471" s="582" t="s">
        <v>161</v>
      </c>
      <c r="M471" s="582" t="s">
        <v>162</v>
      </c>
      <c r="N471" s="582" t="s">
        <v>2688</v>
      </c>
    </row>
    <row r="472" spans="1:14" ht="16.5">
      <c r="A472" s="582" t="s">
        <v>2514</v>
      </c>
      <c r="B472" s="582" t="s">
        <v>2633</v>
      </c>
      <c r="C472" s="585">
        <v>1.4699074074074074E-3</v>
      </c>
      <c r="D472" s="582" t="s">
        <v>2634</v>
      </c>
      <c r="E472" s="582" t="s">
        <v>154</v>
      </c>
      <c r="F472" s="582" t="s">
        <v>2003</v>
      </c>
      <c r="G472" s="582" t="s">
        <v>2004</v>
      </c>
      <c r="H472" s="582" t="s">
        <v>157</v>
      </c>
      <c r="I472" s="582" t="s">
        <v>158</v>
      </c>
      <c r="J472" s="582" t="s">
        <v>212</v>
      </c>
      <c r="K472" s="582" t="s">
        <v>160</v>
      </c>
      <c r="L472" s="582" t="s">
        <v>161</v>
      </c>
      <c r="M472" s="582" t="s">
        <v>162</v>
      </c>
      <c r="N472" s="582" t="s">
        <v>2689</v>
      </c>
    </row>
    <row r="473" spans="1:14" ht="16.5">
      <c r="A473" s="582" t="s">
        <v>2514</v>
      </c>
      <c r="B473" s="582" t="s">
        <v>2635</v>
      </c>
      <c r="C473" s="585">
        <v>6.2500000000000001E-4</v>
      </c>
      <c r="D473" s="582" t="s">
        <v>2636</v>
      </c>
      <c r="E473" s="582" t="s">
        <v>154</v>
      </c>
      <c r="F473" s="582" t="s">
        <v>2012</v>
      </c>
      <c r="G473" s="582" t="s">
        <v>2474</v>
      </c>
      <c r="H473" s="582" t="s">
        <v>157</v>
      </c>
      <c r="I473" s="582" t="s">
        <v>197</v>
      </c>
      <c r="J473" s="582" t="s">
        <v>198</v>
      </c>
      <c r="K473" s="582" t="s">
        <v>160</v>
      </c>
      <c r="L473" s="582" t="s">
        <v>161</v>
      </c>
      <c r="M473" s="582" t="s">
        <v>162</v>
      </c>
      <c r="N473" s="582" t="s">
        <v>2690</v>
      </c>
    </row>
    <row r="474" spans="1:14" ht="16.5">
      <c r="A474" s="582" t="s">
        <v>2514</v>
      </c>
      <c r="B474" s="582" t="s">
        <v>2637</v>
      </c>
      <c r="C474" s="585">
        <v>3.4722222222222222E-5</v>
      </c>
      <c r="D474" s="582" t="s">
        <v>2638</v>
      </c>
      <c r="E474" s="582" t="s">
        <v>154</v>
      </c>
      <c r="F474" s="582" t="s">
        <v>1666</v>
      </c>
      <c r="G474" s="582" t="s">
        <v>1667</v>
      </c>
      <c r="H474" s="582" t="s">
        <v>157</v>
      </c>
      <c r="I474" s="582" t="s">
        <v>158</v>
      </c>
      <c r="J474" s="582" t="s">
        <v>168</v>
      </c>
      <c r="K474" s="582" t="s">
        <v>160</v>
      </c>
      <c r="L474" s="582" t="s">
        <v>161</v>
      </c>
      <c r="M474" s="582" t="s">
        <v>162</v>
      </c>
      <c r="N474" s="582" t="s">
        <v>2691</v>
      </c>
    </row>
    <row r="475" spans="1:14" ht="16.5">
      <c r="A475" s="582" t="s">
        <v>2514</v>
      </c>
      <c r="B475" s="582" t="s">
        <v>2639</v>
      </c>
      <c r="C475" s="585">
        <v>3.8194444444444446E-4</v>
      </c>
      <c r="D475" s="582" t="s">
        <v>2640</v>
      </c>
      <c r="E475" s="582" t="s">
        <v>154</v>
      </c>
      <c r="F475" s="582" t="s">
        <v>2363</v>
      </c>
      <c r="G475" s="582" t="s">
        <v>2491</v>
      </c>
      <c r="H475" s="582" t="s">
        <v>157</v>
      </c>
      <c r="I475" s="582" t="s">
        <v>197</v>
      </c>
      <c r="J475" s="582" t="s">
        <v>198</v>
      </c>
      <c r="K475" s="582" t="s">
        <v>160</v>
      </c>
      <c r="L475" s="582" t="s">
        <v>161</v>
      </c>
      <c r="M475" s="582" t="s">
        <v>162</v>
      </c>
      <c r="N475" s="582" t="s">
        <v>2692</v>
      </c>
    </row>
    <row r="476" spans="1:14" ht="16.5">
      <c r="A476" s="582" t="s">
        <v>2514</v>
      </c>
      <c r="B476" s="582" t="s">
        <v>2641</v>
      </c>
      <c r="C476" s="585">
        <v>1.0648148148148147E-3</v>
      </c>
      <c r="D476" s="582" t="s">
        <v>2642</v>
      </c>
      <c r="E476" s="582" t="s">
        <v>154</v>
      </c>
      <c r="F476" s="582" t="s">
        <v>2363</v>
      </c>
      <c r="G476" s="582" t="s">
        <v>2491</v>
      </c>
      <c r="H476" s="582" t="s">
        <v>157</v>
      </c>
      <c r="I476" s="582" t="s">
        <v>197</v>
      </c>
      <c r="J476" s="582" t="s">
        <v>198</v>
      </c>
      <c r="K476" s="582" t="s">
        <v>160</v>
      </c>
      <c r="L476" s="582" t="s">
        <v>161</v>
      </c>
      <c r="M476" s="582" t="s">
        <v>162</v>
      </c>
      <c r="N476" s="582" t="s">
        <v>2693</v>
      </c>
    </row>
    <row r="477" spans="1:14" ht="16.5">
      <c r="A477" s="582" t="s">
        <v>2514</v>
      </c>
      <c r="B477" s="582" t="s">
        <v>2643</v>
      </c>
      <c r="C477" s="585">
        <v>1.1111111111111111E-3</v>
      </c>
      <c r="D477" s="582" t="s">
        <v>2644</v>
      </c>
      <c r="E477" s="582" t="s">
        <v>154</v>
      </c>
      <c r="F477" s="582" t="s">
        <v>2645</v>
      </c>
      <c r="G477" s="582" t="s">
        <v>602</v>
      </c>
      <c r="H477" s="582" t="s">
        <v>157</v>
      </c>
      <c r="I477" s="582" t="s">
        <v>158</v>
      </c>
      <c r="J477" s="582" t="s">
        <v>212</v>
      </c>
      <c r="K477" s="582" t="s">
        <v>160</v>
      </c>
      <c r="L477" s="582" t="s">
        <v>161</v>
      </c>
      <c r="M477" s="582" t="s">
        <v>162</v>
      </c>
      <c r="N477" s="582" t="s">
        <v>2694</v>
      </c>
    </row>
    <row r="478" spans="1:14" ht="16.5">
      <c r="A478" s="582" t="s">
        <v>2277</v>
      </c>
      <c r="B478" s="582" t="s">
        <v>2278</v>
      </c>
      <c r="C478" s="585">
        <v>1.1574074074074073E-5</v>
      </c>
      <c r="D478" s="582" t="s">
        <v>2279</v>
      </c>
      <c r="E478" s="582" t="s">
        <v>154</v>
      </c>
      <c r="F478" s="582" t="s">
        <v>156</v>
      </c>
      <c r="G478" s="582" t="s">
        <v>2280</v>
      </c>
      <c r="H478" s="582" t="s">
        <v>157</v>
      </c>
      <c r="I478" s="582" t="s">
        <v>158</v>
      </c>
      <c r="J478" s="582" t="s">
        <v>168</v>
      </c>
      <c r="K478" s="582" t="s">
        <v>2084</v>
      </c>
      <c r="L478" s="582" t="s">
        <v>161</v>
      </c>
      <c r="M478" s="582" t="s">
        <v>162</v>
      </c>
      <c r="N478" s="582" t="s">
        <v>2281</v>
      </c>
    </row>
    <row r="479" spans="1:14" ht="16.5">
      <c r="A479" s="582" t="s">
        <v>2277</v>
      </c>
      <c r="B479" s="582" t="s">
        <v>4250</v>
      </c>
      <c r="C479" s="582"/>
      <c r="D479" s="582"/>
      <c r="E479" s="582"/>
      <c r="F479" s="582" t="s">
        <v>2717</v>
      </c>
      <c r="G479" s="582" t="s">
        <v>4251</v>
      </c>
      <c r="H479" s="582" t="s">
        <v>157</v>
      </c>
      <c r="I479" s="582" t="s">
        <v>158</v>
      </c>
      <c r="J479" s="582" t="s">
        <v>168</v>
      </c>
      <c r="K479" s="582" t="s">
        <v>2084</v>
      </c>
      <c r="L479" s="582" t="s">
        <v>161</v>
      </c>
      <c r="M479" s="582" t="s">
        <v>162</v>
      </c>
      <c r="N479" s="582" t="s">
        <v>2282</v>
      </c>
    </row>
    <row r="480" spans="1:14" ht="16.5">
      <c r="A480" s="582" t="s">
        <v>2277</v>
      </c>
      <c r="B480" s="582" t="s">
        <v>2283</v>
      </c>
      <c r="C480" s="585">
        <v>2.7777777777777778E-4</v>
      </c>
      <c r="D480" s="582" t="s">
        <v>2284</v>
      </c>
      <c r="E480" s="582" t="s">
        <v>154</v>
      </c>
      <c r="F480" s="582" t="s">
        <v>2285</v>
      </c>
      <c r="G480" s="582" t="s">
        <v>2286</v>
      </c>
      <c r="H480" s="582" t="s">
        <v>157</v>
      </c>
      <c r="I480" s="582" t="s">
        <v>158</v>
      </c>
      <c r="J480" s="582" t="s">
        <v>168</v>
      </c>
      <c r="K480" s="582" t="s">
        <v>2084</v>
      </c>
      <c r="L480" s="582" t="s">
        <v>161</v>
      </c>
      <c r="M480" s="582" t="s">
        <v>162</v>
      </c>
      <c r="N480" s="582" t="s">
        <v>2287</v>
      </c>
    </row>
    <row r="481" spans="1:14" ht="16.5">
      <c r="A481" s="582" t="s">
        <v>2277</v>
      </c>
      <c r="B481" s="582" t="s">
        <v>4252</v>
      </c>
      <c r="C481" s="582"/>
      <c r="D481" s="582"/>
      <c r="E481" s="582"/>
      <c r="F481" s="582" t="s">
        <v>3681</v>
      </c>
      <c r="G481" s="582" t="s">
        <v>4139</v>
      </c>
      <c r="H481" s="582" t="s">
        <v>157</v>
      </c>
      <c r="I481" s="582" t="s">
        <v>158</v>
      </c>
      <c r="J481" s="582" t="s">
        <v>159</v>
      </c>
      <c r="K481" s="582" t="s">
        <v>2084</v>
      </c>
      <c r="L481" s="582" t="s">
        <v>161</v>
      </c>
      <c r="M481" s="582" t="s">
        <v>162</v>
      </c>
      <c r="N481" s="582" t="s">
        <v>2281</v>
      </c>
    </row>
    <row r="482" spans="1:14" ht="16.5">
      <c r="A482" s="582" t="s">
        <v>2277</v>
      </c>
      <c r="B482" s="582" t="s">
        <v>2288</v>
      </c>
      <c r="C482" s="585">
        <v>5.0925925925925921E-4</v>
      </c>
      <c r="D482" s="582" t="s">
        <v>2289</v>
      </c>
      <c r="E482" s="582" t="s">
        <v>154</v>
      </c>
      <c r="F482" s="582" t="s">
        <v>1666</v>
      </c>
      <c r="G482" s="582" t="s">
        <v>1917</v>
      </c>
      <c r="H482" s="582" t="s">
        <v>157</v>
      </c>
      <c r="I482" s="582" t="s">
        <v>158</v>
      </c>
      <c r="J482" s="582" t="s">
        <v>168</v>
      </c>
      <c r="K482" s="582" t="s">
        <v>2084</v>
      </c>
      <c r="L482" s="582" t="s">
        <v>161</v>
      </c>
      <c r="M482" s="582" t="s">
        <v>162</v>
      </c>
      <c r="N482" s="582" t="s">
        <v>2290</v>
      </c>
    </row>
    <row r="483" spans="1:14" ht="16.5">
      <c r="A483" s="582" t="s">
        <v>2277</v>
      </c>
      <c r="B483" s="582" t="s">
        <v>2291</v>
      </c>
      <c r="C483" s="585">
        <v>1.1689814814814816E-3</v>
      </c>
      <c r="D483" s="582" t="s">
        <v>2292</v>
      </c>
      <c r="E483" s="582" t="s">
        <v>154</v>
      </c>
      <c r="F483" s="582" t="s">
        <v>2646</v>
      </c>
      <c r="G483" s="582" t="s">
        <v>1852</v>
      </c>
      <c r="H483" s="582" t="s">
        <v>157</v>
      </c>
      <c r="I483" s="582" t="s">
        <v>197</v>
      </c>
      <c r="J483" s="582" t="s">
        <v>198</v>
      </c>
      <c r="K483" s="582" t="s">
        <v>2084</v>
      </c>
      <c r="L483" s="582" t="s">
        <v>161</v>
      </c>
      <c r="M483" s="582" t="s">
        <v>162</v>
      </c>
      <c r="N483" s="582" t="s">
        <v>2293</v>
      </c>
    </row>
    <row r="484" spans="1:14" ht="16.5">
      <c r="A484" s="582" t="s">
        <v>2277</v>
      </c>
      <c r="B484" s="582" t="s">
        <v>2294</v>
      </c>
      <c r="C484" s="585">
        <v>9.4907407407407408E-4</v>
      </c>
      <c r="D484" s="582" t="s">
        <v>2295</v>
      </c>
      <c r="E484" s="582" t="s">
        <v>154</v>
      </c>
      <c r="F484" s="582" t="s">
        <v>1320</v>
      </c>
      <c r="G484" s="582" t="s">
        <v>1441</v>
      </c>
      <c r="H484" s="582" t="s">
        <v>157</v>
      </c>
      <c r="I484" s="582" t="s">
        <v>158</v>
      </c>
      <c r="J484" s="582" t="s">
        <v>391</v>
      </c>
      <c r="K484" s="582" t="s">
        <v>2084</v>
      </c>
      <c r="L484" s="582" t="s">
        <v>161</v>
      </c>
      <c r="M484" s="582" t="s">
        <v>162</v>
      </c>
      <c r="N484" s="582" t="s">
        <v>2296</v>
      </c>
    </row>
    <row r="485" spans="1:14" ht="16.5">
      <c r="A485" s="582" t="s">
        <v>2277</v>
      </c>
      <c r="B485" s="582" t="s">
        <v>4253</v>
      </c>
      <c r="C485" s="582"/>
      <c r="D485" s="582"/>
      <c r="E485" s="582"/>
      <c r="F485" s="582" t="s">
        <v>1769</v>
      </c>
      <c r="G485" s="582" t="s">
        <v>2280</v>
      </c>
      <c r="H485" s="582" t="s">
        <v>157</v>
      </c>
      <c r="I485" s="582" t="s">
        <v>158</v>
      </c>
      <c r="J485" s="582" t="s">
        <v>391</v>
      </c>
      <c r="K485" s="582" t="s">
        <v>2084</v>
      </c>
      <c r="L485" s="582" t="s">
        <v>161</v>
      </c>
      <c r="M485" s="582" t="s">
        <v>162</v>
      </c>
      <c r="N485" s="582" t="s">
        <v>4254</v>
      </c>
    </row>
    <row r="486" spans="1:14" ht="16.5">
      <c r="A486" s="582" t="s">
        <v>2277</v>
      </c>
      <c r="B486" s="582" t="s">
        <v>2297</v>
      </c>
      <c r="C486" s="585">
        <v>8.6805555555555551E-4</v>
      </c>
      <c r="D486" s="582" t="s">
        <v>2298</v>
      </c>
      <c r="E486" s="582" t="s">
        <v>154</v>
      </c>
      <c r="F486" s="582" t="s">
        <v>2299</v>
      </c>
      <c r="G486" s="582" t="s">
        <v>2300</v>
      </c>
      <c r="H486" s="582" t="s">
        <v>157</v>
      </c>
      <c r="I486" s="582" t="s">
        <v>158</v>
      </c>
      <c r="J486" s="582" t="s">
        <v>159</v>
      </c>
      <c r="K486" s="582" t="s">
        <v>2084</v>
      </c>
      <c r="L486" s="582" t="s">
        <v>161</v>
      </c>
      <c r="M486" s="582" t="s">
        <v>162</v>
      </c>
      <c r="N486" s="582" t="s">
        <v>2301</v>
      </c>
    </row>
    <row r="487" spans="1:14" ht="16.5">
      <c r="A487" s="582" t="s">
        <v>2277</v>
      </c>
      <c r="B487" s="582" t="s">
        <v>4255</v>
      </c>
      <c r="C487" s="582"/>
      <c r="D487" s="582"/>
      <c r="E487" s="582"/>
      <c r="F487" s="582" t="s">
        <v>2717</v>
      </c>
      <c r="G487" s="582" t="s">
        <v>4251</v>
      </c>
      <c r="H487" s="582" t="s">
        <v>157</v>
      </c>
      <c r="I487" s="582" t="s">
        <v>158</v>
      </c>
      <c r="J487" s="582" t="s">
        <v>168</v>
      </c>
      <c r="K487" s="582" t="s">
        <v>2084</v>
      </c>
      <c r="L487" s="582" t="s">
        <v>161</v>
      </c>
      <c r="M487" s="582" t="s">
        <v>162</v>
      </c>
      <c r="N487" s="582" t="s">
        <v>2282</v>
      </c>
    </row>
    <row r="488" spans="1:14" ht="16.5">
      <c r="A488" s="582" t="s">
        <v>2277</v>
      </c>
      <c r="B488" s="582" t="s">
        <v>2302</v>
      </c>
      <c r="C488" s="585">
        <v>4.1666666666666669E-4</v>
      </c>
      <c r="D488" s="582" t="s">
        <v>2303</v>
      </c>
      <c r="E488" s="582" t="s">
        <v>154</v>
      </c>
      <c r="F488" s="582" t="s">
        <v>2304</v>
      </c>
      <c r="G488" s="582" t="s">
        <v>2305</v>
      </c>
      <c r="H488" s="582" t="s">
        <v>157</v>
      </c>
      <c r="I488" s="582" t="s">
        <v>158</v>
      </c>
      <c r="J488" s="582" t="s">
        <v>168</v>
      </c>
      <c r="K488" s="582" t="s">
        <v>2084</v>
      </c>
      <c r="L488" s="582" t="s">
        <v>161</v>
      </c>
      <c r="M488" s="582" t="s">
        <v>162</v>
      </c>
      <c r="N488" s="582" t="s">
        <v>2306</v>
      </c>
    </row>
    <row r="489" spans="1:14" ht="16.5">
      <c r="A489" s="582" t="s">
        <v>2277</v>
      </c>
      <c r="B489" s="582" t="s">
        <v>4256</v>
      </c>
      <c r="C489" s="582"/>
      <c r="D489" s="582"/>
      <c r="E489" s="582"/>
      <c r="F489" s="582" t="s">
        <v>2285</v>
      </c>
      <c r="G489" s="582" t="s">
        <v>2307</v>
      </c>
      <c r="H489" s="582" t="s">
        <v>157</v>
      </c>
      <c r="I489" s="582" t="s">
        <v>158</v>
      </c>
      <c r="J489" s="582" t="s">
        <v>168</v>
      </c>
      <c r="K489" s="582" t="s">
        <v>2084</v>
      </c>
      <c r="L489" s="582" t="s">
        <v>161</v>
      </c>
      <c r="M489" s="582" t="s">
        <v>162</v>
      </c>
      <c r="N489" s="582" t="s">
        <v>4257</v>
      </c>
    </row>
    <row r="490" spans="1:14" ht="16.5">
      <c r="A490" s="582" t="s">
        <v>2277</v>
      </c>
      <c r="B490" s="582" t="s">
        <v>2308</v>
      </c>
      <c r="C490" s="585">
        <v>9.2592592592592588E-5</v>
      </c>
      <c r="D490" s="582" t="s">
        <v>2309</v>
      </c>
      <c r="E490" s="582" t="s">
        <v>154</v>
      </c>
      <c r="F490" s="582" t="s">
        <v>1666</v>
      </c>
      <c r="G490" s="582" t="s">
        <v>1917</v>
      </c>
      <c r="H490" s="582" t="s">
        <v>157</v>
      </c>
      <c r="I490" s="582" t="s">
        <v>158</v>
      </c>
      <c r="J490" s="582" t="s">
        <v>168</v>
      </c>
      <c r="K490" s="582" t="s">
        <v>2084</v>
      </c>
      <c r="L490" s="582" t="s">
        <v>161</v>
      </c>
      <c r="M490" s="582" t="s">
        <v>162</v>
      </c>
      <c r="N490" s="582" t="s">
        <v>425</v>
      </c>
    </row>
    <row r="491" spans="1:14" ht="16.5">
      <c r="A491" s="582" t="s">
        <v>2277</v>
      </c>
      <c r="B491" s="582" t="s">
        <v>4258</v>
      </c>
      <c r="C491" s="582"/>
      <c r="D491" s="582"/>
      <c r="E491" s="582"/>
      <c r="F491" s="582" t="s">
        <v>2310</v>
      </c>
      <c r="G491" s="582" t="s">
        <v>4139</v>
      </c>
      <c r="H491" s="582" t="s">
        <v>157</v>
      </c>
      <c r="I491" s="582" t="s">
        <v>158</v>
      </c>
      <c r="J491" s="582" t="s">
        <v>159</v>
      </c>
      <c r="K491" s="582" t="s">
        <v>2084</v>
      </c>
      <c r="L491" s="582" t="s">
        <v>161</v>
      </c>
      <c r="M491" s="582" t="s">
        <v>162</v>
      </c>
      <c r="N491" s="582" t="s">
        <v>4259</v>
      </c>
    </row>
    <row r="492" spans="1:14" ht="16.5">
      <c r="A492" s="582" t="s">
        <v>2277</v>
      </c>
      <c r="B492" s="582" t="s">
        <v>2311</v>
      </c>
      <c r="C492" s="585">
        <v>5.7870370370370378E-4</v>
      </c>
      <c r="D492" s="582" t="s">
        <v>2312</v>
      </c>
      <c r="E492" s="582" t="s">
        <v>154</v>
      </c>
      <c r="F492" s="582" t="s">
        <v>2313</v>
      </c>
      <c r="G492" s="582" t="s">
        <v>2314</v>
      </c>
      <c r="H492" s="582" t="s">
        <v>157</v>
      </c>
      <c r="I492" s="582" t="s">
        <v>158</v>
      </c>
      <c r="J492" s="582" t="s">
        <v>191</v>
      </c>
      <c r="K492" s="582" t="s">
        <v>2084</v>
      </c>
      <c r="L492" s="582" t="s">
        <v>161</v>
      </c>
      <c r="M492" s="582" t="s">
        <v>162</v>
      </c>
      <c r="N492" s="582" t="s">
        <v>2315</v>
      </c>
    </row>
    <row r="493" spans="1:14" ht="16.5">
      <c r="A493" s="582" t="s">
        <v>2277</v>
      </c>
      <c r="B493" s="582" t="s">
        <v>2316</v>
      </c>
      <c r="C493" s="585">
        <v>1.4120370370370369E-3</v>
      </c>
      <c r="D493" s="582" t="s">
        <v>2317</v>
      </c>
      <c r="E493" s="582" t="s">
        <v>154</v>
      </c>
      <c r="F493" s="582" t="s">
        <v>2178</v>
      </c>
      <c r="G493" s="582" t="s">
        <v>2193</v>
      </c>
      <c r="H493" s="582" t="s">
        <v>157</v>
      </c>
      <c r="I493" s="582" t="s">
        <v>197</v>
      </c>
      <c r="J493" s="582" t="s">
        <v>198</v>
      </c>
      <c r="K493" s="582" t="s">
        <v>2084</v>
      </c>
      <c r="L493" s="582" t="s">
        <v>161</v>
      </c>
      <c r="M493" s="582" t="s">
        <v>162</v>
      </c>
      <c r="N493" s="582" t="s">
        <v>2318</v>
      </c>
    </row>
    <row r="494" spans="1:14" ht="16.5">
      <c r="A494" s="582" t="s">
        <v>2277</v>
      </c>
      <c r="B494" s="582" t="s">
        <v>2319</v>
      </c>
      <c r="C494" s="585">
        <v>5.7870370370370366E-5</v>
      </c>
      <c r="D494" s="582" t="s">
        <v>2320</v>
      </c>
      <c r="E494" s="582" t="s">
        <v>154</v>
      </c>
      <c r="F494" s="582" t="s">
        <v>1851</v>
      </c>
      <c r="G494" s="582" t="s">
        <v>2321</v>
      </c>
      <c r="H494" s="582" t="s">
        <v>157</v>
      </c>
      <c r="I494" s="582" t="s">
        <v>197</v>
      </c>
      <c r="J494" s="582" t="s">
        <v>198</v>
      </c>
      <c r="K494" s="582" t="s">
        <v>2084</v>
      </c>
      <c r="L494" s="582" t="s">
        <v>161</v>
      </c>
      <c r="M494" s="582" t="s">
        <v>162</v>
      </c>
      <c r="N494" s="582" t="s">
        <v>2322</v>
      </c>
    </row>
    <row r="495" spans="1:14" ht="16.5">
      <c r="A495" s="582" t="s">
        <v>2277</v>
      </c>
      <c r="B495" s="582" t="s">
        <v>2323</v>
      </c>
      <c r="C495" s="585">
        <v>1.5624999999999999E-3</v>
      </c>
      <c r="D495" s="582" t="s">
        <v>2324</v>
      </c>
      <c r="E495" s="582" t="s">
        <v>154</v>
      </c>
      <c r="F495" s="582" t="s">
        <v>2325</v>
      </c>
      <c r="G495" s="582" t="s">
        <v>362</v>
      </c>
      <c r="H495" s="582" t="s">
        <v>157</v>
      </c>
      <c r="I495" s="582" t="s">
        <v>158</v>
      </c>
      <c r="J495" s="582" t="s">
        <v>212</v>
      </c>
      <c r="K495" s="582" t="s">
        <v>160</v>
      </c>
      <c r="L495" s="582" t="s">
        <v>161</v>
      </c>
      <c r="M495" s="582" t="s">
        <v>162</v>
      </c>
      <c r="N495" s="582" t="s">
        <v>2326</v>
      </c>
    </row>
    <row r="496" spans="1:14" ht="16.5">
      <c r="A496" s="582" t="s">
        <v>2277</v>
      </c>
      <c r="B496" s="582" t="s">
        <v>2327</v>
      </c>
      <c r="C496" s="585">
        <v>2.5231481481481481E-3</v>
      </c>
      <c r="D496" s="582" t="s">
        <v>2328</v>
      </c>
      <c r="E496" s="582" t="s">
        <v>154</v>
      </c>
      <c r="F496" s="582" t="s">
        <v>2325</v>
      </c>
      <c r="G496" s="582" t="s">
        <v>2329</v>
      </c>
      <c r="H496" s="582" t="s">
        <v>157</v>
      </c>
      <c r="I496" s="582" t="s">
        <v>158</v>
      </c>
      <c r="J496" s="582" t="s">
        <v>168</v>
      </c>
      <c r="K496" s="582" t="s">
        <v>160</v>
      </c>
      <c r="L496" s="582" t="s">
        <v>161</v>
      </c>
      <c r="M496" s="582" t="s">
        <v>162</v>
      </c>
      <c r="N496" s="582" t="s">
        <v>2330</v>
      </c>
    </row>
    <row r="497" spans="1:14" ht="16.5">
      <c r="A497" s="582" t="s">
        <v>2277</v>
      </c>
      <c r="B497" s="582" t="s">
        <v>2331</v>
      </c>
      <c r="C497" s="585">
        <v>1.1574074074074073E-5</v>
      </c>
      <c r="D497" s="582" t="s">
        <v>2332</v>
      </c>
      <c r="E497" s="582" t="s">
        <v>154</v>
      </c>
      <c r="F497" s="582" t="s">
        <v>1769</v>
      </c>
      <c r="G497" s="582" t="s">
        <v>2280</v>
      </c>
      <c r="H497" s="582" t="s">
        <v>157</v>
      </c>
      <c r="I497" s="582" t="s">
        <v>158</v>
      </c>
      <c r="J497" s="582" t="s">
        <v>159</v>
      </c>
      <c r="K497" s="582" t="s">
        <v>169</v>
      </c>
      <c r="L497" s="582" t="s">
        <v>161</v>
      </c>
      <c r="M497" s="582" t="s">
        <v>162</v>
      </c>
      <c r="N497" s="582" t="s">
        <v>2333</v>
      </c>
    </row>
    <row r="498" spans="1:14" ht="16.5">
      <c r="A498" s="582" t="s">
        <v>2277</v>
      </c>
      <c r="B498" s="582" t="s">
        <v>4260</v>
      </c>
      <c r="C498" s="582"/>
      <c r="D498" s="582"/>
      <c r="E498" s="582"/>
      <c r="F498" s="582" t="s">
        <v>2003</v>
      </c>
      <c r="G498" s="582" t="s">
        <v>2004</v>
      </c>
      <c r="H498" s="582" t="s">
        <v>157</v>
      </c>
      <c r="I498" s="582" t="s">
        <v>158</v>
      </c>
      <c r="J498" s="582" t="s">
        <v>212</v>
      </c>
      <c r="K498" s="582" t="s">
        <v>160</v>
      </c>
      <c r="L498" s="582" t="s">
        <v>161</v>
      </c>
      <c r="M498" s="582" t="s">
        <v>162</v>
      </c>
      <c r="N498" s="582" t="s">
        <v>4261</v>
      </c>
    </row>
    <row r="499" spans="1:14" ht="16.5">
      <c r="A499" s="582" t="s">
        <v>2277</v>
      </c>
      <c r="B499" s="582" t="s">
        <v>4262</v>
      </c>
      <c r="C499" s="582"/>
      <c r="D499" s="582"/>
      <c r="E499" s="582"/>
      <c r="F499" s="582" t="s">
        <v>2334</v>
      </c>
      <c r="G499" s="582" t="s">
        <v>1517</v>
      </c>
      <c r="H499" s="582" t="s">
        <v>157</v>
      </c>
      <c r="I499" s="582" t="s">
        <v>197</v>
      </c>
      <c r="J499" s="582" t="s">
        <v>198</v>
      </c>
      <c r="K499" s="582" t="s">
        <v>160</v>
      </c>
      <c r="L499" s="582" t="s">
        <v>161</v>
      </c>
      <c r="M499" s="582" t="s">
        <v>162</v>
      </c>
      <c r="N499" s="582" t="s">
        <v>4263</v>
      </c>
    </row>
    <row r="500" spans="1:14" ht="16.5">
      <c r="A500" s="582" t="s">
        <v>2277</v>
      </c>
      <c r="B500" s="582" t="s">
        <v>2335</v>
      </c>
      <c r="C500" s="585">
        <v>1.1574074074074073E-4</v>
      </c>
      <c r="D500" s="582" t="s">
        <v>2336</v>
      </c>
      <c r="E500" s="582" t="s">
        <v>154</v>
      </c>
      <c r="F500" s="582" t="s">
        <v>2299</v>
      </c>
      <c r="G500" s="582" t="s">
        <v>2300</v>
      </c>
      <c r="H500" s="582" t="s">
        <v>157</v>
      </c>
      <c r="I500" s="582" t="s">
        <v>158</v>
      </c>
      <c r="J500" s="582" t="s">
        <v>168</v>
      </c>
      <c r="K500" s="582" t="s">
        <v>169</v>
      </c>
      <c r="L500" s="582" t="s">
        <v>161</v>
      </c>
      <c r="M500" s="582" t="s">
        <v>162</v>
      </c>
      <c r="N500" s="582" t="s">
        <v>2337</v>
      </c>
    </row>
    <row r="501" spans="1:14" ht="16.5">
      <c r="A501" s="582" t="s">
        <v>2277</v>
      </c>
      <c r="B501" s="582" t="s">
        <v>2338</v>
      </c>
      <c r="C501" s="585">
        <v>5.8101851851851856E-3</v>
      </c>
      <c r="D501" s="582" t="s">
        <v>2339</v>
      </c>
      <c r="E501" s="582" t="s">
        <v>154</v>
      </c>
      <c r="F501" s="582" t="s">
        <v>2334</v>
      </c>
      <c r="G501" s="582" t="s">
        <v>1517</v>
      </c>
      <c r="H501" s="582" t="s">
        <v>157</v>
      </c>
      <c r="I501" s="582" t="s">
        <v>197</v>
      </c>
      <c r="J501" s="582" t="s">
        <v>198</v>
      </c>
      <c r="K501" s="582" t="s">
        <v>160</v>
      </c>
      <c r="L501" s="582" t="s">
        <v>161</v>
      </c>
      <c r="M501" s="582" t="s">
        <v>162</v>
      </c>
      <c r="N501" s="582" t="s">
        <v>2340</v>
      </c>
    </row>
    <row r="502" spans="1:14" ht="16.5">
      <c r="A502" s="582" t="s">
        <v>2277</v>
      </c>
      <c r="B502" s="582" t="s">
        <v>4264</v>
      </c>
      <c r="C502" s="582"/>
      <c r="D502" s="582"/>
      <c r="E502" s="582"/>
      <c r="F502" s="582" t="s">
        <v>2726</v>
      </c>
      <c r="G502" s="582" t="s">
        <v>4265</v>
      </c>
      <c r="H502" s="582" t="s">
        <v>157</v>
      </c>
      <c r="I502" s="582" t="s">
        <v>158</v>
      </c>
      <c r="J502" s="582" t="s">
        <v>168</v>
      </c>
      <c r="K502" s="582" t="s">
        <v>2084</v>
      </c>
      <c r="L502" s="582" t="s">
        <v>161</v>
      </c>
      <c r="M502" s="582" t="s">
        <v>162</v>
      </c>
      <c r="N502" s="582" t="s">
        <v>2160</v>
      </c>
    </row>
    <row r="503" spans="1:14" ht="16.5">
      <c r="A503" s="582" t="s">
        <v>2277</v>
      </c>
      <c r="B503" s="582" t="s">
        <v>2341</v>
      </c>
      <c r="C503" s="585">
        <v>2.0023148148148148E-3</v>
      </c>
      <c r="D503" s="582" t="s">
        <v>2342</v>
      </c>
      <c r="E503" s="582" t="s">
        <v>154</v>
      </c>
      <c r="F503" s="582" t="s">
        <v>2343</v>
      </c>
      <c r="G503" s="582" t="s">
        <v>2344</v>
      </c>
      <c r="H503" s="582" t="s">
        <v>157</v>
      </c>
      <c r="I503" s="582" t="s">
        <v>158</v>
      </c>
      <c r="J503" s="582" t="s">
        <v>159</v>
      </c>
      <c r="K503" s="582" t="s">
        <v>2084</v>
      </c>
      <c r="L503" s="582" t="s">
        <v>161</v>
      </c>
      <c r="M503" s="582" t="s">
        <v>162</v>
      </c>
      <c r="N503" s="582" t="s">
        <v>2345</v>
      </c>
    </row>
    <row r="504" spans="1:14" ht="16.5">
      <c r="A504" s="582" t="s">
        <v>2277</v>
      </c>
      <c r="B504" s="582" t="s">
        <v>2346</v>
      </c>
      <c r="C504" s="585">
        <v>4.4675925925925933E-3</v>
      </c>
      <c r="D504" s="582" t="s">
        <v>2347</v>
      </c>
      <c r="E504" s="582" t="s">
        <v>154</v>
      </c>
      <c r="F504" s="582" t="s">
        <v>2088</v>
      </c>
      <c r="G504" s="582" t="s">
        <v>2089</v>
      </c>
      <c r="H504" s="582" t="s">
        <v>157</v>
      </c>
      <c r="I504" s="582" t="s">
        <v>158</v>
      </c>
      <c r="J504" s="582" t="s">
        <v>168</v>
      </c>
      <c r="K504" s="582" t="s">
        <v>2084</v>
      </c>
      <c r="L504" s="582" t="s">
        <v>161</v>
      </c>
      <c r="M504" s="582" t="s">
        <v>162</v>
      </c>
      <c r="N504" s="582" t="s">
        <v>2348</v>
      </c>
    </row>
    <row r="505" spans="1:14" ht="16.5">
      <c r="A505" s="582" t="s">
        <v>2277</v>
      </c>
      <c r="B505" s="582" t="s">
        <v>2349</v>
      </c>
      <c r="C505" s="585">
        <v>5.2083333333333333E-4</v>
      </c>
      <c r="D505" s="582" t="s">
        <v>2350</v>
      </c>
      <c r="E505" s="582" t="s">
        <v>154</v>
      </c>
      <c r="F505" s="582" t="s">
        <v>2351</v>
      </c>
      <c r="G505" s="582" t="s">
        <v>2352</v>
      </c>
      <c r="H505" s="582" t="s">
        <v>157</v>
      </c>
      <c r="I505" s="582" t="s">
        <v>158</v>
      </c>
      <c r="J505" s="582" t="s">
        <v>168</v>
      </c>
      <c r="K505" s="582" t="s">
        <v>2084</v>
      </c>
      <c r="L505" s="582" t="s">
        <v>161</v>
      </c>
      <c r="M505" s="582" t="s">
        <v>162</v>
      </c>
      <c r="N505" s="582" t="s">
        <v>2353</v>
      </c>
    </row>
    <row r="506" spans="1:14" ht="16.5">
      <c r="A506" s="582" t="s">
        <v>2277</v>
      </c>
      <c r="B506" s="582" t="s">
        <v>4266</v>
      </c>
      <c r="C506" s="582"/>
      <c r="D506" s="582"/>
      <c r="E506" s="582"/>
      <c r="F506" s="582" t="s">
        <v>1336</v>
      </c>
      <c r="G506" s="582" t="s">
        <v>1346</v>
      </c>
      <c r="H506" s="582" t="s">
        <v>157</v>
      </c>
      <c r="I506" s="582" t="s">
        <v>197</v>
      </c>
      <c r="J506" s="582" t="s">
        <v>198</v>
      </c>
      <c r="K506" s="582" t="s">
        <v>160</v>
      </c>
      <c r="L506" s="582" t="s">
        <v>161</v>
      </c>
      <c r="M506" s="582" t="s">
        <v>162</v>
      </c>
      <c r="N506" s="582" t="s">
        <v>4267</v>
      </c>
    </row>
    <row r="507" spans="1:14" ht="16.5">
      <c r="A507" s="582" t="s">
        <v>2277</v>
      </c>
      <c r="B507" s="582" t="s">
        <v>2354</v>
      </c>
      <c r="C507" s="585">
        <v>1.1342592592592591E-3</v>
      </c>
      <c r="D507" s="582" t="s">
        <v>2355</v>
      </c>
      <c r="E507" s="582" t="s">
        <v>154</v>
      </c>
      <c r="F507" s="582" t="s">
        <v>799</v>
      </c>
      <c r="G507" s="582" t="s">
        <v>800</v>
      </c>
      <c r="H507" s="582" t="s">
        <v>157</v>
      </c>
      <c r="I507" s="582" t="s">
        <v>197</v>
      </c>
      <c r="J507" s="582" t="s">
        <v>198</v>
      </c>
      <c r="K507" s="582" t="s">
        <v>160</v>
      </c>
      <c r="L507" s="582" t="s">
        <v>161</v>
      </c>
      <c r="M507" s="582" t="s">
        <v>162</v>
      </c>
      <c r="N507" s="582" t="s">
        <v>2356</v>
      </c>
    </row>
    <row r="508" spans="1:14" ht="16.5">
      <c r="A508" s="582" t="s">
        <v>2277</v>
      </c>
      <c r="B508" s="582" t="s">
        <v>2357</v>
      </c>
      <c r="C508" s="585">
        <v>1.0532407407407407E-3</v>
      </c>
      <c r="D508" s="582" t="s">
        <v>2358</v>
      </c>
      <c r="E508" s="582" t="s">
        <v>154</v>
      </c>
      <c r="F508" s="582" t="s">
        <v>2359</v>
      </c>
      <c r="G508" s="582" t="s">
        <v>1342</v>
      </c>
      <c r="H508" s="582" t="s">
        <v>157</v>
      </c>
      <c r="I508" s="582" t="s">
        <v>197</v>
      </c>
      <c r="J508" s="582" t="s">
        <v>198</v>
      </c>
      <c r="K508" s="582" t="s">
        <v>2084</v>
      </c>
      <c r="L508" s="582" t="s">
        <v>161</v>
      </c>
      <c r="M508" s="582" t="s">
        <v>162</v>
      </c>
      <c r="N508" s="582" t="s">
        <v>2360</v>
      </c>
    </row>
    <row r="509" spans="1:14" ht="16.5">
      <c r="A509" s="582" t="s">
        <v>2277</v>
      </c>
      <c r="B509" s="582" t="s">
        <v>2361</v>
      </c>
      <c r="C509" s="585">
        <v>3.4722222222222224E-4</v>
      </c>
      <c r="D509" s="582" t="s">
        <v>2362</v>
      </c>
      <c r="E509" s="582" t="s">
        <v>154</v>
      </c>
      <c r="F509" s="582" t="s">
        <v>2363</v>
      </c>
      <c r="G509" s="582" t="s">
        <v>1889</v>
      </c>
      <c r="H509" s="582" t="s">
        <v>157</v>
      </c>
      <c r="I509" s="582" t="s">
        <v>197</v>
      </c>
      <c r="J509" s="582" t="s">
        <v>198</v>
      </c>
      <c r="K509" s="582" t="s">
        <v>2084</v>
      </c>
      <c r="L509" s="582" t="s">
        <v>161</v>
      </c>
      <c r="M509" s="582" t="s">
        <v>162</v>
      </c>
      <c r="N509" s="582" t="s">
        <v>2364</v>
      </c>
    </row>
    <row r="510" spans="1:14" ht="16.5">
      <c r="A510" s="582" t="s">
        <v>2277</v>
      </c>
      <c r="B510" s="582" t="s">
        <v>2365</v>
      </c>
      <c r="C510" s="585">
        <v>1.5046296296296297E-4</v>
      </c>
      <c r="D510" s="582" t="s">
        <v>2366</v>
      </c>
      <c r="E510" s="582" t="s">
        <v>154</v>
      </c>
      <c r="F510" s="582" t="s">
        <v>1320</v>
      </c>
      <c r="G510" s="582" t="s">
        <v>2367</v>
      </c>
      <c r="H510" s="582" t="s">
        <v>157</v>
      </c>
      <c r="I510" s="582" t="s">
        <v>158</v>
      </c>
      <c r="J510" s="582" t="s">
        <v>159</v>
      </c>
      <c r="K510" s="582" t="s">
        <v>169</v>
      </c>
      <c r="L510" s="582" t="s">
        <v>161</v>
      </c>
      <c r="M510" s="582" t="s">
        <v>162</v>
      </c>
      <c r="N510" s="582" t="s">
        <v>2368</v>
      </c>
    </row>
    <row r="511" spans="1:14" ht="16.5">
      <c r="A511" s="582" t="s">
        <v>2277</v>
      </c>
      <c r="B511" s="582" t="s">
        <v>2369</v>
      </c>
      <c r="C511" s="585">
        <v>2.3148148148148147E-5</v>
      </c>
      <c r="D511" s="582" t="s">
        <v>2370</v>
      </c>
      <c r="E511" s="582" t="s">
        <v>154</v>
      </c>
      <c r="F511" s="582" t="s">
        <v>1799</v>
      </c>
      <c r="G511" s="582" t="s">
        <v>1800</v>
      </c>
      <c r="H511" s="582" t="s">
        <v>157</v>
      </c>
      <c r="I511" s="582" t="s">
        <v>158</v>
      </c>
      <c r="J511" s="582" t="s">
        <v>168</v>
      </c>
      <c r="K511" s="582" t="s">
        <v>2084</v>
      </c>
      <c r="L511" s="582" t="s">
        <v>161</v>
      </c>
      <c r="M511" s="582" t="s">
        <v>162</v>
      </c>
      <c r="N511" s="582" t="s">
        <v>2160</v>
      </c>
    </row>
    <row r="512" spans="1:14" ht="16.5">
      <c r="A512" s="582" t="s">
        <v>2277</v>
      </c>
      <c r="B512" s="582" t="s">
        <v>2371</v>
      </c>
      <c r="C512" s="585">
        <v>5.7870370370370366E-5</v>
      </c>
      <c r="D512" s="582" t="s">
        <v>2372</v>
      </c>
      <c r="E512" s="582" t="s">
        <v>154</v>
      </c>
      <c r="F512" s="582" t="s">
        <v>2192</v>
      </c>
      <c r="G512" s="582" t="s">
        <v>2193</v>
      </c>
      <c r="H512" s="582" t="s">
        <v>157</v>
      </c>
      <c r="I512" s="582" t="s">
        <v>197</v>
      </c>
      <c r="J512" s="582" t="s">
        <v>198</v>
      </c>
      <c r="K512" s="582" t="s">
        <v>95</v>
      </c>
      <c r="L512" s="582" t="s">
        <v>161</v>
      </c>
      <c r="M512" s="582" t="s">
        <v>162</v>
      </c>
      <c r="N512" s="582" t="s">
        <v>2373</v>
      </c>
    </row>
    <row r="513" spans="1:14" ht="16.5">
      <c r="A513" s="582" t="s">
        <v>2277</v>
      </c>
      <c r="B513" s="582" t="s">
        <v>4268</v>
      </c>
      <c r="C513" s="582"/>
      <c r="D513" s="582"/>
      <c r="E513" s="582"/>
      <c r="F513" s="582" t="s">
        <v>2181</v>
      </c>
      <c r="G513" s="582" t="s">
        <v>2195</v>
      </c>
      <c r="H513" s="582" t="s">
        <v>157</v>
      </c>
      <c r="I513" s="582" t="s">
        <v>158</v>
      </c>
      <c r="J513" s="582" t="s">
        <v>212</v>
      </c>
      <c r="K513" s="582" t="s">
        <v>160</v>
      </c>
      <c r="L513" s="582" t="s">
        <v>161</v>
      </c>
      <c r="M513" s="582" t="s">
        <v>162</v>
      </c>
      <c r="N513" s="582" t="s">
        <v>4269</v>
      </c>
    </row>
    <row r="514" spans="1:14" ht="16.5">
      <c r="A514" s="582" t="s">
        <v>2277</v>
      </c>
      <c r="B514" s="582" t="s">
        <v>2374</v>
      </c>
      <c r="C514" s="585">
        <v>6.9444444444444444E-5</v>
      </c>
      <c r="D514" s="582" t="s">
        <v>2375</v>
      </c>
      <c r="E514" s="582" t="s">
        <v>154</v>
      </c>
      <c r="F514" s="582" t="s">
        <v>2285</v>
      </c>
      <c r="G514" s="582" t="s">
        <v>2307</v>
      </c>
      <c r="H514" s="582" t="s">
        <v>157</v>
      </c>
      <c r="I514" s="582" t="s">
        <v>158</v>
      </c>
      <c r="J514" s="582" t="s">
        <v>713</v>
      </c>
      <c r="K514" s="582" t="s">
        <v>169</v>
      </c>
      <c r="L514" s="582" t="s">
        <v>161</v>
      </c>
      <c r="M514" s="582" t="s">
        <v>162</v>
      </c>
      <c r="N514" s="582" t="s">
        <v>1745</v>
      </c>
    </row>
    <row r="515" spans="1:14" ht="16.5">
      <c r="A515" s="582" t="s">
        <v>2277</v>
      </c>
      <c r="B515" s="582" t="s">
        <v>2376</v>
      </c>
      <c r="C515" s="585">
        <v>1.0185185185185186E-3</v>
      </c>
      <c r="D515" s="582" t="s">
        <v>2377</v>
      </c>
      <c r="E515" s="582" t="s">
        <v>154</v>
      </c>
      <c r="F515" s="582" t="s">
        <v>1540</v>
      </c>
      <c r="G515" s="582" t="s">
        <v>1541</v>
      </c>
      <c r="H515" s="582" t="s">
        <v>157</v>
      </c>
      <c r="I515" s="582" t="s">
        <v>197</v>
      </c>
      <c r="J515" s="582" t="s">
        <v>198</v>
      </c>
      <c r="K515" s="582" t="s">
        <v>160</v>
      </c>
      <c r="L515" s="582" t="s">
        <v>161</v>
      </c>
      <c r="M515" s="582" t="s">
        <v>162</v>
      </c>
      <c r="N515" s="582" t="s">
        <v>2378</v>
      </c>
    </row>
    <row r="516" spans="1:14" ht="16.5">
      <c r="A516" s="582" t="s">
        <v>2277</v>
      </c>
      <c r="B516" s="582" t="s">
        <v>2379</v>
      </c>
      <c r="C516" s="585">
        <v>5.4398148148148144E-4</v>
      </c>
      <c r="D516" s="582" t="s">
        <v>2380</v>
      </c>
      <c r="E516" s="582" t="s">
        <v>154</v>
      </c>
      <c r="F516" s="582" t="s">
        <v>2381</v>
      </c>
      <c r="G516" s="582" t="s">
        <v>1541</v>
      </c>
      <c r="H516" s="582" t="s">
        <v>157</v>
      </c>
      <c r="I516" s="582" t="s">
        <v>197</v>
      </c>
      <c r="J516" s="582" t="s">
        <v>198</v>
      </c>
      <c r="K516" s="582" t="s">
        <v>160</v>
      </c>
      <c r="L516" s="582" t="s">
        <v>161</v>
      </c>
      <c r="M516" s="582" t="s">
        <v>162</v>
      </c>
      <c r="N516" s="582" t="s">
        <v>2382</v>
      </c>
    </row>
    <row r="517" spans="1:14" ht="16.5">
      <c r="A517" s="582" t="s">
        <v>2277</v>
      </c>
      <c r="B517" s="582" t="s">
        <v>2383</v>
      </c>
      <c r="C517" s="585">
        <v>6.134259259259259E-4</v>
      </c>
      <c r="D517" s="582" t="s">
        <v>2384</v>
      </c>
      <c r="E517" s="582" t="s">
        <v>154</v>
      </c>
      <c r="F517" s="582" t="s">
        <v>1413</v>
      </c>
      <c r="G517" s="582" t="s">
        <v>1956</v>
      </c>
      <c r="H517" s="582" t="s">
        <v>157</v>
      </c>
      <c r="I517" s="582" t="s">
        <v>197</v>
      </c>
      <c r="J517" s="582" t="s">
        <v>198</v>
      </c>
      <c r="K517" s="582" t="s">
        <v>95</v>
      </c>
      <c r="L517" s="582" t="s">
        <v>161</v>
      </c>
      <c r="M517" s="582" t="s">
        <v>162</v>
      </c>
      <c r="N517" s="582" t="s">
        <v>2385</v>
      </c>
    </row>
    <row r="518" spans="1:14" ht="16.5">
      <c r="A518" s="582" t="s">
        <v>2277</v>
      </c>
      <c r="B518" s="582" t="s">
        <v>2386</v>
      </c>
      <c r="C518" s="585">
        <v>7.0601851851851847E-4</v>
      </c>
      <c r="D518" s="582" t="s">
        <v>2387</v>
      </c>
      <c r="E518" s="582" t="s">
        <v>154</v>
      </c>
      <c r="F518" s="582" t="s">
        <v>2388</v>
      </c>
      <c r="G518" s="582" t="s">
        <v>2389</v>
      </c>
      <c r="H518" s="582" t="s">
        <v>157</v>
      </c>
      <c r="I518" s="582" t="s">
        <v>197</v>
      </c>
      <c r="J518" s="582" t="s">
        <v>198</v>
      </c>
      <c r="K518" s="582" t="s">
        <v>95</v>
      </c>
      <c r="L518" s="582" t="s">
        <v>161</v>
      </c>
      <c r="M518" s="582" t="s">
        <v>162</v>
      </c>
      <c r="N518" s="582" t="s">
        <v>2390</v>
      </c>
    </row>
    <row r="519" spans="1:14" ht="16.5">
      <c r="A519" s="582" t="s">
        <v>2277</v>
      </c>
      <c r="B519" s="582" t="s">
        <v>2391</v>
      </c>
      <c r="C519" s="585">
        <v>3.3564814814814811E-3</v>
      </c>
      <c r="D519" s="582" t="s">
        <v>2392</v>
      </c>
      <c r="E519" s="582" t="s">
        <v>154</v>
      </c>
      <c r="F519" s="582" t="s">
        <v>1540</v>
      </c>
      <c r="G519" s="582" t="s">
        <v>1541</v>
      </c>
      <c r="H519" s="582" t="s">
        <v>157</v>
      </c>
      <c r="I519" s="582" t="s">
        <v>197</v>
      </c>
      <c r="J519" s="582" t="s">
        <v>198</v>
      </c>
      <c r="K519" s="582" t="s">
        <v>160</v>
      </c>
      <c r="L519" s="582" t="s">
        <v>161</v>
      </c>
      <c r="M519" s="582" t="s">
        <v>162</v>
      </c>
      <c r="N519" s="582" t="s">
        <v>2393</v>
      </c>
    </row>
    <row r="520" spans="1:14" ht="16.5">
      <c r="A520" s="582" t="s">
        <v>2277</v>
      </c>
      <c r="B520" s="582" t="s">
        <v>2394</v>
      </c>
      <c r="C520" s="585">
        <v>3.3217592592592591E-3</v>
      </c>
      <c r="D520" s="582" t="s">
        <v>2395</v>
      </c>
      <c r="E520" s="582" t="s">
        <v>154</v>
      </c>
      <c r="F520" s="582" t="s">
        <v>2396</v>
      </c>
      <c r="G520" s="582" t="s">
        <v>2397</v>
      </c>
      <c r="H520" s="582" t="s">
        <v>157</v>
      </c>
      <c r="I520" s="582" t="s">
        <v>158</v>
      </c>
      <c r="J520" s="582" t="s">
        <v>168</v>
      </c>
      <c r="K520" s="582" t="s">
        <v>169</v>
      </c>
      <c r="L520" s="582" t="s">
        <v>161</v>
      </c>
      <c r="M520" s="582" t="s">
        <v>162</v>
      </c>
      <c r="N520" s="582" t="s">
        <v>2398</v>
      </c>
    </row>
    <row r="521" spans="1:14" ht="16.5">
      <c r="A521" s="582" t="s">
        <v>2277</v>
      </c>
      <c r="B521" s="582" t="s">
        <v>4270</v>
      </c>
      <c r="C521" s="582"/>
      <c r="D521" s="582"/>
      <c r="E521" s="582"/>
      <c r="F521" s="582" t="s">
        <v>4271</v>
      </c>
      <c r="G521" s="582" t="s">
        <v>4272</v>
      </c>
      <c r="H521" s="582" t="s">
        <v>157</v>
      </c>
      <c r="I521" s="582" t="s">
        <v>197</v>
      </c>
      <c r="J521" s="582" t="s">
        <v>198</v>
      </c>
      <c r="K521" s="582" t="s">
        <v>95</v>
      </c>
      <c r="L521" s="582" t="s">
        <v>161</v>
      </c>
      <c r="M521" s="582" t="s">
        <v>162</v>
      </c>
      <c r="N521" s="582" t="s">
        <v>4273</v>
      </c>
    </row>
    <row r="522" spans="1:14" ht="16.5">
      <c r="A522" s="582" t="s">
        <v>2277</v>
      </c>
      <c r="B522" s="582" t="s">
        <v>4274</v>
      </c>
      <c r="C522" s="582"/>
      <c r="D522" s="582"/>
      <c r="E522" s="582"/>
      <c r="F522" s="582" t="s">
        <v>832</v>
      </c>
      <c r="G522" s="582" t="s">
        <v>4275</v>
      </c>
      <c r="H522" s="582" t="s">
        <v>157</v>
      </c>
      <c r="I522" s="582" t="s">
        <v>197</v>
      </c>
      <c r="J522" s="582" t="s">
        <v>198</v>
      </c>
      <c r="K522" s="582" t="s">
        <v>160</v>
      </c>
      <c r="L522" s="582" t="s">
        <v>161</v>
      </c>
      <c r="M522" s="582" t="s">
        <v>162</v>
      </c>
      <c r="N522" s="582" t="s">
        <v>4276</v>
      </c>
    </row>
    <row r="523" spans="1:14" ht="16.5">
      <c r="A523" s="582" t="s">
        <v>2277</v>
      </c>
      <c r="B523" s="582" t="s">
        <v>2399</v>
      </c>
      <c r="C523" s="585">
        <v>4.1666666666666669E-4</v>
      </c>
      <c r="D523" s="582" t="s">
        <v>2400</v>
      </c>
      <c r="E523" s="582" t="s">
        <v>154</v>
      </c>
      <c r="F523" s="582" t="s">
        <v>832</v>
      </c>
      <c r="G523" s="582" t="s">
        <v>2401</v>
      </c>
      <c r="H523" s="582" t="s">
        <v>157</v>
      </c>
      <c r="I523" s="582" t="s">
        <v>197</v>
      </c>
      <c r="J523" s="582" t="s">
        <v>198</v>
      </c>
      <c r="K523" s="582" t="s">
        <v>160</v>
      </c>
      <c r="L523" s="582" t="s">
        <v>161</v>
      </c>
      <c r="M523" s="582" t="s">
        <v>162</v>
      </c>
      <c r="N523" s="582" t="s">
        <v>783</v>
      </c>
    </row>
    <row r="524" spans="1:14" ht="16.5">
      <c r="A524" s="582" t="s">
        <v>2277</v>
      </c>
      <c r="B524" s="582" t="s">
        <v>2402</v>
      </c>
      <c r="C524" s="585">
        <v>1.0300925925925926E-3</v>
      </c>
      <c r="D524" s="582" t="s">
        <v>2403</v>
      </c>
      <c r="E524" s="582" t="s">
        <v>154</v>
      </c>
      <c r="F524" s="582" t="s">
        <v>832</v>
      </c>
      <c r="G524" s="582" t="s">
        <v>2401</v>
      </c>
      <c r="H524" s="582" t="s">
        <v>157</v>
      </c>
      <c r="I524" s="582" t="s">
        <v>197</v>
      </c>
      <c r="J524" s="582" t="s">
        <v>198</v>
      </c>
      <c r="K524" s="582" t="s">
        <v>160</v>
      </c>
      <c r="L524" s="582" t="s">
        <v>161</v>
      </c>
      <c r="M524" s="582" t="s">
        <v>162</v>
      </c>
      <c r="N524" s="582" t="s">
        <v>2404</v>
      </c>
    </row>
    <row r="525" spans="1:14" ht="16.5">
      <c r="A525" s="582" t="s">
        <v>2277</v>
      </c>
      <c r="B525" s="582" t="s">
        <v>2405</v>
      </c>
      <c r="C525" s="585">
        <v>1.0648148148148147E-3</v>
      </c>
      <c r="D525" s="582" t="s">
        <v>2406</v>
      </c>
      <c r="E525" s="582" t="s">
        <v>154</v>
      </c>
      <c r="F525" s="582" t="s">
        <v>1586</v>
      </c>
      <c r="G525" s="582" t="s">
        <v>1607</v>
      </c>
      <c r="H525" s="582" t="s">
        <v>157</v>
      </c>
      <c r="I525" s="582" t="s">
        <v>197</v>
      </c>
      <c r="J525" s="582" t="s">
        <v>198</v>
      </c>
      <c r="K525" s="582" t="s">
        <v>95</v>
      </c>
      <c r="L525" s="582" t="s">
        <v>161</v>
      </c>
      <c r="M525" s="582" t="s">
        <v>162</v>
      </c>
      <c r="N525" s="582" t="s">
        <v>2407</v>
      </c>
    </row>
    <row r="526" spans="1:14" ht="16.5">
      <c r="A526" s="582" t="s">
        <v>2277</v>
      </c>
      <c r="B526" s="582" t="s">
        <v>2408</v>
      </c>
      <c r="C526" s="585">
        <v>1.6666666666666668E-3</v>
      </c>
      <c r="D526" s="582" t="s">
        <v>2409</v>
      </c>
      <c r="E526" s="582" t="s">
        <v>154</v>
      </c>
      <c r="F526" s="582" t="s">
        <v>156</v>
      </c>
      <c r="G526" s="582" t="s">
        <v>2410</v>
      </c>
      <c r="H526" s="582" t="s">
        <v>157</v>
      </c>
      <c r="I526" s="582" t="s">
        <v>197</v>
      </c>
      <c r="J526" s="582" t="s">
        <v>198</v>
      </c>
      <c r="K526" s="582" t="s">
        <v>95</v>
      </c>
      <c r="L526" s="582" t="s">
        <v>161</v>
      </c>
      <c r="M526" s="582" t="s">
        <v>162</v>
      </c>
      <c r="N526" s="582" t="s">
        <v>2411</v>
      </c>
    </row>
    <row r="527" spans="1:14" ht="16.5">
      <c r="A527" s="582" t="s">
        <v>2277</v>
      </c>
      <c r="B527" s="582" t="s">
        <v>4277</v>
      </c>
      <c r="C527" s="582"/>
      <c r="D527" s="582"/>
      <c r="E527" s="582"/>
      <c r="F527" s="582" t="s">
        <v>2717</v>
      </c>
      <c r="G527" s="582" t="s">
        <v>2718</v>
      </c>
      <c r="H527" s="582" t="s">
        <v>157</v>
      </c>
      <c r="I527" s="582" t="s">
        <v>158</v>
      </c>
      <c r="J527" s="582" t="s">
        <v>713</v>
      </c>
      <c r="K527" s="582" t="s">
        <v>169</v>
      </c>
      <c r="L527" s="582" t="s">
        <v>161</v>
      </c>
      <c r="M527" s="582" t="s">
        <v>162</v>
      </c>
      <c r="N527" s="582" t="s">
        <v>4278</v>
      </c>
    </row>
    <row r="528" spans="1:14" ht="16.5">
      <c r="A528" s="582" t="s">
        <v>2277</v>
      </c>
      <c r="B528" s="582" t="s">
        <v>4279</v>
      </c>
      <c r="C528" s="582"/>
      <c r="D528" s="582"/>
      <c r="E528" s="582"/>
      <c r="F528" s="582" t="s">
        <v>1647</v>
      </c>
      <c r="G528" s="582" t="s">
        <v>1652</v>
      </c>
      <c r="H528" s="582" t="s">
        <v>157</v>
      </c>
      <c r="I528" s="582" t="s">
        <v>197</v>
      </c>
      <c r="J528" s="582" t="s">
        <v>297</v>
      </c>
      <c r="K528" s="582" t="s">
        <v>95</v>
      </c>
      <c r="L528" s="582" t="s">
        <v>161</v>
      </c>
      <c r="M528" s="582" t="s">
        <v>162</v>
      </c>
      <c r="N528" s="582" t="s">
        <v>4280</v>
      </c>
    </row>
    <row r="529" spans="1:14" ht="16.5">
      <c r="A529" s="582" t="s">
        <v>2277</v>
      </c>
      <c r="B529" s="582" t="s">
        <v>2412</v>
      </c>
      <c r="C529" s="585">
        <v>1.4699074074074074E-3</v>
      </c>
      <c r="D529" s="582" t="s">
        <v>2413</v>
      </c>
      <c r="E529" s="582" t="s">
        <v>154</v>
      </c>
      <c r="F529" s="582" t="s">
        <v>832</v>
      </c>
      <c r="G529" s="582" t="s">
        <v>2401</v>
      </c>
      <c r="H529" s="582" t="s">
        <v>157</v>
      </c>
      <c r="I529" s="582" t="s">
        <v>197</v>
      </c>
      <c r="J529" s="582" t="s">
        <v>198</v>
      </c>
      <c r="K529" s="582" t="s">
        <v>160</v>
      </c>
      <c r="L529" s="582" t="s">
        <v>161</v>
      </c>
      <c r="M529" s="582" t="s">
        <v>162</v>
      </c>
      <c r="N529" s="582" t="s">
        <v>2414</v>
      </c>
    </row>
    <row r="530" spans="1:14" ht="16.5">
      <c r="A530" s="582" t="s">
        <v>2277</v>
      </c>
      <c r="B530" s="582" t="s">
        <v>2415</v>
      </c>
      <c r="C530" s="585">
        <v>2.6041666666666665E-3</v>
      </c>
      <c r="D530" s="582" t="s">
        <v>2416</v>
      </c>
      <c r="E530" s="582" t="s">
        <v>154</v>
      </c>
      <c r="F530" s="582" t="s">
        <v>2417</v>
      </c>
      <c r="G530" s="582" t="s">
        <v>2044</v>
      </c>
      <c r="H530" s="582" t="s">
        <v>157</v>
      </c>
      <c r="I530" s="582" t="s">
        <v>197</v>
      </c>
      <c r="J530" s="582" t="s">
        <v>198</v>
      </c>
      <c r="K530" s="582" t="s">
        <v>169</v>
      </c>
      <c r="L530" s="582" t="s">
        <v>161</v>
      </c>
      <c r="M530" s="582" t="s">
        <v>162</v>
      </c>
      <c r="N530" s="582" t="s">
        <v>2418</v>
      </c>
    </row>
    <row r="531" spans="1:14" ht="16.5">
      <c r="A531" s="582" t="s">
        <v>2277</v>
      </c>
      <c r="B531" s="582" t="s">
        <v>2419</v>
      </c>
      <c r="C531" s="585">
        <v>4.0509259259259258E-4</v>
      </c>
      <c r="D531" s="582" t="s">
        <v>2420</v>
      </c>
      <c r="E531" s="582" t="s">
        <v>154</v>
      </c>
      <c r="F531" s="582" t="s">
        <v>1647</v>
      </c>
      <c r="G531" s="582" t="s">
        <v>1648</v>
      </c>
      <c r="H531" s="582" t="s">
        <v>157</v>
      </c>
      <c r="I531" s="582" t="s">
        <v>197</v>
      </c>
      <c r="J531" s="582" t="s">
        <v>297</v>
      </c>
      <c r="K531" s="582" t="s">
        <v>95</v>
      </c>
      <c r="L531" s="582" t="s">
        <v>161</v>
      </c>
      <c r="M531" s="582" t="s">
        <v>162</v>
      </c>
      <c r="N531" s="582" t="s">
        <v>2421</v>
      </c>
    </row>
    <row r="532" spans="1:14" ht="16.5">
      <c r="A532" s="582" t="s">
        <v>2277</v>
      </c>
      <c r="B532" s="582" t="s">
        <v>2422</v>
      </c>
      <c r="C532" s="585">
        <v>6.2500000000000001E-4</v>
      </c>
      <c r="D532" s="582" t="s">
        <v>2423</v>
      </c>
      <c r="E532" s="582" t="s">
        <v>154</v>
      </c>
      <c r="F532" s="582" t="s">
        <v>832</v>
      </c>
      <c r="G532" s="582" t="s">
        <v>837</v>
      </c>
      <c r="H532" s="582" t="s">
        <v>157</v>
      </c>
      <c r="I532" s="582" t="s">
        <v>197</v>
      </c>
      <c r="J532" s="582" t="s">
        <v>198</v>
      </c>
      <c r="K532" s="582" t="s">
        <v>160</v>
      </c>
      <c r="L532" s="582" t="s">
        <v>161</v>
      </c>
      <c r="M532" s="582" t="s">
        <v>162</v>
      </c>
      <c r="N532" s="582" t="s">
        <v>2424</v>
      </c>
    </row>
    <row r="533" spans="1:14" ht="16.5">
      <c r="A533" s="582" t="s">
        <v>2277</v>
      </c>
      <c r="B533" s="582" t="s">
        <v>4281</v>
      </c>
      <c r="C533" s="582"/>
      <c r="D533" s="582"/>
      <c r="E533" s="582"/>
      <c r="F533" s="582" t="s">
        <v>1804</v>
      </c>
      <c r="G533" s="582" t="s">
        <v>4282</v>
      </c>
      <c r="H533" s="582" t="s">
        <v>157</v>
      </c>
      <c r="I533" s="582" t="s">
        <v>158</v>
      </c>
      <c r="J533" s="582" t="s">
        <v>391</v>
      </c>
      <c r="K533" s="582" t="s">
        <v>2084</v>
      </c>
      <c r="L533" s="582" t="s">
        <v>161</v>
      </c>
      <c r="M533" s="582" t="s">
        <v>162</v>
      </c>
      <c r="N533" s="582" t="s">
        <v>4283</v>
      </c>
    </row>
    <row r="534" spans="1:14" ht="16.5">
      <c r="A534" s="582" t="s">
        <v>2277</v>
      </c>
      <c r="B534" s="582" t="s">
        <v>2425</v>
      </c>
      <c r="C534" s="585">
        <v>2.2685185185185182E-3</v>
      </c>
      <c r="D534" s="582" t="s">
        <v>2426</v>
      </c>
      <c r="E534" s="582" t="s">
        <v>154</v>
      </c>
      <c r="F534" s="582" t="s">
        <v>1676</v>
      </c>
      <c r="G534" s="582" t="s">
        <v>2427</v>
      </c>
      <c r="H534" s="582" t="s">
        <v>157</v>
      </c>
      <c r="I534" s="582" t="s">
        <v>158</v>
      </c>
      <c r="J534" s="582" t="s">
        <v>713</v>
      </c>
      <c r="K534" s="582" t="s">
        <v>169</v>
      </c>
      <c r="L534" s="582" t="s">
        <v>161</v>
      </c>
      <c r="M534" s="582" t="s">
        <v>162</v>
      </c>
      <c r="N534" s="582" t="s">
        <v>2428</v>
      </c>
    </row>
    <row r="535" spans="1:14" ht="16.5">
      <c r="A535" s="582" t="s">
        <v>2277</v>
      </c>
      <c r="B535" s="582" t="s">
        <v>2429</v>
      </c>
      <c r="C535" s="585">
        <v>3.2407407407407406E-4</v>
      </c>
      <c r="D535" s="582" t="s">
        <v>2430</v>
      </c>
      <c r="E535" s="582" t="s">
        <v>154</v>
      </c>
      <c r="F535" s="582" t="s">
        <v>1586</v>
      </c>
      <c r="G535" s="582" t="s">
        <v>1607</v>
      </c>
      <c r="H535" s="582" t="s">
        <v>157</v>
      </c>
      <c r="I535" s="582" t="s">
        <v>197</v>
      </c>
      <c r="J535" s="582" t="s">
        <v>198</v>
      </c>
      <c r="K535" s="582" t="s">
        <v>160</v>
      </c>
      <c r="L535" s="582" t="s">
        <v>161</v>
      </c>
      <c r="M535" s="582" t="s">
        <v>162</v>
      </c>
      <c r="N535" s="582" t="s">
        <v>2431</v>
      </c>
    </row>
    <row r="536" spans="1:14" ht="16.5">
      <c r="A536" s="582" t="s">
        <v>2277</v>
      </c>
      <c r="B536" s="582" t="s">
        <v>4284</v>
      </c>
      <c r="C536" s="582"/>
      <c r="D536" s="582"/>
      <c r="E536" s="582"/>
      <c r="F536" s="582" t="s">
        <v>4285</v>
      </c>
      <c r="G536" s="582" t="s">
        <v>4286</v>
      </c>
      <c r="H536" s="582" t="s">
        <v>157</v>
      </c>
      <c r="I536" s="582" t="s">
        <v>158</v>
      </c>
      <c r="J536" s="582" t="s">
        <v>191</v>
      </c>
      <c r="K536" s="582" t="s">
        <v>160</v>
      </c>
      <c r="L536" s="582" t="s">
        <v>161</v>
      </c>
      <c r="M536" s="582" t="s">
        <v>162</v>
      </c>
      <c r="N536" s="582" t="s">
        <v>4287</v>
      </c>
    </row>
    <row r="537" spans="1:14" ht="16.5">
      <c r="A537" s="582" t="s">
        <v>2277</v>
      </c>
      <c r="B537" s="582" t="s">
        <v>2432</v>
      </c>
      <c r="C537" s="585">
        <v>9.9537037037037042E-4</v>
      </c>
      <c r="D537" s="582" t="s">
        <v>2433</v>
      </c>
      <c r="E537" s="582" t="s">
        <v>154</v>
      </c>
      <c r="F537" s="582" t="s">
        <v>1545</v>
      </c>
      <c r="G537" s="582" t="s">
        <v>2434</v>
      </c>
      <c r="H537" s="582" t="s">
        <v>157</v>
      </c>
      <c r="I537" s="582" t="s">
        <v>158</v>
      </c>
      <c r="J537" s="582" t="s">
        <v>212</v>
      </c>
      <c r="K537" s="582" t="s">
        <v>160</v>
      </c>
      <c r="L537" s="582" t="s">
        <v>161</v>
      </c>
      <c r="M537" s="582" t="s">
        <v>162</v>
      </c>
      <c r="N537" s="582" t="s">
        <v>2435</v>
      </c>
    </row>
    <row r="538" spans="1:14" ht="16.5">
      <c r="A538" s="582" t="s">
        <v>2277</v>
      </c>
      <c r="B538" s="582" t="s">
        <v>2436</v>
      </c>
      <c r="C538" s="585">
        <v>2.3148148148148147E-5</v>
      </c>
      <c r="D538" s="582" t="s">
        <v>2437</v>
      </c>
      <c r="E538" s="582" t="s">
        <v>154</v>
      </c>
      <c r="F538" s="582" t="s">
        <v>2304</v>
      </c>
      <c r="G538" s="582" t="s">
        <v>2305</v>
      </c>
      <c r="H538" s="582" t="s">
        <v>157</v>
      </c>
      <c r="I538" s="582" t="s">
        <v>158</v>
      </c>
      <c r="J538" s="582" t="s">
        <v>713</v>
      </c>
      <c r="K538" s="582" t="s">
        <v>169</v>
      </c>
      <c r="L538" s="582" t="s">
        <v>161</v>
      </c>
      <c r="M538" s="582" t="s">
        <v>162</v>
      </c>
      <c r="N538" s="582" t="s">
        <v>2438</v>
      </c>
    </row>
    <row r="539" spans="1:14" ht="16.5">
      <c r="A539" s="582" t="s">
        <v>2277</v>
      </c>
      <c r="B539" s="582" t="s">
        <v>4288</v>
      </c>
      <c r="C539" s="582"/>
      <c r="D539" s="582"/>
      <c r="E539" s="582"/>
      <c r="F539" s="582" t="s">
        <v>1341</v>
      </c>
      <c r="G539" s="582" t="s">
        <v>1342</v>
      </c>
      <c r="H539" s="582" t="s">
        <v>157</v>
      </c>
      <c r="I539" s="582" t="s">
        <v>197</v>
      </c>
      <c r="J539" s="582" t="s">
        <v>198</v>
      </c>
      <c r="K539" s="582" t="s">
        <v>2084</v>
      </c>
      <c r="L539" s="582" t="s">
        <v>161</v>
      </c>
      <c r="M539" s="582" t="s">
        <v>162</v>
      </c>
      <c r="N539" s="582" t="s">
        <v>4289</v>
      </c>
    </row>
    <row r="540" spans="1:14" ht="16.5">
      <c r="A540" s="582" t="s">
        <v>2277</v>
      </c>
      <c r="B540" s="582" t="s">
        <v>2439</v>
      </c>
      <c r="C540" s="585">
        <v>2.8009259259259259E-3</v>
      </c>
      <c r="D540" s="582" t="s">
        <v>2440</v>
      </c>
      <c r="E540" s="582" t="s">
        <v>154</v>
      </c>
      <c r="F540" s="582" t="s">
        <v>1545</v>
      </c>
      <c r="G540" s="582" t="s">
        <v>2441</v>
      </c>
      <c r="H540" s="582" t="s">
        <v>157</v>
      </c>
      <c r="I540" s="582" t="s">
        <v>158</v>
      </c>
      <c r="J540" s="582" t="s">
        <v>212</v>
      </c>
      <c r="K540" s="582" t="s">
        <v>160</v>
      </c>
      <c r="L540" s="582" t="s">
        <v>161</v>
      </c>
      <c r="M540" s="582" t="s">
        <v>162</v>
      </c>
      <c r="N540" s="582" t="s">
        <v>2442</v>
      </c>
    </row>
    <row r="541" spans="1:14" ht="16.5">
      <c r="A541" s="582" t="s">
        <v>2277</v>
      </c>
      <c r="B541" s="582" t="s">
        <v>2443</v>
      </c>
      <c r="C541" s="585">
        <v>2.1412037037037038E-3</v>
      </c>
      <c r="D541" s="582" t="s">
        <v>2444</v>
      </c>
      <c r="E541" s="582" t="s">
        <v>154</v>
      </c>
      <c r="F541" s="582" t="s">
        <v>1545</v>
      </c>
      <c r="G541" s="582" t="s">
        <v>1546</v>
      </c>
      <c r="H541" s="582" t="s">
        <v>157</v>
      </c>
      <c r="I541" s="582" t="s">
        <v>158</v>
      </c>
      <c r="J541" s="582" t="s">
        <v>159</v>
      </c>
      <c r="K541" s="582" t="s">
        <v>160</v>
      </c>
      <c r="L541" s="582" t="s">
        <v>161</v>
      </c>
      <c r="M541" s="582" t="s">
        <v>162</v>
      </c>
      <c r="N541" s="582" t="s">
        <v>2445</v>
      </c>
    </row>
    <row r="542" spans="1:14" ht="16.5">
      <c r="A542" s="582" t="s">
        <v>2277</v>
      </c>
      <c r="B542" s="582" t="s">
        <v>2446</v>
      </c>
      <c r="C542" s="585">
        <v>6.7129629629629625E-4</v>
      </c>
      <c r="D542" s="582" t="s">
        <v>2447</v>
      </c>
      <c r="E542" s="582" t="s">
        <v>154</v>
      </c>
      <c r="F542" s="582" t="s">
        <v>1799</v>
      </c>
      <c r="G542" s="582" t="s">
        <v>1800</v>
      </c>
      <c r="H542" s="582" t="s">
        <v>157</v>
      </c>
      <c r="I542" s="582" t="s">
        <v>158</v>
      </c>
      <c r="J542" s="582" t="s">
        <v>168</v>
      </c>
      <c r="K542" s="582" t="s">
        <v>2084</v>
      </c>
      <c r="L542" s="582" t="s">
        <v>161</v>
      </c>
      <c r="M542" s="582" t="s">
        <v>162</v>
      </c>
      <c r="N542" s="582" t="s">
        <v>2448</v>
      </c>
    </row>
    <row r="543" spans="1:14" ht="16.5">
      <c r="A543" s="582" t="s">
        <v>2277</v>
      </c>
      <c r="B543" s="582" t="s">
        <v>2449</v>
      </c>
      <c r="C543" s="585">
        <v>1.1574074074074073E-4</v>
      </c>
      <c r="D543" s="582" t="s">
        <v>2450</v>
      </c>
      <c r="E543" s="582" t="s">
        <v>154</v>
      </c>
      <c r="F543" s="582" t="s">
        <v>2003</v>
      </c>
      <c r="G543" s="582" t="s">
        <v>2004</v>
      </c>
      <c r="H543" s="582" t="s">
        <v>157</v>
      </c>
      <c r="I543" s="582" t="s">
        <v>158</v>
      </c>
      <c r="J543" s="582" t="s">
        <v>212</v>
      </c>
      <c r="K543" s="582" t="s">
        <v>160</v>
      </c>
      <c r="L543" s="582" t="s">
        <v>161</v>
      </c>
      <c r="M543" s="582" t="s">
        <v>162</v>
      </c>
      <c r="N543" s="582" t="s">
        <v>2451</v>
      </c>
    </row>
    <row r="544" spans="1:14" ht="16.5">
      <c r="A544" s="582" t="s">
        <v>2277</v>
      </c>
      <c r="B544" s="582" t="s">
        <v>2452</v>
      </c>
      <c r="C544" s="585">
        <v>1.9560185185185184E-3</v>
      </c>
      <c r="D544" s="582" t="s">
        <v>2453</v>
      </c>
      <c r="E544" s="582" t="s">
        <v>154</v>
      </c>
      <c r="F544" s="582" t="s">
        <v>2454</v>
      </c>
      <c r="G544" s="582" t="s">
        <v>2455</v>
      </c>
      <c r="H544" s="582" t="s">
        <v>157</v>
      </c>
      <c r="I544" s="582" t="s">
        <v>158</v>
      </c>
      <c r="J544" s="582" t="s">
        <v>168</v>
      </c>
      <c r="K544" s="582" t="s">
        <v>2084</v>
      </c>
      <c r="L544" s="582" t="s">
        <v>161</v>
      </c>
      <c r="M544" s="582" t="s">
        <v>162</v>
      </c>
      <c r="N544" s="582" t="s">
        <v>2456</v>
      </c>
    </row>
    <row r="545" spans="1:14" ht="16.5">
      <c r="A545" s="582" t="s">
        <v>2277</v>
      </c>
      <c r="B545" s="582" t="s">
        <v>2457</v>
      </c>
      <c r="C545" s="585">
        <v>7.175925925925927E-4</v>
      </c>
      <c r="D545" s="582" t="s">
        <v>2458</v>
      </c>
      <c r="E545" s="582" t="s">
        <v>154</v>
      </c>
      <c r="F545" s="582" t="s">
        <v>2052</v>
      </c>
      <c r="G545" s="582" t="s">
        <v>2459</v>
      </c>
      <c r="H545" s="582" t="s">
        <v>157</v>
      </c>
      <c r="I545" s="582" t="s">
        <v>158</v>
      </c>
      <c r="J545" s="582" t="s">
        <v>159</v>
      </c>
      <c r="K545" s="582" t="s">
        <v>160</v>
      </c>
      <c r="L545" s="582" t="s">
        <v>161</v>
      </c>
      <c r="M545" s="582" t="s">
        <v>162</v>
      </c>
      <c r="N545" s="582" t="s">
        <v>2460</v>
      </c>
    </row>
    <row r="546" spans="1:14" ht="16.5">
      <c r="A546" s="582" t="s">
        <v>2277</v>
      </c>
      <c r="B546" s="582" t="s">
        <v>2461</v>
      </c>
      <c r="C546" s="585">
        <v>1.1111111111111111E-3</v>
      </c>
      <c r="D546" s="582" t="s">
        <v>2462</v>
      </c>
      <c r="E546" s="582" t="s">
        <v>154</v>
      </c>
      <c r="F546" s="582" t="s">
        <v>2052</v>
      </c>
      <c r="G546" s="582" t="s">
        <v>2053</v>
      </c>
      <c r="H546" s="582" t="s">
        <v>157</v>
      </c>
      <c r="I546" s="582" t="s">
        <v>158</v>
      </c>
      <c r="J546" s="582" t="s">
        <v>159</v>
      </c>
      <c r="K546" s="582" t="s">
        <v>160</v>
      </c>
      <c r="L546" s="582" t="s">
        <v>161</v>
      </c>
      <c r="M546" s="582" t="s">
        <v>162</v>
      </c>
      <c r="N546" s="582" t="s">
        <v>2463</v>
      </c>
    </row>
    <row r="547" spans="1:14" ht="16.5">
      <c r="A547" s="582" t="s">
        <v>2277</v>
      </c>
      <c r="B547" s="582" t="s">
        <v>2464</v>
      </c>
      <c r="C547" s="585">
        <v>1.7939814814814815E-3</v>
      </c>
      <c r="D547" s="582" t="s">
        <v>2465</v>
      </c>
      <c r="E547" s="582" t="s">
        <v>154</v>
      </c>
      <c r="F547" s="582" t="s">
        <v>2299</v>
      </c>
      <c r="G547" s="582" t="s">
        <v>2300</v>
      </c>
      <c r="H547" s="582" t="s">
        <v>157</v>
      </c>
      <c r="I547" s="582" t="s">
        <v>158</v>
      </c>
      <c r="J547" s="582" t="s">
        <v>168</v>
      </c>
      <c r="K547" s="582" t="s">
        <v>169</v>
      </c>
      <c r="L547" s="582" t="s">
        <v>161</v>
      </c>
      <c r="M547" s="582" t="s">
        <v>162</v>
      </c>
      <c r="N547" s="582" t="s">
        <v>2466</v>
      </c>
    </row>
    <row r="548" spans="1:14" ht="16.5">
      <c r="A548" s="582" t="s">
        <v>2277</v>
      </c>
      <c r="B548" s="582" t="s">
        <v>4290</v>
      </c>
      <c r="C548" s="582"/>
      <c r="D548" s="582"/>
      <c r="E548" s="582"/>
      <c r="F548" s="582" t="s">
        <v>1101</v>
      </c>
      <c r="G548" s="582" t="s">
        <v>1102</v>
      </c>
      <c r="H548" s="582" t="s">
        <v>157</v>
      </c>
      <c r="I548" s="582" t="s">
        <v>158</v>
      </c>
      <c r="J548" s="582" t="s">
        <v>191</v>
      </c>
      <c r="K548" s="582" t="s">
        <v>160</v>
      </c>
      <c r="L548" s="582" t="s">
        <v>161</v>
      </c>
      <c r="M548" s="582" t="s">
        <v>162</v>
      </c>
      <c r="N548" s="582" t="s">
        <v>4291</v>
      </c>
    </row>
    <row r="549" spans="1:14" ht="16.5">
      <c r="A549" s="582" t="s">
        <v>2277</v>
      </c>
      <c r="B549" s="582" t="s">
        <v>2467</v>
      </c>
      <c r="C549" s="585">
        <v>2.4305555555555552E-4</v>
      </c>
      <c r="D549" s="582" t="s">
        <v>2468</v>
      </c>
      <c r="E549" s="582" t="s">
        <v>154</v>
      </c>
      <c r="F549" s="582" t="s">
        <v>2469</v>
      </c>
      <c r="G549" s="582" t="s">
        <v>2470</v>
      </c>
      <c r="H549" s="582" t="s">
        <v>157</v>
      </c>
      <c r="I549" s="582" t="s">
        <v>158</v>
      </c>
      <c r="J549" s="582" t="s">
        <v>159</v>
      </c>
      <c r="K549" s="582" t="s">
        <v>169</v>
      </c>
      <c r="L549" s="582" t="s">
        <v>161</v>
      </c>
      <c r="M549" s="582" t="s">
        <v>162</v>
      </c>
      <c r="N549" s="582" t="s">
        <v>2471</v>
      </c>
    </row>
    <row r="550" spans="1:14" ht="16.5">
      <c r="A550" s="582" t="s">
        <v>2277</v>
      </c>
      <c r="B550" s="582" t="s">
        <v>4292</v>
      </c>
      <c r="C550" s="582"/>
      <c r="D550" s="582"/>
      <c r="E550" s="582"/>
      <c r="F550" s="582" t="s">
        <v>4048</v>
      </c>
      <c r="G550" s="582" t="s">
        <v>4293</v>
      </c>
      <c r="H550" s="582" t="s">
        <v>157</v>
      </c>
      <c r="I550" s="582" t="s">
        <v>158</v>
      </c>
      <c r="J550" s="582" t="s">
        <v>713</v>
      </c>
      <c r="K550" s="582" t="s">
        <v>95</v>
      </c>
      <c r="L550" s="582" t="s">
        <v>161</v>
      </c>
      <c r="M550" s="582" t="s">
        <v>162</v>
      </c>
      <c r="N550" s="582" t="s">
        <v>4294</v>
      </c>
    </row>
    <row r="551" spans="1:14" ht="16.5">
      <c r="A551" s="582" t="s">
        <v>2277</v>
      </c>
      <c r="B551" s="582" t="s">
        <v>2472</v>
      </c>
      <c r="C551" s="585">
        <v>9.2592592592592585E-4</v>
      </c>
      <c r="D551" s="582" t="s">
        <v>2473</v>
      </c>
      <c r="E551" s="582" t="s">
        <v>154</v>
      </c>
      <c r="F551" s="582" t="s">
        <v>2012</v>
      </c>
      <c r="G551" s="582" t="s">
        <v>2474</v>
      </c>
      <c r="H551" s="582" t="s">
        <v>157</v>
      </c>
      <c r="I551" s="582" t="s">
        <v>197</v>
      </c>
      <c r="J551" s="582" t="s">
        <v>198</v>
      </c>
      <c r="K551" s="582" t="s">
        <v>160</v>
      </c>
      <c r="L551" s="582" t="s">
        <v>161</v>
      </c>
      <c r="M551" s="582" t="s">
        <v>162</v>
      </c>
      <c r="N551" s="582" t="s">
        <v>2475</v>
      </c>
    </row>
    <row r="552" spans="1:14" ht="16.5">
      <c r="A552" s="582" t="s">
        <v>2277</v>
      </c>
      <c r="B552" s="582" t="s">
        <v>2476</v>
      </c>
      <c r="C552" s="585">
        <v>1.3541666666666667E-3</v>
      </c>
      <c r="D552" s="582" t="s">
        <v>2477</v>
      </c>
      <c r="E552" s="582" t="s">
        <v>154</v>
      </c>
      <c r="F552" s="582" t="s">
        <v>2469</v>
      </c>
      <c r="G552" s="582" t="s">
        <v>2470</v>
      </c>
      <c r="H552" s="582" t="s">
        <v>157</v>
      </c>
      <c r="I552" s="582" t="s">
        <v>158</v>
      </c>
      <c r="J552" s="582" t="s">
        <v>159</v>
      </c>
      <c r="K552" s="582" t="s">
        <v>169</v>
      </c>
      <c r="L552" s="582" t="s">
        <v>161</v>
      </c>
      <c r="M552" s="582" t="s">
        <v>162</v>
      </c>
      <c r="N552" s="582" t="s">
        <v>2478</v>
      </c>
    </row>
    <row r="553" spans="1:14" ht="16.5">
      <c r="A553" s="582" t="s">
        <v>2277</v>
      </c>
      <c r="B553" s="582" t="s">
        <v>2479</v>
      </c>
      <c r="C553" s="585">
        <v>2.0370370370370373E-3</v>
      </c>
      <c r="D553" s="582" t="s">
        <v>2480</v>
      </c>
      <c r="E553" s="582" t="s">
        <v>154</v>
      </c>
      <c r="F553" s="582" t="s">
        <v>2469</v>
      </c>
      <c r="G553" s="582" t="s">
        <v>2481</v>
      </c>
      <c r="H553" s="582" t="s">
        <v>157</v>
      </c>
      <c r="I553" s="582" t="s">
        <v>158</v>
      </c>
      <c r="J553" s="582" t="s">
        <v>168</v>
      </c>
      <c r="K553" s="582" t="s">
        <v>169</v>
      </c>
      <c r="L553" s="582" t="s">
        <v>161</v>
      </c>
      <c r="M553" s="582" t="s">
        <v>162</v>
      </c>
      <c r="N553" s="582" t="s">
        <v>2482</v>
      </c>
    </row>
    <row r="554" spans="1:14" ht="16.5">
      <c r="A554" s="582" t="s">
        <v>2277</v>
      </c>
      <c r="B554" s="582" t="s">
        <v>2483</v>
      </c>
      <c r="C554" s="585">
        <v>7.7546296296296304E-4</v>
      </c>
      <c r="D554" s="582" t="s">
        <v>2484</v>
      </c>
      <c r="E554" s="582" t="s">
        <v>154</v>
      </c>
      <c r="F554" s="582" t="s">
        <v>2417</v>
      </c>
      <c r="G554" s="582" t="s">
        <v>2044</v>
      </c>
      <c r="H554" s="582" t="s">
        <v>157</v>
      </c>
      <c r="I554" s="582" t="s">
        <v>197</v>
      </c>
      <c r="J554" s="582" t="s">
        <v>198</v>
      </c>
      <c r="K554" s="582" t="s">
        <v>169</v>
      </c>
      <c r="L554" s="582" t="s">
        <v>161</v>
      </c>
      <c r="M554" s="582" t="s">
        <v>162</v>
      </c>
      <c r="N554" s="582" t="s">
        <v>2485</v>
      </c>
    </row>
    <row r="555" spans="1:14" ht="16.5">
      <c r="A555" s="582" t="s">
        <v>2277</v>
      </c>
      <c r="B555" s="582" t="s">
        <v>2486</v>
      </c>
      <c r="C555" s="585">
        <v>3.4722222222222222E-5</v>
      </c>
      <c r="D555" s="582" t="s">
        <v>2487</v>
      </c>
      <c r="E555" s="582" t="s">
        <v>154</v>
      </c>
      <c r="F555" s="582" t="s">
        <v>1851</v>
      </c>
      <c r="G555" s="582" t="s">
        <v>1852</v>
      </c>
      <c r="H555" s="582" t="s">
        <v>157</v>
      </c>
      <c r="I555" s="582" t="s">
        <v>197</v>
      </c>
      <c r="J555" s="582" t="s">
        <v>198</v>
      </c>
      <c r="K555" s="582" t="s">
        <v>160</v>
      </c>
      <c r="L555" s="582" t="s">
        <v>161</v>
      </c>
      <c r="M555" s="582" t="s">
        <v>162</v>
      </c>
      <c r="N555" s="582" t="s">
        <v>2488</v>
      </c>
    </row>
    <row r="556" spans="1:14" ht="16.5">
      <c r="A556" s="582" t="s">
        <v>2277</v>
      </c>
      <c r="B556" s="582" t="s">
        <v>4295</v>
      </c>
      <c r="C556" s="582"/>
      <c r="D556" s="582"/>
      <c r="E556" s="582"/>
      <c r="F556" s="582" t="s">
        <v>1336</v>
      </c>
      <c r="G556" s="582" t="s">
        <v>1346</v>
      </c>
      <c r="H556" s="582" t="s">
        <v>157</v>
      </c>
      <c r="I556" s="582" t="s">
        <v>197</v>
      </c>
      <c r="J556" s="582" t="s">
        <v>198</v>
      </c>
      <c r="K556" s="582" t="s">
        <v>160</v>
      </c>
      <c r="L556" s="582" t="s">
        <v>161</v>
      </c>
      <c r="M556" s="582" t="s">
        <v>162</v>
      </c>
      <c r="N556" s="582" t="s">
        <v>4296</v>
      </c>
    </row>
    <row r="557" spans="1:14" ht="16.5">
      <c r="A557" s="582" t="s">
        <v>2277</v>
      </c>
      <c r="B557" s="582" t="s">
        <v>2489</v>
      </c>
      <c r="C557" s="585">
        <v>1.0763888888888889E-3</v>
      </c>
      <c r="D557" s="582" t="s">
        <v>2490</v>
      </c>
      <c r="E557" s="582" t="s">
        <v>154</v>
      </c>
      <c r="F557" s="582" t="s">
        <v>1832</v>
      </c>
      <c r="G557" s="582" t="s">
        <v>2491</v>
      </c>
      <c r="H557" s="582" t="s">
        <v>157</v>
      </c>
      <c r="I557" s="582" t="s">
        <v>197</v>
      </c>
      <c r="J557" s="582" t="s">
        <v>198</v>
      </c>
      <c r="K557" s="582" t="s">
        <v>169</v>
      </c>
      <c r="L557" s="582" t="s">
        <v>161</v>
      </c>
      <c r="M557" s="582" t="s">
        <v>162</v>
      </c>
      <c r="N557" s="582" t="s">
        <v>2492</v>
      </c>
    </row>
    <row r="558" spans="1:14" ht="16.5">
      <c r="A558" s="582" t="s">
        <v>2277</v>
      </c>
      <c r="B558" s="582" t="s">
        <v>2493</v>
      </c>
      <c r="C558" s="585">
        <v>2.6620370370370372E-4</v>
      </c>
      <c r="D558" s="582" t="s">
        <v>2494</v>
      </c>
      <c r="E558" s="582" t="s">
        <v>154</v>
      </c>
      <c r="F558" s="582" t="s">
        <v>2495</v>
      </c>
      <c r="G558" s="582" t="s">
        <v>1461</v>
      </c>
      <c r="H558" s="582" t="s">
        <v>157</v>
      </c>
      <c r="I558" s="582" t="s">
        <v>197</v>
      </c>
      <c r="J558" s="582" t="s">
        <v>198</v>
      </c>
      <c r="K558" s="582" t="s">
        <v>169</v>
      </c>
      <c r="L558" s="582" t="s">
        <v>161</v>
      </c>
      <c r="M558" s="582" t="s">
        <v>162</v>
      </c>
      <c r="N558" s="582" t="s">
        <v>2496</v>
      </c>
    </row>
    <row r="559" spans="1:14" ht="16.5">
      <c r="A559" s="582" t="s">
        <v>2277</v>
      </c>
      <c r="B559" s="582" t="s">
        <v>4297</v>
      </c>
      <c r="C559" s="582"/>
      <c r="D559" s="582"/>
      <c r="E559" s="582"/>
      <c r="F559" s="582" t="s">
        <v>2325</v>
      </c>
      <c r="G559" s="582" t="s">
        <v>2329</v>
      </c>
      <c r="H559" s="582" t="s">
        <v>157</v>
      </c>
      <c r="I559" s="582" t="s">
        <v>158</v>
      </c>
      <c r="J559" s="582" t="s">
        <v>168</v>
      </c>
      <c r="K559" s="582" t="s">
        <v>160</v>
      </c>
      <c r="L559" s="582" t="s">
        <v>161</v>
      </c>
      <c r="M559" s="582" t="s">
        <v>162</v>
      </c>
      <c r="N559" s="582" t="s">
        <v>1745</v>
      </c>
    </row>
    <row r="560" spans="1:14" ht="16.5">
      <c r="A560" s="582" t="s">
        <v>2277</v>
      </c>
      <c r="B560" s="582" t="s">
        <v>2497</v>
      </c>
      <c r="C560" s="585">
        <v>2.3148148148148147E-5</v>
      </c>
      <c r="D560" s="582" t="s">
        <v>2498</v>
      </c>
      <c r="E560" s="582" t="s">
        <v>154</v>
      </c>
      <c r="F560" s="582" t="s">
        <v>2304</v>
      </c>
      <c r="G560" s="582" t="s">
        <v>2499</v>
      </c>
      <c r="H560" s="582" t="s">
        <v>157</v>
      </c>
      <c r="I560" s="582" t="s">
        <v>158</v>
      </c>
      <c r="J560" s="582" t="s">
        <v>713</v>
      </c>
      <c r="K560" s="582" t="s">
        <v>169</v>
      </c>
      <c r="L560" s="582" t="s">
        <v>161</v>
      </c>
      <c r="M560" s="582" t="s">
        <v>162</v>
      </c>
      <c r="N560" s="582" t="s">
        <v>2500</v>
      </c>
    </row>
    <row r="561" spans="1:14" ht="16.5">
      <c r="A561" s="582" t="s">
        <v>2277</v>
      </c>
      <c r="B561" s="582" t="s">
        <v>2501</v>
      </c>
      <c r="C561" s="585">
        <v>4.9189814814814816E-3</v>
      </c>
      <c r="D561" s="582" t="s">
        <v>2502</v>
      </c>
      <c r="E561" s="582" t="s">
        <v>154</v>
      </c>
      <c r="F561" s="582" t="s">
        <v>1320</v>
      </c>
      <c r="G561" s="582" t="s">
        <v>2503</v>
      </c>
      <c r="H561" s="582" t="s">
        <v>157</v>
      </c>
      <c r="I561" s="582" t="s">
        <v>158</v>
      </c>
      <c r="J561" s="582" t="s">
        <v>159</v>
      </c>
      <c r="K561" s="582" t="s">
        <v>169</v>
      </c>
      <c r="L561" s="582" t="s">
        <v>161</v>
      </c>
      <c r="M561" s="582" t="s">
        <v>162</v>
      </c>
      <c r="N561" s="582" t="s">
        <v>2504</v>
      </c>
    </row>
    <row r="562" spans="1:14" ht="16.5">
      <c r="A562" s="582" t="s">
        <v>2277</v>
      </c>
      <c r="B562" s="582" t="s">
        <v>2505</v>
      </c>
      <c r="C562" s="585">
        <v>2.8935185185185189E-4</v>
      </c>
      <c r="D562" s="582" t="s">
        <v>2506</v>
      </c>
      <c r="E562" s="582" t="s">
        <v>154</v>
      </c>
      <c r="F562" s="582" t="s">
        <v>1781</v>
      </c>
      <c r="G562" s="582" t="s">
        <v>1782</v>
      </c>
      <c r="H562" s="582" t="s">
        <v>157</v>
      </c>
      <c r="I562" s="582" t="s">
        <v>158</v>
      </c>
      <c r="J562" s="582" t="s">
        <v>713</v>
      </c>
      <c r="K562" s="582" t="s">
        <v>169</v>
      </c>
      <c r="L562" s="582" t="s">
        <v>161</v>
      </c>
      <c r="M562" s="582" t="s">
        <v>162</v>
      </c>
      <c r="N562" s="582" t="s">
        <v>2507</v>
      </c>
    </row>
    <row r="563" spans="1:14" ht="16.5">
      <c r="A563" s="582" t="s">
        <v>2277</v>
      </c>
      <c r="B563" s="582" t="s">
        <v>2508</v>
      </c>
      <c r="C563" s="585">
        <v>4.6296296296296294E-5</v>
      </c>
      <c r="D563" s="582" t="s">
        <v>2509</v>
      </c>
      <c r="E563" s="582" t="s">
        <v>154</v>
      </c>
      <c r="F563" s="582" t="s">
        <v>1666</v>
      </c>
      <c r="G563" s="582" t="s">
        <v>1667</v>
      </c>
      <c r="H563" s="582" t="s">
        <v>157</v>
      </c>
      <c r="I563" s="582" t="s">
        <v>158</v>
      </c>
      <c r="J563" s="582" t="s">
        <v>168</v>
      </c>
      <c r="K563" s="582" t="s">
        <v>160</v>
      </c>
      <c r="L563" s="582" t="s">
        <v>161</v>
      </c>
      <c r="M563" s="582" t="s">
        <v>162</v>
      </c>
      <c r="N563" s="582" t="s">
        <v>2510</v>
      </c>
    </row>
    <row r="564" spans="1:14" ht="16.5">
      <c r="A564" s="582" t="s">
        <v>2081</v>
      </c>
      <c r="B564" s="582" t="s">
        <v>2082</v>
      </c>
      <c r="C564" s="585">
        <v>8.1018518518518516E-5</v>
      </c>
      <c r="D564" s="582" t="s">
        <v>2083</v>
      </c>
      <c r="E564" s="582" t="s">
        <v>154</v>
      </c>
      <c r="F564" s="582" t="s">
        <v>1804</v>
      </c>
      <c r="G564" s="582" t="s">
        <v>1805</v>
      </c>
      <c r="H564" s="582" t="s">
        <v>157</v>
      </c>
      <c r="I564" s="582" t="s">
        <v>158</v>
      </c>
      <c r="J564" s="582" t="s">
        <v>391</v>
      </c>
      <c r="K564" s="582" t="s">
        <v>2084</v>
      </c>
      <c r="L564" s="582" t="s">
        <v>161</v>
      </c>
      <c r="M564" s="582" t="s">
        <v>162</v>
      </c>
      <c r="N564" s="582" t="s">
        <v>2085</v>
      </c>
    </row>
    <row r="565" spans="1:14" ht="16.5">
      <c r="A565" s="582" t="s">
        <v>2081</v>
      </c>
      <c r="B565" s="582" t="s">
        <v>2086</v>
      </c>
      <c r="C565" s="585">
        <v>4.0856481481481481E-3</v>
      </c>
      <c r="D565" s="582" t="s">
        <v>2087</v>
      </c>
      <c r="E565" s="582" t="s">
        <v>154</v>
      </c>
      <c r="F565" s="582" t="s">
        <v>2088</v>
      </c>
      <c r="G565" s="582" t="s">
        <v>2089</v>
      </c>
      <c r="H565" s="582" t="s">
        <v>157</v>
      </c>
      <c r="I565" s="582" t="s">
        <v>158</v>
      </c>
      <c r="J565" s="582" t="s">
        <v>168</v>
      </c>
      <c r="K565" s="582" t="s">
        <v>2084</v>
      </c>
      <c r="L565" s="582" t="s">
        <v>161</v>
      </c>
      <c r="M565" s="582" t="s">
        <v>162</v>
      </c>
      <c r="N565" s="582" t="s">
        <v>2090</v>
      </c>
    </row>
    <row r="566" spans="1:14" ht="16.5">
      <c r="A566" s="582" t="s">
        <v>2081</v>
      </c>
      <c r="B566" s="582" t="s">
        <v>2091</v>
      </c>
      <c r="C566" s="585">
        <v>9.8379629629629642E-4</v>
      </c>
      <c r="D566" s="582" t="s">
        <v>2092</v>
      </c>
      <c r="E566" s="582" t="s">
        <v>154</v>
      </c>
      <c r="F566" s="582" t="s">
        <v>1804</v>
      </c>
      <c r="G566" s="582" t="s">
        <v>2070</v>
      </c>
      <c r="H566" s="582" t="s">
        <v>157</v>
      </c>
      <c r="I566" s="582" t="s">
        <v>158</v>
      </c>
      <c r="J566" s="582" t="s">
        <v>391</v>
      </c>
      <c r="K566" s="582" t="s">
        <v>2084</v>
      </c>
      <c r="L566" s="582" t="s">
        <v>161</v>
      </c>
      <c r="M566" s="582" t="s">
        <v>162</v>
      </c>
      <c r="N566" s="582" t="s">
        <v>2093</v>
      </c>
    </row>
    <row r="567" spans="1:14" ht="16.5">
      <c r="A567" s="582" t="s">
        <v>2081</v>
      </c>
      <c r="B567" s="582" t="s">
        <v>2094</v>
      </c>
      <c r="C567" s="585">
        <v>3.4722222222222222E-5</v>
      </c>
      <c r="D567" s="582" t="s">
        <v>2095</v>
      </c>
      <c r="E567" s="582" t="s">
        <v>154</v>
      </c>
      <c r="F567" s="582" t="s">
        <v>1666</v>
      </c>
      <c r="G567" s="582" t="s">
        <v>1667</v>
      </c>
      <c r="H567" s="582" t="s">
        <v>157</v>
      </c>
      <c r="I567" s="582" t="s">
        <v>158</v>
      </c>
      <c r="J567" s="582" t="s">
        <v>168</v>
      </c>
      <c r="K567" s="582" t="s">
        <v>2084</v>
      </c>
      <c r="L567" s="582" t="s">
        <v>161</v>
      </c>
      <c r="M567" s="582" t="s">
        <v>162</v>
      </c>
      <c r="N567" s="582" t="s">
        <v>2096</v>
      </c>
    </row>
    <row r="568" spans="1:14" ht="16.5">
      <c r="A568" s="582" t="s">
        <v>2081</v>
      </c>
      <c r="B568" s="582" t="s">
        <v>2097</v>
      </c>
      <c r="C568" s="585">
        <v>6.9444444444444444E-5</v>
      </c>
      <c r="D568" s="582" t="s">
        <v>2098</v>
      </c>
      <c r="E568" s="582" t="s">
        <v>154</v>
      </c>
      <c r="F568" s="582" t="s">
        <v>1128</v>
      </c>
      <c r="G568" s="582" t="s">
        <v>1132</v>
      </c>
      <c r="H568" s="582" t="s">
        <v>157</v>
      </c>
      <c r="I568" s="582" t="s">
        <v>158</v>
      </c>
      <c r="J568" s="582" t="s">
        <v>391</v>
      </c>
      <c r="K568" s="582" t="s">
        <v>2084</v>
      </c>
      <c r="L568" s="582" t="s">
        <v>161</v>
      </c>
      <c r="M568" s="582" t="s">
        <v>162</v>
      </c>
      <c r="N568" s="582" t="s">
        <v>1837</v>
      </c>
    </row>
    <row r="569" spans="1:14" ht="16.5">
      <c r="A569" s="582" t="s">
        <v>2081</v>
      </c>
      <c r="B569" s="582" t="s">
        <v>2099</v>
      </c>
      <c r="C569" s="585">
        <v>5.2083333333333333E-4</v>
      </c>
      <c r="D569" s="582" t="s">
        <v>2100</v>
      </c>
      <c r="E569" s="582" t="s">
        <v>154</v>
      </c>
      <c r="F569" s="582" t="s">
        <v>1897</v>
      </c>
      <c r="G569" s="582" t="s">
        <v>1517</v>
      </c>
      <c r="H569" s="582" t="s">
        <v>157</v>
      </c>
      <c r="I569" s="582" t="s">
        <v>197</v>
      </c>
      <c r="J569" s="582" t="s">
        <v>326</v>
      </c>
      <c r="K569" s="582" t="s">
        <v>2084</v>
      </c>
      <c r="L569" s="582" t="s">
        <v>161</v>
      </c>
      <c r="M569" s="582" t="s">
        <v>162</v>
      </c>
      <c r="N569" s="582" t="s">
        <v>2101</v>
      </c>
    </row>
    <row r="570" spans="1:14" ht="16.5">
      <c r="A570" s="582" t="s">
        <v>2081</v>
      </c>
      <c r="B570" s="582" t="s">
        <v>2102</v>
      </c>
      <c r="C570" s="585">
        <v>6.3657407407407402E-4</v>
      </c>
      <c r="D570" s="582" t="s">
        <v>2103</v>
      </c>
      <c r="E570" s="582" t="s">
        <v>154</v>
      </c>
      <c r="F570" s="582" t="s">
        <v>2104</v>
      </c>
      <c r="G570" s="582" t="s">
        <v>2105</v>
      </c>
      <c r="H570" s="582" t="s">
        <v>157</v>
      </c>
      <c r="I570" s="582" t="s">
        <v>197</v>
      </c>
      <c r="J570" s="582" t="s">
        <v>198</v>
      </c>
      <c r="K570" s="582" t="s">
        <v>160</v>
      </c>
      <c r="L570" s="582" t="s">
        <v>161</v>
      </c>
      <c r="M570" s="582" t="s">
        <v>162</v>
      </c>
      <c r="N570" s="582" t="s">
        <v>2106</v>
      </c>
    </row>
    <row r="571" spans="1:14" ht="16.5">
      <c r="A571" s="582" t="s">
        <v>2081</v>
      </c>
      <c r="B571" s="582" t="s">
        <v>2107</v>
      </c>
      <c r="C571" s="585">
        <v>1.0879629629629629E-3</v>
      </c>
      <c r="D571" s="582" t="s">
        <v>2108</v>
      </c>
      <c r="E571" s="582" t="s">
        <v>154</v>
      </c>
      <c r="F571" s="582" t="s">
        <v>2104</v>
      </c>
      <c r="G571" s="582" t="s">
        <v>2105</v>
      </c>
      <c r="H571" s="582" t="s">
        <v>157</v>
      </c>
      <c r="I571" s="582" t="s">
        <v>197</v>
      </c>
      <c r="J571" s="582" t="s">
        <v>198</v>
      </c>
      <c r="K571" s="582" t="s">
        <v>160</v>
      </c>
      <c r="L571" s="582" t="s">
        <v>161</v>
      </c>
      <c r="M571" s="582" t="s">
        <v>162</v>
      </c>
      <c r="N571" s="582" t="s">
        <v>2109</v>
      </c>
    </row>
    <row r="572" spans="1:14" ht="16.5">
      <c r="A572" s="582" t="s">
        <v>2081</v>
      </c>
      <c r="B572" s="582" t="s">
        <v>2110</v>
      </c>
      <c r="C572" s="585">
        <v>7.5231481481481471E-4</v>
      </c>
      <c r="D572" s="582" t="s">
        <v>2111</v>
      </c>
      <c r="E572" s="582" t="s">
        <v>154</v>
      </c>
      <c r="F572" s="582" t="s">
        <v>2104</v>
      </c>
      <c r="G572" s="582" t="s">
        <v>1219</v>
      </c>
      <c r="H572" s="582" t="s">
        <v>157</v>
      </c>
      <c r="I572" s="582" t="s">
        <v>197</v>
      </c>
      <c r="J572" s="582" t="s">
        <v>198</v>
      </c>
      <c r="K572" s="582" t="s">
        <v>160</v>
      </c>
      <c r="L572" s="582" t="s">
        <v>161</v>
      </c>
      <c r="M572" s="582" t="s">
        <v>162</v>
      </c>
      <c r="N572" s="582" t="s">
        <v>2112</v>
      </c>
    </row>
    <row r="573" spans="1:14" ht="16.5">
      <c r="A573" s="582" t="s">
        <v>2081</v>
      </c>
      <c r="B573" s="582" t="s">
        <v>2113</v>
      </c>
      <c r="C573" s="585">
        <v>9.2592592592592585E-4</v>
      </c>
      <c r="D573" s="582" t="s">
        <v>2114</v>
      </c>
      <c r="E573" s="582" t="s">
        <v>154</v>
      </c>
      <c r="F573" s="582" t="s">
        <v>2115</v>
      </c>
      <c r="G573" s="582" t="s">
        <v>2116</v>
      </c>
      <c r="H573" s="582" t="s">
        <v>157</v>
      </c>
      <c r="I573" s="582" t="s">
        <v>158</v>
      </c>
      <c r="J573" s="582" t="s">
        <v>212</v>
      </c>
      <c r="K573" s="582" t="s">
        <v>160</v>
      </c>
      <c r="L573" s="582" t="s">
        <v>161</v>
      </c>
      <c r="M573" s="582" t="s">
        <v>162</v>
      </c>
      <c r="N573" s="582" t="s">
        <v>2117</v>
      </c>
    </row>
    <row r="574" spans="1:14" ht="16.5">
      <c r="A574" s="582" t="s">
        <v>2081</v>
      </c>
      <c r="B574" s="582" t="s">
        <v>2118</v>
      </c>
      <c r="C574" s="585">
        <v>2.3148148148148147E-5</v>
      </c>
      <c r="D574" s="582" t="s">
        <v>2119</v>
      </c>
      <c r="E574" s="582" t="s">
        <v>154</v>
      </c>
      <c r="F574" s="582" t="s">
        <v>1897</v>
      </c>
      <c r="G574" s="582" t="s">
        <v>2120</v>
      </c>
      <c r="H574" s="582" t="s">
        <v>157</v>
      </c>
      <c r="I574" s="582" t="s">
        <v>197</v>
      </c>
      <c r="J574" s="582" t="s">
        <v>198</v>
      </c>
      <c r="K574" s="582" t="s">
        <v>169</v>
      </c>
      <c r="L574" s="582" t="s">
        <v>161</v>
      </c>
      <c r="M574" s="582" t="s">
        <v>162</v>
      </c>
      <c r="N574" s="582" t="s">
        <v>2121</v>
      </c>
    </row>
    <row r="575" spans="1:14" ht="16.5">
      <c r="A575" s="582" t="s">
        <v>2081</v>
      </c>
      <c r="B575" s="582" t="s">
        <v>2122</v>
      </c>
      <c r="C575" s="585">
        <v>4.3981481481481481E-4</v>
      </c>
      <c r="D575" s="582" t="s">
        <v>2123</v>
      </c>
      <c r="E575" s="582" t="s">
        <v>154</v>
      </c>
      <c r="F575" s="582" t="s">
        <v>1418</v>
      </c>
      <c r="G575" s="582" t="s">
        <v>1419</v>
      </c>
      <c r="H575" s="582" t="s">
        <v>157</v>
      </c>
      <c r="I575" s="582" t="s">
        <v>158</v>
      </c>
      <c r="J575" s="582" t="s">
        <v>481</v>
      </c>
      <c r="K575" s="582" t="s">
        <v>160</v>
      </c>
      <c r="L575" s="582" t="s">
        <v>161</v>
      </c>
      <c r="M575" s="582" t="s">
        <v>162</v>
      </c>
      <c r="N575" s="582" t="s">
        <v>2124</v>
      </c>
    </row>
    <row r="576" spans="1:14" ht="16.5">
      <c r="A576" s="582" t="s">
        <v>2081</v>
      </c>
      <c r="B576" s="582" t="s">
        <v>2125</v>
      </c>
      <c r="C576" s="585">
        <v>2.1759259259259258E-3</v>
      </c>
      <c r="D576" s="582" t="s">
        <v>2126</v>
      </c>
      <c r="E576" s="582" t="s">
        <v>154</v>
      </c>
      <c r="F576" s="582" t="s">
        <v>2115</v>
      </c>
      <c r="G576" s="582" t="s">
        <v>576</v>
      </c>
      <c r="H576" s="582" t="s">
        <v>157</v>
      </c>
      <c r="I576" s="582" t="s">
        <v>158</v>
      </c>
      <c r="J576" s="582" t="s">
        <v>212</v>
      </c>
      <c r="K576" s="582" t="s">
        <v>160</v>
      </c>
      <c r="L576" s="582" t="s">
        <v>161</v>
      </c>
      <c r="M576" s="582" t="s">
        <v>162</v>
      </c>
      <c r="N576" s="582" t="s">
        <v>2127</v>
      </c>
    </row>
    <row r="577" spans="1:14" ht="16.5">
      <c r="A577" s="582" t="s">
        <v>2081</v>
      </c>
      <c r="B577" s="582" t="s">
        <v>2128</v>
      </c>
      <c r="C577" s="585">
        <v>1.2037037037037038E-3</v>
      </c>
      <c r="D577" s="582" t="s">
        <v>2129</v>
      </c>
      <c r="E577" s="582" t="s">
        <v>154</v>
      </c>
      <c r="F577" s="582" t="s">
        <v>2115</v>
      </c>
      <c r="G577" s="582" t="s">
        <v>2116</v>
      </c>
      <c r="H577" s="582" t="s">
        <v>157</v>
      </c>
      <c r="I577" s="582" t="s">
        <v>158</v>
      </c>
      <c r="J577" s="582" t="s">
        <v>159</v>
      </c>
      <c r="K577" s="582" t="s">
        <v>160</v>
      </c>
      <c r="L577" s="582" t="s">
        <v>161</v>
      </c>
      <c r="M577" s="582" t="s">
        <v>162</v>
      </c>
      <c r="N577" s="582" t="s">
        <v>2130</v>
      </c>
    </row>
    <row r="578" spans="1:14" ht="16.5">
      <c r="A578" s="582" t="s">
        <v>2081</v>
      </c>
      <c r="B578" s="582" t="s">
        <v>2131</v>
      </c>
      <c r="C578" s="585">
        <v>1.1689814814814816E-3</v>
      </c>
      <c r="D578" s="582" t="s">
        <v>2132</v>
      </c>
      <c r="E578" s="582" t="s">
        <v>154</v>
      </c>
      <c r="F578" s="582" t="s">
        <v>173</v>
      </c>
      <c r="G578" s="582" t="s">
        <v>362</v>
      </c>
      <c r="H578" s="582" t="s">
        <v>157</v>
      </c>
      <c r="I578" s="582" t="s">
        <v>158</v>
      </c>
      <c r="J578" s="582" t="s">
        <v>212</v>
      </c>
      <c r="K578" s="582" t="s">
        <v>160</v>
      </c>
      <c r="L578" s="582" t="s">
        <v>161</v>
      </c>
      <c r="M578" s="582" t="s">
        <v>162</v>
      </c>
      <c r="N578" s="582" t="s">
        <v>2133</v>
      </c>
    </row>
    <row r="579" spans="1:14" ht="16.5">
      <c r="A579" s="582" t="s">
        <v>2081</v>
      </c>
      <c r="B579" s="582" t="s">
        <v>2134</v>
      </c>
      <c r="C579" s="585">
        <v>6.8287037037037025E-4</v>
      </c>
      <c r="D579" s="582" t="s">
        <v>2135</v>
      </c>
      <c r="E579" s="582" t="s">
        <v>154</v>
      </c>
      <c r="F579" s="582" t="s">
        <v>1951</v>
      </c>
      <c r="G579" s="582" t="s">
        <v>1952</v>
      </c>
      <c r="H579" s="582" t="s">
        <v>157</v>
      </c>
      <c r="I579" s="582" t="s">
        <v>158</v>
      </c>
      <c r="J579" s="582" t="s">
        <v>212</v>
      </c>
      <c r="K579" s="582" t="s">
        <v>2084</v>
      </c>
      <c r="L579" s="582" t="s">
        <v>161</v>
      </c>
      <c r="M579" s="582" t="s">
        <v>162</v>
      </c>
      <c r="N579" s="582" t="s">
        <v>2136</v>
      </c>
    </row>
    <row r="580" spans="1:14" ht="16.5">
      <c r="A580" s="582" t="s">
        <v>2081</v>
      </c>
      <c r="B580" s="582" t="s">
        <v>2140</v>
      </c>
      <c r="C580" s="585">
        <v>2.3726851851851851E-3</v>
      </c>
      <c r="D580" s="582" t="s">
        <v>2141</v>
      </c>
      <c r="E580" s="582" t="s">
        <v>154</v>
      </c>
      <c r="F580" s="582" t="s">
        <v>1418</v>
      </c>
      <c r="G580" s="582" t="s">
        <v>1419</v>
      </c>
      <c r="H580" s="582" t="s">
        <v>157</v>
      </c>
      <c r="I580" s="582" t="s">
        <v>197</v>
      </c>
      <c r="J580" s="582" t="s">
        <v>198</v>
      </c>
      <c r="K580" s="582" t="s">
        <v>160</v>
      </c>
      <c r="L580" s="582" t="s">
        <v>161</v>
      </c>
      <c r="M580" s="582" t="s">
        <v>162</v>
      </c>
      <c r="N580" s="582" t="s">
        <v>783</v>
      </c>
    </row>
    <row r="581" spans="1:14" ht="16.5">
      <c r="A581" s="582" t="s">
        <v>2081</v>
      </c>
      <c r="B581" s="582" t="s">
        <v>2142</v>
      </c>
      <c r="C581" s="585">
        <v>1.712962962962963E-3</v>
      </c>
      <c r="D581" s="582" t="s">
        <v>2143</v>
      </c>
      <c r="E581" s="582" t="s">
        <v>154</v>
      </c>
      <c r="F581" s="582" t="s">
        <v>1418</v>
      </c>
      <c r="G581" s="582" t="s">
        <v>1419</v>
      </c>
      <c r="H581" s="582" t="s">
        <v>157</v>
      </c>
      <c r="I581" s="582" t="s">
        <v>197</v>
      </c>
      <c r="J581" s="582" t="s">
        <v>198</v>
      </c>
      <c r="K581" s="582" t="s">
        <v>160</v>
      </c>
      <c r="L581" s="582" t="s">
        <v>161</v>
      </c>
      <c r="M581" s="582" t="s">
        <v>162</v>
      </c>
      <c r="N581" s="582" t="s">
        <v>2144</v>
      </c>
    </row>
    <row r="582" spans="1:14" ht="16.5">
      <c r="A582" s="582" t="s">
        <v>2081</v>
      </c>
      <c r="B582" s="582" t="s">
        <v>2148</v>
      </c>
      <c r="C582" s="585">
        <v>1.0995370370370371E-3</v>
      </c>
      <c r="D582" s="582" t="s">
        <v>2149</v>
      </c>
      <c r="E582" s="582" t="s">
        <v>154</v>
      </c>
      <c r="F582" s="582" t="s">
        <v>1413</v>
      </c>
      <c r="G582" s="582" t="s">
        <v>1956</v>
      </c>
      <c r="H582" s="582" t="s">
        <v>157</v>
      </c>
      <c r="I582" s="582" t="s">
        <v>197</v>
      </c>
      <c r="J582" s="582" t="s">
        <v>198</v>
      </c>
      <c r="K582" s="582" t="s">
        <v>169</v>
      </c>
      <c r="L582" s="582" t="s">
        <v>161</v>
      </c>
      <c r="M582" s="582" t="s">
        <v>162</v>
      </c>
      <c r="N582" s="582" t="s">
        <v>2150</v>
      </c>
    </row>
    <row r="583" spans="1:14" ht="16.5">
      <c r="A583" s="582" t="s">
        <v>2081</v>
      </c>
      <c r="B583" s="582" t="s">
        <v>2151</v>
      </c>
      <c r="C583" s="585">
        <v>1.7245370370370372E-3</v>
      </c>
      <c r="D583" s="582" t="s">
        <v>2152</v>
      </c>
      <c r="E583" s="582" t="s">
        <v>154</v>
      </c>
      <c r="F583" s="582" t="s">
        <v>1990</v>
      </c>
      <c r="G583" s="582" t="s">
        <v>2153</v>
      </c>
      <c r="H583" s="582" t="s">
        <v>157</v>
      </c>
      <c r="I583" s="582" t="s">
        <v>158</v>
      </c>
      <c r="J583" s="582" t="s">
        <v>168</v>
      </c>
      <c r="K583" s="582" t="s">
        <v>2084</v>
      </c>
      <c r="L583" s="582" t="s">
        <v>161</v>
      </c>
      <c r="M583" s="582" t="s">
        <v>162</v>
      </c>
      <c r="N583" s="582" t="s">
        <v>2154</v>
      </c>
    </row>
    <row r="584" spans="1:14" ht="16.5">
      <c r="A584" s="582" t="s">
        <v>2081</v>
      </c>
      <c r="B584" s="582" t="s">
        <v>1020</v>
      </c>
      <c r="C584" s="582"/>
      <c r="D584" s="582"/>
      <c r="E584" s="582"/>
      <c r="F584" s="582" t="s">
        <v>4298</v>
      </c>
      <c r="G584" s="582" t="s">
        <v>1991</v>
      </c>
      <c r="H584" s="582" t="s">
        <v>157</v>
      </c>
      <c r="I584" s="582" t="s">
        <v>158</v>
      </c>
      <c r="J584" s="582" t="s">
        <v>168</v>
      </c>
      <c r="K584" s="582" t="s">
        <v>2084</v>
      </c>
      <c r="L584" s="582" t="s">
        <v>161</v>
      </c>
      <c r="M584" s="582" t="s">
        <v>162</v>
      </c>
      <c r="N584" s="582" t="s">
        <v>2160</v>
      </c>
    </row>
    <row r="585" spans="1:14" ht="16.5">
      <c r="A585" s="582" t="s">
        <v>2081</v>
      </c>
      <c r="B585" s="582" t="s">
        <v>2161</v>
      </c>
      <c r="C585" s="585">
        <v>7.8703703703703705E-4</v>
      </c>
      <c r="D585" s="582" t="s">
        <v>2162</v>
      </c>
      <c r="E585" s="582" t="s">
        <v>154</v>
      </c>
      <c r="F585" s="582" t="s">
        <v>2163</v>
      </c>
      <c r="G585" s="582" t="s">
        <v>2164</v>
      </c>
      <c r="H585" s="582" t="s">
        <v>157</v>
      </c>
      <c r="I585" s="582" t="s">
        <v>158</v>
      </c>
      <c r="J585" s="582" t="s">
        <v>713</v>
      </c>
      <c r="K585" s="582" t="s">
        <v>169</v>
      </c>
      <c r="L585" s="582" t="s">
        <v>161</v>
      </c>
      <c r="M585" s="582" t="s">
        <v>162</v>
      </c>
      <c r="N585" s="582" t="s">
        <v>2165</v>
      </c>
    </row>
    <row r="586" spans="1:14" ht="16.5">
      <c r="A586" s="582" t="s">
        <v>2081</v>
      </c>
      <c r="B586" s="582" t="s">
        <v>2166</v>
      </c>
      <c r="C586" s="585">
        <v>5.3240740740740744E-4</v>
      </c>
      <c r="D586" s="582" t="s">
        <v>2167</v>
      </c>
      <c r="E586" s="582" t="s">
        <v>154</v>
      </c>
      <c r="F586" s="582" t="s">
        <v>2168</v>
      </c>
      <c r="G586" s="582" t="s">
        <v>2169</v>
      </c>
      <c r="H586" s="582" t="s">
        <v>157</v>
      </c>
      <c r="I586" s="582" t="s">
        <v>158</v>
      </c>
      <c r="J586" s="582" t="s">
        <v>713</v>
      </c>
      <c r="K586" s="582" t="s">
        <v>169</v>
      </c>
      <c r="L586" s="582" t="s">
        <v>161</v>
      </c>
      <c r="M586" s="582" t="s">
        <v>162</v>
      </c>
      <c r="N586" s="582" t="s">
        <v>2170</v>
      </c>
    </row>
    <row r="587" spans="1:14" ht="16.5">
      <c r="A587" s="582" t="s">
        <v>2081</v>
      </c>
      <c r="B587" s="582" t="s">
        <v>2171</v>
      </c>
      <c r="C587" s="585">
        <v>9.2592592592592588E-5</v>
      </c>
      <c r="D587" s="582" t="s">
        <v>2172</v>
      </c>
      <c r="E587" s="582" t="s">
        <v>154</v>
      </c>
      <c r="F587" s="582" t="s">
        <v>1336</v>
      </c>
      <c r="G587" s="582" t="s">
        <v>1684</v>
      </c>
      <c r="H587" s="582" t="s">
        <v>157</v>
      </c>
      <c r="I587" s="582" t="s">
        <v>197</v>
      </c>
      <c r="J587" s="582" t="s">
        <v>198</v>
      </c>
      <c r="K587" s="582" t="s">
        <v>169</v>
      </c>
      <c r="L587" s="582" t="s">
        <v>161</v>
      </c>
      <c r="M587" s="582" t="s">
        <v>162</v>
      </c>
      <c r="N587" s="582" t="s">
        <v>1822</v>
      </c>
    </row>
    <row r="588" spans="1:14" ht="16.5">
      <c r="A588" s="582" t="s">
        <v>2081</v>
      </c>
      <c r="B588" s="582" t="s">
        <v>2173</v>
      </c>
      <c r="C588" s="585">
        <v>6.2500000000000001E-4</v>
      </c>
      <c r="D588" s="582" t="s">
        <v>2174</v>
      </c>
      <c r="E588" s="582" t="s">
        <v>154</v>
      </c>
      <c r="F588" s="582" t="s">
        <v>2052</v>
      </c>
      <c r="G588" s="582" t="s">
        <v>2053</v>
      </c>
      <c r="H588" s="582" t="s">
        <v>157</v>
      </c>
      <c r="I588" s="582" t="s">
        <v>158</v>
      </c>
      <c r="J588" s="582" t="s">
        <v>159</v>
      </c>
      <c r="K588" s="582" t="s">
        <v>160</v>
      </c>
      <c r="L588" s="582" t="s">
        <v>161</v>
      </c>
      <c r="M588" s="582" t="s">
        <v>162</v>
      </c>
      <c r="N588" s="582" t="s">
        <v>2175</v>
      </c>
    </row>
    <row r="589" spans="1:14" ht="16.5">
      <c r="A589" s="582" t="s">
        <v>2081</v>
      </c>
      <c r="B589" s="582" t="s">
        <v>2176</v>
      </c>
      <c r="C589" s="585">
        <v>8.1018518518518516E-4</v>
      </c>
      <c r="D589" s="582" t="s">
        <v>2177</v>
      </c>
      <c r="E589" s="582" t="s">
        <v>154</v>
      </c>
      <c r="F589" s="582" t="s">
        <v>2178</v>
      </c>
      <c r="G589" s="582" t="s">
        <v>2179</v>
      </c>
      <c r="H589" s="582" t="s">
        <v>157</v>
      </c>
      <c r="I589" s="582" t="s">
        <v>158</v>
      </c>
      <c r="J589" s="582" t="s">
        <v>212</v>
      </c>
      <c r="K589" s="582" t="s">
        <v>2084</v>
      </c>
      <c r="L589" s="582" t="s">
        <v>161</v>
      </c>
      <c r="M589" s="582" t="s">
        <v>162</v>
      </c>
      <c r="N589" s="582" t="s">
        <v>2180</v>
      </c>
    </row>
    <row r="590" spans="1:14" ht="16.5">
      <c r="A590" s="582" t="s">
        <v>2081</v>
      </c>
      <c r="B590" s="582" t="s">
        <v>4299</v>
      </c>
      <c r="C590" s="582"/>
      <c r="D590" s="582"/>
      <c r="E590" s="582"/>
      <c r="F590" s="582" t="s">
        <v>2181</v>
      </c>
      <c r="G590" s="582" t="s">
        <v>4300</v>
      </c>
      <c r="H590" s="582" t="s">
        <v>157</v>
      </c>
      <c r="I590" s="582" t="s">
        <v>158</v>
      </c>
      <c r="J590" s="582" t="s">
        <v>212</v>
      </c>
      <c r="K590" s="582" t="s">
        <v>2084</v>
      </c>
      <c r="L590" s="582" t="s">
        <v>161</v>
      </c>
      <c r="M590" s="582" t="s">
        <v>162</v>
      </c>
      <c r="N590" s="582" t="s">
        <v>2160</v>
      </c>
    </row>
    <row r="591" spans="1:14" ht="16.5">
      <c r="A591" s="582" t="s">
        <v>2081</v>
      </c>
      <c r="B591" s="582" t="s">
        <v>2182</v>
      </c>
      <c r="C591" s="585">
        <v>2.0833333333333333E-3</v>
      </c>
      <c r="D591" s="582" t="s">
        <v>2183</v>
      </c>
      <c r="E591" s="582" t="s">
        <v>154</v>
      </c>
      <c r="F591" s="582" t="s">
        <v>173</v>
      </c>
      <c r="G591" s="582" t="s">
        <v>362</v>
      </c>
      <c r="H591" s="582" t="s">
        <v>157</v>
      </c>
      <c r="I591" s="582" t="s">
        <v>158</v>
      </c>
      <c r="J591" s="582" t="s">
        <v>212</v>
      </c>
      <c r="K591" s="582" t="s">
        <v>160</v>
      </c>
      <c r="L591" s="582" t="s">
        <v>161</v>
      </c>
      <c r="M591" s="582" t="s">
        <v>162</v>
      </c>
      <c r="N591" s="582" t="s">
        <v>2184</v>
      </c>
    </row>
    <row r="592" spans="1:14" ht="16.5">
      <c r="A592" s="582" t="s">
        <v>2081</v>
      </c>
      <c r="B592" s="582" t="s">
        <v>2185</v>
      </c>
      <c r="C592" s="585">
        <v>1.3888888888888889E-4</v>
      </c>
      <c r="D592" s="582" t="s">
        <v>2186</v>
      </c>
      <c r="E592" s="582" t="s">
        <v>154</v>
      </c>
      <c r="F592" s="582" t="s">
        <v>1128</v>
      </c>
      <c r="G592" s="582" t="s">
        <v>1352</v>
      </c>
      <c r="H592" s="582" t="s">
        <v>157</v>
      </c>
      <c r="I592" s="582" t="s">
        <v>158</v>
      </c>
      <c r="J592" s="582" t="s">
        <v>159</v>
      </c>
      <c r="K592" s="582" t="s">
        <v>169</v>
      </c>
      <c r="L592" s="582" t="s">
        <v>161</v>
      </c>
      <c r="M592" s="582" t="s">
        <v>162</v>
      </c>
      <c r="N592" s="582" t="s">
        <v>1837</v>
      </c>
    </row>
    <row r="593" spans="1:14" ht="16.5">
      <c r="A593" s="582" t="s">
        <v>2081</v>
      </c>
      <c r="B593" s="582" t="s">
        <v>2187</v>
      </c>
      <c r="C593" s="585">
        <v>2.4305555555555552E-4</v>
      </c>
      <c r="D593" s="582" t="s">
        <v>2188</v>
      </c>
      <c r="E593" s="582" t="s">
        <v>154</v>
      </c>
      <c r="F593" s="582" t="s">
        <v>2088</v>
      </c>
      <c r="G593" s="582" t="s">
        <v>2089</v>
      </c>
      <c r="H593" s="582" t="s">
        <v>157</v>
      </c>
      <c r="I593" s="582" t="s">
        <v>158</v>
      </c>
      <c r="J593" s="582" t="s">
        <v>713</v>
      </c>
      <c r="K593" s="582" t="s">
        <v>169</v>
      </c>
      <c r="L593" s="582" t="s">
        <v>161</v>
      </c>
      <c r="M593" s="582" t="s">
        <v>162</v>
      </c>
      <c r="N593" s="582" t="s">
        <v>2189</v>
      </c>
    </row>
    <row r="594" spans="1:14" ht="16.5">
      <c r="A594" s="582" t="s">
        <v>2081</v>
      </c>
      <c r="B594" s="582" t="s">
        <v>2190</v>
      </c>
      <c r="C594" s="585">
        <v>3.2291666666666666E-3</v>
      </c>
      <c r="D594" s="582" t="s">
        <v>2191</v>
      </c>
      <c r="E594" s="582" t="s">
        <v>154</v>
      </c>
      <c r="F594" s="582" t="s">
        <v>2192</v>
      </c>
      <c r="G594" s="582" t="s">
        <v>2193</v>
      </c>
      <c r="H594" s="582" t="s">
        <v>157</v>
      </c>
      <c r="I594" s="582" t="s">
        <v>158</v>
      </c>
      <c r="J594" s="582" t="s">
        <v>168</v>
      </c>
      <c r="K594" s="582" t="s">
        <v>160</v>
      </c>
      <c r="L594" s="582" t="s">
        <v>161</v>
      </c>
      <c r="M594" s="582" t="s">
        <v>162</v>
      </c>
      <c r="N594" s="582" t="s">
        <v>2194</v>
      </c>
    </row>
    <row r="595" spans="1:14" ht="16.5">
      <c r="A595" s="582" t="s">
        <v>2081</v>
      </c>
      <c r="B595" s="582" t="s">
        <v>4301</v>
      </c>
      <c r="C595" s="582"/>
      <c r="D595" s="582"/>
      <c r="E595" s="582"/>
      <c r="F595" s="582" t="s">
        <v>2181</v>
      </c>
      <c r="G595" s="582" t="s">
        <v>2195</v>
      </c>
      <c r="H595" s="582" t="s">
        <v>157</v>
      </c>
      <c r="I595" s="582" t="s">
        <v>158</v>
      </c>
      <c r="J595" s="582" t="s">
        <v>212</v>
      </c>
      <c r="K595" s="582" t="s">
        <v>160</v>
      </c>
      <c r="L595" s="582" t="s">
        <v>161</v>
      </c>
      <c r="M595" s="582" t="s">
        <v>162</v>
      </c>
      <c r="N595" s="582" t="s">
        <v>557</v>
      </c>
    </row>
    <row r="596" spans="1:14" ht="16.5">
      <c r="A596" s="582" t="s">
        <v>2081</v>
      </c>
      <c r="B596" s="582" t="s">
        <v>2196</v>
      </c>
      <c r="C596" s="585">
        <v>5.0925925925925921E-4</v>
      </c>
      <c r="D596" s="582" t="s">
        <v>2197</v>
      </c>
      <c r="E596" s="582" t="s">
        <v>154</v>
      </c>
      <c r="F596" s="582" t="s">
        <v>2198</v>
      </c>
      <c r="G596" s="582" t="s">
        <v>2199</v>
      </c>
      <c r="H596" s="582" t="s">
        <v>157</v>
      </c>
      <c r="I596" s="582" t="s">
        <v>158</v>
      </c>
      <c r="J596" s="582" t="s">
        <v>159</v>
      </c>
      <c r="K596" s="582" t="s">
        <v>169</v>
      </c>
      <c r="L596" s="582" t="s">
        <v>161</v>
      </c>
      <c r="M596" s="582" t="s">
        <v>162</v>
      </c>
      <c r="N596" s="582" t="s">
        <v>2200</v>
      </c>
    </row>
    <row r="597" spans="1:14" ht="16.5">
      <c r="A597" s="582" t="s">
        <v>2081</v>
      </c>
      <c r="B597" s="582" t="s">
        <v>2201</v>
      </c>
      <c r="C597" s="585">
        <v>1.5509259259259261E-3</v>
      </c>
      <c r="D597" s="582" t="s">
        <v>2202</v>
      </c>
      <c r="E597" s="582" t="s">
        <v>154</v>
      </c>
      <c r="F597" s="582" t="s">
        <v>2181</v>
      </c>
      <c r="G597" s="582" t="s">
        <v>2203</v>
      </c>
      <c r="H597" s="582" t="s">
        <v>157</v>
      </c>
      <c r="I597" s="582" t="s">
        <v>158</v>
      </c>
      <c r="J597" s="582" t="s">
        <v>168</v>
      </c>
      <c r="K597" s="582" t="s">
        <v>160</v>
      </c>
      <c r="L597" s="582" t="s">
        <v>161</v>
      </c>
      <c r="M597" s="582" t="s">
        <v>162</v>
      </c>
      <c r="N597" s="582" t="s">
        <v>2204</v>
      </c>
    </row>
    <row r="598" spans="1:14" ht="16.5">
      <c r="A598" s="582" t="s">
        <v>2081</v>
      </c>
      <c r="B598" s="582" t="s">
        <v>2205</v>
      </c>
      <c r="C598" s="585">
        <v>2.2916666666666667E-3</v>
      </c>
      <c r="D598" s="582" t="s">
        <v>2206</v>
      </c>
      <c r="E598" s="582" t="s">
        <v>154</v>
      </c>
      <c r="F598" s="582" t="s">
        <v>2198</v>
      </c>
      <c r="G598" s="582" t="s">
        <v>2207</v>
      </c>
      <c r="H598" s="582" t="s">
        <v>157</v>
      </c>
      <c r="I598" s="582" t="s">
        <v>158</v>
      </c>
      <c r="J598" s="582" t="s">
        <v>168</v>
      </c>
      <c r="K598" s="582" t="s">
        <v>169</v>
      </c>
      <c r="L598" s="582" t="s">
        <v>161</v>
      </c>
      <c r="M598" s="582" t="s">
        <v>162</v>
      </c>
      <c r="N598" s="582" t="s">
        <v>2208</v>
      </c>
    </row>
    <row r="599" spans="1:14" ht="16.5">
      <c r="A599" s="582" t="s">
        <v>2081</v>
      </c>
      <c r="B599" s="582" t="s">
        <v>2209</v>
      </c>
      <c r="C599" s="585">
        <v>2.685185185185185E-3</v>
      </c>
      <c r="D599" s="582" t="s">
        <v>2210</v>
      </c>
      <c r="E599" s="582" t="s">
        <v>154</v>
      </c>
      <c r="F599" s="582" t="s">
        <v>2115</v>
      </c>
      <c r="G599" s="582" t="s">
        <v>2116</v>
      </c>
      <c r="H599" s="582" t="s">
        <v>157</v>
      </c>
      <c r="I599" s="582" t="s">
        <v>158</v>
      </c>
      <c r="J599" s="582" t="s">
        <v>168</v>
      </c>
      <c r="K599" s="582" t="s">
        <v>160</v>
      </c>
      <c r="L599" s="582" t="s">
        <v>161</v>
      </c>
      <c r="M599" s="582" t="s">
        <v>162</v>
      </c>
      <c r="N599" s="582" t="s">
        <v>2211</v>
      </c>
    </row>
    <row r="600" spans="1:14" ht="16.5">
      <c r="A600" s="582" t="s">
        <v>2081</v>
      </c>
      <c r="B600" s="582" t="s">
        <v>2212</v>
      </c>
      <c r="C600" s="585">
        <v>1.1574074074074073E-4</v>
      </c>
      <c r="D600" s="582" t="s">
        <v>2213</v>
      </c>
      <c r="E600" s="582" t="s">
        <v>154</v>
      </c>
      <c r="F600" s="582" t="s">
        <v>2088</v>
      </c>
      <c r="G600" s="582" t="s">
        <v>2089</v>
      </c>
      <c r="H600" s="582" t="s">
        <v>157</v>
      </c>
      <c r="I600" s="582" t="s">
        <v>158</v>
      </c>
      <c r="J600" s="582" t="s">
        <v>168</v>
      </c>
      <c r="K600" s="582" t="s">
        <v>169</v>
      </c>
      <c r="L600" s="582" t="s">
        <v>161</v>
      </c>
      <c r="M600" s="582" t="s">
        <v>162</v>
      </c>
      <c r="N600" s="582" t="s">
        <v>2214</v>
      </c>
    </row>
    <row r="601" spans="1:14" ht="16.5">
      <c r="A601" s="582" t="s">
        <v>2081</v>
      </c>
      <c r="B601" s="582" t="s">
        <v>2215</v>
      </c>
      <c r="C601" s="585">
        <v>2.3379629629629631E-3</v>
      </c>
      <c r="D601" s="582" t="s">
        <v>2216</v>
      </c>
      <c r="E601" s="582" t="s">
        <v>154</v>
      </c>
      <c r="F601" s="582" t="s">
        <v>2217</v>
      </c>
      <c r="G601" s="582" t="s">
        <v>2218</v>
      </c>
      <c r="H601" s="582" t="s">
        <v>157</v>
      </c>
      <c r="I601" s="582" t="s">
        <v>158</v>
      </c>
      <c r="J601" s="582" t="s">
        <v>168</v>
      </c>
      <c r="K601" s="582" t="s">
        <v>160</v>
      </c>
      <c r="L601" s="582" t="s">
        <v>161</v>
      </c>
      <c r="M601" s="582" t="s">
        <v>162</v>
      </c>
      <c r="N601" s="582" t="s">
        <v>2219</v>
      </c>
    </row>
    <row r="602" spans="1:14" ht="16.5">
      <c r="A602" s="582" t="s">
        <v>2081</v>
      </c>
      <c r="B602" s="582" t="s">
        <v>2220</v>
      </c>
      <c r="C602" s="585">
        <v>5.0925925925925921E-4</v>
      </c>
      <c r="D602" s="582" t="s">
        <v>2221</v>
      </c>
      <c r="E602" s="582" t="s">
        <v>154</v>
      </c>
      <c r="F602" s="582" t="s">
        <v>1647</v>
      </c>
      <c r="G602" s="582" t="s">
        <v>1648</v>
      </c>
      <c r="H602" s="582" t="s">
        <v>157</v>
      </c>
      <c r="I602" s="582" t="s">
        <v>197</v>
      </c>
      <c r="J602" s="582" t="s">
        <v>198</v>
      </c>
      <c r="K602" s="582" t="s">
        <v>95</v>
      </c>
      <c r="L602" s="582" t="s">
        <v>161</v>
      </c>
      <c r="M602" s="582" t="s">
        <v>162</v>
      </c>
      <c r="N602" s="582" t="s">
        <v>2222</v>
      </c>
    </row>
    <row r="603" spans="1:14" ht="16.5">
      <c r="A603" s="582" t="s">
        <v>2081</v>
      </c>
      <c r="B603" s="582" t="s">
        <v>2223</v>
      </c>
      <c r="C603" s="585">
        <v>4.2824074074074075E-4</v>
      </c>
      <c r="D603" s="582" t="s">
        <v>2224</v>
      </c>
      <c r="E603" s="582" t="s">
        <v>154</v>
      </c>
      <c r="F603" s="582" t="s">
        <v>832</v>
      </c>
      <c r="G603" s="582" t="s">
        <v>837</v>
      </c>
      <c r="H603" s="582" t="s">
        <v>157</v>
      </c>
      <c r="I603" s="582" t="s">
        <v>197</v>
      </c>
      <c r="J603" s="582" t="s">
        <v>198</v>
      </c>
      <c r="K603" s="582" t="s">
        <v>169</v>
      </c>
      <c r="L603" s="582" t="s">
        <v>161</v>
      </c>
      <c r="M603" s="582" t="s">
        <v>162</v>
      </c>
      <c r="N603" s="582" t="s">
        <v>2225</v>
      </c>
    </row>
    <row r="604" spans="1:14" ht="16.5">
      <c r="A604" s="582" t="s">
        <v>2081</v>
      </c>
      <c r="B604" s="582" t="s">
        <v>2226</v>
      </c>
      <c r="C604" s="585">
        <v>6.7129629629629625E-4</v>
      </c>
      <c r="D604" s="582" t="s">
        <v>2227</v>
      </c>
      <c r="E604" s="582" t="s">
        <v>154</v>
      </c>
      <c r="F604" s="582" t="s">
        <v>2228</v>
      </c>
      <c r="G604" s="582" t="s">
        <v>2229</v>
      </c>
      <c r="H604" s="582" t="s">
        <v>157</v>
      </c>
      <c r="I604" s="582" t="s">
        <v>158</v>
      </c>
      <c r="J604" s="582" t="s">
        <v>168</v>
      </c>
      <c r="K604" s="582" t="s">
        <v>160</v>
      </c>
      <c r="L604" s="582" t="s">
        <v>161</v>
      </c>
      <c r="M604" s="582" t="s">
        <v>162</v>
      </c>
      <c r="N604" s="582" t="s">
        <v>2230</v>
      </c>
    </row>
    <row r="605" spans="1:14" ht="16.5">
      <c r="A605" s="582" t="s">
        <v>2081</v>
      </c>
      <c r="B605" s="582" t="s">
        <v>3682</v>
      </c>
      <c r="C605" s="582"/>
      <c r="D605" s="582"/>
      <c r="E605" s="582"/>
      <c r="F605" s="582" t="s">
        <v>4048</v>
      </c>
      <c r="G605" s="582" t="s">
        <v>4049</v>
      </c>
      <c r="H605" s="582" t="s">
        <v>157</v>
      </c>
      <c r="I605" s="582" t="s">
        <v>158</v>
      </c>
      <c r="J605" s="582" t="s">
        <v>713</v>
      </c>
      <c r="K605" s="582" t="s">
        <v>95</v>
      </c>
      <c r="L605" s="582" t="s">
        <v>161</v>
      </c>
      <c r="M605" s="582" t="s">
        <v>162</v>
      </c>
      <c r="N605" s="582" t="s">
        <v>4302</v>
      </c>
    </row>
    <row r="606" spans="1:14" ht="16.5">
      <c r="A606" s="582" t="s">
        <v>2081</v>
      </c>
      <c r="B606" s="582" t="s">
        <v>2231</v>
      </c>
      <c r="C606" s="585">
        <v>7.2800925925925915E-3</v>
      </c>
      <c r="D606" s="582" t="s">
        <v>2232</v>
      </c>
      <c r="E606" s="582" t="s">
        <v>154</v>
      </c>
      <c r="F606" s="582" t="s">
        <v>2228</v>
      </c>
      <c r="G606" s="582" t="s">
        <v>2229</v>
      </c>
      <c r="H606" s="582" t="s">
        <v>157</v>
      </c>
      <c r="I606" s="582" t="s">
        <v>158</v>
      </c>
      <c r="J606" s="582" t="s">
        <v>168</v>
      </c>
      <c r="K606" s="582" t="s">
        <v>160</v>
      </c>
      <c r="L606" s="582" t="s">
        <v>161</v>
      </c>
      <c r="M606" s="582" t="s">
        <v>162</v>
      </c>
      <c r="N606" s="582" t="s">
        <v>2233</v>
      </c>
    </row>
    <row r="607" spans="1:14" ht="16.5">
      <c r="A607" s="582" t="s">
        <v>2081</v>
      </c>
      <c r="B607" s="582" t="s">
        <v>2234</v>
      </c>
      <c r="C607" s="585">
        <v>7.291666666666667E-4</v>
      </c>
      <c r="D607" s="582" t="s">
        <v>2235</v>
      </c>
      <c r="E607" s="582" t="s">
        <v>154</v>
      </c>
      <c r="F607" s="582" t="s">
        <v>2236</v>
      </c>
      <c r="G607" s="582" t="s">
        <v>2237</v>
      </c>
      <c r="H607" s="582" t="s">
        <v>157</v>
      </c>
      <c r="I607" s="582" t="s">
        <v>158</v>
      </c>
      <c r="J607" s="582" t="s">
        <v>713</v>
      </c>
      <c r="K607" s="582" t="s">
        <v>169</v>
      </c>
      <c r="L607" s="582" t="s">
        <v>161</v>
      </c>
      <c r="M607" s="582" t="s">
        <v>162</v>
      </c>
      <c r="N607" s="582" t="s">
        <v>2238</v>
      </c>
    </row>
    <row r="608" spans="1:14" ht="16.5">
      <c r="A608" s="582" t="s">
        <v>2081</v>
      </c>
      <c r="B608" s="582" t="s">
        <v>4303</v>
      </c>
      <c r="C608" s="582"/>
      <c r="D608" s="582"/>
      <c r="E608" s="582"/>
      <c r="F608" s="582" t="s">
        <v>542</v>
      </c>
      <c r="G608" s="582" t="s">
        <v>4304</v>
      </c>
      <c r="H608" s="582" t="s">
        <v>157</v>
      </c>
      <c r="I608" s="582" t="s">
        <v>158</v>
      </c>
      <c r="J608" s="582" t="s">
        <v>168</v>
      </c>
      <c r="K608" s="582" t="s">
        <v>160</v>
      </c>
      <c r="L608" s="582" t="s">
        <v>161</v>
      </c>
      <c r="M608" s="582" t="s">
        <v>162</v>
      </c>
      <c r="N608" s="582" t="s">
        <v>4305</v>
      </c>
    </row>
    <row r="609" spans="1:14" ht="16.5">
      <c r="A609" s="582" t="s">
        <v>2081</v>
      </c>
      <c r="B609" s="582" t="s">
        <v>2239</v>
      </c>
      <c r="C609" s="585">
        <v>8.1018518518518516E-5</v>
      </c>
      <c r="D609" s="582" t="s">
        <v>2240</v>
      </c>
      <c r="E609" s="582" t="s">
        <v>154</v>
      </c>
      <c r="F609" s="582" t="s">
        <v>458</v>
      </c>
      <c r="G609" s="582" t="s">
        <v>459</v>
      </c>
      <c r="H609" s="582" t="s">
        <v>157</v>
      </c>
      <c r="I609" s="582" t="s">
        <v>158</v>
      </c>
      <c r="J609" s="582" t="s">
        <v>191</v>
      </c>
      <c r="K609" s="582" t="s">
        <v>160</v>
      </c>
      <c r="L609" s="582" t="s">
        <v>161</v>
      </c>
      <c r="M609" s="582" t="s">
        <v>162</v>
      </c>
      <c r="N609" s="582" t="s">
        <v>425</v>
      </c>
    </row>
    <row r="610" spans="1:14" ht="16.5">
      <c r="A610" s="582" t="s">
        <v>2081</v>
      </c>
      <c r="B610" s="582" t="s">
        <v>2241</v>
      </c>
      <c r="C610" s="585">
        <v>1.6319444444444445E-3</v>
      </c>
      <c r="D610" s="582" t="s">
        <v>2242</v>
      </c>
      <c r="E610" s="582" t="s">
        <v>154</v>
      </c>
      <c r="F610" s="582" t="s">
        <v>182</v>
      </c>
      <c r="G610" s="582" t="s">
        <v>183</v>
      </c>
      <c r="H610" s="582" t="s">
        <v>157</v>
      </c>
      <c r="I610" s="582" t="s">
        <v>158</v>
      </c>
      <c r="J610" s="582" t="s">
        <v>191</v>
      </c>
      <c r="K610" s="582" t="s">
        <v>160</v>
      </c>
      <c r="L610" s="582" t="s">
        <v>161</v>
      </c>
      <c r="M610" s="582" t="s">
        <v>162</v>
      </c>
      <c r="N610" s="582" t="s">
        <v>2243</v>
      </c>
    </row>
    <row r="611" spans="1:14" ht="16.5">
      <c r="A611" s="582" t="s">
        <v>2081</v>
      </c>
      <c r="B611" s="582" t="s">
        <v>2244</v>
      </c>
      <c r="C611" s="585">
        <v>5.6712962962962956E-4</v>
      </c>
      <c r="D611" s="582" t="s">
        <v>2245</v>
      </c>
      <c r="E611" s="582" t="s">
        <v>154</v>
      </c>
      <c r="F611" s="582" t="s">
        <v>428</v>
      </c>
      <c r="G611" s="582" t="s">
        <v>429</v>
      </c>
      <c r="H611" s="582" t="s">
        <v>157</v>
      </c>
      <c r="I611" s="582" t="s">
        <v>158</v>
      </c>
      <c r="J611" s="582" t="s">
        <v>191</v>
      </c>
      <c r="K611" s="582" t="s">
        <v>169</v>
      </c>
      <c r="L611" s="582" t="s">
        <v>161</v>
      </c>
      <c r="M611" s="582" t="s">
        <v>162</v>
      </c>
      <c r="N611" s="582" t="s">
        <v>2246</v>
      </c>
    </row>
    <row r="612" spans="1:14" ht="16.5">
      <c r="A612" s="582" t="s">
        <v>2081</v>
      </c>
      <c r="B612" s="582" t="s">
        <v>2247</v>
      </c>
      <c r="C612" s="585">
        <v>6.4814814814814813E-4</v>
      </c>
      <c r="D612" s="582" t="s">
        <v>2248</v>
      </c>
      <c r="E612" s="582" t="s">
        <v>154</v>
      </c>
      <c r="F612" s="582" t="s">
        <v>173</v>
      </c>
      <c r="G612" s="582" t="s">
        <v>174</v>
      </c>
      <c r="H612" s="582" t="s">
        <v>157</v>
      </c>
      <c r="I612" s="582" t="s">
        <v>158</v>
      </c>
      <c r="J612" s="582" t="s">
        <v>191</v>
      </c>
      <c r="K612" s="582" t="s">
        <v>160</v>
      </c>
      <c r="L612" s="582" t="s">
        <v>161</v>
      </c>
      <c r="M612" s="582" t="s">
        <v>162</v>
      </c>
      <c r="N612" s="582" t="s">
        <v>2249</v>
      </c>
    </row>
    <row r="613" spans="1:14" ht="16.5">
      <c r="A613" s="582" t="s">
        <v>2081</v>
      </c>
      <c r="B613" s="582" t="s">
        <v>2250</v>
      </c>
      <c r="C613" s="585">
        <v>7.0601851851851847E-4</v>
      </c>
      <c r="D613" s="582" t="s">
        <v>2251</v>
      </c>
      <c r="E613" s="582" t="s">
        <v>154</v>
      </c>
      <c r="F613" s="582" t="s">
        <v>1586</v>
      </c>
      <c r="G613" s="582" t="s">
        <v>1607</v>
      </c>
      <c r="H613" s="582" t="s">
        <v>157</v>
      </c>
      <c r="I613" s="582" t="s">
        <v>197</v>
      </c>
      <c r="J613" s="582" t="s">
        <v>198</v>
      </c>
      <c r="K613" s="582" t="s">
        <v>160</v>
      </c>
      <c r="L613" s="582" t="s">
        <v>161</v>
      </c>
      <c r="M613" s="582" t="s">
        <v>162</v>
      </c>
      <c r="N613" s="582" t="s">
        <v>2252</v>
      </c>
    </row>
    <row r="614" spans="1:14" ht="16.5">
      <c r="A614" s="582" t="s">
        <v>2081</v>
      </c>
      <c r="B614" s="582" t="s">
        <v>2253</v>
      </c>
      <c r="C614" s="585">
        <v>2.6041666666666665E-3</v>
      </c>
      <c r="D614" s="582" t="s">
        <v>2254</v>
      </c>
      <c r="E614" s="582" t="s">
        <v>154</v>
      </c>
      <c r="F614" s="582" t="s">
        <v>2052</v>
      </c>
      <c r="G614" s="582" t="s">
        <v>2053</v>
      </c>
      <c r="H614" s="582" t="s">
        <v>157</v>
      </c>
      <c r="I614" s="582" t="s">
        <v>158</v>
      </c>
      <c r="J614" s="582" t="s">
        <v>168</v>
      </c>
      <c r="K614" s="582" t="s">
        <v>160</v>
      </c>
      <c r="L614" s="582" t="s">
        <v>161</v>
      </c>
      <c r="M614" s="582" t="s">
        <v>162</v>
      </c>
      <c r="N614" s="582" t="s">
        <v>2255</v>
      </c>
    </row>
    <row r="615" spans="1:14" ht="16.5">
      <c r="A615" s="582" t="s">
        <v>2081</v>
      </c>
      <c r="B615" s="582" t="s">
        <v>2256</v>
      </c>
      <c r="C615" s="585">
        <v>2.6620370370370372E-4</v>
      </c>
      <c r="D615" s="582" t="s">
        <v>2257</v>
      </c>
      <c r="E615" s="582" t="s">
        <v>154</v>
      </c>
      <c r="F615" s="582" t="s">
        <v>2003</v>
      </c>
      <c r="G615" s="582" t="s">
        <v>2004</v>
      </c>
      <c r="H615" s="582" t="s">
        <v>157</v>
      </c>
      <c r="I615" s="582" t="s">
        <v>158</v>
      </c>
      <c r="J615" s="582" t="s">
        <v>212</v>
      </c>
      <c r="K615" s="582" t="s">
        <v>160</v>
      </c>
      <c r="L615" s="582" t="s">
        <v>161</v>
      </c>
      <c r="M615" s="582" t="s">
        <v>162</v>
      </c>
      <c r="N615" s="582" t="s">
        <v>2258</v>
      </c>
    </row>
    <row r="616" spans="1:14" ht="16.5">
      <c r="A616" s="582" t="s">
        <v>2081</v>
      </c>
      <c r="B616" s="582" t="s">
        <v>2259</v>
      </c>
      <c r="C616" s="585">
        <v>1.273148148148148E-4</v>
      </c>
      <c r="D616" s="582" t="s">
        <v>2260</v>
      </c>
      <c r="E616" s="582" t="s">
        <v>154</v>
      </c>
      <c r="F616" s="582" t="s">
        <v>2261</v>
      </c>
      <c r="G616" s="582" t="s">
        <v>2262</v>
      </c>
      <c r="H616" s="582" t="s">
        <v>157</v>
      </c>
      <c r="I616" s="582" t="s">
        <v>158</v>
      </c>
      <c r="J616" s="582" t="s">
        <v>168</v>
      </c>
      <c r="K616" s="582" t="s">
        <v>160</v>
      </c>
      <c r="L616" s="582" t="s">
        <v>161</v>
      </c>
      <c r="M616" s="582" t="s">
        <v>162</v>
      </c>
      <c r="N616" s="582" t="s">
        <v>2263</v>
      </c>
    </row>
    <row r="617" spans="1:14" ht="16.5">
      <c r="A617" s="582" t="s">
        <v>2081</v>
      </c>
      <c r="B617" s="582" t="s">
        <v>2264</v>
      </c>
      <c r="C617" s="585">
        <v>3.0092592592592595E-4</v>
      </c>
      <c r="D617" s="582" t="s">
        <v>2265</v>
      </c>
      <c r="E617" s="582" t="s">
        <v>154</v>
      </c>
      <c r="F617" s="582" t="s">
        <v>2261</v>
      </c>
      <c r="G617" s="582" t="s">
        <v>2262</v>
      </c>
      <c r="H617" s="582" t="s">
        <v>157</v>
      </c>
      <c r="I617" s="582" t="s">
        <v>158</v>
      </c>
      <c r="J617" s="582" t="s">
        <v>168</v>
      </c>
      <c r="K617" s="582" t="s">
        <v>160</v>
      </c>
      <c r="L617" s="582" t="s">
        <v>161</v>
      </c>
      <c r="M617" s="582" t="s">
        <v>162</v>
      </c>
      <c r="N617" s="582" t="s">
        <v>2266</v>
      </c>
    </row>
    <row r="618" spans="1:14" ht="16.5">
      <c r="A618" s="582" t="s">
        <v>2081</v>
      </c>
      <c r="B618" s="582" t="s">
        <v>4306</v>
      </c>
      <c r="C618" s="582"/>
      <c r="D618" s="582"/>
      <c r="E618" s="582"/>
      <c r="F618" s="582" t="s">
        <v>2168</v>
      </c>
      <c r="G618" s="582" t="s">
        <v>2169</v>
      </c>
      <c r="H618" s="582" t="s">
        <v>157</v>
      </c>
      <c r="I618" s="582" t="s">
        <v>158</v>
      </c>
      <c r="J618" s="582" t="s">
        <v>713</v>
      </c>
      <c r="K618" s="582" t="s">
        <v>169</v>
      </c>
      <c r="L618" s="582" t="s">
        <v>161</v>
      </c>
      <c r="M618" s="582" t="s">
        <v>162</v>
      </c>
      <c r="N618" s="582" t="s">
        <v>4307</v>
      </c>
    </row>
    <row r="619" spans="1:14" ht="16.5">
      <c r="A619" s="582" t="s">
        <v>2081</v>
      </c>
      <c r="B619" s="582" t="s">
        <v>4308</v>
      </c>
      <c r="C619" s="582"/>
      <c r="D619" s="582"/>
      <c r="E619" s="582"/>
      <c r="F619" s="582" t="s">
        <v>1804</v>
      </c>
      <c r="G619" s="582" t="s">
        <v>2070</v>
      </c>
      <c r="H619" s="582" t="s">
        <v>157</v>
      </c>
      <c r="I619" s="582" t="s">
        <v>158</v>
      </c>
      <c r="J619" s="582" t="s">
        <v>212</v>
      </c>
      <c r="K619" s="582" t="s">
        <v>160</v>
      </c>
      <c r="L619" s="582" t="s">
        <v>161</v>
      </c>
      <c r="M619" s="582" t="s">
        <v>162</v>
      </c>
      <c r="N619" s="582" t="s">
        <v>4163</v>
      </c>
    </row>
    <row r="620" spans="1:14" ht="16.5">
      <c r="A620" s="582" t="s">
        <v>2081</v>
      </c>
      <c r="B620" s="582" t="s">
        <v>2267</v>
      </c>
      <c r="C620" s="585">
        <v>5.3240740740740744E-4</v>
      </c>
      <c r="D620" s="582" t="s">
        <v>2268</v>
      </c>
      <c r="E620" s="582" t="s">
        <v>154</v>
      </c>
      <c r="F620" s="582" t="s">
        <v>2163</v>
      </c>
      <c r="G620" s="582" t="s">
        <v>2164</v>
      </c>
      <c r="H620" s="582" t="s">
        <v>157</v>
      </c>
      <c r="I620" s="582" t="s">
        <v>158</v>
      </c>
      <c r="J620" s="582" t="s">
        <v>713</v>
      </c>
      <c r="K620" s="582" t="s">
        <v>169</v>
      </c>
      <c r="L620" s="582" t="s">
        <v>161</v>
      </c>
      <c r="M620" s="582" t="s">
        <v>162</v>
      </c>
      <c r="N620" s="582" t="s">
        <v>2269</v>
      </c>
    </row>
    <row r="621" spans="1:14" ht="16.5">
      <c r="A621" s="582" t="s">
        <v>2081</v>
      </c>
      <c r="B621" s="582" t="s">
        <v>2270</v>
      </c>
      <c r="C621" s="585">
        <v>7.291666666666667E-4</v>
      </c>
      <c r="D621" s="582" t="s">
        <v>2271</v>
      </c>
      <c r="E621" s="582" t="s">
        <v>154</v>
      </c>
      <c r="F621" s="582" t="s">
        <v>2272</v>
      </c>
      <c r="G621" s="582" t="s">
        <v>2273</v>
      </c>
      <c r="H621" s="582" t="s">
        <v>157</v>
      </c>
      <c r="I621" s="582" t="s">
        <v>158</v>
      </c>
      <c r="J621" s="582" t="s">
        <v>168</v>
      </c>
      <c r="K621" s="582" t="s">
        <v>160</v>
      </c>
      <c r="L621" s="582" t="s">
        <v>161</v>
      </c>
      <c r="M621" s="582" t="s">
        <v>162</v>
      </c>
      <c r="N621" s="582" t="s">
        <v>2274</v>
      </c>
    </row>
    <row r="622" spans="1:14" ht="16.5">
      <c r="A622" s="582" t="s">
        <v>2081</v>
      </c>
      <c r="B622" s="582" t="s">
        <v>4309</v>
      </c>
      <c r="C622" s="582"/>
      <c r="D622" s="582"/>
      <c r="E622" s="582"/>
      <c r="F622" s="582" t="s">
        <v>1666</v>
      </c>
      <c r="G622" s="582" t="s">
        <v>4310</v>
      </c>
      <c r="H622" s="582" t="s">
        <v>157</v>
      </c>
      <c r="I622" s="582" t="s">
        <v>158</v>
      </c>
      <c r="J622" s="582" t="s">
        <v>168</v>
      </c>
      <c r="K622" s="582" t="s">
        <v>160</v>
      </c>
      <c r="L622" s="582" t="s">
        <v>161</v>
      </c>
      <c r="M622" s="582" t="s">
        <v>162</v>
      </c>
      <c r="N622" s="582" t="s">
        <v>4311</v>
      </c>
    </row>
    <row r="623" spans="1:14" ht="16.5">
      <c r="A623" s="582" t="s">
        <v>1935</v>
      </c>
      <c r="B623" s="582" t="s">
        <v>1936</v>
      </c>
      <c r="C623" s="585">
        <v>4.6296296296296293E-4</v>
      </c>
      <c r="D623" s="582" t="s">
        <v>1937</v>
      </c>
      <c r="E623" s="582" t="s">
        <v>154</v>
      </c>
      <c r="F623" s="582" t="s">
        <v>1241</v>
      </c>
      <c r="G623" s="582" t="s">
        <v>1938</v>
      </c>
      <c r="H623" s="582" t="s">
        <v>157</v>
      </c>
      <c r="I623" s="582" t="s">
        <v>197</v>
      </c>
      <c r="J623" s="582" t="s">
        <v>198</v>
      </c>
      <c r="K623" s="582" t="s">
        <v>160</v>
      </c>
      <c r="L623" s="582" t="s">
        <v>161</v>
      </c>
      <c r="M623" s="582" t="s">
        <v>162</v>
      </c>
      <c r="N623" s="582" t="s">
        <v>1031</v>
      </c>
    </row>
    <row r="624" spans="1:14" ht="16.5">
      <c r="A624" s="582" t="s">
        <v>1935</v>
      </c>
      <c r="B624" s="582" t="s">
        <v>1943</v>
      </c>
      <c r="C624" s="585">
        <v>1.3541666666666667E-3</v>
      </c>
      <c r="D624" s="582" t="s">
        <v>1944</v>
      </c>
      <c r="E624" s="582" t="s">
        <v>154</v>
      </c>
      <c r="F624" s="582" t="s">
        <v>1241</v>
      </c>
      <c r="G624" s="582" t="s">
        <v>1938</v>
      </c>
      <c r="H624" s="582" t="s">
        <v>157</v>
      </c>
      <c r="I624" s="582" t="s">
        <v>197</v>
      </c>
      <c r="J624" s="582" t="s">
        <v>198</v>
      </c>
      <c r="K624" s="582" t="s">
        <v>160</v>
      </c>
      <c r="L624" s="582" t="s">
        <v>161</v>
      </c>
      <c r="M624" s="582" t="s">
        <v>162</v>
      </c>
      <c r="N624" s="582" t="s">
        <v>1945</v>
      </c>
    </row>
    <row r="625" spans="1:14" ht="16.5">
      <c r="A625" s="582" t="s">
        <v>1935</v>
      </c>
      <c r="B625" s="582" t="s">
        <v>1949</v>
      </c>
      <c r="C625" s="585">
        <v>1.1111111111111111E-3</v>
      </c>
      <c r="D625" s="582" t="s">
        <v>1950</v>
      </c>
      <c r="E625" s="582" t="s">
        <v>154</v>
      </c>
      <c r="F625" s="582" t="s">
        <v>1951</v>
      </c>
      <c r="G625" s="582" t="s">
        <v>1952</v>
      </c>
      <c r="H625" s="582" t="s">
        <v>157</v>
      </c>
      <c r="I625" s="582" t="s">
        <v>158</v>
      </c>
      <c r="J625" s="582" t="s">
        <v>212</v>
      </c>
      <c r="K625" s="582" t="s">
        <v>160</v>
      </c>
      <c r="L625" s="582" t="s">
        <v>161</v>
      </c>
      <c r="M625" s="582" t="s">
        <v>162</v>
      </c>
      <c r="N625" s="582" t="s">
        <v>1953</v>
      </c>
    </row>
    <row r="626" spans="1:14" ht="16.5">
      <c r="A626" s="582" t="s">
        <v>1935</v>
      </c>
      <c r="B626" s="582" t="s">
        <v>1954</v>
      </c>
      <c r="C626" s="585">
        <v>8.9120370370370362E-4</v>
      </c>
      <c r="D626" s="582" t="s">
        <v>1955</v>
      </c>
      <c r="E626" s="582" t="s">
        <v>154</v>
      </c>
      <c r="F626" s="582" t="s">
        <v>1413</v>
      </c>
      <c r="G626" s="582" t="s">
        <v>1956</v>
      </c>
      <c r="H626" s="582" t="s">
        <v>157</v>
      </c>
      <c r="I626" s="582" t="s">
        <v>158</v>
      </c>
      <c r="J626" s="582" t="s">
        <v>212</v>
      </c>
      <c r="K626" s="582" t="s">
        <v>95</v>
      </c>
      <c r="L626" s="582" t="s">
        <v>161</v>
      </c>
      <c r="M626" s="582" t="s">
        <v>162</v>
      </c>
      <c r="N626" s="582" t="s">
        <v>1957</v>
      </c>
    </row>
    <row r="627" spans="1:14" ht="16.5">
      <c r="A627" s="582" t="s">
        <v>1935</v>
      </c>
      <c r="B627" s="582" t="s">
        <v>1958</v>
      </c>
      <c r="C627" s="585">
        <v>2.5115740740740741E-3</v>
      </c>
      <c r="D627" s="582" t="s">
        <v>1959</v>
      </c>
      <c r="E627" s="582" t="s">
        <v>154</v>
      </c>
      <c r="F627" s="582" t="s">
        <v>1851</v>
      </c>
      <c r="G627" s="582" t="s">
        <v>1960</v>
      </c>
      <c r="H627" s="582" t="s">
        <v>157</v>
      </c>
      <c r="I627" s="582" t="s">
        <v>158</v>
      </c>
      <c r="J627" s="582" t="s">
        <v>212</v>
      </c>
      <c r="K627" s="582" t="s">
        <v>160</v>
      </c>
      <c r="L627" s="582" t="s">
        <v>161</v>
      </c>
      <c r="M627" s="582" t="s">
        <v>162</v>
      </c>
      <c r="N627" s="582" t="s">
        <v>1961</v>
      </c>
    </row>
    <row r="628" spans="1:14" ht="16.5">
      <c r="A628" s="582" t="s">
        <v>1935</v>
      </c>
      <c r="B628" s="582" t="s">
        <v>1962</v>
      </c>
      <c r="C628" s="585">
        <v>7.7546296296296304E-4</v>
      </c>
      <c r="D628" s="582" t="s">
        <v>1963</v>
      </c>
      <c r="E628" s="582" t="s">
        <v>154</v>
      </c>
      <c r="F628" s="582" t="s">
        <v>1851</v>
      </c>
      <c r="G628" s="582" t="s">
        <v>1852</v>
      </c>
      <c r="H628" s="582" t="s">
        <v>157</v>
      </c>
      <c r="I628" s="582" t="s">
        <v>158</v>
      </c>
      <c r="J628" s="582" t="s">
        <v>212</v>
      </c>
      <c r="K628" s="582" t="s">
        <v>160</v>
      </c>
      <c r="L628" s="582" t="s">
        <v>161</v>
      </c>
      <c r="M628" s="582" t="s">
        <v>162</v>
      </c>
      <c r="N628" s="582" t="s">
        <v>1964</v>
      </c>
    </row>
    <row r="629" spans="1:14" ht="16.5">
      <c r="A629" s="582" t="s">
        <v>1935</v>
      </c>
      <c r="B629" s="582" t="s">
        <v>1965</v>
      </c>
      <c r="C629" s="585">
        <v>8.449074074074075E-4</v>
      </c>
      <c r="D629" s="582" t="s">
        <v>1966</v>
      </c>
      <c r="E629" s="582" t="s">
        <v>154</v>
      </c>
      <c r="F629" s="582" t="s">
        <v>1851</v>
      </c>
      <c r="G629" s="582" t="s">
        <v>1960</v>
      </c>
      <c r="H629" s="582" t="s">
        <v>157</v>
      </c>
      <c r="I629" s="582" t="s">
        <v>158</v>
      </c>
      <c r="J629" s="582" t="s">
        <v>212</v>
      </c>
      <c r="K629" s="582" t="s">
        <v>160</v>
      </c>
      <c r="L629" s="582" t="s">
        <v>161</v>
      </c>
      <c r="M629" s="582" t="s">
        <v>162</v>
      </c>
      <c r="N629" s="582" t="s">
        <v>1967</v>
      </c>
    </row>
    <row r="630" spans="1:14" ht="16.5">
      <c r="A630" s="582" t="s">
        <v>1935</v>
      </c>
      <c r="B630" s="582" t="s">
        <v>1971</v>
      </c>
      <c r="C630" s="585">
        <v>1.6666666666666668E-3</v>
      </c>
      <c r="D630" s="582" t="s">
        <v>1972</v>
      </c>
      <c r="E630" s="582" t="s">
        <v>154</v>
      </c>
      <c r="F630" s="582" t="s">
        <v>1973</v>
      </c>
      <c r="G630" s="582" t="s">
        <v>1974</v>
      </c>
      <c r="H630" s="582" t="s">
        <v>157</v>
      </c>
      <c r="I630" s="582" t="s">
        <v>158</v>
      </c>
      <c r="J630" s="582" t="s">
        <v>212</v>
      </c>
      <c r="K630" s="582" t="s">
        <v>95</v>
      </c>
      <c r="L630" s="582" t="s">
        <v>161</v>
      </c>
      <c r="M630" s="582" t="s">
        <v>162</v>
      </c>
      <c r="N630" s="582" t="s">
        <v>1975</v>
      </c>
    </row>
    <row r="631" spans="1:14" ht="16.5">
      <c r="A631" s="582" t="s">
        <v>1935</v>
      </c>
      <c r="B631" s="582" t="s">
        <v>1976</v>
      </c>
      <c r="C631" s="585">
        <v>1.9328703703703704E-3</v>
      </c>
      <c r="D631" s="582" t="s">
        <v>1977</v>
      </c>
      <c r="E631" s="582" t="s">
        <v>154</v>
      </c>
      <c r="F631" s="582" t="s">
        <v>156</v>
      </c>
      <c r="G631" s="582" t="s">
        <v>1852</v>
      </c>
      <c r="H631" s="582" t="s">
        <v>157</v>
      </c>
      <c r="I631" s="582" t="s">
        <v>158</v>
      </c>
      <c r="J631" s="582" t="s">
        <v>168</v>
      </c>
      <c r="K631" s="582" t="s">
        <v>160</v>
      </c>
      <c r="L631" s="582" t="s">
        <v>161</v>
      </c>
      <c r="M631" s="582" t="s">
        <v>162</v>
      </c>
      <c r="N631" s="582" t="s">
        <v>1978</v>
      </c>
    </row>
    <row r="632" spans="1:14" ht="16.5">
      <c r="A632" s="582" t="s">
        <v>1935</v>
      </c>
      <c r="B632" s="582" t="s">
        <v>1979</v>
      </c>
      <c r="C632" s="585">
        <v>1.25E-3</v>
      </c>
      <c r="D632" s="582" t="s">
        <v>1980</v>
      </c>
      <c r="E632" s="582" t="s">
        <v>154</v>
      </c>
      <c r="F632" s="582" t="s">
        <v>1661</v>
      </c>
      <c r="G632" s="582" t="s">
        <v>1981</v>
      </c>
      <c r="H632" s="582" t="s">
        <v>157</v>
      </c>
      <c r="I632" s="582" t="s">
        <v>158</v>
      </c>
      <c r="J632" s="582" t="s">
        <v>212</v>
      </c>
      <c r="K632" s="582" t="s">
        <v>160</v>
      </c>
      <c r="L632" s="582" t="s">
        <v>161</v>
      </c>
      <c r="M632" s="582" t="s">
        <v>162</v>
      </c>
      <c r="N632" s="582" t="s">
        <v>1982</v>
      </c>
    </row>
    <row r="633" spans="1:14" ht="16.5">
      <c r="A633" s="582" t="s">
        <v>1935</v>
      </c>
      <c r="B633" s="582" t="s">
        <v>1983</v>
      </c>
      <c r="C633" s="585">
        <v>1.7245370370370372E-3</v>
      </c>
      <c r="D633" s="582" t="s">
        <v>1984</v>
      </c>
      <c r="E633" s="582" t="s">
        <v>154</v>
      </c>
      <c r="F633" s="582" t="s">
        <v>1985</v>
      </c>
      <c r="G633" s="582" t="s">
        <v>1986</v>
      </c>
      <c r="H633" s="582" t="s">
        <v>157</v>
      </c>
      <c r="I633" s="582" t="s">
        <v>158</v>
      </c>
      <c r="J633" s="582" t="s">
        <v>168</v>
      </c>
      <c r="K633" s="582" t="s">
        <v>95</v>
      </c>
      <c r="L633" s="582" t="s">
        <v>161</v>
      </c>
      <c r="M633" s="582" t="s">
        <v>162</v>
      </c>
      <c r="N633" s="582" t="s">
        <v>1987</v>
      </c>
    </row>
    <row r="634" spans="1:14" ht="16.5">
      <c r="A634" s="582" t="s">
        <v>1935</v>
      </c>
      <c r="B634" s="582" t="s">
        <v>1988</v>
      </c>
      <c r="C634" s="585">
        <v>3.8194444444444446E-4</v>
      </c>
      <c r="D634" s="582" t="s">
        <v>1989</v>
      </c>
      <c r="E634" s="582" t="s">
        <v>154</v>
      </c>
      <c r="F634" s="582" t="s">
        <v>1990</v>
      </c>
      <c r="G634" s="582" t="s">
        <v>1991</v>
      </c>
      <c r="H634" s="582" t="s">
        <v>157</v>
      </c>
      <c r="I634" s="582" t="s">
        <v>158</v>
      </c>
      <c r="J634" s="582" t="s">
        <v>168</v>
      </c>
      <c r="K634" s="582" t="s">
        <v>160</v>
      </c>
      <c r="L634" s="582" t="s">
        <v>161</v>
      </c>
      <c r="M634" s="582" t="s">
        <v>162</v>
      </c>
      <c r="N634" s="582" t="s">
        <v>1992</v>
      </c>
    </row>
    <row r="635" spans="1:14" ht="16.5">
      <c r="A635" s="582" t="s">
        <v>1935</v>
      </c>
      <c r="B635" s="582" t="s">
        <v>1993</v>
      </c>
      <c r="C635" s="585">
        <v>1.0532407407407407E-3</v>
      </c>
      <c r="D635" s="582" t="s">
        <v>1994</v>
      </c>
      <c r="E635" s="582" t="s">
        <v>154</v>
      </c>
      <c r="F635" s="582" t="s">
        <v>1995</v>
      </c>
      <c r="G635" s="582" t="s">
        <v>1996</v>
      </c>
      <c r="H635" s="582" t="s">
        <v>157</v>
      </c>
      <c r="I635" s="582" t="s">
        <v>158</v>
      </c>
      <c r="J635" s="582" t="s">
        <v>168</v>
      </c>
      <c r="K635" s="582" t="s">
        <v>95</v>
      </c>
      <c r="L635" s="582" t="s">
        <v>161</v>
      </c>
      <c r="M635" s="582" t="s">
        <v>162</v>
      </c>
      <c r="N635" s="582" t="s">
        <v>1997</v>
      </c>
    </row>
    <row r="636" spans="1:14" ht="16.5">
      <c r="A636" s="582" t="s">
        <v>1935</v>
      </c>
      <c r="B636" s="582" t="s">
        <v>2001</v>
      </c>
      <c r="C636" s="585">
        <v>5.5555555555555556E-4</v>
      </c>
      <c r="D636" s="582" t="s">
        <v>2002</v>
      </c>
      <c r="E636" s="582" t="s">
        <v>154</v>
      </c>
      <c r="F636" s="582" t="s">
        <v>2003</v>
      </c>
      <c r="G636" s="582" t="s">
        <v>2004</v>
      </c>
      <c r="H636" s="582" t="s">
        <v>157</v>
      </c>
      <c r="I636" s="582" t="s">
        <v>158</v>
      </c>
      <c r="J636" s="582" t="s">
        <v>212</v>
      </c>
      <c r="K636" s="582" t="s">
        <v>160</v>
      </c>
      <c r="L636" s="582" t="s">
        <v>161</v>
      </c>
      <c r="M636" s="582" t="s">
        <v>162</v>
      </c>
      <c r="N636" s="582" t="s">
        <v>2005</v>
      </c>
    </row>
    <row r="637" spans="1:14" ht="16.5">
      <c r="A637" s="582" t="s">
        <v>1935</v>
      </c>
      <c r="B637" s="582" t="s">
        <v>2006</v>
      </c>
      <c r="C637" s="585">
        <v>1.7013888888888892E-3</v>
      </c>
      <c r="D637" s="582" t="s">
        <v>2007</v>
      </c>
      <c r="E637" s="582" t="s">
        <v>154</v>
      </c>
      <c r="F637" s="582" t="s">
        <v>2003</v>
      </c>
      <c r="G637" s="582" t="s">
        <v>2008</v>
      </c>
      <c r="H637" s="582" t="s">
        <v>157</v>
      </c>
      <c r="I637" s="582" t="s">
        <v>158</v>
      </c>
      <c r="J637" s="582" t="s">
        <v>168</v>
      </c>
      <c r="K637" s="582" t="s">
        <v>160</v>
      </c>
      <c r="L637" s="582" t="s">
        <v>161</v>
      </c>
      <c r="M637" s="582" t="s">
        <v>162</v>
      </c>
      <c r="N637" s="582" t="s">
        <v>2009</v>
      </c>
    </row>
    <row r="638" spans="1:14" ht="16.5">
      <c r="A638" s="582" t="s">
        <v>1935</v>
      </c>
      <c r="B638" s="582" t="s">
        <v>2010</v>
      </c>
      <c r="C638" s="585">
        <v>2.0486111111111113E-3</v>
      </c>
      <c r="D638" s="582" t="s">
        <v>2011</v>
      </c>
      <c r="E638" s="582" t="s">
        <v>154</v>
      </c>
      <c r="F638" s="582" t="s">
        <v>2012</v>
      </c>
      <c r="G638" s="582" t="s">
        <v>2013</v>
      </c>
      <c r="H638" s="582" t="s">
        <v>157</v>
      </c>
      <c r="I638" s="582" t="s">
        <v>158</v>
      </c>
      <c r="J638" s="582" t="s">
        <v>212</v>
      </c>
      <c r="K638" s="582" t="s">
        <v>160</v>
      </c>
      <c r="L638" s="582" t="s">
        <v>161</v>
      </c>
      <c r="M638" s="582" t="s">
        <v>162</v>
      </c>
      <c r="N638" s="582" t="s">
        <v>2014</v>
      </c>
    </row>
    <row r="639" spans="1:14" ht="16.5">
      <c r="A639" s="582" t="s">
        <v>1935</v>
      </c>
      <c r="B639" s="582" t="s">
        <v>2015</v>
      </c>
      <c r="C639" s="585">
        <v>1.9791666666666668E-3</v>
      </c>
      <c r="D639" s="582" t="s">
        <v>2016</v>
      </c>
      <c r="E639" s="582" t="s">
        <v>154</v>
      </c>
      <c r="F639" s="582" t="s">
        <v>2012</v>
      </c>
      <c r="G639" s="582" t="s">
        <v>2017</v>
      </c>
      <c r="H639" s="582" t="s">
        <v>157</v>
      </c>
      <c r="I639" s="582" t="s">
        <v>158</v>
      </c>
      <c r="J639" s="582" t="s">
        <v>168</v>
      </c>
      <c r="K639" s="582" t="s">
        <v>160</v>
      </c>
      <c r="L639" s="582" t="s">
        <v>161</v>
      </c>
      <c r="M639" s="582" t="s">
        <v>162</v>
      </c>
      <c r="N639" s="582" t="s">
        <v>2018</v>
      </c>
    </row>
    <row r="640" spans="1:14" ht="16.5">
      <c r="A640" s="582" t="s">
        <v>1935</v>
      </c>
      <c r="B640" s="582" t="s">
        <v>2019</v>
      </c>
      <c r="C640" s="585">
        <v>2.2106481481481478E-3</v>
      </c>
      <c r="D640" s="582" t="s">
        <v>2020</v>
      </c>
      <c r="E640" s="582" t="s">
        <v>154</v>
      </c>
      <c r="F640" s="582" t="s">
        <v>1951</v>
      </c>
      <c r="G640" s="582" t="s">
        <v>1952</v>
      </c>
      <c r="H640" s="582" t="s">
        <v>157</v>
      </c>
      <c r="I640" s="582" t="s">
        <v>158</v>
      </c>
      <c r="J640" s="582" t="s">
        <v>212</v>
      </c>
      <c r="K640" s="582" t="s">
        <v>160</v>
      </c>
      <c r="L640" s="582" t="s">
        <v>161</v>
      </c>
      <c r="M640" s="582" t="s">
        <v>162</v>
      </c>
      <c r="N640" s="582" t="s">
        <v>2021</v>
      </c>
    </row>
    <row r="641" spans="1:14" ht="16.5">
      <c r="A641" s="582" t="s">
        <v>1935</v>
      </c>
      <c r="B641" s="582" t="s">
        <v>2022</v>
      </c>
      <c r="C641" s="585">
        <v>2.3611111111111111E-3</v>
      </c>
      <c r="D641" s="582" t="s">
        <v>2023</v>
      </c>
      <c r="E641" s="582" t="s">
        <v>154</v>
      </c>
      <c r="F641" s="582" t="s">
        <v>1951</v>
      </c>
      <c r="G641" s="582" t="s">
        <v>2024</v>
      </c>
      <c r="H641" s="582" t="s">
        <v>157</v>
      </c>
      <c r="I641" s="582" t="s">
        <v>158</v>
      </c>
      <c r="J641" s="582" t="s">
        <v>168</v>
      </c>
      <c r="K641" s="582" t="s">
        <v>160</v>
      </c>
      <c r="L641" s="582" t="s">
        <v>161</v>
      </c>
      <c r="M641" s="582" t="s">
        <v>162</v>
      </c>
      <c r="N641" s="582" t="s">
        <v>2025</v>
      </c>
    </row>
    <row r="642" spans="1:14" ht="16.5">
      <c r="A642" s="582" t="s">
        <v>1935</v>
      </c>
      <c r="B642" s="582" t="s">
        <v>2026</v>
      </c>
      <c r="C642" s="585">
        <v>4.6296296296296293E-4</v>
      </c>
      <c r="D642" s="582" t="s">
        <v>2027</v>
      </c>
      <c r="E642" s="582" t="s">
        <v>154</v>
      </c>
      <c r="F642" s="582" t="s">
        <v>1545</v>
      </c>
      <c r="G642" s="582" t="s">
        <v>1546</v>
      </c>
      <c r="H642" s="582" t="s">
        <v>157</v>
      </c>
      <c r="I642" s="582" t="s">
        <v>158</v>
      </c>
      <c r="J642" s="582" t="s">
        <v>159</v>
      </c>
      <c r="K642" s="582" t="s">
        <v>160</v>
      </c>
      <c r="L642" s="582" t="s">
        <v>161</v>
      </c>
      <c r="M642" s="582" t="s">
        <v>162</v>
      </c>
      <c r="N642" s="582" t="s">
        <v>2028</v>
      </c>
    </row>
    <row r="643" spans="1:14" ht="16.5">
      <c r="A643" s="582" t="s">
        <v>1935</v>
      </c>
      <c r="B643" s="582" t="s">
        <v>2029</v>
      </c>
      <c r="C643" s="585">
        <v>3.5879629629629635E-4</v>
      </c>
      <c r="D643" s="582" t="s">
        <v>2030</v>
      </c>
      <c r="E643" s="582" t="s">
        <v>154</v>
      </c>
      <c r="F643" s="582" t="s">
        <v>1851</v>
      </c>
      <c r="G643" s="582" t="s">
        <v>1852</v>
      </c>
      <c r="H643" s="582" t="s">
        <v>157</v>
      </c>
      <c r="I643" s="582" t="s">
        <v>158</v>
      </c>
      <c r="J643" s="582" t="s">
        <v>168</v>
      </c>
      <c r="K643" s="582" t="s">
        <v>160</v>
      </c>
      <c r="L643" s="582" t="s">
        <v>161</v>
      </c>
      <c r="M643" s="582" t="s">
        <v>162</v>
      </c>
      <c r="N643" s="582" t="s">
        <v>2031</v>
      </c>
    </row>
    <row r="644" spans="1:14" ht="16.5">
      <c r="A644" s="582" t="s">
        <v>1935</v>
      </c>
      <c r="B644" s="582" t="s">
        <v>2032</v>
      </c>
      <c r="C644" s="585">
        <v>3.2986111111111111E-3</v>
      </c>
      <c r="D644" s="582" t="s">
        <v>2033</v>
      </c>
      <c r="E644" s="582" t="s">
        <v>154</v>
      </c>
      <c r="F644" s="582" t="s">
        <v>2034</v>
      </c>
      <c r="G644" s="582" t="s">
        <v>2035</v>
      </c>
      <c r="H644" s="582" t="s">
        <v>157</v>
      </c>
      <c r="I644" s="582" t="s">
        <v>158</v>
      </c>
      <c r="J644" s="582" t="s">
        <v>212</v>
      </c>
      <c r="K644" s="582" t="s">
        <v>160</v>
      </c>
      <c r="L644" s="582" t="s">
        <v>161</v>
      </c>
      <c r="M644" s="582" t="s">
        <v>162</v>
      </c>
      <c r="N644" s="582" t="s">
        <v>2036</v>
      </c>
    </row>
    <row r="645" spans="1:14" ht="16.5">
      <c r="A645" s="582" t="s">
        <v>1935</v>
      </c>
      <c r="B645" s="582" t="s">
        <v>2037</v>
      </c>
      <c r="C645" s="585">
        <v>1.0300925925925926E-3</v>
      </c>
      <c r="D645" s="582" t="s">
        <v>2038</v>
      </c>
      <c r="E645" s="582" t="s">
        <v>154</v>
      </c>
      <c r="F645" s="582" t="s">
        <v>2039</v>
      </c>
      <c r="G645" s="582" t="s">
        <v>2040</v>
      </c>
      <c r="H645" s="582" t="s">
        <v>157</v>
      </c>
      <c r="I645" s="582" t="s">
        <v>158</v>
      </c>
      <c r="J645" s="582" t="s">
        <v>212</v>
      </c>
      <c r="K645" s="582" t="s">
        <v>160</v>
      </c>
      <c r="L645" s="582" t="s">
        <v>161</v>
      </c>
      <c r="M645" s="582" t="s">
        <v>162</v>
      </c>
      <c r="N645" s="582" t="s">
        <v>2041</v>
      </c>
    </row>
    <row r="646" spans="1:14" ht="16.5">
      <c r="A646" s="582" t="s">
        <v>1935</v>
      </c>
      <c r="B646" s="582" t="s">
        <v>2042</v>
      </c>
      <c r="C646" s="585">
        <v>1.8287037037037037E-3</v>
      </c>
      <c r="D646" s="582" t="s">
        <v>2043</v>
      </c>
      <c r="E646" s="582" t="s">
        <v>154</v>
      </c>
      <c r="F646" s="582" t="s">
        <v>2039</v>
      </c>
      <c r="G646" s="582" t="s">
        <v>2044</v>
      </c>
      <c r="H646" s="582" t="s">
        <v>157</v>
      </c>
      <c r="I646" s="582" t="s">
        <v>158</v>
      </c>
      <c r="J646" s="582" t="s">
        <v>168</v>
      </c>
      <c r="K646" s="582" t="s">
        <v>160</v>
      </c>
      <c r="L646" s="582" t="s">
        <v>161</v>
      </c>
      <c r="M646" s="582" t="s">
        <v>162</v>
      </c>
      <c r="N646" s="582" t="s">
        <v>2045</v>
      </c>
    </row>
    <row r="647" spans="1:14" ht="16.5">
      <c r="A647" s="582" t="s">
        <v>1935</v>
      </c>
      <c r="B647" s="582" t="s">
        <v>4312</v>
      </c>
      <c r="C647" s="582"/>
      <c r="D647" s="582"/>
      <c r="E647" s="582"/>
      <c r="F647" s="582" t="s">
        <v>1647</v>
      </c>
      <c r="G647" s="582" t="s">
        <v>1652</v>
      </c>
      <c r="H647" s="582" t="s">
        <v>157</v>
      </c>
      <c r="I647" s="582" t="s">
        <v>158</v>
      </c>
      <c r="J647" s="582" t="s">
        <v>191</v>
      </c>
      <c r="K647" s="582" t="s">
        <v>95</v>
      </c>
      <c r="L647" s="582" t="s">
        <v>161</v>
      </c>
      <c r="M647" s="582" t="s">
        <v>162</v>
      </c>
      <c r="N647" s="582" t="s">
        <v>4313</v>
      </c>
    </row>
    <row r="648" spans="1:14" ht="16.5">
      <c r="A648" s="582" t="s">
        <v>1935</v>
      </c>
      <c r="B648" s="582" t="s">
        <v>2046</v>
      </c>
      <c r="C648" s="585">
        <v>3.4722222222222222E-5</v>
      </c>
      <c r="D648" s="582" t="s">
        <v>2047</v>
      </c>
      <c r="E648" s="582" t="s">
        <v>154</v>
      </c>
      <c r="F648" s="582" t="s">
        <v>1418</v>
      </c>
      <c r="G648" s="582" t="s">
        <v>1419</v>
      </c>
      <c r="H648" s="582" t="s">
        <v>157</v>
      </c>
      <c r="I648" s="582" t="s">
        <v>197</v>
      </c>
      <c r="J648" s="582" t="s">
        <v>198</v>
      </c>
      <c r="K648" s="582" t="s">
        <v>160</v>
      </c>
      <c r="L648" s="582" t="s">
        <v>161</v>
      </c>
      <c r="M648" s="582" t="s">
        <v>162</v>
      </c>
      <c r="N648" s="582" t="s">
        <v>2048</v>
      </c>
    </row>
    <row r="649" spans="1:14" ht="16.5">
      <c r="A649" s="582" t="s">
        <v>1935</v>
      </c>
      <c r="B649" s="582" t="s">
        <v>2049</v>
      </c>
      <c r="C649" s="585">
        <v>2.9166666666666668E-3</v>
      </c>
      <c r="D649" s="582" t="s">
        <v>2050</v>
      </c>
      <c r="E649" s="582" t="s">
        <v>154</v>
      </c>
      <c r="F649" s="582" t="s">
        <v>707</v>
      </c>
      <c r="G649" s="582" t="s">
        <v>700</v>
      </c>
      <c r="H649" s="582" t="s">
        <v>157</v>
      </c>
      <c r="I649" s="582" t="s">
        <v>176</v>
      </c>
      <c r="J649" s="582" t="s">
        <v>1406</v>
      </c>
      <c r="K649" s="582" t="s">
        <v>160</v>
      </c>
      <c r="L649" s="582" t="s">
        <v>161</v>
      </c>
      <c r="M649" s="582" t="s">
        <v>162</v>
      </c>
      <c r="N649" s="582" t="s">
        <v>2051</v>
      </c>
    </row>
    <row r="650" spans="1:14" ht="16.5">
      <c r="A650" s="582" t="s">
        <v>1935</v>
      </c>
      <c r="B650" s="582" t="s">
        <v>4314</v>
      </c>
      <c r="C650" s="582"/>
      <c r="D650" s="582"/>
      <c r="E650" s="582"/>
      <c r="F650" s="582" t="s">
        <v>2052</v>
      </c>
      <c r="G650" s="582" t="s">
        <v>2053</v>
      </c>
      <c r="H650" s="582" t="s">
        <v>157</v>
      </c>
      <c r="I650" s="582" t="s">
        <v>158</v>
      </c>
      <c r="J650" s="582" t="s">
        <v>168</v>
      </c>
      <c r="K650" s="582" t="s">
        <v>160</v>
      </c>
      <c r="L650" s="582" t="s">
        <v>161</v>
      </c>
      <c r="M650" s="582" t="s">
        <v>162</v>
      </c>
      <c r="N650" s="582" t="s">
        <v>4315</v>
      </c>
    </row>
    <row r="651" spans="1:14" ht="16.5">
      <c r="A651" s="582" t="s">
        <v>1935</v>
      </c>
      <c r="B651" s="582" t="s">
        <v>2054</v>
      </c>
      <c r="C651" s="585">
        <v>1.2384259259259258E-3</v>
      </c>
      <c r="D651" s="582" t="s">
        <v>2055</v>
      </c>
      <c r="E651" s="582" t="s">
        <v>154</v>
      </c>
      <c r="F651" s="582" t="s">
        <v>1341</v>
      </c>
      <c r="G651" s="582" t="s">
        <v>2056</v>
      </c>
      <c r="H651" s="582" t="s">
        <v>157</v>
      </c>
      <c r="I651" s="582" t="s">
        <v>158</v>
      </c>
      <c r="J651" s="582" t="s">
        <v>212</v>
      </c>
      <c r="K651" s="582" t="s">
        <v>160</v>
      </c>
      <c r="L651" s="582" t="s">
        <v>161</v>
      </c>
      <c r="M651" s="582" t="s">
        <v>162</v>
      </c>
      <c r="N651" s="582" t="s">
        <v>2057</v>
      </c>
    </row>
    <row r="652" spans="1:14" ht="16.5">
      <c r="A652" s="582" t="s">
        <v>1935</v>
      </c>
      <c r="B652" s="582" t="s">
        <v>2058</v>
      </c>
      <c r="C652" s="585">
        <v>1.6782407407407406E-3</v>
      </c>
      <c r="D652" s="582" t="s">
        <v>2059</v>
      </c>
      <c r="E652" s="582" t="s">
        <v>154</v>
      </c>
      <c r="F652" s="582" t="s">
        <v>1341</v>
      </c>
      <c r="G652" s="582" t="s">
        <v>2056</v>
      </c>
      <c r="H652" s="582" t="s">
        <v>157</v>
      </c>
      <c r="I652" s="582" t="s">
        <v>158</v>
      </c>
      <c r="J652" s="582" t="s">
        <v>212</v>
      </c>
      <c r="K652" s="582" t="s">
        <v>160</v>
      </c>
      <c r="L652" s="582" t="s">
        <v>161</v>
      </c>
      <c r="M652" s="582" t="s">
        <v>162</v>
      </c>
      <c r="N652" s="582" t="s">
        <v>2060</v>
      </c>
    </row>
    <row r="653" spans="1:14" ht="16.5">
      <c r="A653" s="582" t="s">
        <v>1935</v>
      </c>
      <c r="B653" s="582" t="s">
        <v>2061</v>
      </c>
      <c r="C653" s="585">
        <v>1.5162037037037036E-3</v>
      </c>
      <c r="D653" s="582" t="s">
        <v>2062</v>
      </c>
      <c r="E653" s="582" t="s">
        <v>154</v>
      </c>
      <c r="F653" s="582" t="s">
        <v>1817</v>
      </c>
      <c r="G653" s="582" t="s">
        <v>2063</v>
      </c>
      <c r="H653" s="582" t="s">
        <v>157</v>
      </c>
      <c r="I653" s="582" t="s">
        <v>158</v>
      </c>
      <c r="J653" s="582" t="s">
        <v>212</v>
      </c>
      <c r="K653" s="582" t="s">
        <v>160</v>
      </c>
      <c r="L653" s="582" t="s">
        <v>161</v>
      </c>
      <c r="M653" s="582" t="s">
        <v>162</v>
      </c>
      <c r="N653" s="582" t="s">
        <v>2064</v>
      </c>
    </row>
    <row r="654" spans="1:14" ht="16.5">
      <c r="A654" s="582" t="s">
        <v>1935</v>
      </c>
      <c r="B654" s="582" t="s">
        <v>2065</v>
      </c>
      <c r="C654" s="585">
        <v>1.1574074074074073E-3</v>
      </c>
      <c r="D654" s="582" t="s">
        <v>2066</v>
      </c>
      <c r="E654" s="582" t="s">
        <v>154</v>
      </c>
      <c r="F654" s="582" t="s">
        <v>1586</v>
      </c>
      <c r="G654" s="582" t="s">
        <v>1587</v>
      </c>
      <c r="H654" s="582" t="s">
        <v>157</v>
      </c>
      <c r="I654" s="582" t="s">
        <v>158</v>
      </c>
      <c r="J654" s="582" t="s">
        <v>212</v>
      </c>
      <c r="K654" s="582" t="s">
        <v>160</v>
      </c>
      <c r="L654" s="582" t="s">
        <v>161</v>
      </c>
      <c r="M654" s="582" t="s">
        <v>162</v>
      </c>
      <c r="N654" s="582" t="s">
        <v>2067</v>
      </c>
    </row>
    <row r="655" spans="1:14" ht="16.5">
      <c r="A655" s="582" t="s">
        <v>1935</v>
      </c>
      <c r="B655" s="582" t="s">
        <v>2068</v>
      </c>
      <c r="C655" s="585">
        <v>6.9444444444444447E-4</v>
      </c>
      <c r="D655" s="582" t="s">
        <v>2069</v>
      </c>
      <c r="E655" s="582" t="s">
        <v>154</v>
      </c>
      <c r="F655" s="582" t="s">
        <v>1804</v>
      </c>
      <c r="G655" s="582" t="s">
        <v>2070</v>
      </c>
      <c r="H655" s="582" t="s">
        <v>157</v>
      </c>
      <c r="I655" s="582" t="s">
        <v>158</v>
      </c>
      <c r="J655" s="582" t="s">
        <v>212</v>
      </c>
      <c r="K655" s="582" t="s">
        <v>160</v>
      </c>
      <c r="L655" s="582" t="s">
        <v>161</v>
      </c>
      <c r="M655" s="582" t="s">
        <v>162</v>
      </c>
      <c r="N655" s="582" t="s">
        <v>2071</v>
      </c>
    </row>
    <row r="656" spans="1:14" ht="16.5">
      <c r="A656" s="582" t="s">
        <v>1935</v>
      </c>
      <c r="B656" s="582" t="s">
        <v>2072</v>
      </c>
      <c r="C656" s="585">
        <v>2.0254629629629629E-3</v>
      </c>
      <c r="D656" s="582" t="s">
        <v>2073</v>
      </c>
      <c r="E656" s="582" t="s">
        <v>154</v>
      </c>
      <c r="F656" s="582" t="s">
        <v>2074</v>
      </c>
      <c r="G656" s="582" t="s">
        <v>1928</v>
      </c>
      <c r="H656" s="582" t="s">
        <v>157</v>
      </c>
      <c r="I656" s="582" t="s">
        <v>158</v>
      </c>
      <c r="J656" s="582" t="s">
        <v>168</v>
      </c>
      <c r="K656" s="582" t="s">
        <v>160</v>
      </c>
      <c r="L656" s="582" t="s">
        <v>161</v>
      </c>
      <c r="M656" s="582" t="s">
        <v>162</v>
      </c>
      <c r="N656" s="582" t="s">
        <v>2075</v>
      </c>
    </row>
    <row r="657" spans="1:14" ht="16.5">
      <c r="A657" s="582" t="s">
        <v>1935</v>
      </c>
      <c r="B657" s="582" t="s">
        <v>2076</v>
      </c>
      <c r="C657" s="585">
        <v>3.2407407407407406E-4</v>
      </c>
      <c r="D657" s="582" t="s">
        <v>2077</v>
      </c>
      <c r="E657" s="582" t="s">
        <v>154</v>
      </c>
      <c r="F657" s="582" t="s">
        <v>1341</v>
      </c>
      <c r="G657" s="582" t="s">
        <v>2056</v>
      </c>
      <c r="H657" s="582" t="s">
        <v>157</v>
      </c>
      <c r="I657" s="582" t="s">
        <v>158</v>
      </c>
      <c r="J657" s="582" t="s">
        <v>212</v>
      </c>
      <c r="K657" s="582" t="s">
        <v>160</v>
      </c>
      <c r="L657" s="582" t="s">
        <v>161</v>
      </c>
      <c r="M657" s="582" t="s">
        <v>162</v>
      </c>
      <c r="N657" s="582" t="s">
        <v>2078</v>
      </c>
    </row>
    <row r="658" spans="1:14" ht="16.5">
      <c r="A658" s="582" t="s">
        <v>1766</v>
      </c>
      <c r="B658" s="582" t="s">
        <v>1767</v>
      </c>
      <c r="C658" s="585">
        <v>4.3981481481481481E-4</v>
      </c>
      <c r="D658" s="582" t="s">
        <v>1768</v>
      </c>
      <c r="E658" s="582" t="s">
        <v>154</v>
      </c>
      <c r="F658" s="582" t="s">
        <v>1769</v>
      </c>
      <c r="G658" s="582" t="s">
        <v>1770</v>
      </c>
      <c r="H658" s="582" t="s">
        <v>157</v>
      </c>
      <c r="I658" s="582" t="s">
        <v>158</v>
      </c>
      <c r="J658" s="582" t="s">
        <v>212</v>
      </c>
      <c r="K658" s="582" t="s">
        <v>160</v>
      </c>
      <c r="L658" s="582" t="s">
        <v>161</v>
      </c>
      <c r="M658" s="582" t="s">
        <v>162</v>
      </c>
      <c r="N658" s="582" t="s">
        <v>1771</v>
      </c>
    </row>
    <row r="659" spans="1:14" ht="16.5">
      <c r="A659" s="582" t="s">
        <v>1766</v>
      </c>
      <c r="B659" s="582" t="s">
        <v>1772</v>
      </c>
      <c r="C659" s="585">
        <v>3.1250000000000001E-4</v>
      </c>
      <c r="D659" s="582" t="s">
        <v>1773</v>
      </c>
      <c r="E659" s="582" t="s">
        <v>154</v>
      </c>
      <c r="F659" s="582" t="s">
        <v>823</v>
      </c>
      <c r="G659" s="582" t="s">
        <v>1774</v>
      </c>
      <c r="H659" s="582" t="s">
        <v>157</v>
      </c>
      <c r="I659" s="582" t="s">
        <v>197</v>
      </c>
      <c r="J659" s="582" t="s">
        <v>198</v>
      </c>
      <c r="K659" s="582" t="s">
        <v>160</v>
      </c>
      <c r="L659" s="582" t="s">
        <v>161</v>
      </c>
      <c r="M659" s="582" t="s">
        <v>162</v>
      </c>
      <c r="N659" s="582" t="s">
        <v>1775</v>
      </c>
    </row>
    <row r="660" spans="1:14" ht="16.5">
      <c r="A660" s="582" t="s">
        <v>1766</v>
      </c>
      <c r="B660" s="582" t="s">
        <v>1776</v>
      </c>
      <c r="C660" s="585">
        <v>2.1990740740740742E-3</v>
      </c>
      <c r="D660" s="582" t="s">
        <v>1777</v>
      </c>
      <c r="E660" s="582" t="s">
        <v>154</v>
      </c>
      <c r="F660" s="582" t="s">
        <v>823</v>
      </c>
      <c r="G660" s="582" t="s">
        <v>1774</v>
      </c>
      <c r="H660" s="582" t="s">
        <v>157</v>
      </c>
      <c r="I660" s="582" t="s">
        <v>197</v>
      </c>
      <c r="J660" s="582" t="s">
        <v>198</v>
      </c>
      <c r="K660" s="582" t="s">
        <v>160</v>
      </c>
      <c r="L660" s="582" t="s">
        <v>161</v>
      </c>
      <c r="M660" s="582" t="s">
        <v>162</v>
      </c>
      <c r="N660" s="582" t="s">
        <v>1778</v>
      </c>
    </row>
    <row r="661" spans="1:14" ht="16.5">
      <c r="A661" s="582" t="s">
        <v>1766</v>
      </c>
      <c r="B661" s="582" t="s">
        <v>1779</v>
      </c>
      <c r="C661" s="585">
        <v>3.4722222222222222E-5</v>
      </c>
      <c r="D661" s="582" t="s">
        <v>1780</v>
      </c>
      <c r="E661" s="582" t="s">
        <v>154</v>
      </c>
      <c r="F661" s="582" t="s">
        <v>1781</v>
      </c>
      <c r="G661" s="582" t="s">
        <v>1782</v>
      </c>
      <c r="H661" s="582" t="s">
        <v>157</v>
      </c>
      <c r="I661" s="582" t="s">
        <v>158</v>
      </c>
      <c r="J661" s="582" t="s">
        <v>168</v>
      </c>
      <c r="K661" s="582" t="s">
        <v>169</v>
      </c>
      <c r="L661" s="582" t="s">
        <v>161</v>
      </c>
      <c r="M661" s="582" t="s">
        <v>162</v>
      </c>
      <c r="N661" s="582" t="s">
        <v>796</v>
      </c>
    </row>
    <row r="662" spans="1:14" ht="16.5">
      <c r="A662" s="582" t="s">
        <v>1766</v>
      </c>
      <c r="B662" s="582" t="s">
        <v>1783</v>
      </c>
      <c r="C662" s="585">
        <v>2.6620370370370374E-3</v>
      </c>
      <c r="D662" s="582" t="s">
        <v>1784</v>
      </c>
      <c r="E662" s="582" t="s">
        <v>154</v>
      </c>
      <c r="F662" s="582" t="s">
        <v>1769</v>
      </c>
      <c r="G662" s="582" t="s">
        <v>1770</v>
      </c>
      <c r="H662" s="582" t="s">
        <v>157</v>
      </c>
      <c r="I662" s="582" t="s">
        <v>158</v>
      </c>
      <c r="J662" s="582" t="s">
        <v>168</v>
      </c>
      <c r="K662" s="582" t="s">
        <v>169</v>
      </c>
      <c r="L662" s="582" t="s">
        <v>161</v>
      </c>
      <c r="M662" s="582" t="s">
        <v>162</v>
      </c>
      <c r="N662" s="582" t="s">
        <v>1785</v>
      </c>
    </row>
    <row r="663" spans="1:14" ht="16.5">
      <c r="A663" s="582" t="s">
        <v>1766</v>
      </c>
      <c r="B663" s="582" t="s">
        <v>1078</v>
      </c>
      <c r="C663" s="585">
        <v>3.6226851851851854E-3</v>
      </c>
      <c r="D663" s="582" t="s">
        <v>1786</v>
      </c>
      <c r="E663" s="582" t="s">
        <v>154</v>
      </c>
      <c r="F663" s="582" t="s">
        <v>1787</v>
      </c>
      <c r="G663" s="582" t="s">
        <v>1788</v>
      </c>
      <c r="H663" s="582" t="s">
        <v>157</v>
      </c>
      <c r="I663" s="582" t="s">
        <v>158</v>
      </c>
      <c r="J663" s="582" t="s">
        <v>168</v>
      </c>
      <c r="K663" s="582" t="s">
        <v>169</v>
      </c>
      <c r="L663" s="582" t="s">
        <v>161</v>
      </c>
      <c r="M663" s="582" t="s">
        <v>162</v>
      </c>
      <c r="N663" s="582" t="s">
        <v>1789</v>
      </c>
    </row>
    <row r="664" spans="1:14" ht="16.5">
      <c r="A664" s="582" t="s">
        <v>1766</v>
      </c>
      <c r="B664" s="582" t="s">
        <v>1790</v>
      </c>
      <c r="C664" s="585">
        <v>2.5462962962962961E-4</v>
      </c>
      <c r="D664" s="582" t="s">
        <v>1791</v>
      </c>
      <c r="E664" s="582" t="s">
        <v>154</v>
      </c>
      <c r="F664" s="582" t="s">
        <v>1569</v>
      </c>
      <c r="G664" s="582" t="s">
        <v>1209</v>
      </c>
      <c r="H664" s="582" t="s">
        <v>157</v>
      </c>
      <c r="I664" s="582" t="s">
        <v>197</v>
      </c>
      <c r="J664" s="582" t="s">
        <v>198</v>
      </c>
      <c r="K664" s="582" t="s">
        <v>95</v>
      </c>
      <c r="L664" s="582" t="s">
        <v>161</v>
      </c>
      <c r="M664" s="582" t="s">
        <v>162</v>
      </c>
      <c r="N664" s="582" t="s">
        <v>1792</v>
      </c>
    </row>
    <row r="665" spans="1:14" ht="16.5">
      <c r="A665" s="582" t="s">
        <v>1766</v>
      </c>
      <c r="B665" s="582" t="s">
        <v>1793</v>
      </c>
      <c r="C665" s="585">
        <v>8.449074074074075E-4</v>
      </c>
      <c r="D665" s="582" t="s">
        <v>1794</v>
      </c>
      <c r="E665" s="582" t="s">
        <v>154</v>
      </c>
      <c r="F665" s="582" t="s">
        <v>1569</v>
      </c>
      <c r="G665" s="582" t="s">
        <v>1209</v>
      </c>
      <c r="H665" s="582" t="s">
        <v>157</v>
      </c>
      <c r="I665" s="582" t="s">
        <v>197</v>
      </c>
      <c r="J665" s="582" t="s">
        <v>198</v>
      </c>
      <c r="K665" s="582" t="s">
        <v>160</v>
      </c>
      <c r="L665" s="582" t="s">
        <v>161</v>
      </c>
      <c r="M665" s="582" t="s">
        <v>162</v>
      </c>
      <c r="N665" s="582" t="s">
        <v>1795</v>
      </c>
    </row>
    <row r="666" spans="1:14" ht="16.5">
      <c r="A666" s="582" t="s">
        <v>1766</v>
      </c>
      <c r="B666" s="582" t="s">
        <v>1797</v>
      </c>
      <c r="C666" s="585">
        <v>1.0416666666666667E-4</v>
      </c>
      <c r="D666" s="582" t="s">
        <v>1798</v>
      </c>
      <c r="E666" s="582" t="s">
        <v>154</v>
      </c>
      <c r="F666" s="582" t="s">
        <v>1799</v>
      </c>
      <c r="G666" s="582" t="s">
        <v>1800</v>
      </c>
      <c r="H666" s="582" t="s">
        <v>157</v>
      </c>
      <c r="I666" s="582" t="s">
        <v>158</v>
      </c>
      <c r="J666" s="582" t="s">
        <v>168</v>
      </c>
      <c r="K666" s="582" t="s">
        <v>169</v>
      </c>
      <c r="L666" s="582" t="s">
        <v>161</v>
      </c>
      <c r="M666" s="582" t="s">
        <v>162</v>
      </c>
      <c r="N666" s="582" t="s">
        <v>1801</v>
      </c>
    </row>
    <row r="667" spans="1:14" ht="16.5">
      <c r="A667" s="582" t="s">
        <v>1766</v>
      </c>
      <c r="B667" s="582" t="s">
        <v>1802</v>
      </c>
      <c r="C667" s="585">
        <v>3.0439814814814821E-3</v>
      </c>
      <c r="D667" s="582" t="s">
        <v>1803</v>
      </c>
      <c r="E667" s="582" t="s">
        <v>154</v>
      </c>
      <c r="F667" s="582" t="s">
        <v>1804</v>
      </c>
      <c r="G667" s="582" t="s">
        <v>1805</v>
      </c>
      <c r="H667" s="582" t="s">
        <v>157</v>
      </c>
      <c r="I667" s="582" t="s">
        <v>158</v>
      </c>
      <c r="J667" s="582" t="s">
        <v>168</v>
      </c>
      <c r="K667" s="582" t="s">
        <v>160</v>
      </c>
      <c r="L667" s="582" t="s">
        <v>161</v>
      </c>
      <c r="M667" s="582" t="s">
        <v>162</v>
      </c>
      <c r="N667" s="582" t="s">
        <v>1806</v>
      </c>
    </row>
    <row r="668" spans="1:14" ht="16.5">
      <c r="A668" s="582" t="s">
        <v>1766</v>
      </c>
      <c r="B668" s="582" t="s">
        <v>1807</v>
      </c>
      <c r="C668" s="585">
        <v>3.4722222222222222E-5</v>
      </c>
      <c r="D668" s="582" t="s">
        <v>1808</v>
      </c>
      <c r="E668" s="582" t="s">
        <v>154</v>
      </c>
      <c r="F668" s="582" t="s">
        <v>1809</v>
      </c>
      <c r="G668" s="582" t="s">
        <v>1429</v>
      </c>
      <c r="H668" s="582" t="s">
        <v>157</v>
      </c>
      <c r="I668" s="582" t="s">
        <v>197</v>
      </c>
      <c r="J668" s="582" t="s">
        <v>198</v>
      </c>
      <c r="K668" s="582" t="s">
        <v>169</v>
      </c>
      <c r="L668" s="582" t="s">
        <v>161</v>
      </c>
      <c r="M668" s="582" t="s">
        <v>162</v>
      </c>
      <c r="N668" s="582" t="s">
        <v>1810</v>
      </c>
    </row>
    <row r="669" spans="1:14" ht="16.5">
      <c r="A669" s="582" t="s">
        <v>1766</v>
      </c>
      <c r="B669" s="582" t="s">
        <v>1811</v>
      </c>
      <c r="C669" s="585">
        <v>1.0416666666666667E-4</v>
      </c>
      <c r="D669" s="582" t="s">
        <v>1812</v>
      </c>
      <c r="E669" s="582" t="s">
        <v>154</v>
      </c>
      <c r="F669" s="582" t="s">
        <v>1135</v>
      </c>
      <c r="G669" s="582" t="s">
        <v>1813</v>
      </c>
      <c r="H669" s="582" t="s">
        <v>157</v>
      </c>
      <c r="I669" s="582" t="s">
        <v>158</v>
      </c>
      <c r="J669" s="582" t="s">
        <v>713</v>
      </c>
      <c r="K669" s="582" t="s">
        <v>169</v>
      </c>
      <c r="L669" s="582" t="s">
        <v>161</v>
      </c>
      <c r="M669" s="582" t="s">
        <v>162</v>
      </c>
      <c r="N669" s="582" t="s">
        <v>1814</v>
      </c>
    </row>
    <row r="670" spans="1:14" ht="16.5">
      <c r="A670" s="582" t="s">
        <v>1766</v>
      </c>
      <c r="B670" s="582" t="s">
        <v>4316</v>
      </c>
      <c r="C670" s="582"/>
      <c r="D670" s="582"/>
      <c r="E670" s="582"/>
      <c r="F670" s="582" t="s">
        <v>1799</v>
      </c>
      <c r="G670" s="582" t="s">
        <v>2727</v>
      </c>
      <c r="H670" s="582" t="s">
        <v>157</v>
      </c>
      <c r="I670" s="582" t="s">
        <v>158</v>
      </c>
      <c r="J670" s="582" t="s">
        <v>713</v>
      </c>
      <c r="K670" s="582" t="s">
        <v>169</v>
      </c>
      <c r="L670" s="582" t="s">
        <v>161</v>
      </c>
      <c r="M670" s="582" t="s">
        <v>162</v>
      </c>
      <c r="N670" s="582" t="s">
        <v>796</v>
      </c>
    </row>
    <row r="671" spans="1:14" ht="16.5">
      <c r="A671" s="582" t="s">
        <v>1766</v>
      </c>
      <c r="B671" s="582" t="s">
        <v>1815</v>
      </c>
      <c r="C671" s="585">
        <v>2.9976851851851848E-3</v>
      </c>
      <c r="D671" s="582" t="s">
        <v>1816</v>
      </c>
      <c r="E671" s="582" t="s">
        <v>154</v>
      </c>
      <c r="F671" s="582" t="s">
        <v>1817</v>
      </c>
      <c r="G671" s="582" t="s">
        <v>1818</v>
      </c>
      <c r="H671" s="582" t="s">
        <v>157</v>
      </c>
      <c r="I671" s="582" t="s">
        <v>158</v>
      </c>
      <c r="J671" s="582" t="s">
        <v>168</v>
      </c>
      <c r="K671" s="582" t="s">
        <v>160</v>
      </c>
      <c r="L671" s="582" t="s">
        <v>161</v>
      </c>
      <c r="M671" s="582" t="s">
        <v>162</v>
      </c>
      <c r="N671" s="582" t="s">
        <v>1819</v>
      </c>
    </row>
    <row r="672" spans="1:14" ht="16.5">
      <c r="A672" s="582" t="s">
        <v>1766</v>
      </c>
      <c r="B672" s="582" t="s">
        <v>1820</v>
      </c>
      <c r="C672" s="585">
        <v>2.3148148148148147E-5</v>
      </c>
      <c r="D672" s="582" t="s">
        <v>1821</v>
      </c>
      <c r="E672" s="582" t="s">
        <v>154</v>
      </c>
      <c r="F672" s="582" t="s">
        <v>1336</v>
      </c>
      <c r="G672" s="582" t="s">
        <v>1684</v>
      </c>
      <c r="H672" s="582" t="s">
        <v>157</v>
      </c>
      <c r="I672" s="582" t="s">
        <v>197</v>
      </c>
      <c r="J672" s="582" t="s">
        <v>198</v>
      </c>
      <c r="K672" s="582" t="s">
        <v>169</v>
      </c>
      <c r="L672" s="582" t="s">
        <v>161</v>
      </c>
      <c r="M672" s="582" t="s">
        <v>162</v>
      </c>
      <c r="N672" s="582" t="s">
        <v>1822</v>
      </c>
    </row>
    <row r="673" spans="1:14" ht="16.5">
      <c r="A673" s="582" t="s">
        <v>1766</v>
      </c>
      <c r="B673" s="582" t="s">
        <v>1823</v>
      </c>
      <c r="C673" s="585">
        <v>6.9444444444444447E-4</v>
      </c>
      <c r="D673" s="582" t="s">
        <v>1824</v>
      </c>
      <c r="E673" s="582" t="s">
        <v>154</v>
      </c>
      <c r="F673" s="582" t="s">
        <v>593</v>
      </c>
      <c r="G673" s="582" t="s">
        <v>598</v>
      </c>
      <c r="H673" s="582" t="s">
        <v>157</v>
      </c>
      <c r="I673" s="582" t="s">
        <v>158</v>
      </c>
      <c r="J673" s="582" t="s">
        <v>713</v>
      </c>
      <c r="K673" s="582" t="s">
        <v>169</v>
      </c>
      <c r="L673" s="582" t="s">
        <v>161</v>
      </c>
      <c r="M673" s="582" t="s">
        <v>162</v>
      </c>
      <c r="N673" s="582" t="s">
        <v>1825</v>
      </c>
    </row>
    <row r="674" spans="1:14" ht="16.5">
      <c r="A674" s="582" t="s">
        <v>1766</v>
      </c>
      <c r="B674" s="582" t="s">
        <v>1826</v>
      </c>
      <c r="C674" s="585">
        <v>3.4722222222222222E-5</v>
      </c>
      <c r="D674" s="582" t="s">
        <v>1827</v>
      </c>
      <c r="E674" s="582" t="s">
        <v>154</v>
      </c>
      <c r="F674" s="582" t="s">
        <v>157</v>
      </c>
      <c r="G674" s="582" t="s">
        <v>1828</v>
      </c>
      <c r="H674" s="582" t="s">
        <v>157</v>
      </c>
      <c r="I674" s="582" t="s">
        <v>158</v>
      </c>
      <c r="J674" s="582" t="s">
        <v>481</v>
      </c>
      <c r="K674" s="582" t="s">
        <v>95</v>
      </c>
      <c r="L674" s="582" t="s">
        <v>161</v>
      </c>
      <c r="M674" s="582" t="s">
        <v>162</v>
      </c>
      <c r="N674" s="582" t="s">
        <v>1829</v>
      </c>
    </row>
    <row r="675" spans="1:14" ht="16.5">
      <c r="A675" s="582" t="s">
        <v>1766</v>
      </c>
      <c r="B675" s="582" t="s">
        <v>1830</v>
      </c>
      <c r="C675" s="585">
        <v>6.9444444444444447E-4</v>
      </c>
      <c r="D675" s="582" t="s">
        <v>1831</v>
      </c>
      <c r="E675" s="582" t="s">
        <v>154</v>
      </c>
      <c r="F675" s="582" t="s">
        <v>1832</v>
      </c>
      <c r="G675" s="582" t="s">
        <v>1833</v>
      </c>
      <c r="H675" s="582" t="s">
        <v>157</v>
      </c>
      <c r="I675" s="582" t="s">
        <v>158</v>
      </c>
      <c r="J675" s="582" t="s">
        <v>159</v>
      </c>
      <c r="K675" s="582" t="s">
        <v>169</v>
      </c>
      <c r="L675" s="582" t="s">
        <v>161</v>
      </c>
      <c r="M675" s="582" t="s">
        <v>162</v>
      </c>
      <c r="N675" s="582" t="s">
        <v>1834</v>
      </c>
    </row>
    <row r="676" spans="1:14" ht="16.5">
      <c r="A676" s="582" t="s">
        <v>1766</v>
      </c>
      <c r="B676" s="582" t="s">
        <v>1835</v>
      </c>
      <c r="C676" s="585">
        <v>1.5046296296296297E-4</v>
      </c>
      <c r="D676" s="582" t="s">
        <v>1836</v>
      </c>
      <c r="E676" s="582" t="s">
        <v>154</v>
      </c>
      <c r="F676" s="582" t="s">
        <v>1128</v>
      </c>
      <c r="G676" s="582" t="s">
        <v>1132</v>
      </c>
      <c r="H676" s="582" t="s">
        <v>157</v>
      </c>
      <c r="I676" s="582" t="s">
        <v>158</v>
      </c>
      <c r="J676" s="582" t="s">
        <v>159</v>
      </c>
      <c r="K676" s="582" t="s">
        <v>169</v>
      </c>
      <c r="L676" s="582" t="s">
        <v>161</v>
      </c>
      <c r="M676" s="582" t="s">
        <v>162</v>
      </c>
      <c r="N676" s="582" t="s">
        <v>1837</v>
      </c>
    </row>
    <row r="677" spans="1:14" ht="16.5">
      <c r="A677" s="582" t="s">
        <v>1766</v>
      </c>
      <c r="B677" s="582" t="s">
        <v>1838</v>
      </c>
      <c r="C677" s="585">
        <v>1.8402777777777777E-3</v>
      </c>
      <c r="D677" s="582" t="s">
        <v>1839</v>
      </c>
      <c r="E677" s="582" t="s">
        <v>154</v>
      </c>
      <c r="F677" s="582" t="s">
        <v>1341</v>
      </c>
      <c r="G677" s="582" t="s">
        <v>1461</v>
      </c>
      <c r="H677" s="582" t="s">
        <v>157</v>
      </c>
      <c r="I677" s="582" t="s">
        <v>158</v>
      </c>
      <c r="J677" s="582" t="s">
        <v>191</v>
      </c>
      <c r="K677" s="582" t="s">
        <v>160</v>
      </c>
      <c r="L677" s="582" t="s">
        <v>161</v>
      </c>
      <c r="M677" s="582" t="s">
        <v>162</v>
      </c>
      <c r="N677" s="582" t="s">
        <v>1840</v>
      </c>
    </row>
    <row r="678" spans="1:14" ht="16.5">
      <c r="A678" s="582" t="s">
        <v>1766</v>
      </c>
      <c r="B678" s="582" t="s">
        <v>1841</v>
      </c>
      <c r="C678" s="585">
        <v>2.0833333333333335E-4</v>
      </c>
      <c r="D678" s="582" t="s">
        <v>1842</v>
      </c>
      <c r="E678" s="582" t="s">
        <v>154</v>
      </c>
      <c r="F678" s="582" t="s">
        <v>1843</v>
      </c>
      <c r="G678" s="582" t="s">
        <v>1828</v>
      </c>
      <c r="H678" s="582" t="s">
        <v>157</v>
      </c>
      <c r="I678" s="582" t="s">
        <v>197</v>
      </c>
      <c r="J678" s="582" t="s">
        <v>198</v>
      </c>
      <c r="K678" s="582" t="s">
        <v>95</v>
      </c>
      <c r="L678" s="582" t="s">
        <v>161</v>
      </c>
      <c r="M678" s="582" t="s">
        <v>162</v>
      </c>
      <c r="N678" s="582" t="s">
        <v>1844</v>
      </c>
    </row>
    <row r="679" spans="1:14" ht="16.5">
      <c r="A679" s="582" t="s">
        <v>1766</v>
      </c>
      <c r="B679" s="582" t="s">
        <v>4317</v>
      </c>
      <c r="C679" s="582"/>
      <c r="D679" s="582"/>
      <c r="E679" s="582"/>
      <c r="F679" s="582" t="s">
        <v>1661</v>
      </c>
      <c r="G679" s="582" t="s">
        <v>1845</v>
      </c>
      <c r="H679" s="582" t="s">
        <v>157</v>
      </c>
      <c r="I679" s="582" t="s">
        <v>158</v>
      </c>
      <c r="J679" s="582" t="s">
        <v>159</v>
      </c>
      <c r="K679" s="582" t="s">
        <v>169</v>
      </c>
      <c r="L679" s="582" t="s">
        <v>161</v>
      </c>
      <c r="M679" s="582" t="s">
        <v>162</v>
      </c>
      <c r="N679" s="582" t="s">
        <v>4318</v>
      </c>
    </row>
    <row r="680" spans="1:14" ht="16.5">
      <c r="A680" s="582" t="s">
        <v>1766</v>
      </c>
      <c r="B680" s="582" t="s">
        <v>1846</v>
      </c>
      <c r="C680" s="585">
        <v>1.6319444444444445E-3</v>
      </c>
      <c r="D680" s="582" t="s">
        <v>1847</v>
      </c>
      <c r="E680" s="582" t="s">
        <v>154</v>
      </c>
      <c r="F680" s="582" t="s">
        <v>823</v>
      </c>
      <c r="G680" s="582" t="s">
        <v>828</v>
      </c>
      <c r="H680" s="582" t="s">
        <v>157</v>
      </c>
      <c r="I680" s="582" t="s">
        <v>197</v>
      </c>
      <c r="J680" s="582" t="s">
        <v>198</v>
      </c>
      <c r="K680" s="582" t="s">
        <v>160</v>
      </c>
      <c r="L680" s="582" t="s">
        <v>161</v>
      </c>
      <c r="M680" s="582" t="s">
        <v>162</v>
      </c>
      <c r="N680" s="582" t="s">
        <v>1848</v>
      </c>
    </row>
    <row r="681" spans="1:14" ht="16.5">
      <c r="A681" s="582" t="s">
        <v>1766</v>
      </c>
      <c r="B681" s="582" t="s">
        <v>1849</v>
      </c>
      <c r="C681" s="585">
        <v>3.4722222222222222E-5</v>
      </c>
      <c r="D681" s="582" t="s">
        <v>1850</v>
      </c>
      <c r="E681" s="582" t="s">
        <v>154</v>
      </c>
      <c r="F681" s="582" t="s">
        <v>1851</v>
      </c>
      <c r="G681" s="582" t="s">
        <v>1852</v>
      </c>
      <c r="H681" s="582" t="s">
        <v>157</v>
      </c>
      <c r="I681" s="582" t="s">
        <v>158</v>
      </c>
      <c r="J681" s="582" t="s">
        <v>168</v>
      </c>
      <c r="K681" s="582" t="s">
        <v>160</v>
      </c>
      <c r="L681" s="582" t="s">
        <v>161</v>
      </c>
      <c r="M681" s="582" t="s">
        <v>162</v>
      </c>
      <c r="N681" s="582" t="s">
        <v>1853</v>
      </c>
    </row>
    <row r="682" spans="1:14" ht="16.5">
      <c r="A682" s="582" t="s">
        <v>1766</v>
      </c>
      <c r="B682" s="582" t="s">
        <v>1854</v>
      </c>
      <c r="C682" s="585">
        <v>1.7592592592592592E-3</v>
      </c>
      <c r="D682" s="582" t="s">
        <v>1855</v>
      </c>
      <c r="E682" s="582" t="s">
        <v>154</v>
      </c>
      <c r="F682" s="582" t="s">
        <v>1341</v>
      </c>
      <c r="G682" s="582" t="s">
        <v>1461</v>
      </c>
      <c r="H682" s="582" t="s">
        <v>157</v>
      </c>
      <c r="I682" s="582" t="s">
        <v>158</v>
      </c>
      <c r="J682" s="582" t="s">
        <v>168</v>
      </c>
      <c r="K682" s="582" t="s">
        <v>160</v>
      </c>
      <c r="L682" s="582" t="s">
        <v>161</v>
      </c>
      <c r="M682" s="582" t="s">
        <v>162</v>
      </c>
      <c r="N682" s="582" t="s">
        <v>1856</v>
      </c>
    </row>
    <row r="683" spans="1:14" ht="16.5">
      <c r="A683" s="582" t="s">
        <v>1766</v>
      </c>
      <c r="B683" s="582" t="s">
        <v>1857</v>
      </c>
      <c r="C683" s="585">
        <v>5.6712962962962956E-4</v>
      </c>
      <c r="D683" s="582" t="s">
        <v>1858</v>
      </c>
      <c r="E683" s="582" t="s">
        <v>154</v>
      </c>
      <c r="F683" s="582" t="s">
        <v>1661</v>
      </c>
      <c r="G683" s="582" t="s">
        <v>1845</v>
      </c>
      <c r="H683" s="582" t="s">
        <v>157</v>
      </c>
      <c r="I683" s="582" t="s">
        <v>158</v>
      </c>
      <c r="J683" s="582" t="s">
        <v>159</v>
      </c>
      <c r="K683" s="582" t="s">
        <v>169</v>
      </c>
      <c r="L683" s="582" t="s">
        <v>161</v>
      </c>
      <c r="M683" s="582" t="s">
        <v>162</v>
      </c>
      <c r="N683" s="582" t="s">
        <v>1859</v>
      </c>
    </row>
    <row r="684" spans="1:14" ht="16.5">
      <c r="A684" s="582" t="s">
        <v>1766</v>
      </c>
      <c r="B684" s="582" t="s">
        <v>1860</v>
      </c>
      <c r="C684" s="585">
        <v>1.1342592592592591E-3</v>
      </c>
      <c r="D684" s="582" t="s">
        <v>1861</v>
      </c>
      <c r="E684" s="582" t="s">
        <v>154</v>
      </c>
      <c r="F684" s="582" t="s">
        <v>1540</v>
      </c>
      <c r="G684" s="582" t="s">
        <v>1541</v>
      </c>
      <c r="H684" s="582" t="s">
        <v>157</v>
      </c>
      <c r="I684" s="582" t="s">
        <v>197</v>
      </c>
      <c r="J684" s="582" t="s">
        <v>198</v>
      </c>
      <c r="K684" s="582" t="s">
        <v>160</v>
      </c>
      <c r="L684" s="582" t="s">
        <v>161</v>
      </c>
      <c r="M684" s="582" t="s">
        <v>162</v>
      </c>
      <c r="N684" s="582" t="s">
        <v>1862</v>
      </c>
    </row>
    <row r="685" spans="1:14" ht="16.5">
      <c r="A685" s="582" t="s">
        <v>1766</v>
      </c>
      <c r="B685" s="582" t="s">
        <v>1863</v>
      </c>
      <c r="C685" s="585">
        <v>1.9444444444444442E-3</v>
      </c>
      <c r="D685" s="582" t="s">
        <v>1864</v>
      </c>
      <c r="E685" s="582" t="s">
        <v>154</v>
      </c>
      <c r="F685" s="582" t="s">
        <v>1661</v>
      </c>
      <c r="G685" s="582" t="s">
        <v>1865</v>
      </c>
      <c r="H685" s="582" t="s">
        <v>157</v>
      </c>
      <c r="I685" s="582" t="s">
        <v>158</v>
      </c>
      <c r="J685" s="582" t="s">
        <v>159</v>
      </c>
      <c r="K685" s="582" t="s">
        <v>169</v>
      </c>
      <c r="L685" s="582" t="s">
        <v>161</v>
      </c>
      <c r="M685" s="582" t="s">
        <v>162</v>
      </c>
      <c r="N685" s="582" t="s">
        <v>1866</v>
      </c>
    </row>
    <row r="686" spans="1:14" ht="16.5">
      <c r="A686" s="582" t="s">
        <v>1766</v>
      </c>
      <c r="B686" s="582" t="s">
        <v>1867</v>
      </c>
      <c r="C686" s="585">
        <v>4.8611111111111104E-4</v>
      </c>
      <c r="D686" s="582" t="s">
        <v>1868</v>
      </c>
      <c r="E686" s="582" t="s">
        <v>154</v>
      </c>
      <c r="F686" s="582" t="s">
        <v>1152</v>
      </c>
      <c r="G686" s="582" t="s">
        <v>1209</v>
      </c>
      <c r="H686" s="582" t="s">
        <v>157</v>
      </c>
      <c r="I686" s="582" t="s">
        <v>197</v>
      </c>
      <c r="J686" s="582" t="s">
        <v>198</v>
      </c>
      <c r="K686" s="582" t="s">
        <v>160</v>
      </c>
      <c r="L686" s="582" t="s">
        <v>161</v>
      </c>
      <c r="M686" s="582" t="s">
        <v>162</v>
      </c>
      <c r="N686" s="582" t="s">
        <v>1869</v>
      </c>
    </row>
    <row r="687" spans="1:14" ht="16.5">
      <c r="A687" s="582" t="s">
        <v>1766</v>
      </c>
      <c r="B687" s="582" t="s">
        <v>1870</v>
      </c>
      <c r="C687" s="585">
        <v>2.5462962962962961E-4</v>
      </c>
      <c r="D687" s="582" t="s">
        <v>1871</v>
      </c>
      <c r="E687" s="582" t="s">
        <v>154</v>
      </c>
      <c r="F687" s="582" t="s">
        <v>799</v>
      </c>
      <c r="G687" s="582" t="s">
        <v>800</v>
      </c>
      <c r="H687" s="582" t="s">
        <v>157</v>
      </c>
      <c r="I687" s="582" t="s">
        <v>197</v>
      </c>
      <c r="J687" s="582" t="s">
        <v>198</v>
      </c>
      <c r="K687" s="582" t="s">
        <v>160</v>
      </c>
      <c r="L687" s="582" t="s">
        <v>161</v>
      </c>
      <c r="M687" s="582" t="s">
        <v>162</v>
      </c>
      <c r="N687" s="582" t="s">
        <v>1872</v>
      </c>
    </row>
    <row r="688" spans="1:14" ht="16.5">
      <c r="A688" s="582" t="s">
        <v>1766</v>
      </c>
      <c r="B688" s="582" t="s">
        <v>1874</v>
      </c>
      <c r="C688" s="585">
        <v>2.3611111111111111E-3</v>
      </c>
      <c r="D688" s="582" t="s">
        <v>1875</v>
      </c>
      <c r="E688" s="582" t="s">
        <v>154</v>
      </c>
      <c r="F688" s="582" t="s">
        <v>1661</v>
      </c>
      <c r="G688" s="582" t="s">
        <v>1845</v>
      </c>
      <c r="H688" s="582" t="s">
        <v>157</v>
      </c>
      <c r="I688" s="582" t="s">
        <v>158</v>
      </c>
      <c r="J688" s="582" t="s">
        <v>713</v>
      </c>
      <c r="K688" s="582" t="s">
        <v>169</v>
      </c>
      <c r="L688" s="582" t="s">
        <v>161</v>
      </c>
      <c r="M688" s="582" t="s">
        <v>162</v>
      </c>
      <c r="N688" s="582" t="s">
        <v>1876</v>
      </c>
    </row>
    <row r="689" spans="1:14" ht="16.5">
      <c r="A689" s="582" t="s">
        <v>1766</v>
      </c>
      <c r="B689" s="582" t="s">
        <v>1877</v>
      </c>
      <c r="C689" s="585">
        <v>5.7870370370370378E-4</v>
      </c>
      <c r="D689" s="582" t="s">
        <v>1878</v>
      </c>
      <c r="E689" s="582" t="s">
        <v>154</v>
      </c>
      <c r="F689" s="582" t="s">
        <v>799</v>
      </c>
      <c r="G689" s="582" t="s">
        <v>800</v>
      </c>
      <c r="H689" s="582" t="s">
        <v>157</v>
      </c>
      <c r="I689" s="582" t="s">
        <v>197</v>
      </c>
      <c r="J689" s="582" t="s">
        <v>198</v>
      </c>
      <c r="K689" s="582" t="s">
        <v>160</v>
      </c>
      <c r="L689" s="582" t="s">
        <v>161</v>
      </c>
      <c r="M689" s="582" t="s">
        <v>162</v>
      </c>
      <c r="N689" s="582" t="s">
        <v>1879</v>
      </c>
    </row>
    <row r="690" spans="1:14" ht="16.5">
      <c r="A690" s="582" t="s">
        <v>1766</v>
      </c>
      <c r="B690" s="582" t="s">
        <v>1880</v>
      </c>
      <c r="C690" s="585">
        <v>2.8935185185185189E-4</v>
      </c>
      <c r="D690" s="582" t="s">
        <v>1881</v>
      </c>
      <c r="E690" s="582" t="s">
        <v>154</v>
      </c>
      <c r="F690" s="582" t="s">
        <v>799</v>
      </c>
      <c r="G690" s="582" t="s">
        <v>800</v>
      </c>
      <c r="H690" s="582" t="s">
        <v>157</v>
      </c>
      <c r="I690" s="582" t="s">
        <v>197</v>
      </c>
      <c r="J690" s="582" t="s">
        <v>198</v>
      </c>
      <c r="K690" s="582" t="s">
        <v>160</v>
      </c>
      <c r="L690" s="582" t="s">
        <v>161</v>
      </c>
      <c r="M690" s="582" t="s">
        <v>162</v>
      </c>
      <c r="N690" s="582" t="s">
        <v>1882</v>
      </c>
    </row>
    <row r="691" spans="1:14" ht="16.5">
      <c r="A691" s="582" t="s">
        <v>1766</v>
      </c>
      <c r="B691" s="582" t="s">
        <v>1883</v>
      </c>
      <c r="C691" s="585">
        <v>5.7870370370370378E-4</v>
      </c>
      <c r="D691" s="582" t="s">
        <v>1884</v>
      </c>
      <c r="E691" s="582" t="s">
        <v>154</v>
      </c>
      <c r="F691" s="582" t="s">
        <v>1843</v>
      </c>
      <c r="G691" s="582" t="s">
        <v>1885</v>
      </c>
      <c r="H691" s="582" t="s">
        <v>157</v>
      </c>
      <c r="I691" s="582" t="s">
        <v>197</v>
      </c>
      <c r="J691" s="582" t="s">
        <v>198</v>
      </c>
      <c r="K691" s="582" t="s">
        <v>169</v>
      </c>
      <c r="L691" s="582" t="s">
        <v>161</v>
      </c>
      <c r="M691" s="582" t="s">
        <v>162</v>
      </c>
      <c r="N691" s="582" t="s">
        <v>1886</v>
      </c>
    </row>
    <row r="692" spans="1:14" ht="16.5">
      <c r="A692" s="582" t="s">
        <v>1766</v>
      </c>
      <c r="B692" s="582" t="s">
        <v>1887</v>
      </c>
      <c r="C692" s="585">
        <v>2.3611111111111111E-3</v>
      </c>
      <c r="D692" s="582" t="s">
        <v>1888</v>
      </c>
      <c r="E692" s="582" t="s">
        <v>154</v>
      </c>
      <c r="F692" s="582" t="s">
        <v>1832</v>
      </c>
      <c r="G692" s="582" t="s">
        <v>1889</v>
      </c>
      <c r="H692" s="582" t="s">
        <v>157</v>
      </c>
      <c r="I692" s="582" t="s">
        <v>158</v>
      </c>
      <c r="J692" s="582" t="s">
        <v>168</v>
      </c>
      <c r="K692" s="582" t="s">
        <v>169</v>
      </c>
      <c r="L692" s="582" t="s">
        <v>161</v>
      </c>
      <c r="M692" s="582" t="s">
        <v>162</v>
      </c>
      <c r="N692" s="582" t="s">
        <v>1890</v>
      </c>
    </row>
    <row r="693" spans="1:14" ht="16.5">
      <c r="A693" s="582" t="s">
        <v>1766</v>
      </c>
      <c r="B693" s="582" t="s">
        <v>1891</v>
      </c>
      <c r="C693" s="585">
        <v>1.1111111111111111E-3</v>
      </c>
      <c r="D693" s="582" t="s">
        <v>1892</v>
      </c>
      <c r="E693" s="582" t="s">
        <v>154</v>
      </c>
      <c r="F693" s="582" t="s">
        <v>1893</v>
      </c>
      <c r="G693" s="582" t="s">
        <v>800</v>
      </c>
      <c r="H693" s="582" t="s">
        <v>157</v>
      </c>
      <c r="I693" s="582" t="s">
        <v>197</v>
      </c>
      <c r="J693" s="582" t="s">
        <v>198</v>
      </c>
      <c r="K693" s="582" t="s">
        <v>160</v>
      </c>
      <c r="L693" s="582" t="s">
        <v>161</v>
      </c>
      <c r="M693" s="582" t="s">
        <v>162</v>
      </c>
      <c r="N693" s="582" t="s">
        <v>1894</v>
      </c>
    </row>
    <row r="694" spans="1:14" ht="16.5">
      <c r="A694" s="582" t="s">
        <v>1766</v>
      </c>
      <c r="B694" s="582" t="s">
        <v>1895</v>
      </c>
      <c r="C694" s="585">
        <v>5.9027777777777778E-4</v>
      </c>
      <c r="D694" s="582" t="s">
        <v>1896</v>
      </c>
      <c r="E694" s="582" t="s">
        <v>154</v>
      </c>
      <c r="F694" s="582" t="s">
        <v>1897</v>
      </c>
      <c r="G694" s="582" t="s">
        <v>1898</v>
      </c>
      <c r="H694" s="582" t="s">
        <v>157</v>
      </c>
      <c r="I694" s="582" t="s">
        <v>158</v>
      </c>
      <c r="J694" s="582" t="s">
        <v>713</v>
      </c>
      <c r="K694" s="582" t="s">
        <v>169</v>
      </c>
      <c r="L694" s="582" t="s">
        <v>161</v>
      </c>
      <c r="M694" s="582" t="s">
        <v>162</v>
      </c>
      <c r="N694" s="582" t="s">
        <v>1899</v>
      </c>
    </row>
    <row r="695" spans="1:14" ht="16.5">
      <c r="A695" s="582" t="s">
        <v>1766</v>
      </c>
      <c r="B695" s="582" t="s">
        <v>1900</v>
      </c>
      <c r="C695" s="585">
        <v>3.4722222222222222E-5</v>
      </c>
      <c r="D695" s="582" t="s">
        <v>1901</v>
      </c>
      <c r="E695" s="582" t="s">
        <v>154</v>
      </c>
      <c r="F695" s="582" t="s">
        <v>1647</v>
      </c>
      <c r="G695" s="582" t="s">
        <v>1652</v>
      </c>
      <c r="H695" s="582" t="s">
        <v>157</v>
      </c>
      <c r="I695" s="582" t="s">
        <v>197</v>
      </c>
      <c r="J695" s="582" t="s">
        <v>198</v>
      </c>
      <c r="K695" s="582" t="s">
        <v>169</v>
      </c>
      <c r="L695" s="582" t="s">
        <v>161</v>
      </c>
      <c r="M695" s="582" t="s">
        <v>162</v>
      </c>
      <c r="N695" s="582" t="s">
        <v>1902</v>
      </c>
    </row>
    <row r="696" spans="1:14" ht="16.5">
      <c r="A696" s="582" t="s">
        <v>1766</v>
      </c>
      <c r="B696" s="582" t="s">
        <v>1903</v>
      </c>
      <c r="C696" s="585">
        <v>7.291666666666667E-4</v>
      </c>
      <c r="D696" s="582" t="s">
        <v>1904</v>
      </c>
      <c r="E696" s="582" t="s">
        <v>154</v>
      </c>
      <c r="F696" s="582" t="s">
        <v>1586</v>
      </c>
      <c r="G696" s="582" t="s">
        <v>1587</v>
      </c>
      <c r="H696" s="582" t="s">
        <v>157</v>
      </c>
      <c r="I696" s="582" t="s">
        <v>158</v>
      </c>
      <c r="J696" s="582" t="s">
        <v>212</v>
      </c>
      <c r="K696" s="582" t="s">
        <v>160</v>
      </c>
      <c r="L696" s="582" t="s">
        <v>161</v>
      </c>
      <c r="M696" s="582" t="s">
        <v>162</v>
      </c>
      <c r="N696" s="582" t="s">
        <v>1905</v>
      </c>
    </row>
    <row r="697" spans="1:14" ht="16.5">
      <c r="A697" s="582" t="s">
        <v>1766</v>
      </c>
      <c r="B697" s="582" t="s">
        <v>4319</v>
      </c>
      <c r="C697" s="582"/>
      <c r="D697" s="582"/>
      <c r="E697" s="582"/>
      <c r="F697" s="582" t="s">
        <v>1586</v>
      </c>
      <c r="G697" s="582" t="s">
        <v>1587</v>
      </c>
      <c r="H697" s="582" t="s">
        <v>157</v>
      </c>
      <c r="I697" s="582" t="s">
        <v>158</v>
      </c>
      <c r="J697" s="582" t="s">
        <v>212</v>
      </c>
      <c r="K697" s="582" t="s">
        <v>160</v>
      </c>
      <c r="L697" s="582" t="s">
        <v>161</v>
      </c>
      <c r="M697" s="582" t="s">
        <v>162</v>
      </c>
      <c r="N697" s="582" t="s">
        <v>4320</v>
      </c>
    </row>
    <row r="698" spans="1:14" ht="16.5">
      <c r="A698" s="582" t="s">
        <v>1766</v>
      </c>
      <c r="B698" s="582" t="s">
        <v>1906</v>
      </c>
      <c r="C698" s="585">
        <v>2.3032407407407407E-3</v>
      </c>
      <c r="D698" s="582" t="s">
        <v>1907</v>
      </c>
      <c r="E698" s="582" t="s">
        <v>154</v>
      </c>
      <c r="F698" s="582" t="s">
        <v>1599</v>
      </c>
      <c r="G698" s="582" t="s">
        <v>1908</v>
      </c>
      <c r="H698" s="582" t="s">
        <v>157</v>
      </c>
      <c r="I698" s="582" t="s">
        <v>158</v>
      </c>
      <c r="J698" s="582" t="s">
        <v>212</v>
      </c>
      <c r="K698" s="582" t="s">
        <v>160</v>
      </c>
      <c r="L698" s="582" t="s">
        <v>161</v>
      </c>
      <c r="M698" s="582" t="s">
        <v>162</v>
      </c>
      <c r="N698" s="582" t="s">
        <v>1909</v>
      </c>
    </row>
    <row r="699" spans="1:14" ht="16.5">
      <c r="A699" s="582" t="s">
        <v>1766</v>
      </c>
      <c r="B699" s="582" t="s">
        <v>1910</v>
      </c>
      <c r="C699" s="585">
        <v>7.407407407407407E-4</v>
      </c>
      <c r="D699" s="582" t="s">
        <v>1911</v>
      </c>
      <c r="E699" s="582" t="s">
        <v>154</v>
      </c>
      <c r="F699" s="582" t="s">
        <v>1647</v>
      </c>
      <c r="G699" s="582" t="s">
        <v>1648</v>
      </c>
      <c r="H699" s="582" t="s">
        <v>157</v>
      </c>
      <c r="I699" s="582" t="s">
        <v>197</v>
      </c>
      <c r="J699" s="582" t="s">
        <v>198</v>
      </c>
      <c r="K699" s="582" t="s">
        <v>169</v>
      </c>
      <c r="L699" s="582" t="s">
        <v>161</v>
      </c>
      <c r="M699" s="582" t="s">
        <v>162</v>
      </c>
      <c r="N699" s="582" t="s">
        <v>1912</v>
      </c>
    </row>
    <row r="700" spans="1:14" ht="16.5">
      <c r="A700" s="582" t="s">
        <v>1766</v>
      </c>
      <c r="B700" s="582" t="s">
        <v>4321</v>
      </c>
      <c r="C700" s="582"/>
      <c r="D700" s="582"/>
      <c r="E700" s="582"/>
      <c r="F700" s="582" t="s">
        <v>1599</v>
      </c>
      <c r="G700" s="582" t="s">
        <v>4322</v>
      </c>
      <c r="H700" s="582" t="s">
        <v>157</v>
      </c>
      <c r="I700" s="582" t="s">
        <v>158</v>
      </c>
      <c r="J700" s="582" t="s">
        <v>212</v>
      </c>
      <c r="K700" s="582" t="s">
        <v>160</v>
      </c>
      <c r="L700" s="582" t="s">
        <v>161</v>
      </c>
      <c r="M700" s="582" t="s">
        <v>162</v>
      </c>
      <c r="N700" s="582" t="s">
        <v>4323</v>
      </c>
    </row>
    <row r="701" spans="1:14" ht="16.5">
      <c r="A701" s="582" t="s">
        <v>1766</v>
      </c>
      <c r="B701" s="582" t="s">
        <v>1913</v>
      </c>
      <c r="C701" s="585">
        <v>1.1574074074074073E-4</v>
      </c>
      <c r="D701" s="582" t="s">
        <v>1914</v>
      </c>
      <c r="E701" s="582" t="s">
        <v>154</v>
      </c>
      <c r="F701" s="582" t="s">
        <v>1647</v>
      </c>
      <c r="G701" s="582" t="s">
        <v>1652</v>
      </c>
      <c r="H701" s="582" t="s">
        <v>157</v>
      </c>
      <c r="I701" s="582" t="s">
        <v>197</v>
      </c>
      <c r="J701" s="582" t="s">
        <v>198</v>
      </c>
      <c r="K701" s="582" t="s">
        <v>169</v>
      </c>
      <c r="L701" s="582" t="s">
        <v>161</v>
      </c>
      <c r="M701" s="582" t="s">
        <v>162</v>
      </c>
      <c r="N701" s="582" t="s">
        <v>796</v>
      </c>
    </row>
    <row r="702" spans="1:14" ht="16.5">
      <c r="A702" s="582" t="s">
        <v>1766</v>
      </c>
      <c r="B702" s="582" t="s">
        <v>1915</v>
      </c>
      <c r="C702" s="585">
        <v>1.273148148148148E-4</v>
      </c>
      <c r="D702" s="582" t="s">
        <v>1916</v>
      </c>
      <c r="E702" s="582" t="s">
        <v>154</v>
      </c>
      <c r="F702" s="582" t="s">
        <v>1666</v>
      </c>
      <c r="G702" s="582" t="s">
        <v>1917</v>
      </c>
      <c r="H702" s="582" t="s">
        <v>157</v>
      </c>
      <c r="I702" s="582" t="s">
        <v>158</v>
      </c>
      <c r="J702" s="582" t="s">
        <v>168</v>
      </c>
      <c r="K702" s="582" t="s">
        <v>169</v>
      </c>
      <c r="L702" s="582" t="s">
        <v>161</v>
      </c>
      <c r="M702" s="582" t="s">
        <v>162</v>
      </c>
      <c r="N702" s="582" t="s">
        <v>1343</v>
      </c>
    </row>
    <row r="703" spans="1:14" ht="16.5">
      <c r="A703" s="582" t="s">
        <v>1766</v>
      </c>
      <c r="B703" s="582" t="s">
        <v>1918</v>
      </c>
      <c r="C703" s="585">
        <v>7.7546296296296304E-4</v>
      </c>
      <c r="D703" s="582" t="s">
        <v>1919</v>
      </c>
      <c r="E703" s="582" t="s">
        <v>154</v>
      </c>
      <c r="F703" s="582" t="s">
        <v>1389</v>
      </c>
      <c r="G703" s="582" t="s">
        <v>1397</v>
      </c>
      <c r="H703" s="582" t="s">
        <v>157</v>
      </c>
      <c r="I703" s="582" t="s">
        <v>197</v>
      </c>
      <c r="J703" s="582" t="s">
        <v>198</v>
      </c>
      <c r="K703" s="582" t="s">
        <v>160</v>
      </c>
      <c r="L703" s="582" t="s">
        <v>161</v>
      </c>
      <c r="M703" s="582" t="s">
        <v>162</v>
      </c>
      <c r="N703" s="582" t="s">
        <v>1920</v>
      </c>
    </row>
    <row r="704" spans="1:14" ht="16.5">
      <c r="A704" s="582" t="s">
        <v>1766</v>
      </c>
      <c r="B704" s="582" t="s">
        <v>1921</v>
      </c>
      <c r="C704" s="585">
        <v>1.1574074074074073E-5</v>
      </c>
      <c r="D704" s="582" t="s">
        <v>1922</v>
      </c>
      <c r="E704" s="582" t="s">
        <v>154</v>
      </c>
      <c r="F704" s="582" t="s">
        <v>1666</v>
      </c>
      <c r="G704" s="582" t="s">
        <v>1726</v>
      </c>
      <c r="H704" s="582" t="s">
        <v>157</v>
      </c>
      <c r="I704" s="582" t="s">
        <v>158</v>
      </c>
      <c r="J704" s="582" t="s">
        <v>168</v>
      </c>
      <c r="K704" s="582" t="s">
        <v>169</v>
      </c>
      <c r="L704" s="582" t="s">
        <v>161</v>
      </c>
      <c r="M704" s="582" t="s">
        <v>162</v>
      </c>
      <c r="N704" s="582" t="s">
        <v>796</v>
      </c>
    </row>
    <row r="705" spans="1:14" ht="16.5">
      <c r="A705" s="582" t="s">
        <v>1766</v>
      </c>
      <c r="B705" s="582" t="s">
        <v>4324</v>
      </c>
      <c r="C705" s="582"/>
      <c r="D705" s="582"/>
      <c r="E705" s="582"/>
      <c r="F705" s="582" t="s">
        <v>1666</v>
      </c>
      <c r="G705" s="582" t="s">
        <v>1726</v>
      </c>
      <c r="H705" s="582" t="s">
        <v>157</v>
      </c>
      <c r="I705" s="582" t="s">
        <v>158</v>
      </c>
      <c r="J705" s="582" t="s">
        <v>168</v>
      </c>
      <c r="K705" s="582" t="s">
        <v>169</v>
      </c>
      <c r="L705" s="582" t="s">
        <v>161</v>
      </c>
      <c r="M705" s="582" t="s">
        <v>162</v>
      </c>
      <c r="N705" s="582" t="s">
        <v>796</v>
      </c>
    </row>
    <row r="706" spans="1:14" ht="16.5">
      <c r="A706" s="582" t="s">
        <v>1766</v>
      </c>
      <c r="B706" s="582" t="s">
        <v>1923</v>
      </c>
      <c r="C706" s="585">
        <v>1.3888888888888889E-4</v>
      </c>
      <c r="D706" s="582" t="s">
        <v>1924</v>
      </c>
      <c r="E706" s="582" t="s">
        <v>154</v>
      </c>
      <c r="F706" s="582" t="s">
        <v>1666</v>
      </c>
      <c r="G706" s="582" t="s">
        <v>1917</v>
      </c>
      <c r="H706" s="582" t="s">
        <v>157</v>
      </c>
      <c r="I706" s="582" t="s">
        <v>158</v>
      </c>
      <c r="J706" s="582" t="s">
        <v>168</v>
      </c>
      <c r="K706" s="582" t="s">
        <v>169</v>
      </c>
      <c r="L706" s="582" t="s">
        <v>161</v>
      </c>
      <c r="M706" s="582" t="s">
        <v>162</v>
      </c>
      <c r="N706" s="582" t="s">
        <v>796</v>
      </c>
    </row>
    <row r="707" spans="1:14" ht="16.5">
      <c r="A707" s="582" t="s">
        <v>1766</v>
      </c>
      <c r="B707" s="582" t="s">
        <v>1925</v>
      </c>
      <c r="C707" s="585">
        <v>1.2962962962962963E-3</v>
      </c>
      <c r="D707" s="582" t="s">
        <v>1926</v>
      </c>
      <c r="E707" s="582" t="s">
        <v>154</v>
      </c>
      <c r="F707" s="582" t="s">
        <v>1218</v>
      </c>
      <c r="G707" s="582" t="s">
        <v>1219</v>
      </c>
      <c r="H707" s="582" t="s">
        <v>157</v>
      </c>
      <c r="I707" s="582" t="s">
        <v>197</v>
      </c>
      <c r="J707" s="582" t="s">
        <v>198</v>
      </c>
      <c r="K707" s="582" t="s">
        <v>160</v>
      </c>
      <c r="L707" s="582" t="s">
        <v>161</v>
      </c>
      <c r="M707" s="582" t="s">
        <v>162</v>
      </c>
      <c r="N707" s="582" t="s">
        <v>1927</v>
      </c>
    </row>
    <row r="708" spans="1:14" ht="16.5">
      <c r="A708" s="582" t="s">
        <v>1766</v>
      </c>
      <c r="B708" s="582" t="s">
        <v>4325</v>
      </c>
      <c r="C708" s="582"/>
      <c r="D708" s="582"/>
      <c r="E708" s="582"/>
      <c r="F708" s="582" t="s">
        <v>4326</v>
      </c>
      <c r="G708" s="582" t="s">
        <v>1928</v>
      </c>
      <c r="H708" s="582" t="s">
        <v>157</v>
      </c>
      <c r="I708" s="582" t="s">
        <v>158</v>
      </c>
      <c r="J708" s="582" t="s">
        <v>168</v>
      </c>
      <c r="K708" s="582" t="s">
        <v>160</v>
      </c>
      <c r="L708" s="582" t="s">
        <v>161</v>
      </c>
      <c r="M708" s="582" t="s">
        <v>162</v>
      </c>
      <c r="N708" s="582" t="s">
        <v>796</v>
      </c>
    </row>
    <row r="709" spans="1:14" ht="16.5">
      <c r="A709" s="582" t="s">
        <v>1644</v>
      </c>
      <c r="B709" s="582" t="s">
        <v>1645</v>
      </c>
      <c r="C709" s="585">
        <v>4.0509259259259258E-4</v>
      </c>
      <c r="D709" s="582" t="s">
        <v>1646</v>
      </c>
      <c r="E709" s="582" t="s">
        <v>154</v>
      </c>
      <c r="F709" s="582" t="s">
        <v>1647</v>
      </c>
      <c r="G709" s="582" t="s">
        <v>1648</v>
      </c>
      <c r="H709" s="582" t="s">
        <v>157</v>
      </c>
      <c r="I709" s="582" t="s">
        <v>158</v>
      </c>
      <c r="J709" s="582" t="s">
        <v>191</v>
      </c>
      <c r="K709" s="582" t="s">
        <v>95</v>
      </c>
      <c r="L709" s="582" t="s">
        <v>161</v>
      </c>
      <c r="M709" s="582" t="s">
        <v>162</v>
      </c>
      <c r="N709" s="582" t="s">
        <v>1649</v>
      </c>
    </row>
    <row r="710" spans="1:14" ht="16.5">
      <c r="A710" s="582" t="s">
        <v>1644</v>
      </c>
      <c r="B710" s="582" t="s">
        <v>1650</v>
      </c>
      <c r="C710" s="585">
        <v>7.0601851851851847E-4</v>
      </c>
      <c r="D710" s="582" t="s">
        <v>1651</v>
      </c>
      <c r="E710" s="582" t="s">
        <v>154</v>
      </c>
      <c r="F710" s="582" t="s">
        <v>1647</v>
      </c>
      <c r="G710" s="582" t="s">
        <v>1652</v>
      </c>
      <c r="H710" s="582" t="s">
        <v>157</v>
      </c>
      <c r="I710" s="582" t="s">
        <v>197</v>
      </c>
      <c r="J710" s="582" t="s">
        <v>198</v>
      </c>
      <c r="K710" s="582" t="s">
        <v>169</v>
      </c>
      <c r="L710" s="582" t="s">
        <v>161</v>
      </c>
      <c r="M710" s="582" t="s">
        <v>162</v>
      </c>
      <c r="N710" s="582" t="s">
        <v>1653</v>
      </c>
    </row>
    <row r="711" spans="1:14" ht="16.5">
      <c r="A711" s="582" t="s">
        <v>1644</v>
      </c>
      <c r="B711" s="582" t="s">
        <v>1654</v>
      </c>
      <c r="C711" s="585">
        <v>2.8935185185185189E-4</v>
      </c>
      <c r="D711" s="582" t="s">
        <v>1655</v>
      </c>
      <c r="E711" s="582" t="s">
        <v>154</v>
      </c>
      <c r="F711" s="582" t="s">
        <v>1656</v>
      </c>
      <c r="G711" s="582" t="s">
        <v>1657</v>
      </c>
      <c r="H711" s="582" t="s">
        <v>157</v>
      </c>
      <c r="I711" s="582" t="s">
        <v>158</v>
      </c>
      <c r="J711" s="582" t="s">
        <v>713</v>
      </c>
      <c r="K711" s="582" t="s">
        <v>169</v>
      </c>
      <c r="L711" s="582" t="s">
        <v>161</v>
      </c>
      <c r="M711" s="582" t="s">
        <v>162</v>
      </c>
      <c r="N711" s="582" t="s">
        <v>1658</v>
      </c>
    </row>
    <row r="712" spans="1:14" ht="16.5">
      <c r="A712" s="582" t="s">
        <v>1644</v>
      </c>
      <c r="B712" s="582" t="s">
        <v>1659</v>
      </c>
      <c r="C712" s="585">
        <v>1.9675925925925926E-4</v>
      </c>
      <c r="D712" s="582" t="s">
        <v>1660</v>
      </c>
      <c r="E712" s="582" t="s">
        <v>154</v>
      </c>
      <c r="F712" s="582" t="s">
        <v>1661</v>
      </c>
      <c r="G712" s="582" t="s">
        <v>1662</v>
      </c>
      <c r="H712" s="582" t="s">
        <v>157</v>
      </c>
      <c r="I712" s="582" t="s">
        <v>158</v>
      </c>
      <c r="J712" s="582" t="s">
        <v>713</v>
      </c>
      <c r="K712" s="582" t="s">
        <v>169</v>
      </c>
      <c r="L712" s="582" t="s">
        <v>161</v>
      </c>
      <c r="M712" s="582" t="s">
        <v>162</v>
      </c>
      <c r="N712" s="582" t="s">
        <v>1663</v>
      </c>
    </row>
    <row r="713" spans="1:14" ht="16.5">
      <c r="A713" s="582" t="s">
        <v>1644</v>
      </c>
      <c r="B713" s="582" t="s">
        <v>1664</v>
      </c>
      <c r="C713" s="585">
        <v>1.3888888888888889E-4</v>
      </c>
      <c r="D713" s="582" t="s">
        <v>1665</v>
      </c>
      <c r="E713" s="582" t="s">
        <v>154</v>
      </c>
      <c r="F713" s="582" t="s">
        <v>1666</v>
      </c>
      <c r="G713" s="582" t="s">
        <v>1667</v>
      </c>
      <c r="H713" s="582" t="s">
        <v>157</v>
      </c>
      <c r="I713" s="582" t="s">
        <v>158</v>
      </c>
      <c r="J713" s="582" t="s">
        <v>168</v>
      </c>
      <c r="K713" s="582" t="s">
        <v>169</v>
      </c>
      <c r="L713" s="582" t="s">
        <v>161</v>
      </c>
      <c r="M713" s="582" t="s">
        <v>162</v>
      </c>
      <c r="N713" s="582" t="s">
        <v>796</v>
      </c>
    </row>
    <row r="714" spans="1:14" ht="16.5">
      <c r="A714" s="582" t="s">
        <v>1644</v>
      </c>
      <c r="B714" s="582" t="s">
        <v>1668</v>
      </c>
      <c r="C714" s="585">
        <v>5.7870370370370378E-4</v>
      </c>
      <c r="D714" s="582" t="s">
        <v>1669</v>
      </c>
      <c r="E714" s="582" t="s">
        <v>154</v>
      </c>
      <c r="F714" s="582" t="s">
        <v>1670</v>
      </c>
      <c r="G714" s="582" t="s">
        <v>1671</v>
      </c>
      <c r="H714" s="582" t="s">
        <v>157</v>
      </c>
      <c r="I714" s="582" t="s">
        <v>158</v>
      </c>
      <c r="J714" s="582" t="s">
        <v>713</v>
      </c>
      <c r="K714" s="582" t="s">
        <v>169</v>
      </c>
      <c r="L714" s="582" t="s">
        <v>161</v>
      </c>
      <c r="M714" s="582" t="s">
        <v>162</v>
      </c>
      <c r="N714" s="582" t="s">
        <v>1672</v>
      </c>
    </row>
    <row r="715" spans="1:14" ht="16.5">
      <c r="A715" s="582" t="s">
        <v>1644</v>
      </c>
      <c r="B715" s="582" t="s">
        <v>1673</v>
      </c>
      <c r="C715" s="585">
        <v>1.5046296296296297E-4</v>
      </c>
      <c r="D715" s="582" t="s">
        <v>1674</v>
      </c>
      <c r="E715" s="582" t="s">
        <v>154</v>
      </c>
      <c r="F715" s="582" t="s">
        <v>1135</v>
      </c>
      <c r="G715" s="582" t="s">
        <v>1136</v>
      </c>
      <c r="H715" s="582" t="s">
        <v>157</v>
      </c>
      <c r="I715" s="582" t="s">
        <v>158</v>
      </c>
      <c r="J715" s="582" t="s">
        <v>713</v>
      </c>
      <c r="K715" s="582" t="s">
        <v>169</v>
      </c>
      <c r="L715" s="582" t="s">
        <v>161</v>
      </c>
      <c r="M715" s="582" t="s">
        <v>162</v>
      </c>
      <c r="N715" s="582" t="s">
        <v>1675</v>
      </c>
    </row>
    <row r="716" spans="1:14" ht="16.5">
      <c r="A716" s="582" t="s">
        <v>1644</v>
      </c>
      <c r="B716" s="582" t="s">
        <v>4327</v>
      </c>
      <c r="C716" s="582"/>
      <c r="D716" s="582"/>
      <c r="E716" s="582"/>
      <c r="F716" s="582" t="s">
        <v>1676</v>
      </c>
      <c r="G716" s="582" t="s">
        <v>4328</v>
      </c>
      <c r="H716" s="582" t="s">
        <v>157</v>
      </c>
      <c r="I716" s="582" t="s">
        <v>158</v>
      </c>
      <c r="J716" s="582" t="s">
        <v>713</v>
      </c>
      <c r="K716" s="582" t="s">
        <v>169</v>
      </c>
      <c r="L716" s="582" t="s">
        <v>161</v>
      </c>
      <c r="M716" s="582" t="s">
        <v>162</v>
      </c>
      <c r="N716" s="582" t="s">
        <v>4329</v>
      </c>
    </row>
    <row r="717" spans="1:14" ht="16.5">
      <c r="A717" s="582" t="s">
        <v>1644</v>
      </c>
      <c r="B717" s="582" t="s">
        <v>1677</v>
      </c>
      <c r="C717" s="585">
        <v>1.7476851851851852E-3</v>
      </c>
      <c r="D717" s="582" t="s">
        <v>1678</v>
      </c>
      <c r="E717" s="582" t="s">
        <v>154</v>
      </c>
      <c r="F717" s="582" t="s">
        <v>1679</v>
      </c>
      <c r="G717" s="582" t="s">
        <v>1680</v>
      </c>
      <c r="H717" s="582" t="s">
        <v>157</v>
      </c>
      <c r="I717" s="582" t="s">
        <v>158</v>
      </c>
      <c r="J717" s="582" t="s">
        <v>168</v>
      </c>
      <c r="K717" s="582" t="s">
        <v>95</v>
      </c>
      <c r="L717" s="582" t="s">
        <v>161</v>
      </c>
      <c r="M717" s="582" t="s">
        <v>162</v>
      </c>
      <c r="N717" s="582" t="s">
        <v>1681</v>
      </c>
    </row>
    <row r="718" spans="1:14" ht="16.5">
      <c r="A718" s="582" t="s">
        <v>1644</v>
      </c>
      <c r="B718" s="582" t="s">
        <v>1682</v>
      </c>
      <c r="C718" s="585">
        <v>3.1250000000000001E-4</v>
      </c>
      <c r="D718" s="582" t="s">
        <v>1683</v>
      </c>
      <c r="E718" s="582" t="s">
        <v>154</v>
      </c>
      <c r="F718" s="582" t="s">
        <v>1336</v>
      </c>
      <c r="G718" s="582" t="s">
        <v>1684</v>
      </c>
      <c r="H718" s="582" t="s">
        <v>157</v>
      </c>
      <c r="I718" s="582" t="s">
        <v>197</v>
      </c>
      <c r="J718" s="582" t="s">
        <v>198</v>
      </c>
      <c r="K718" s="582" t="s">
        <v>169</v>
      </c>
      <c r="L718" s="582" t="s">
        <v>161</v>
      </c>
      <c r="M718" s="582" t="s">
        <v>162</v>
      </c>
      <c r="N718" s="582" t="s">
        <v>1685</v>
      </c>
    </row>
    <row r="719" spans="1:14" ht="16.5">
      <c r="A719" s="582" t="s">
        <v>1644</v>
      </c>
      <c r="B719" s="582" t="s">
        <v>1686</v>
      </c>
      <c r="C719" s="585">
        <v>1.273148148148148E-4</v>
      </c>
      <c r="D719" s="582" t="s">
        <v>1687</v>
      </c>
      <c r="E719" s="582" t="s">
        <v>154</v>
      </c>
      <c r="F719" s="582" t="s">
        <v>593</v>
      </c>
      <c r="G719" s="582" t="s">
        <v>1553</v>
      </c>
      <c r="H719" s="582" t="s">
        <v>157</v>
      </c>
      <c r="I719" s="582" t="s">
        <v>158</v>
      </c>
      <c r="J719" s="582" t="s">
        <v>191</v>
      </c>
      <c r="K719" s="582" t="s">
        <v>169</v>
      </c>
      <c r="L719" s="582" t="s">
        <v>161</v>
      </c>
      <c r="M719" s="582" t="s">
        <v>162</v>
      </c>
      <c r="N719" s="582" t="s">
        <v>1688</v>
      </c>
    </row>
    <row r="720" spans="1:14" ht="16.5">
      <c r="A720" s="582" t="s">
        <v>1644</v>
      </c>
      <c r="B720" s="582" t="s">
        <v>1689</v>
      </c>
      <c r="C720" s="585">
        <v>4.6296296296296294E-5</v>
      </c>
      <c r="D720" s="582" t="s">
        <v>1690</v>
      </c>
      <c r="E720" s="582" t="s">
        <v>154</v>
      </c>
      <c r="F720" s="582" t="s">
        <v>1413</v>
      </c>
      <c r="G720" s="582" t="s">
        <v>1433</v>
      </c>
      <c r="H720" s="582" t="s">
        <v>157</v>
      </c>
      <c r="I720" s="582" t="s">
        <v>158</v>
      </c>
      <c r="J720" s="582" t="s">
        <v>159</v>
      </c>
      <c r="K720" s="582" t="s">
        <v>169</v>
      </c>
      <c r="L720" s="582" t="s">
        <v>161</v>
      </c>
      <c r="M720" s="582" t="s">
        <v>162</v>
      </c>
      <c r="N720" s="582" t="s">
        <v>1691</v>
      </c>
    </row>
    <row r="721" spans="1:14" ht="16.5">
      <c r="A721" s="582" t="s">
        <v>1644</v>
      </c>
      <c r="B721" s="582" t="s">
        <v>1692</v>
      </c>
      <c r="C721" s="585">
        <v>2.3148148148148147E-5</v>
      </c>
      <c r="D721" s="582" t="s">
        <v>1693</v>
      </c>
      <c r="E721" s="582" t="s">
        <v>154</v>
      </c>
      <c r="F721" s="582" t="s">
        <v>1647</v>
      </c>
      <c r="G721" s="582" t="s">
        <v>1652</v>
      </c>
      <c r="H721" s="582" t="s">
        <v>157</v>
      </c>
      <c r="I721" s="582" t="s">
        <v>158</v>
      </c>
      <c r="J721" s="582" t="s">
        <v>168</v>
      </c>
      <c r="K721" s="582" t="s">
        <v>169</v>
      </c>
      <c r="L721" s="582" t="s">
        <v>161</v>
      </c>
      <c r="M721" s="582" t="s">
        <v>162</v>
      </c>
      <c r="N721" s="582" t="s">
        <v>1694</v>
      </c>
    </row>
    <row r="722" spans="1:14" ht="16.5">
      <c r="A722" s="582" t="s">
        <v>1644</v>
      </c>
      <c r="B722" s="582" t="s">
        <v>1695</v>
      </c>
      <c r="C722" s="585">
        <v>9.9537037037037042E-4</v>
      </c>
      <c r="D722" s="582" t="s">
        <v>1696</v>
      </c>
      <c r="E722" s="582" t="s">
        <v>154</v>
      </c>
      <c r="F722" s="582" t="s">
        <v>1128</v>
      </c>
      <c r="G722" s="582" t="s">
        <v>1352</v>
      </c>
      <c r="H722" s="582" t="s">
        <v>157</v>
      </c>
      <c r="I722" s="582" t="s">
        <v>158</v>
      </c>
      <c r="J722" s="582" t="s">
        <v>159</v>
      </c>
      <c r="K722" s="582" t="s">
        <v>169</v>
      </c>
      <c r="L722" s="582" t="s">
        <v>161</v>
      </c>
      <c r="M722" s="582" t="s">
        <v>162</v>
      </c>
      <c r="N722" s="582" t="s">
        <v>1697</v>
      </c>
    </row>
    <row r="723" spans="1:14" ht="16.5">
      <c r="A723" s="582" t="s">
        <v>1644</v>
      </c>
      <c r="B723" s="582" t="s">
        <v>1698</v>
      </c>
      <c r="C723" s="585">
        <v>2.6620370370370372E-4</v>
      </c>
      <c r="D723" s="582" t="s">
        <v>1699</v>
      </c>
      <c r="E723" s="582" t="s">
        <v>154</v>
      </c>
      <c r="F723" s="582" t="s">
        <v>1029</v>
      </c>
      <c r="G723" s="582" t="s">
        <v>1030</v>
      </c>
      <c r="H723" s="582" t="s">
        <v>157</v>
      </c>
      <c r="I723" s="582" t="s">
        <v>176</v>
      </c>
      <c r="J723" s="582" t="s">
        <v>282</v>
      </c>
      <c r="K723" s="582" t="s">
        <v>169</v>
      </c>
      <c r="L723" s="582" t="s">
        <v>161</v>
      </c>
      <c r="M723" s="582" t="s">
        <v>162</v>
      </c>
      <c r="N723" s="582" t="s">
        <v>1700</v>
      </c>
    </row>
    <row r="724" spans="1:14" ht="16.5">
      <c r="A724" s="582" t="s">
        <v>1644</v>
      </c>
      <c r="B724" s="582" t="s">
        <v>1701</v>
      </c>
      <c r="C724" s="585">
        <v>2.3148148148148146E-4</v>
      </c>
      <c r="D724" s="582" t="s">
        <v>1702</v>
      </c>
      <c r="E724" s="582" t="s">
        <v>154</v>
      </c>
      <c r="F724" s="582" t="s">
        <v>1081</v>
      </c>
      <c r="G724" s="582" t="s">
        <v>1096</v>
      </c>
      <c r="H724" s="582" t="s">
        <v>157</v>
      </c>
      <c r="I724" s="582" t="s">
        <v>197</v>
      </c>
      <c r="J724" s="582" t="s">
        <v>198</v>
      </c>
      <c r="K724" s="582" t="s">
        <v>169</v>
      </c>
      <c r="L724" s="582" t="s">
        <v>161</v>
      </c>
      <c r="M724" s="582" t="s">
        <v>162</v>
      </c>
      <c r="N724" s="582" t="s">
        <v>1703</v>
      </c>
    </row>
    <row r="725" spans="1:14" ht="16.5">
      <c r="A725" s="582" t="s">
        <v>1644</v>
      </c>
      <c r="B725" s="582" t="s">
        <v>1704</v>
      </c>
      <c r="C725" s="585">
        <v>3.6574074074074074E-3</v>
      </c>
      <c r="D725" s="582" t="s">
        <v>1705</v>
      </c>
      <c r="E725" s="582" t="s">
        <v>154</v>
      </c>
      <c r="F725" s="582" t="s">
        <v>1706</v>
      </c>
      <c r="G725" s="582" t="s">
        <v>1030</v>
      </c>
      <c r="H725" s="582" t="s">
        <v>157</v>
      </c>
      <c r="I725" s="582" t="s">
        <v>176</v>
      </c>
      <c r="J725" s="582" t="s">
        <v>282</v>
      </c>
      <c r="K725" s="582" t="s">
        <v>95</v>
      </c>
      <c r="L725" s="582" t="s">
        <v>161</v>
      </c>
      <c r="M725" s="582" t="s">
        <v>162</v>
      </c>
      <c r="N725" s="582" t="s">
        <v>1707</v>
      </c>
    </row>
    <row r="726" spans="1:14" ht="16.5">
      <c r="A726" s="582" t="s">
        <v>1644</v>
      </c>
      <c r="B726" s="582" t="s">
        <v>1708</v>
      </c>
      <c r="C726" s="585">
        <v>1.0185185185185186E-3</v>
      </c>
      <c r="D726" s="582" t="s">
        <v>1709</v>
      </c>
      <c r="E726" s="582" t="s">
        <v>154</v>
      </c>
      <c r="F726" s="582" t="s">
        <v>1029</v>
      </c>
      <c r="G726" s="582" t="s">
        <v>1030</v>
      </c>
      <c r="H726" s="582" t="s">
        <v>157</v>
      </c>
      <c r="I726" s="582" t="s">
        <v>197</v>
      </c>
      <c r="J726" s="582" t="s">
        <v>326</v>
      </c>
      <c r="K726" s="582" t="s">
        <v>95</v>
      </c>
      <c r="L726" s="582" t="s">
        <v>161</v>
      </c>
      <c r="M726" s="582" t="s">
        <v>162</v>
      </c>
      <c r="N726" s="582" t="s">
        <v>1710</v>
      </c>
    </row>
    <row r="727" spans="1:14" ht="16.5">
      <c r="A727" s="582" t="s">
        <v>1644</v>
      </c>
      <c r="B727" s="582" t="s">
        <v>1711</v>
      </c>
      <c r="C727" s="585">
        <v>2.3148148148148147E-5</v>
      </c>
      <c r="D727" s="582" t="s">
        <v>1712</v>
      </c>
      <c r="E727" s="582" t="s">
        <v>154</v>
      </c>
      <c r="F727" s="582" t="s">
        <v>1661</v>
      </c>
      <c r="G727" s="582" t="s">
        <v>1662</v>
      </c>
      <c r="H727" s="582" t="s">
        <v>157</v>
      </c>
      <c r="I727" s="582" t="s">
        <v>158</v>
      </c>
      <c r="J727" s="582" t="s">
        <v>168</v>
      </c>
      <c r="K727" s="582" t="s">
        <v>169</v>
      </c>
      <c r="L727" s="582" t="s">
        <v>161</v>
      </c>
      <c r="M727" s="582" t="s">
        <v>162</v>
      </c>
      <c r="N727" s="582" t="s">
        <v>1713</v>
      </c>
    </row>
    <row r="728" spans="1:14" ht="16.5">
      <c r="A728" s="582" t="s">
        <v>1644</v>
      </c>
      <c r="B728" s="582" t="s">
        <v>1717</v>
      </c>
      <c r="C728" s="585">
        <v>1.5046296296296297E-4</v>
      </c>
      <c r="D728" s="582" t="s">
        <v>1718</v>
      </c>
      <c r="E728" s="582" t="s">
        <v>154</v>
      </c>
      <c r="F728" s="582" t="s">
        <v>1656</v>
      </c>
      <c r="G728" s="582" t="s">
        <v>1719</v>
      </c>
      <c r="H728" s="582" t="s">
        <v>157</v>
      </c>
      <c r="I728" s="582" t="s">
        <v>158</v>
      </c>
      <c r="J728" s="582" t="s">
        <v>168</v>
      </c>
      <c r="K728" s="582" t="s">
        <v>169</v>
      </c>
      <c r="L728" s="582" t="s">
        <v>161</v>
      </c>
      <c r="M728" s="582" t="s">
        <v>162</v>
      </c>
      <c r="N728" s="582" t="s">
        <v>1720</v>
      </c>
    </row>
    <row r="729" spans="1:14" ht="16.5">
      <c r="A729" s="582" t="s">
        <v>1644</v>
      </c>
      <c r="B729" s="582" t="s">
        <v>1721</v>
      </c>
      <c r="C729" s="585">
        <v>9.1435185185185185E-4</v>
      </c>
      <c r="D729" s="582" t="s">
        <v>1722</v>
      </c>
      <c r="E729" s="582" t="s">
        <v>154</v>
      </c>
      <c r="F729" s="582" t="s">
        <v>1081</v>
      </c>
      <c r="G729" s="582" t="s">
        <v>1096</v>
      </c>
      <c r="H729" s="582" t="s">
        <v>157</v>
      </c>
      <c r="I729" s="582" t="s">
        <v>197</v>
      </c>
      <c r="J729" s="582" t="s">
        <v>198</v>
      </c>
      <c r="K729" s="582" t="s">
        <v>169</v>
      </c>
      <c r="L729" s="582" t="s">
        <v>161</v>
      </c>
      <c r="M729" s="582" t="s">
        <v>162</v>
      </c>
      <c r="N729" s="582" t="s">
        <v>1723</v>
      </c>
    </row>
    <row r="730" spans="1:14" ht="16.5">
      <c r="A730" s="582" t="s">
        <v>1644</v>
      </c>
      <c r="B730" s="582" t="s">
        <v>1724</v>
      </c>
      <c r="C730" s="585">
        <v>6.9444444444444444E-5</v>
      </c>
      <c r="D730" s="582" t="s">
        <v>1725</v>
      </c>
      <c r="E730" s="582" t="s">
        <v>154</v>
      </c>
      <c r="F730" s="582" t="s">
        <v>1666</v>
      </c>
      <c r="G730" s="582" t="s">
        <v>1726</v>
      </c>
      <c r="H730" s="582" t="s">
        <v>157</v>
      </c>
      <c r="I730" s="582" t="s">
        <v>158</v>
      </c>
      <c r="J730" s="582" t="s">
        <v>168</v>
      </c>
      <c r="K730" s="582" t="s">
        <v>169</v>
      </c>
      <c r="L730" s="582" t="s">
        <v>161</v>
      </c>
      <c r="M730" s="582" t="s">
        <v>162</v>
      </c>
      <c r="N730" s="582" t="s">
        <v>1727</v>
      </c>
    </row>
    <row r="731" spans="1:14" ht="16.5">
      <c r="A731" s="582" t="s">
        <v>1644</v>
      </c>
      <c r="B731" s="582" t="s">
        <v>1730</v>
      </c>
      <c r="C731" s="585">
        <v>3.645833333333333E-3</v>
      </c>
      <c r="D731" s="582" t="s">
        <v>1731</v>
      </c>
      <c r="E731" s="582" t="s">
        <v>154</v>
      </c>
      <c r="F731" s="582" t="s">
        <v>1540</v>
      </c>
      <c r="G731" s="582" t="s">
        <v>1732</v>
      </c>
      <c r="H731" s="582" t="s">
        <v>157</v>
      </c>
      <c r="I731" s="582" t="s">
        <v>158</v>
      </c>
      <c r="J731" s="582" t="s">
        <v>159</v>
      </c>
      <c r="K731" s="582" t="s">
        <v>169</v>
      </c>
      <c r="L731" s="582" t="s">
        <v>161</v>
      </c>
      <c r="M731" s="582" t="s">
        <v>162</v>
      </c>
      <c r="N731" s="582" t="s">
        <v>1733</v>
      </c>
    </row>
    <row r="732" spans="1:14" ht="16.5">
      <c r="A732" s="582" t="s">
        <v>1644</v>
      </c>
      <c r="B732" s="582" t="s">
        <v>1734</v>
      </c>
      <c r="C732" s="585">
        <v>4.8611111111111104E-4</v>
      </c>
      <c r="D732" s="582" t="s">
        <v>1735</v>
      </c>
      <c r="E732" s="582" t="s">
        <v>154</v>
      </c>
      <c r="F732" s="582" t="s">
        <v>1161</v>
      </c>
      <c r="G732" s="582" t="s">
        <v>1244</v>
      </c>
      <c r="H732" s="582" t="s">
        <v>157</v>
      </c>
      <c r="I732" s="582" t="s">
        <v>197</v>
      </c>
      <c r="J732" s="582" t="s">
        <v>481</v>
      </c>
      <c r="K732" s="582" t="s">
        <v>169</v>
      </c>
      <c r="L732" s="582" t="s">
        <v>161</v>
      </c>
      <c r="M732" s="582" t="s">
        <v>162</v>
      </c>
      <c r="N732" s="582" t="s">
        <v>1736</v>
      </c>
    </row>
    <row r="733" spans="1:14" ht="16.5">
      <c r="A733" s="582" t="s">
        <v>1644</v>
      </c>
      <c r="B733" s="582" t="s">
        <v>1737</v>
      </c>
      <c r="C733" s="585">
        <v>3.9351851851851852E-4</v>
      </c>
      <c r="D733" s="582" t="s">
        <v>1738</v>
      </c>
      <c r="E733" s="582" t="s">
        <v>154</v>
      </c>
      <c r="F733" s="582" t="s">
        <v>1232</v>
      </c>
      <c r="G733" s="582" t="s">
        <v>1603</v>
      </c>
      <c r="H733" s="582" t="s">
        <v>157</v>
      </c>
      <c r="I733" s="582" t="s">
        <v>197</v>
      </c>
      <c r="J733" s="582" t="s">
        <v>198</v>
      </c>
      <c r="K733" s="582" t="s">
        <v>169</v>
      </c>
      <c r="L733" s="582" t="s">
        <v>161</v>
      </c>
      <c r="M733" s="582" t="s">
        <v>162</v>
      </c>
      <c r="N733" s="582" t="s">
        <v>1739</v>
      </c>
    </row>
    <row r="734" spans="1:14" ht="16.5">
      <c r="A734" s="582" t="s">
        <v>1644</v>
      </c>
      <c r="B734" s="582" t="s">
        <v>1740</v>
      </c>
      <c r="C734" s="585">
        <v>2.3842592592592591E-3</v>
      </c>
      <c r="D734" s="582" t="s">
        <v>1741</v>
      </c>
      <c r="E734" s="582" t="s">
        <v>154</v>
      </c>
      <c r="F734" s="582" t="s">
        <v>402</v>
      </c>
      <c r="G734" s="582" t="s">
        <v>362</v>
      </c>
      <c r="H734" s="582" t="s">
        <v>157</v>
      </c>
      <c r="I734" s="582" t="s">
        <v>158</v>
      </c>
      <c r="J734" s="582" t="s">
        <v>159</v>
      </c>
      <c r="K734" s="582" t="s">
        <v>169</v>
      </c>
      <c r="L734" s="582" t="s">
        <v>161</v>
      </c>
      <c r="M734" s="582" t="s">
        <v>162</v>
      </c>
      <c r="N734" s="582" t="s">
        <v>1742</v>
      </c>
    </row>
    <row r="735" spans="1:14" ht="16.5">
      <c r="A735" s="582" t="s">
        <v>1509</v>
      </c>
      <c r="B735" s="582" t="s">
        <v>1510</v>
      </c>
      <c r="C735" s="585">
        <v>2.0138888888888888E-3</v>
      </c>
      <c r="D735" s="582" t="s">
        <v>1511</v>
      </c>
      <c r="E735" s="582" t="s">
        <v>154</v>
      </c>
      <c r="F735" s="582" t="s">
        <v>1512</v>
      </c>
      <c r="G735" s="582" t="s">
        <v>1513</v>
      </c>
      <c r="H735" s="582" t="s">
        <v>157</v>
      </c>
      <c r="I735" s="582" t="s">
        <v>158</v>
      </c>
      <c r="J735" s="582" t="s">
        <v>159</v>
      </c>
      <c r="K735" s="582" t="s">
        <v>169</v>
      </c>
      <c r="L735" s="582" t="s">
        <v>161</v>
      </c>
      <c r="M735" s="582" t="s">
        <v>162</v>
      </c>
      <c r="N735" s="582" t="s">
        <v>1514</v>
      </c>
    </row>
    <row r="736" spans="1:14" ht="16.5">
      <c r="A736" s="582" t="s">
        <v>1509</v>
      </c>
      <c r="B736" s="582" t="s">
        <v>1515</v>
      </c>
      <c r="C736" s="585">
        <v>5.3935185185185188E-3</v>
      </c>
      <c r="D736" s="582" t="s">
        <v>1516</v>
      </c>
      <c r="E736" s="582" t="s">
        <v>154</v>
      </c>
      <c r="F736" s="582" t="s">
        <v>1512</v>
      </c>
      <c r="G736" s="582" t="s">
        <v>1517</v>
      </c>
      <c r="H736" s="582" t="s">
        <v>157</v>
      </c>
      <c r="I736" s="582" t="s">
        <v>158</v>
      </c>
      <c r="J736" s="582" t="s">
        <v>713</v>
      </c>
      <c r="K736" s="582" t="s">
        <v>169</v>
      </c>
      <c r="L736" s="582" t="s">
        <v>161</v>
      </c>
      <c r="M736" s="582" t="s">
        <v>162</v>
      </c>
      <c r="N736" s="582" t="s">
        <v>1518</v>
      </c>
    </row>
    <row r="737" spans="1:14" ht="16.5">
      <c r="A737" s="582" t="s">
        <v>1509</v>
      </c>
      <c r="B737" s="582" t="s">
        <v>1519</v>
      </c>
      <c r="C737" s="585">
        <v>4.3981481481481481E-4</v>
      </c>
      <c r="D737" s="582" t="s">
        <v>1520</v>
      </c>
      <c r="E737" s="582" t="s">
        <v>154</v>
      </c>
      <c r="F737" s="582" t="s">
        <v>1161</v>
      </c>
      <c r="G737" s="582" t="s">
        <v>1244</v>
      </c>
      <c r="H737" s="582" t="s">
        <v>157</v>
      </c>
      <c r="I737" s="582" t="s">
        <v>197</v>
      </c>
      <c r="J737" s="582" t="s">
        <v>198</v>
      </c>
      <c r="K737" s="582" t="s">
        <v>169</v>
      </c>
      <c r="L737" s="582" t="s">
        <v>161</v>
      </c>
      <c r="M737" s="582" t="s">
        <v>162</v>
      </c>
      <c r="N737" s="582" t="s">
        <v>1521</v>
      </c>
    </row>
    <row r="738" spans="1:14" ht="16.5">
      <c r="A738" s="582" t="s">
        <v>1509</v>
      </c>
      <c r="B738" s="582" t="s">
        <v>1522</v>
      </c>
      <c r="C738" s="585">
        <v>2.8935185185185189E-4</v>
      </c>
      <c r="D738" s="582" t="s">
        <v>1523</v>
      </c>
      <c r="E738" s="582" t="s">
        <v>154</v>
      </c>
      <c r="F738" s="582" t="s">
        <v>1161</v>
      </c>
      <c r="G738" s="582" t="s">
        <v>1244</v>
      </c>
      <c r="H738" s="582" t="s">
        <v>157</v>
      </c>
      <c r="I738" s="582" t="s">
        <v>197</v>
      </c>
      <c r="J738" s="582" t="s">
        <v>481</v>
      </c>
      <c r="K738" s="582" t="s">
        <v>169</v>
      </c>
      <c r="L738" s="582" t="s">
        <v>161</v>
      </c>
      <c r="M738" s="582" t="s">
        <v>162</v>
      </c>
      <c r="N738" s="582" t="s">
        <v>1524</v>
      </c>
    </row>
    <row r="739" spans="1:14" ht="16.5">
      <c r="A739" s="582" t="s">
        <v>1509</v>
      </c>
      <c r="B739" s="582" t="s">
        <v>1525</v>
      </c>
      <c r="C739" s="585">
        <v>3.0092592592592595E-4</v>
      </c>
      <c r="D739" s="582" t="s">
        <v>1526</v>
      </c>
      <c r="E739" s="582" t="s">
        <v>154</v>
      </c>
      <c r="F739" s="582" t="s">
        <v>1161</v>
      </c>
      <c r="G739" s="582" t="s">
        <v>1527</v>
      </c>
      <c r="H739" s="582" t="s">
        <v>157</v>
      </c>
      <c r="I739" s="582" t="s">
        <v>197</v>
      </c>
      <c r="J739" s="582" t="s">
        <v>198</v>
      </c>
      <c r="K739" s="582" t="s">
        <v>169</v>
      </c>
      <c r="L739" s="582" t="s">
        <v>161</v>
      </c>
      <c r="M739" s="582" t="s">
        <v>162</v>
      </c>
      <c r="N739" s="582" t="s">
        <v>1528</v>
      </c>
    </row>
    <row r="740" spans="1:14" ht="16.5">
      <c r="A740" s="582" t="s">
        <v>1509</v>
      </c>
      <c r="B740" s="582" t="s">
        <v>1529</v>
      </c>
      <c r="C740" s="585">
        <v>3.1250000000000001E-4</v>
      </c>
      <c r="D740" s="582" t="s">
        <v>1530</v>
      </c>
      <c r="E740" s="582" t="s">
        <v>154</v>
      </c>
      <c r="F740" s="582" t="s">
        <v>1161</v>
      </c>
      <c r="G740" s="582" t="s">
        <v>1244</v>
      </c>
      <c r="H740" s="582" t="s">
        <v>157</v>
      </c>
      <c r="I740" s="582" t="s">
        <v>197</v>
      </c>
      <c r="J740" s="582" t="s">
        <v>198</v>
      </c>
      <c r="K740" s="582" t="s">
        <v>169</v>
      </c>
      <c r="L740" s="582" t="s">
        <v>161</v>
      </c>
      <c r="M740" s="582" t="s">
        <v>162</v>
      </c>
      <c r="N740" s="582" t="s">
        <v>1531</v>
      </c>
    </row>
    <row r="741" spans="1:14" ht="16.5">
      <c r="A741" s="582" t="s">
        <v>1509</v>
      </c>
      <c r="B741" s="582" t="s">
        <v>1137</v>
      </c>
      <c r="C741" s="585">
        <v>9.1435185185185185E-4</v>
      </c>
      <c r="D741" s="582" t="s">
        <v>1532</v>
      </c>
      <c r="E741" s="582" t="s">
        <v>154</v>
      </c>
      <c r="F741" s="582" t="s">
        <v>1533</v>
      </c>
      <c r="G741" s="582" t="s">
        <v>1534</v>
      </c>
      <c r="H741" s="582" t="s">
        <v>157</v>
      </c>
      <c r="I741" s="582" t="s">
        <v>158</v>
      </c>
      <c r="J741" s="582" t="s">
        <v>159</v>
      </c>
      <c r="K741" s="582" t="s">
        <v>95</v>
      </c>
      <c r="L741" s="582" t="s">
        <v>161</v>
      </c>
      <c r="M741" s="582" t="s">
        <v>162</v>
      </c>
      <c r="N741" s="582" t="s">
        <v>1535</v>
      </c>
    </row>
    <row r="742" spans="1:14" ht="16.5">
      <c r="A742" s="582" t="s">
        <v>1509</v>
      </c>
      <c r="B742" s="582" t="s">
        <v>1536</v>
      </c>
      <c r="C742" s="585">
        <v>2.0833333333333333E-3</v>
      </c>
      <c r="D742" s="582" t="s">
        <v>1537</v>
      </c>
      <c r="E742" s="582" t="s">
        <v>154</v>
      </c>
      <c r="F742" s="582" t="s">
        <v>1533</v>
      </c>
      <c r="G742" s="582" t="s">
        <v>1534</v>
      </c>
      <c r="H742" s="582" t="s">
        <v>157</v>
      </c>
      <c r="I742" s="582" t="s">
        <v>158</v>
      </c>
      <c r="J742" s="582" t="s">
        <v>168</v>
      </c>
      <c r="K742" s="582" t="s">
        <v>160</v>
      </c>
      <c r="L742" s="582" t="s">
        <v>161</v>
      </c>
      <c r="M742" s="582" t="s">
        <v>162</v>
      </c>
      <c r="N742" s="582" t="s">
        <v>1538</v>
      </c>
    </row>
    <row r="743" spans="1:14" ht="16.5">
      <c r="A743" s="582" t="s">
        <v>1509</v>
      </c>
      <c r="B743" s="582" t="s">
        <v>659</v>
      </c>
      <c r="C743" s="585">
        <v>2.0486111111111113E-3</v>
      </c>
      <c r="D743" s="582" t="s">
        <v>1539</v>
      </c>
      <c r="E743" s="582" t="s">
        <v>154</v>
      </c>
      <c r="F743" s="582" t="s">
        <v>1540</v>
      </c>
      <c r="G743" s="582" t="s">
        <v>1541</v>
      </c>
      <c r="H743" s="582" t="s">
        <v>157</v>
      </c>
      <c r="I743" s="582" t="s">
        <v>158</v>
      </c>
      <c r="J743" s="582" t="s">
        <v>168</v>
      </c>
      <c r="K743" s="582" t="s">
        <v>160</v>
      </c>
      <c r="L743" s="582" t="s">
        <v>161</v>
      </c>
      <c r="M743" s="582" t="s">
        <v>162</v>
      </c>
      <c r="N743" s="582" t="s">
        <v>1542</v>
      </c>
    </row>
    <row r="744" spans="1:14" ht="16.5">
      <c r="A744" s="582" t="s">
        <v>1509</v>
      </c>
      <c r="B744" s="582" t="s">
        <v>1543</v>
      </c>
      <c r="C744" s="585">
        <v>1.3541666666666667E-3</v>
      </c>
      <c r="D744" s="582" t="s">
        <v>1544</v>
      </c>
      <c r="E744" s="582" t="s">
        <v>154</v>
      </c>
      <c r="F744" s="582" t="s">
        <v>1545</v>
      </c>
      <c r="G744" s="582" t="s">
        <v>1546</v>
      </c>
      <c r="H744" s="582" t="s">
        <v>157</v>
      </c>
      <c r="I744" s="582" t="s">
        <v>158</v>
      </c>
      <c r="J744" s="582" t="s">
        <v>168</v>
      </c>
      <c r="K744" s="582" t="s">
        <v>160</v>
      </c>
      <c r="L744" s="582" t="s">
        <v>161</v>
      </c>
      <c r="M744" s="582" t="s">
        <v>162</v>
      </c>
      <c r="N744" s="582" t="s">
        <v>1547</v>
      </c>
    </row>
    <row r="745" spans="1:14" ht="16.5">
      <c r="A745" s="582" t="s">
        <v>1509</v>
      </c>
      <c r="B745" s="582" t="s">
        <v>1548</v>
      </c>
      <c r="C745" s="585">
        <v>5.7870370370370378E-4</v>
      </c>
      <c r="D745" s="582" t="s">
        <v>1549</v>
      </c>
      <c r="E745" s="582" t="s">
        <v>154</v>
      </c>
      <c r="F745" s="582" t="s">
        <v>1222</v>
      </c>
      <c r="G745" s="582" t="s">
        <v>1550</v>
      </c>
      <c r="H745" s="582" t="s">
        <v>157</v>
      </c>
      <c r="I745" s="582" t="s">
        <v>197</v>
      </c>
      <c r="J745" s="582" t="s">
        <v>198</v>
      </c>
      <c r="K745" s="582" t="s">
        <v>169</v>
      </c>
      <c r="L745" s="582" t="s">
        <v>161</v>
      </c>
      <c r="M745" s="582" t="s">
        <v>162</v>
      </c>
      <c r="N745" s="582" t="s">
        <v>1359</v>
      </c>
    </row>
    <row r="746" spans="1:14" ht="16.5">
      <c r="A746" s="582" t="s">
        <v>1509</v>
      </c>
      <c r="B746" s="582" t="s">
        <v>1551</v>
      </c>
      <c r="C746" s="585">
        <v>1.1574074074074073E-4</v>
      </c>
      <c r="D746" s="582" t="s">
        <v>1552</v>
      </c>
      <c r="E746" s="582" t="s">
        <v>154</v>
      </c>
      <c r="F746" s="582" t="s">
        <v>593</v>
      </c>
      <c r="G746" s="582" t="s">
        <v>1553</v>
      </c>
      <c r="H746" s="582" t="s">
        <v>157</v>
      </c>
      <c r="I746" s="582" t="s">
        <v>197</v>
      </c>
      <c r="J746" s="582" t="s">
        <v>481</v>
      </c>
      <c r="K746" s="582" t="s">
        <v>169</v>
      </c>
      <c r="L746" s="582" t="s">
        <v>161</v>
      </c>
      <c r="M746" s="582" t="s">
        <v>162</v>
      </c>
      <c r="N746" s="582" t="s">
        <v>1554</v>
      </c>
    </row>
    <row r="747" spans="1:14" ht="16.5">
      <c r="A747" s="582" t="s">
        <v>1509</v>
      </c>
      <c r="B747" s="582" t="s">
        <v>1555</v>
      </c>
      <c r="C747" s="585">
        <v>1.4814814814814814E-3</v>
      </c>
      <c r="D747" s="582" t="s">
        <v>1556</v>
      </c>
      <c r="E747" s="582" t="s">
        <v>154</v>
      </c>
      <c r="F747" s="582" t="s">
        <v>1241</v>
      </c>
      <c r="G747" s="582" t="s">
        <v>792</v>
      </c>
      <c r="H747" s="582" t="s">
        <v>157</v>
      </c>
      <c r="I747" s="582" t="s">
        <v>197</v>
      </c>
      <c r="J747" s="582" t="s">
        <v>198</v>
      </c>
      <c r="K747" s="582" t="s">
        <v>160</v>
      </c>
      <c r="L747" s="582" t="s">
        <v>161</v>
      </c>
      <c r="M747" s="582" t="s">
        <v>162</v>
      </c>
      <c r="N747" s="582" t="s">
        <v>1557</v>
      </c>
    </row>
    <row r="748" spans="1:14" ht="16.5">
      <c r="A748" s="582" t="s">
        <v>1509</v>
      </c>
      <c r="B748" s="582" t="s">
        <v>1558</v>
      </c>
      <c r="C748" s="585">
        <v>1.1574074074074073E-3</v>
      </c>
      <c r="D748" s="582" t="s">
        <v>1559</v>
      </c>
      <c r="E748" s="582" t="s">
        <v>154</v>
      </c>
      <c r="F748" s="582" t="s">
        <v>1222</v>
      </c>
      <c r="G748" s="582" t="s">
        <v>1560</v>
      </c>
      <c r="H748" s="582" t="s">
        <v>157</v>
      </c>
      <c r="I748" s="582" t="s">
        <v>197</v>
      </c>
      <c r="J748" s="582" t="s">
        <v>481</v>
      </c>
      <c r="K748" s="582" t="s">
        <v>169</v>
      </c>
      <c r="L748" s="582" t="s">
        <v>161</v>
      </c>
      <c r="M748" s="582" t="s">
        <v>162</v>
      </c>
      <c r="N748" s="582" t="s">
        <v>1561</v>
      </c>
    </row>
    <row r="749" spans="1:14" ht="16.5">
      <c r="A749" s="582" t="s">
        <v>1509</v>
      </c>
      <c r="B749" s="582" t="s">
        <v>1562</v>
      </c>
      <c r="C749" s="585">
        <v>1.1574074074074073E-4</v>
      </c>
      <c r="D749" s="582" t="s">
        <v>1563</v>
      </c>
      <c r="E749" s="582" t="s">
        <v>154</v>
      </c>
      <c r="F749" s="582" t="s">
        <v>1128</v>
      </c>
      <c r="G749" s="582" t="s">
        <v>1352</v>
      </c>
      <c r="H749" s="582" t="s">
        <v>157</v>
      </c>
      <c r="I749" s="582" t="s">
        <v>158</v>
      </c>
      <c r="J749" s="582" t="s">
        <v>159</v>
      </c>
      <c r="K749" s="582" t="s">
        <v>169</v>
      </c>
      <c r="L749" s="582" t="s">
        <v>161</v>
      </c>
      <c r="M749" s="582" t="s">
        <v>162</v>
      </c>
      <c r="N749" s="582" t="s">
        <v>796</v>
      </c>
    </row>
    <row r="750" spans="1:14" ht="16.5">
      <c r="A750" s="582" t="s">
        <v>1509</v>
      </c>
      <c r="B750" s="582" t="s">
        <v>1564</v>
      </c>
      <c r="C750" s="585">
        <v>1.7361111111111112E-4</v>
      </c>
      <c r="D750" s="582" t="s">
        <v>1565</v>
      </c>
      <c r="E750" s="582" t="s">
        <v>154</v>
      </c>
      <c r="F750" s="582" t="s">
        <v>1081</v>
      </c>
      <c r="G750" s="582" t="s">
        <v>1096</v>
      </c>
      <c r="H750" s="582" t="s">
        <v>157</v>
      </c>
      <c r="I750" s="582" t="s">
        <v>197</v>
      </c>
      <c r="J750" s="582" t="s">
        <v>481</v>
      </c>
      <c r="K750" s="582" t="s">
        <v>169</v>
      </c>
      <c r="L750" s="582" t="s">
        <v>161</v>
      </c>
      <c r="M750" s="582" t="s">
        <v>162</v>
      </c>
      <c r="N750" s="582" t="s">
        <v>1566</v>
      </c>
    </row>
    <row r="751" spans="1:14" ht="16.5">
      <c r="A751" s="582" t="s">
        <v>1509</v>
      </c>
      <c r="B751" s="582" t="s">
        <v>1567</v>
      </c>
      <c r="C751" s="585">
        <v>2.9745370370370373E-3</v>
      </c>
      <c r="D751" s="582" t="s">
        <v>1568</v>
      </c>
      <c r="E751" s="582" t="s">
        <v>154</v>
      </c>
      <c r="F751" s="582" t="s">
        <v>1569</v>
      </c>
      <c r="G751" s="582" t="s">
        <v>1570</v>
      </c>
      <c r="H751" s="582" t="s">
        <v>157</v>
      </c>
      <c r="I751" s="582" t="s">
        <v>197</v>
      </c>
      <c r="J751" s="582" t="s">
        <v>481</v>
      </c>
      <c r="K751" s="582" t="s">
        <v>169</v>
      </c>
      <c r="L751" s="582" t="s">
        <v>161</v>
      </c>
      <c r="M751" s="582" t="s">
        <v>162</v>
      </c>
      <c r="N751" s="582" t="s">
        <v>1571</v>
      </c>
    </row>
    <row r="752" spans="1:14" ht="16.5">
      <c r="A752" s="582" t="s">
        <v>1509</v>
      </c>
      <c r="B752" s="582" t="s">
        <v>1572</v>
      </c>
      <c r="C752" s="585">
        <v>4.8611111111111104E-4</v>
      </c>
      <c r="D752" s="582" t="s">
        <v>1573</v>
      </c>
      <c r="E752" s="582" t="s">
        <v>154</v>
      </c>
      <c r="F752" s="582" t="s">
        <v>1389</v>
      </c>
      <c r="G752" s="582" t="s">
        <v>1397</v>
      </c>
      <c r="H752" s="582" t="s">
        <v>157</v>
      </c>
      <c r="I752" s="582" t="s">
        <v>197</v>
      </c>
      <c r="J752" s="582" t="s">
        <v>481</v>
      </c>
      <c r="K752" s="582" t="s">
        <v>169</v>
      </c>
      <c r="L752" s="582" t="s">
        <v>161</v>
      </c>
      <c r="M752" s="582" t="s">
        <v>162</v>
      </c>
      <c r="N752" s="582" t="s">
        <v>1574</v>
      </c>
    </row>
    <row r="753" spans="1:14" ht="16.5">
      <c r="A753" s="582" t="s">
        <v>1509</v>
      </c>
      <c r="B753" s="582" t="s">
        <v>4331</v>
      </c>
      <c r="C753" s="582"/>
      <c r="D753" s="582"/>
      <c r="E753" s="582"/>
      <c r="F753" s="582" t="s">
        <v>823</v>
      </c>
      <c r="G753" s="582" t="s">
        <v>828</v>
      </c>
      <c r="H753" s="582" t="s">
        <v>157</v>
      </c>
      <c r="I753" s="582" t="s">
        <v>197</v>
      </c>
      <c r="J753" s="582" t="s">
        <v>198</v>
      </c>
      <c r="K753" s="582" t="s">
        <v>160</v>
      </c>
      <c r="L753" s="582" t="s">
        <v>161</v>
      </c>
      <c r="M753" s="582" t="s">
        <v>162</v>
      </c>
      <c r="N753" s="582" t="s">
        <v>4332</v>
      </c>
    </row>
    <row r="754" spans="1:14" ht="16.5">
      <c r="A754" s="582" t="s">
        <v>1509</v>
      </c>
      <c r="B754" s="582" t="s">
        <v>1575</v>
      </c>
      <c r="C754" s="585">
        <v>7.8703703703703705E-4</v>
      </c>
      <c r="D754" s="582" t="s">
        <v>1576</v>
      </c>
      <c r="E754" s="582" t="s">
        <v>154</v>
      </c>
      <c r="F754" s="582" t="s">
        <v>832</v>
      </c>
      <c r="G754" s="582" t="s">
        <v>837</v>
      </c>
      <c r="H754" s="582" t="s">
        <v>157</v>
      </c>
      <c r="I754" s="582" t="s">
        <v>197</v>
      </c>
      <c r="J754" s="582" t="s">
        <v>481</v>
      </c>
      <c r="K754" s="582" t="s">
        <v>169</v>
      </c>
      <c r="L754" s="582" t="s">
        <v>161</v>
      </c>
      <c r="M754" s="582" t="s">
        <v>162</v>
      </c>
      <c r="N754" s="582" t="s">
        <v>1577</v>
      </c>
    </row>
    <row r="755" spans="1:14" ht="16.5">
      <c r="A755" s="582" t="s">
        <v>1509</v>
      </c>
      <c r="B755" s="582" t="s">
        <v>4333</v>
      </c>
      <c r="C755" s="582"/>
      <c r="D755" s="582"/>
      <c r="E755" s="582"/>
      <c r="F755" s="582" t="s">
        <v>799</v>
      </c>
      <c r="G755" s="582" t="s">
        <v>800</v>
      </c>
      <c r="H755" s="582" t="s">
        <v>157</v>
      </c>
      <c r="I755" s="582" t="s">
        <v>197</v>
      </c>
      <c r="J755" s="582" t="s">
        <v>198</v>
      </c>
      <c r="K755" s="582" t="s">
        <v>160</v>
      </c>
      <c r="L755" s="582" t="s">
        <v>161</v>
      </c>
      <c r="M755" s="582" t="s">
        <v>162</v>
      </c>
      <c r="N755" s="582" t="s">
        <v>1298</v>
      </c>
    </row>
    <row r="756" spans="1:14" ht="16.5">
      <c r="A756" s="582" t="s">
        <v>1509</v>
      </c>
      <c r="B756" s="582" t="s">
        <v>1578</v>
      </c>
      <c r="C756" s="585">
        <v>8.3333333333333339E-4</v>
      </c>
      <c r="D756" s="582" t="s">
        <v>1579</v>
      </c>
      <c r="E756" s="582" t="s">
        <v>154</v>
      </c>
      <c r="F756" s="582" t="s">
        <v>1222</v>
      </c>
      <c r="G756" s="582" t="s">
        <v>1223</v>
      </c>
      <c r="H756" s="582" t="s">
        <v>157</v>
      </c>
      <c r="I756" s="582" t="s">
        <v>197</v>
      </c>
      <c r="J756" s="582" t="s">
        <v>481</v>
      </c>
      <c r="K756" s="582" t="s">
        <v>169</v>
      </c>
      <c r="L756" s="582" t="s">
        <v>161</v>
      </c>
      <c r="M756" s="582" t="s">
        <v>162</v>
      </c>
      <c r="N756" s="582" t="s">
        <v>1580</v>
      </c>
    </row>
    <row r="757" spans="1:14" ht="16.5">
      <c r="A757" s="582" t="s">
        <v>1509</v>
      </c>
      <c r="B757" s="582" t="s">
        <v>1581</v>
      </c>
      <c r="C757" s="585">
        <v>8.1018518518518516E-4</v>
      </c>
      <c r="D757" s="582" t="s">
        <v>1582</v>
      </c>
      <c r="E757" s="582" t="s">
        <v>154</v>
      </c>
      <c r="F757" s="582" t="s">
        <v>1161</v>
      </c>
      <c r="G757" s="582" t="s">
        <v>1244</v>
      </c>
      <c r="H757" s="582" t="s">
        <v>157</v>
      </c>
      <c r="I757" s="582" t="s">
        <v>197</v>
      </c>
      <c r="J757" s="582" t="s">
        <v>481</v>
      </c>
      <c r="K757" s="582" t="s">
        <v>169</v>
      </c>
      <c r="L757" s="582" t="s">
        <v>161</v>
      </c>
      <c r="M757" s="582" t="s">
        <v>162</v>
      </c>
      <c r="N757" s="582" t="s">
        <v>1583</v>
      </c>
    </row>
    <row r="758" spans="1:14" ht="16.5">
      <c r="A758" s="582" t="s">
        <v>1509</v>
      </c>
      <c r="B758" s="582" t="s">
        <v>1584</v>
      </c>
      <c r="C758" s="585">
        <v>3.5879629629629635E-4</v>
      </c>
      <c r="D758" s="582" t="s">
        <v>1585</v>
      </c>
      <c r="E758" s="582" t="s">
        <v>154</v>
      </c>
      <c r="F758" s="582" t="s">
        <v>1586</v>
      </c>
      <c r="G758" s="582" t="s">
        <v>1587</v>
      </c>
      <c r="H758" s="582" t="s">
        <v>157</v>
      </c>
      <c r="I758" s="582" t="s">
        <v>158</v>
      </c>
      <c r="J758" s="582" t="s">
        <v>212</v>
      </c>
      <c r="K758" s="582" t="s">
        <v>160</v>
      </c>
      <c r="L758" s="582" t="s">
        <v>161</v>
      </c>
      <c r="M758" s="582" t="s">
        <v>162</v>
      </c>
      <c r="N758" s="582" t="s">
        <v>1588</v>
      </c>
    </row>
    <row r="759" spans="1:14" ht="16.5">
      <c r="A759" s="582" t="s">
        <v>1509</v>
      </c>
      <c r="B759" s="582" t="s">
        <v>1589</v>
      </c>
      <c r="C759" s="585">
        <v>3.9351851851851852E-4</v>
      </c>
      <c r="D759" s="582" t="s">
        <v>1590</v>
      </c>
      <c r="E759" s="582" t="s">
        <v>154</v>
      </c>
      <c r="F759" s="582" t="s">
        <v>1591</v>
      </c>
      <c r="G759" s="582" t="s">
        <v>1592</v>
      </c>
      <c r="H759" s="582" t="s">
        <v>157</v>
      </c>
      <c r="I759" s="582" t="s">
        <v>158</v>
      </c>
      <c r="J759" s="582" t="s">
        <v>191</v>
      </c>
      <c r="K759" s="582" t="s">
        <v>160</v>
      </c>
      <c r="L759" s="582" t="s">
        <v>161</v>
      </c>
      <c r="M759" s="582" t="s">
        <v>162</v>
      </c>
      <c r="N759" s="582" t="s">
        <v>1593</v>
      </c>
    </row>
    <row r="760" spans="1:14" ht="16.5">
      <c r="A760" s="582" t="s">
        <v>1509</v>
      </c>
      <c r="B760" s="582" t="s">
        <v>1594</v>
      </c>
      <c r="C760" s="585">
        <v>2.3148148148148146E-4</v>
      </c>
      <c r="D760" s="582" t="s">
        <v>1595</v>
      </c>
      <c r="E760" s="582" t="s">
        <v>154</v>
      </c>
      <c r="F760" s="582" t="s">
        <v>1232</v>
      </c>
      <c r="G760" s="582" t="s">
        <v>1236</v>
      </c>
      <c r="H760" s="582" t="s">
        <v>157</v>
      </c>
      <c r="I760" s="582" t="s">
        <v>158</v>
      </c>
      <c r="J760" s="582" t="s">
        <v>191</v>
      </c>
      <c r="K760" s="582" t="s">
        <v>169</v>
      </c>
      <c r="L760" s="582" t="s">
        <v>161</v>
      </c>
      <c r="M760" s="582" t="s">
        <v>162</v>
      </c>
      <c r="N760" s="582" t="s">
        <v>1596</v>
      </c>
    </row>
    <row r="761" spans="1:14" ht="16.5">
      <c r="A761" s="582" t="s">
        <v>1509</v>
      </c>
      <c r="B761" s="582" t="s">
        <v>1597</v>
      </c>
      <c r="C761" s="585">
        <v>7.0601851851851847E-4</v>
      </c>
      <c r="D761" s="582" t="s">
        <v>1598</v>
      </c>
      <c r="E761" s="582" t="s">
        <v>154</v>
      </c>
      <c r="F761" s="582" t="s">
        <v>1599</v>
      </c>
      <c r="G761" s="582" t="s">
        <v>1592</v>
      </c>
      <c r="H761" s="582" t="s">
        <v>157</v>
      </c>
      <c r="I761" s="582" t="s">
        <v>158</v>
      </c>
      <c r="J761" s="582" t="s">
        <v>191</v>
      </c>
      <c r="K761" s="582" t="s">
        <v>160</v>
      </c>
      <c r="L761" s="582" t="s">
        <v>161</v>
      </c>
      <c r="M761" s="582" t="s">
        <v>162</v>
      </c>
      <c r="N761" s="582" t="s">
        <v>1600</v>
      </c>
    </row>
    <row r="762" spans="1:14" ht="16.5">
      <c r="A762" s="582" t="s">
        <v>1509</v>
      </c>
      <c r="B762" s="582" t="s">
        <v>1601</v>
      </c>
      <c r="C762" s="585">
        <v>8.6805555555555551E-4</v>
      </c>
      <c r="D762" s="582" t="s">
        <v>1602</v>
      </c>
      <c r="E762" s="582" t="s">
        <v>154</v>
      </c>
      <c r="F762" s="582" t="s">
        <v>1232</v>
      </c>
      <c r="G762" s="582" t="s">
        <v>1603</v>
      </c>
      <c r="H762" s="582" t="s">
        <v>157</v>
      </c>
      <c r="I762" s="582" t="s">
        <v>197</v>
      </c>
      <c r="J762" s="582" t="s">
        <v>481</v>
      </c>
      <c r="K762" s="582" t="s">
        <v>169</v>
      </c>
      <c r="L762" s="582" t="s">
        <v>161</v>
      </c>
      <c r="M762" s="582" t="s">
        <v>162</v>
      </c>
      <c r="N762" s="582" t="s">
        <v>1604</v>
      </c>
    </row>
    <row r="763" spans="1:14" ht="16.5">
      <c r="A763" s="582" t="s">
        <v>1509</v>
      </c>
      <c r="B763" s="582" t="s">
        <v>1605</v>
      </c>
      <c r="C763" s="585">
        <v>2.4189814814814816E-3</v>
      </c>
      <c r="D763" s="582" t="s">
        <v>1606</v>
      </c>
      <c r="E763" s="582" t="s">
        <v>154</v>
      </c>
      <c r="F763" s="582" t="s">
        <v>1586</v>
      </c>
      <c r="G763" s="582" t="s">
        <v>1607</v>
      </c>
      <c r="H763" s="582" t="s">
        <v>157</v>
      </c>
      <c r="I763" s="582" t="s">
        <v>158</v>
      </c>
      <c r="J763" s="582" t="s">
        <v>168</v>
      </c>
      <c r="K763" s="582" t="s">
        <v>160</v>
      </c>
      <c r="L763" s="582" t="s">
        <v>161</v>
      </c>
      <c r="M763" s="582" t="s">
        <v>162</v>
      </c>
      <c r="N763" s="582" t="s">
        <v>1608</v>
      </c>
    </row>
    <row r="764" spans="1:14" ht="16.5">
      <c r="A764" s="582" t="s">
        <v>1509</v>
      </c>
      <c r="B764" s="582" t="s">
        <v>1609</v>
      </c>
      <c r="C764" s="585">
        <v>1.4351851851851854E-3</v>
      </c>
      <c r="D764" s="582" t="s">
        <v>1610</v>
      </c>
      <c r="E764" s="582" t="s">
        <v>154</v>
      </c>
      <c r="F764" s="582" t="s">
        <v>1599</v>
      </c>
      <c r="G764" s="582" t="s">
        <v>1592</v>
      </c>
      <c r="H764" s="582" t="s">
        <v>157</v>
      </c>
      <c r="I764" s="582" t="s">
        <v>158</v>
      </c>
      <c r="J764" s="582" t="s">
        <v>159</v>
      </c>
      <c r="K764" s="582" t="s">
        <v>160</v>
      </c>
      <c r="L764" s="582" t="s">
        <v>161</v>
      </c>
      <c r="M764" s="582" t="s">
        <v>162</v>
      </c>
      <c r="N764" s="582" t="s">
        <v>1611</v>
      </c>
    </row>
    <row r="765" spans="1:14" ht="16.5">
      <c r="A765" s="582" t="s">
        <v>1509</v>
      </c>
      <c r="B765" s="582" t="s">
        <v>1612</v>
      </c>
      <c r="C765" s="585">
        <v>1.0300925925925926E-3</v>
      </c>
      <c r="D765" s="582" t="s">
        <v>1613</v>
      </c>
      <c r="E765" s="582" t="s">
        <v>154</v>
      </c>
      <c r="F765" s="582" t="s">
        <v>1413</v>
      </c>
      <c r="G765" s="582" t="s">
        <v>1414</v>
      </c>
      <c r="H765" s="582" t="s">
        <v>157</v>
      </c>
      <c r="I765" s="582" t="s">
        <v>158</v>
      </c>
      <c r="J765" s="582" t="s">
        <v>159</v>
      </c>
      <c r="K765" s="582" t="s">
        <v>169</v>
      </c>
      <c r="L765" s="582" t="s">
        <v>161</v>
      </c>
      <c r="M765" s="582" t="s">
        <v>162</v>
      </c>
      <c r="N765" s="582" t="s">
        <v>1614</v>
      </c>
    </row>
    <row r="766" spans="1:14" ht="16.5">
      <c r="A766" s="582" t="s">
        <v>1509</v>
      </c>
      <c r="B766" s="582" t="s">
        <v>4330</v>
      </c>
      <c r="C766" s="582"/>
      <c r="D766" s="582"/>
      <c r="E766" s="582"/>
      <c r="F766" s="582" t="s">
        <v>1418</v>
      </c>
      <c r="G766" s="582" t="s">
        <v>1638</v>
      </c>
      <c r="H766" s="582" t="s">
        <v>157</v>
      </c>
      <c r="I766" s="582" t="s">
        <v>158</v>
      </c>
      <c r="J766" s="582" t="s">
        <v>212</v>
      </c>
      <c r="K766" s="582" t="s">
        <v>160</v>
      </c>
      <c r="L766" s="582" t="s">
        <v>161</v>
      </c>
      <c r="M766" s="582" t="s">
        <v>162</v>
      </c>
      <c r="N766" s="582" t="s">
        <v>4334</v>
      </c>
    </row>
    <row r="767" spans="1:14" ht="16.5">
      <c r="A767" s="582" t="s">
        <v>1509</v>
      </c>
      <c r="B767" s="582" t="s">
        <v>4335</v>
      </c>
      <c r="C767" s="582"/>
      <c r="D767" s="582"/>
      <c r="E767" s="582"/>
      <c r="F767" s="582" t="s">
        <v>1599</v>
      </c>
      <c r="G767" s="582" t="s">
        <v>1592</v>
      </c>
      <c r="H767" s="582" t="s">
        <v>157</v>
      </c>
      <c r="I767" s="582" t="s">
        <v>158</v>
      </c>
      <c r="J767" s="582" t="s">
        <v>159</v>
      </c>
      <c r="K767" s="582" t="s">
        <v>160</v>
      </c>
      <c r="L767" s="582" t="s">
        <v>161</v>
      </c>
      <c r="M767" s="582" t="s">
        <v>162</v>
      </c>
      <c r="N767" s="582" t="s">
        <v>4336</v>
      </c>
    </row>
    <row r="768" spans="1:14" ht="16.5">
      <c r="A768" s="582" t="s">
        <v>1509</v>
      </c>
      <c r="B768" s="582" t="s">
        <v>1615</v>
      </c>
      <c r="C768" s="585">
        <v>1.9328703703703704E-3</v>
      </c>
      <c r="D768" s="582" t="s">
        <v>1616</v>
      </c>
      <c r="E768" s="582" t="s">
        <v>154</v>
      </c>
      <c r="F768" s="582" t="s">
        <v>1320</v>
      </c>
      <c r="G768" s="582" t="s">
        <v>1617</v>
      </c>
      <c r="H768" s="582" t="s">
        <v>157</v>
      </c>
      <c r="I768" s="582" t="s">
        <v>158</v>
      </c>
      <c r="J768" s="582" t="s">
        <v>159</v>
      </c>
      <c r="K768" s="582" t="s">
        <v>169</v>
      </c>
      <c r="L768" s="582" t="s">
        <v>161</v>
      </c>
      <c r="M768" s="582" t="s">
        <v>162</v>
      </c>
      <c r="N768" s="582" t="s">
        <v>1618</v>
      </c>
    </row>
    <row r="769" spans="1:14" ht="16.5">
      <c r="A769" s="582" t="s">
        <v>1509</v>
      </c>
      <c r="B769" s="582" t="s">
        <v>1619</v>
      </c>
      <c r="C769" s="585">
        <v>1.9097222222222222E-3</v>
      </c>
      <c r="D769" s="582" t="s">
        <v>1620</v>
      </c>
      <c r="E769" s="582" t="s">
        <v>154</v>
      </c>
      <c r="F769" s="582" t="s">
        <v>1599</v>
      </c>
      <c r="G769" s="582" t="s">
        <v>1592</v>
      </c>
      <c r="H769" s="582" t="s">
        <v>157</v>
      </c>
      <c r="I769" s="582" t="s">
        <v>158</v>
      </c>
      <c r="J769" s="582" t="s">
        <v>168</v>
      </c>
      <c r="K769" s="582" t="s">
        <v>160</v>
      </c>
      <c r="L769" s="582" t="s">
        <v>161</v>
      </c>
      <c r="M769" s="582" t="s">
        <v>162</v>
      </c>
      <c r="N769" s="582" t="s">
        <v>1621</v>
      </c>
    </row>
    <row r="770" spans="1:14" ht="16.5">
      <c r="A770" s="582" t="s">
        <v>1509</v>
      </c>
      <c r="B770" s="582" t="s">
        <v>1622</v>
      </c>
      <c r="C770" s="585">
        <v>1.6203703703703703E-4</v>
      </c>
      <c r="D770" s="582" t="s">
        <v>1623</v>
      </c>
      <c r="E770" s="582" t="s">
        <v>154</v>
      </c>
      <c r="F770" s="582" t="s">
        <v>1320</v>
      </c>
      <c r="G770" s="582" t="s">
        <v>1624</v>
      </c>
      <c r="H770" s="582" t="s">
        <v>157</v>
      </c>
      <c r="I770" s="582" t="s">
        <v>158</v>
      </c>
      <c r="J770" s="582" t="s">
        <v>159</v>
      </c>
      <c r="K770" s="582" t="s">
        <v>169</v>
      </c>
      <c r="L770" s="582" t="s">
        <v>161</v>
      </c>
      <c r="M770" s="582" t="s">
        <v>162</v>
      </c>
      <c r="N770" s="582" t="s">
        <v>1625</v>
      </c>
    </row>
    <row r="771" spans="1:14" ht="16.5">
      <c r="A771" s="582" t="s">
        <v>1509</v>
      </c>
      <c r="B771" s="582" t="s">
        <v>1626</v>
      </c>
      <c r="C771" s="585">
        <v>8.564814814814815E-4</v>
      </c>
      <c r="D771" s="582" t="s">
        <v>1627</v>
      </c>
      <c r="E771" s="582" t="s">
        <v>154</v>
      </c>
      <c r="F771" s="582" t="s">
        <v>1418</v>
      </c>
      <c r="G771" s="582" t="s">
        <v>1628</v>
      </c>
      <c r="H771" s="582" t="s">
        <v>157</v>
      </c>
      <c r="I771" s="582" t="s">
        <v>158</v>
      </c>
      <c r="J771" s="582" t="s">
        <v>159</v>
      </c>
      <c r="K771" s="582" t="s">
        <v>169</v>
      </c>
      <c r="L771" s="582" t="s">
        <v>161</v>
      </c>
      <c r="M771" s="582" t="s">
        <v>162</v>
      </c>
      <c r="N771" s="582" t="s">
        <v>1629</v>
      </c>
    </row>
    <row r="772" spans="1:14" ht="16.5">
      <c r="A772" s="582" t="s">
        <v>1509</v>
      </c>
      <c r="B772" s="582" t="s">
        <v>1630</v>
      </c>
      <c r="C772" s="585">
        <v>2.3148148148148147E-5</v>
      </c>
      <c r="D772" s="582" t="s">
        <v>1631</v>
      </c>
      <c r="E772" s="582" t="s">
        <v>154</v>
      </c>
      <c r="F772" s="582" t="s">
        <v>1413</v>
      </c>
      <c r="G772" s="582" t="s">
        <v>1433</v>
      </c>
      <c r="H772" s="582" t="s">
        <v>157</v>
      </c>
      <c r="I772" s="582" t="s">
        <v>158</v>
      </c>
      <c r="J772" s="582" t="s">
        <v>159</v>
      </c>
      <c r="K772" s="582" t="s">
        <v>169</v>
      </c>
      <c r="L772" s="582" t="s">
        <v>161</v>
      </c>
      <c r="M772" s="582" t="s">
        <v>162</v>
      </c>
      <c r="N772" s="582" t="s">
        <v>1434</v>
      </c>
    </row>
    <row r="773" spans="1:14" ht="16.5">
      <c r="A773" s="582" t="s">
        <v>1509</v>
      </c>
      <c r="B773" s="582" t="s">
        <v>4337</v>
      </c>
      <c r="C773" s="582"/>
      <c r="D773" s="582"/>
      <c r="E773" s="582"/>
      <c r="F773" s="582" t="s">
        <v>1320</v>
      </c>
      <c r="G773" s="582" t="s">
        <v>1624</v>
      </c>
      <c r="H773" s="582" t="s">
        <v>157</v>
      </c>
      <c r="I773" s="582" t="s">
        <v>158</v>
      </c>
      <c r="J773" s="582" t="s">
        <v>159</v>
      </c>
      <c r="K773" s="582" t="s">
        <v>169</v>
      </c>
      <c r="L773" s="582" t="s">
        <v>161</v>
      </c>
      <c r="M773" s="582" t="s">
        <v>162</v>
      </c>
      <c r="N773" s="582" t="s">
        <v>4338</v>
      </c>
    </row>
    <row r="774" spans="1:14" ht="16.5">
      <c r="A774" s="582" t="s">
        <v>1410</v>
      </c>
      <c r="B774" s="582" t="s">
        <v>1411</v>
      </c>
      <c r="C774" s="585">
        <v>1.273148148148148E-4</v>
      </c>
      <c r="D774" s="582" t="s">
        <v>1412</v>
      </c>
      <c r="E774" s="582" t="s">
        <v>154</v>
      </c>
      <c r="F774" s="582" t="s">
        <v>1413</v>
      </c>
      <c r="G774" s="582" t="s">
        <v>1414</v>
      </c>
      <c r="H774" s="582" t="s">
        <v>157</v>
      </c>
      <c r="I774" s="582" t="s">
        <v>158</v>
      </c>
      <c r="J774" s="582" t="s">
        <v>159</v>
      </c>
      <c r="K774" s="582" t="s">
        <v>169</v>
      </c>
      <c r="L774" s="582" t="s">
        <v>161</v>
      </c>
      <c r="M774" s="582" t="s">
        <v>162</v>
      </c>
      <c r="N774" s="582" t="s">
        <v>1415</v>
      </c>
    </row>
    <row r="775" spans="1:14" ht="16.5">
      <c r="A775" s="582" t="s">
        <v>1410</v>
      </c>
      <c r="B775" s="582" t="s">
        <v>1416</v>
      </c>
      <c r="C775" s="585">
        <v>1.4120370370370369E-3</v>
      </c>
      <c r="D775" s="582" t="s">
        <v>1417</v>
      </c>
      <c r="E775" s="582" t="s">
        <v>154</v>
      </c>
      <c r="F775" s="582" t="s">
        <v>1418</v>
      </c>
      <c r="G775" s="582" t="s">
        <v>1419</v>
      </c>
      <c r="H775" s="582" t="s">
        <v>157</v>
      </c>
      <c r="I775" s="582" t="s">
        <v>158</v>
      </c>
      <c r="J775" s="582" t="s">
        <v>168</v>
      </c>
      <c r="K775" s="582" t="s">
        <v>169</v>
      </c>
      <c r="L775" s="582" t="s">
        <v>161</v>
      </c>
      <c r="M775" s="582" t="s">
        <v>162</v>
      </c>
      <c r="N775" s="582" t="s">
        <v>1420</v>
      </c>
    </row>
    <row r="776" spans="1:14" ht="16.5">
      <c r="A776" s="582" t="s">
        <v>1410</v>
      </c>
      <c r="B776" s="582" t="s">
        <v>1421</v>
      </c>
      <c r="C776" s="585">
        <v>6.2500000000000001E-4</v>
      </c>
      <c r="D776" s="582" t="s">
        <v>1422</v>
      </c>
      <c r="E776" s="582" t="s">
        <v>154</v>
      </c>
      <c r="F776" s="582" t="s">
        <v>1331</v>
      </c>
      <c r="G776" s="582" t="s">
        <v>1332</v>
      </c>
      <c r="H776" s="582" t="s">
        <v>157</v>
      </c>
      <c r="I776" s="582" t="s">
        <v>158</v>
      </c>
      <c r="J776" s="582" t="s">
        <v>713</v>
      </c>
      <c r="K776" s="582" t="s">
        <v>160</v>
      </c>
      <c r="L776" s="582" t="s">
        <v>161</v>
      </c>
      <c r="M776" s="582" t="s">
        <v>162</v>
      </c>
      <c r="N776" s="582" t="s">
        <v>1423</v>
      </c>
    </row>
    <row r="777" spans="1:14" ht="16.5">
      <c r="A777" s="582" t="s">
        <v>1410</v>
      </c>
      <c r="B777" s="582" t="s">
        <v>1424</v>
      </c>
      <c r="C777" s="585">
        <v>8.1018518518518516E-5</v>
      </c>
      <c r="D777" s="582" t="s">
        <v>1425</v>
      </c>
      <c r="E777" s="582" t="s">
        <v>154</v>
      </c>
      <c r="F777" s="582" t="s">
        <v>1135</v>
      </c>
      <c r="G777" s="582" t="s">
        <v>1136</v>
      </c>
      <c r="H777" s="582" t="s">
        <v>157</v>
      </c>
      <c r="I777" s="582" t="s">
        <v>158</v>
      </c>
      <c r="J777" s="582" t="s">
        <v>713</v>
      </c>
      <c r="K777" s="582" t="s">
        <v>160</v>
      </c>
      <c r="L777" s="582" t="s">
        <v>161</v>
      </c>
      <c r="M777" s="582" t="s">
        <v>162</v>
      </c>
      <c r="N777" s="582" t="s">
        <v>1426</v>
      </c>
    </row>
    <row r="778" spans="1:14" ht="16.5">
      <c r="A778" s="582" t="s">
        <v>1410</v>
      </c>
      <c r="B778" s="582" t="s">
        <v>1427</v>
      </c>
      <c r="C778" s="585">
        <v>1.5740740740740741E-3</v>
      </c>
      <c r="D778" s="582" t="s">
        <v>1428</v>
      </c>
      <c r="E778" s="582" t="s">
        <v>154</v>
      </c>
      <c r="F778" s="582" t="s">
        <v>1418</v>
      </c>
      <c r="G778" s="582" t="s">
        <v>1429</v>
      </c>
      <c r="H778" s="582" t="s">
        <v>157</v>
      </c>
      <c r="I778" s="582" t="s">
        <v>158</v>
      </c>
      <c r="J778" s="582" t="s">
        <v>168</v>
      </c>
      <c r="K778" s="582" t="s">
        <v>169</v>
      </c>
      <c r="L778" s="582" t="s">
        <v>161</v>
      </c>
      <c r="M778" s="582" t="s">
        <v>162</v>
      </c>
      <c r="N778" s="582" t="s">
        <v>1430</v>
      </c>
    </row>
    <row r="779" spans="1:14" ht="16.5">
      <c r="A779" s="582" t="s">
        <v>1410</v>
      </c>
      <c r="B779" s="582" t="s">
        <v>1431</v>
      </c>
      <c r="C779" s="585">
        <v>1.273148148148148E-4</v>
      </c>
      <c r="D779" s="582" t="s">
        <v>1432</v>
      </c>
      <c r="E779" s="582" t="s">
        <v>154</v>
      </c>
      <c r="F779" s="582" t="s">
        <v>1413</v>
      </c>
      <c r="G779" s="582" t="s">
        <v>1433</v>
      </c>
      <c r="H779" s="582" t="s">
        <v>157</v>
      </c>
      <c r="I779" s="582" t="s">
        <v>158</v>
      </c>
      <c r="J779" s="582" t="s">
        <v>159</v>
      </c>
      <c r="K779" s="582" t="s">
        <v>169</v>
      </c>
      <c r="L779" s="582" t="s">
        <v>161</v>
      </c>
      <c r="M779" s="582" t="s">
        <v>162</v>
      </c>
      <c r="N779" s="582" t="s">
        <v>1434</v>
      </c>
    </row>
    <row r="780" spans="1:14" ht="16.5">
      <c r="A780" s="582" t="s">
        <v>1410</v>
      </c>
      <c r="B780" s="582" t="s">
        <v>1435</v>
      </c>
      <c r="C780" s="585">
        <v>2.1527777777777778E-3</v>
      </c>
      <c r="D780" s="582" t="s">
        <v>1436</v>
      </c>
      <c r="E780" s="582" t="s">
        <v>154</v>
      </c>
      <c r="F780" s="582" t="s">
        <v>1413</v>
      </c>
      <c r="G780" s="582" t="s">
        <v>1437</v>
      </c>
      <c r="H780" s="582" t="s">
        <v>157</v>
      </c>
      <c r="I780" s="582" t="s">
        <v>158</v>
      </c>
      <c r="J780" s="582" t="s">
        <v>168</v>
      </c>
      <c r="K780" s="582" t="s">
        <v>169</v>
      </c>
      <c r="L780" s="582" t="s">
        <v>161</v>
      </c>
      <c r="M780" s="582" t="s">
        <v>162</v>
      </c>
      <c r="N780" s="582" t="s">
        <v>1438</v>
      </c>
    </row>
    <row r="781" spans="1:14" ht="16.5">
      <c r="A781" s="582" t="s">
        <v>1410</v>
      </c>
      <c r="B781" s="582" t="s">
        <v>1439</v>
      </c>
      <c r="C781" s="585">
        <v>5.5555555555555556E-4</v>
      </c>
      <c r="D781" s="582" t="s">
        <v>1440</v>
      </c>
      <c r="E781" s="582" t="s">
        <v>154</v>
      </c>
      <c r="F781" s="582" t="s">
        <v>1320</v>
      </c>
      <c r="G781" s="582" t="s">
        <v>1441</v>
      </c>
      <c r="H781" s="582" t="s">
        <v>157</v>
      </c>
      <c r="I781" s="582" t="s">
        <v>158</v>
      </c>
      <c r="J781" s="582" t="s">
        <v>713</v>
      </c>
      <c r="K781" s="582" t="s">
        <v>169</v>
      </c>
      <c r="L781" s="582" t="s">
        <v>161</v>
      </c>
      <c r="M781" s="582" t="s">
        <v>162</v>
      </c>
      <c r="N781" s="582" t="s">
        <v>1442</v>
      </c>
    </row>
    <row r="782" spans="1:14" ht="16.5">
      <c r="A782" s="582" t="s">
        <v>1410</v>
      </c>
      <c r="B782" s="582" t="s">
        <v>1443</v>
      </c>
      <c r="C782" s="585">
        <v>1.1574074074074073E-5</v>
      </c>
      <c r="D782" s="582" t="s">
        <v>1444</v>
      </c>
      <c r="E782" s="582" t="s">
        <v>154</v>
      </c>
      <c r="F782" s="582" t="s">
        <v>1081</v>
      </c>
      <c r="G782" s="582" t="s">
        <v>1096</v>
      </c>
      <c r="H782" s="582" t="s">
        <v>157</v>
      </c>
      <c r="I782" s="582" t="s">
        <v>197</v>
      </c>
      <c r="J782" s="582" t="s">
        <v>481</v>
      </c>
      <c r="K782" s="582" t="s">
        <v>169</v>
      </c>
      <c r="L782" s="582" t="s">
        <v>161</v>
      </c>
      <c r="M782" s="582" t="s">
        <v>162</v>
      </c>
      <c r="N782" s="582" t="s">
        <v>1445</v>
      </c>
    </row>
    <row r="783" spans="1:14" ht="16.5">
      <c r="A783" s="582" t="s">
        <v>1410</v>
      </c>
      <c r="B783" s="582" t="s">
        <v>1446</v>
      </c>
      <c r="C783" s="585">
        <v>1.1574074074074073E-4</v>
      </c>
      <c r="D783" s="582" t="s">
        <v>1447</v>
      </c>
      <c r="E783" s="582" t="s">
        <v>154</v>
      </c>
      <c r="F783" s="582" t="s">
        <v>1418</v>
      </c>
      <c r="G783" s="582" t="s">
        <v>1419</v>
      </c>
      <c r="H783" s="582" t="s">
        <v>157</v>
      </c>
      <c r="I783" s="582" t="s">
        <v>158</v>
      </c>
      <c r="J783" s="582" t="s">
        <v>168</v>
      </c>
      <c r="K783" s="582" t="s">
        <v>169</v>
      </c>
      <c r="L783" s="582" t="s">
        <v>161</v>
      </c>
      <c r="M783" s="582" t="s">
        <v>162</v>
      </c>
      <c r="N783" s="582" t="s">
        <v>796</v>
      </c>
    </row>
    <row r="784" spans="1:14" ht="16.5">
      <c r="A784" s="582" t="s">
        <v>1410</v>
      </c>
      <c r="B784" s="582" t="s">
        <v>3683</v>
      </c>
      <c r="C784" s="582"/>
      <c r="D784" s="582"/>
      <c r="E784" s="582"/>
      <c r="F784" s="582" t="s">
        <v>542</v>
      </c>
      <c r="G784" s="582" t="s">
        <v>531</v>
      </c>
      <c r="H784" s="582" t="s">
        <v>157</v>
      </c>
      <c r="I784" s="582" t="s">
        <v>158</v>
      </c>
      <c r="J784" s="582" t="s">
        <v>168</v>
      </c>
      <c r="K784" s="582" t="s">
        <v>160</v>
      </c>
      <c r="L784" s="582" t="s">
        <v>161</v>
      </c>
      <c r="M784" s="582" t="s">
        <v>162</v>
      </c>
      <c r="N784" s="582" t="s">
        <v>3684</v>
      </c>
    </row>
    <row r="785" spans="1:14" ht="16.5">
      <c r="A785" s="582" t="s">
        <v>1410</v>
      </c>
      <c r="B785" s="582" t="s">
        <v>1448</v>
      </c>
      <c r="C785" s="585">
        <v>7.175925925925927E-4</v>
      </c>
      <c r="D785" s="582" t="s">
        <v>1449</v>
      </c>
      <c r="E785" s="582" t="s">
        <v>154</v>
      </c>
      <c r="F785" s="582" t="s">
        <v>1241</v>
      </c>
      <c r="G785" s="582" t="s">
        <v>792</v>
      </c>
      <c r="H785" s="582" t="s">
        <v>157</v>
      </c>
      <c r="I785" s="582" t="s">
        <v>197</v>
      </c>
      <c r="J785" s="582" t="s">
        <v>198</v>
      </c>
      <c r="K785" s="582" t="s">
        <v>160</v>
      </c>
      <c r="L785" s="582" t="s">
        <v>161</v>
      </c>
      <c r="M785" s="582" t="s">
        <v>162</v>
      </c>
      <c r="N785" s="582" t="s">
        <v>1450</v>
      </c>
    </row>
    <row r="786" spans="1:14" ht="16.5">
      <c r="A786" s="582" t="s">
        <v>1410</v>
      </c>
      <c r="B786" s="582" t="s">
        <v>1451</v>
      </c>
      <c r="C786" s="585">
        <v>1.6550925925925926E-3</v>
      </c>
      <c r="D786" s="582" t="s">
        <v>1452</v>
      </c>
      <c r="E786" s="582" t="s">
        <v>154</v>
      </c>
      <c r="F786" s="582" t="s">
        <v>1241</v>
      </c>
      <c r="G786" s="582" t="s">
        <v>792</v>
      </c>
      <c r="H786" s="582" t="s">
        <v>157</v>
      </c>
      <c r="I786" s="582" t="s">
        <v>197</v>
      </c>
      <c r="J786" s="582" t="s">
        <v>198</v>
      </c>
      <c r="K786" s="582" t="s">
        <v>160</v>
      </c>
      <c r="L786" s="582" t="s">
        <v>161</v>
      </c>
      <c r="M786" s="582" t="s">
        <v>162</v>
      </c>
      <c r="N786" s="582" t="s">
        <v>1453</v>
      </c>
    </row>
    <row r="787" spans="1:14" ht="16.5">
      <c r="A787" s="582" t="s">
        <v>1410</v>
      </c>
      <c r="B787" s="582" t="s">
        <v>1454</v>
      </c>
      <c r="C787" s="585">
        <v>3.4722222222222224E-4</v>
      </c>
      <c r="D787" s="582" t="s">
        <v>1455</v>
      </c>
      <c r="E787" s="582" t="s">
        <v>154</v>
      </c>
      <c r="F787" s="582" t="s">
        <v>980</v>
      </c>
      <c r="G787" s="582" t="s">
        <v>1327</v>
      </c>
      <c r="H787" s="582" t="s">
        <v>157</v>
      </c>
      <c r="I787" s="582" t="s">
        <v>158</v>
      </c>
      <c r="J787" s="582" t="s">
        <v>713</v>
      </c>
      <c r="K787" s="582" t="s">
        <v>169</v>
      </c>
      <c r="L787" s="582" t="s">
        <v>161</v>
      </c>
      <c r="M787" s="582" t="s">
        <v>162</v>
      </c>
      <c r="N787" s="582" t="s">
        <v>1456</v>
      </c>
    </row>
    <row r="788" spans="1:14" ht="16.5">
      <c r="A788" s="582" t="s">
        <v>1410</v>
      </c>
      <c r="B788" s="582" t="s">
        <v>1457</v>
      </c>
      <c r="C788" s="585">
        <v>1.273148148148148E-4</v>
      </c>
      <c r="D788" s="582" t="s">
        <v>1458</v>
      </c>
      <c r="E788" s="582" t="s">
        <v>154</v>
      </c>
      <c r="F788" s="582" t="s">
        <v>1128</v>
      </c>
      <c r="G788" s="582" t="s">
        <v>1132</v>
      </c>
      <c r="H788" s="582" t="s">
        <v>157</v>
      </c>
      <c r="I788" s="582" t="s">
        <v>158</v>
      </c>
      <c r="J788" s="582" t="s">
        <v>159</v>
      </c>
      <c r="K788" s="582" t="s">
        <v>169</v>
      </c>
      <c r="L788" s="582" t="s">
        <v>161</v>
      </c>
      <c r="M788" s="582" t="s">
        <v>162</v>
      </c>
      <c r="N788" s="582" t="s">
        <v>796</v>
      </c>
    </row>
    <row r="789" spans="1:14" ht="16.5">
      <c r="A789" s="582" t="s">
        <v>1410</v>
      </c>
      <c r="B789" s="582" t="s">
        <v>1459</v>
      </c>
      <c r="C789" s="585">
        <v>8.1018518518518516E-5</v>
      </c>
      <c r="D789" s="582" t="s">
        <v>1460</v>
      </c>
      <c r="E789" s="582" t="s">
        <v>154</v>
      </c>
      <c r="F789" s="582" t="s">
        <v>1341</v>
      </c>
      <c r="G789" s="582" t="s">
        <v>1461</v>
      </c>
      <c r="H789" s="582" t="s">
        <v>157</v>
      </c>
      <c r="I789" s="582" t="s">
        <v>158</v>
      </c>
      <c r="J789" s="582" t="s">
        <v>168</v>
      </c>
      <c r="K789" s="582" t="s">
        <v>169</v>
      </c>
      <c r="L789" s="582" t="s">
        <v>161</v>
      </c>
      <c r="M789" s="582" t="s">
        <v>162</v>
      </c>
      <c r="N789" s="582" t="s">
        <v>1462</v>
      </c>
    </row>
    <row r="790" spans="1:14" ht="16.5">
      <c r="A790" s="582" t="s">
        <v>1410</v>
      </c>
      <c r="B790" s="582" t="s">
        <v>1463</v>
      </c>
      <c r="C790" s="585">
        <v>5.7870370370370366E-5</v>
      </c>
      <c r="D790" s="582" t="s">
        <v>1464</v>
      </c>
      <c r="E790" s="582" t="s">
        <v>154</v>
      </c>
      <c r="F790" s="582" t="s">
        <v>1341</v>
      </c>
      <c r="G790" s="582" t="s">
        <v>1342</v>
      </c>
      <c r="H790" s="582" t="s">
        <v>157</v>
      </c>
      <c r="I790" s="582" t="s">
        <v>158</v>
      </c>
      <c r="J790" s="582" t="s">
        <v>713</v>
      </c>
      <c r="K790" s="582" t="s">
        <v>169</v>
      </c>
      <c r="L790" s="582" t="s">
        <v>161</v>
      </c>
      <c r="M790" s="582" t="s">
        <v>162</v>
      </c>
      <c r="N790" s="582" t="s">
        <v>796</v>
      </c>
    </row>
    <row r="791" spans="1:14" ht="16.5">
      <c r="A791" s="582" t="s">
        <v>1410</v>
      </c>
      <c r="B791" s="582" t="s">
        <v>3685</v>
      </c>
      <c r="C791" s="582"/>
      <c r="D791" s="582"/>
      <c r="E791" s="582"/>
      <c r="F791" s="582" t="s">
        <v>980</v>
      </c>
      <c r="G791" s="582" t="s">
        <v>1165</v>
      </c>
      <c r="H791" s="582" t="s">
        <v>157</v>
      </c>
      <c r="I791" s="582" t="s">
        <v>158</v>
      </c>
      <c r="J791" s="582" t="s">
        <v>713</v>
      </c>
      <c r="K791" s="582" t="s">
        <v>169</v>
      </c>
      <c r="L791" s="582" t="s">
        <v>161</v>
      </c>
      <c r="M791" s="582" t="s">
        <v>162</v>
      </c>
      <c r="N791" s="582" t="s">
        <v>3686</v>
      </c>
    </row>
    <row r="792" spans="1:14" ht="16.5">
      <c r="A792" s="582" t="s">
        <v>1410</v>
      </c>
      <c r="B792" s="582" t="s">
        <v>1465</v>
      </c>
      <c r="C792" s="585">
        <v>2.7777777777777778E-4</v>
      </c>
      <c r="D792" s="582" t="s">
        <v>1466</v>
      </c>
      <c r="E792" s="582" t="s">
        <v>154</v>
      </c>
      <c r="F792" s="582" t="s">
        <v>980</v>
      </c>
      <c r="G792" s="582" t="s">
        <v>1264</v>
      </c>
      <c r="H792" s="582" t="s">
        <v>157</v>
      </c>
      <c r="I792" s="582" t="s">
        <v>158</v>
      </c>
      <c r="J792" s="582" t="s">
        <v>713</v>
      </c>
      <c r="K792" s="582" t="s">
        <v>169</v>
      </c>
      <c r="L792" s="582" t="s">
        <v>161</v>
      </c>
      <c r="M792" s="582" t="s">
        <v>162</v>
      </c>
      <c r="N792" s="582" t="s">
        <v>796</v>
      </c>
    </row>
    <row r="793" spans="1:14" ht="16.5">
      <c r="A793" s="582" t="s">
        <v>1410</v>
      </c>
      <c r="B793" s="582" t="s">
        <v>1467</v>
      </c>
      <c r="C793" s="585">
        <v>1.1574074074074073E-3</v>
      </c>
      <c r="D793" s="582" t="s">
        <v>1468</v>
      </c>
      <c r="E793" s="582" t="s">
        <v>154</v>
      </c>
      <c r="F793" s="582" t="s">
        <v>1469</v>
      </c>
      <c r="G793" s="582" t="s">
        <v>1470</v>
      </c>
      <c r="H793" s="582" t="s">
        <v>157</v>
      </c>
      <c r="I793" s="582" t="s">
        <v>158</v>
      </c>
      <c r="J793" s="582" t="s">
        <v>713</v>
      </c>
      <c r="K793" s="582" t="s">
        <v>160</v>
      </c>
      <c r="L793" s="582" t="s">
        <v>161</v>
      </c>
      <c r="M793" s="582" t="s">
        <v>162</v>
      </c>
      <c r="N793" s="582" t="s">
        <v>1471</v>
      </c>
    </row>
    <row r="794" spans="1:14" ht="16.5">
      <c r="A794" s="582" t="s">
        <v>1410</v>
      </c>
      <c r="B794" s="582" t="s">
        <v>1472</v>
      </c>
      <c r="C794" s="585">
        <v>4.7453703703703704E-4</v>
      </c>
      <c r="D794" s="582" t="s">
        <v>1473</v>
      </c>
      <c r="E794" s="582" t="s">
        <v>154</v>
      </c>
      <c r="F794" s="582" t="s">
        <v>1474</v>
      </c>
      <c r="G794" s="582" t="s">
        <v>1475</v>
      </c>
      <c r="H794" s="582" t="s">
        <v>157</v>
      </c>
      <c r="I794" s="582" t="s">
        <v>158</v>
      </c>
      <c r="J794" s="582" t="s">
        <v>713</v>
      </c>
      <c r="K794" s="582" t="s">
        <v>169</v>
      </c>
      <c r="L794" s="582" t="s">
        <v>161</v>
      </c>
      <c r="M794" s="582" t="s">
        <v>162</v>
      </c>
      <c r="N794" s="582" t="s">
        <v>1476</v>
      </c>
    </row>
    <row r="795" spans="1:14" ht="16.5">
      <c r="A795" s="582" t="s">
        <v>1410</v>
      </c>
      <c r="B795" s="582" t="s">
        <v>3687</v>
      </c>
      <c r="C795" s="582"/>
      <c r="D795" s="582"/>
      <c r="E795" s="582"/>
      <c r="F795" s="582" t="s">
        <v>1469</v>
      </c>
      <c r="G795" s="582" t="s">
        <v>1470</v>
      </c>
      <c r="H795" s="582" t="s">
        <v>157</v>
      </c>
      <c r="I795" s="582" t="s">
        <v>158</v>
      </c>
      <c r="J795" s="582" t="s">
        <v>713</v>
      </c>
      <c r="K795" s="582" t="s">
        <v>160</v>
      </c>
      <c r="L795" s="582" t="s">
        <v>161</v>
      </c>
      <c r="M795" s="582" t="s">
        <v>162</v>
      </c>
      <c r="N795" s="582" t="s">
        <v>3688</v>
      </c>
    </row>
    <row r="796" spans="1:14" ht="16.5">
      <c r="A796" s="582" t="s">
        <v>1410</v>
      </c>
      <c r="B796" s="582" t="s">
        <v>1477</v>
      </c>
      <c r="C796" s="585">
        <v>3.7037037037037035E-4</v>
      </c>
      <c r="D796" s="582" t="s">
        <v>1478</v>
      </c>
      <c r="E796" s="582" t="s">
        <v>154</v>
      </c>
      <c r="F796" s="582" t="s">
        <v>1479</v>
      </c>
      <c r="G796" s="582" t="s">
        <v>1480</v>
      </c>
      <c r="H796" s="582" t="s">
        <v>157</v>
      </c>
      <c r="I796" s="582" t="s">
        <v>158</v>
      </c>
      <c r="J796" s="582" t="s">
        <v>713</v>
      </c>
      <c r="K796" s="582" t="s">
        <v>169</v>
      </c>
      <c r="L796" s="582" t="s">
        <v>161</v>
      </c>
      <c r="M796" s="582" t="s">
        <v>162</v>
      </c>
      <c r="N796" s="582" t="s">
        <v>1481</v>
      </c>
    </row>
    <row r="797" spans="1:14" ht="16.5">
      <c r="A797" s="582" t="s">
        <v>1410</v>
      </c>
      <c r="B797" s="582" t="s">
        <v>1482</v>
      </c>
      <c r="C797" s="585">
        <v>4.2824074074074075E-4</v>
      </c>
      <c r="D797" s="582" t="s">
        <v>1483</v>
      </c>
      <c r="E797" s="582" t="s">
        <v>154</v>
      </c>
      <c r="F797" s="582" t="s">
        <v>1479</v>
      </c>
      <c r="G797" s="582" t="s">
        <v>1484</v>
      </c>
      <c r="H797" s="582" t="s">
        <v>157</v>
      </c>
      <c r="I797" s="582" t="s">
        <v>158</v>
      </c>
      <c r="J797" s="582" t="s">
        <v>713</v>
      </c>
      <c r="K797" s="582" t="s">
        <v>169</v>
      </c>
      <c r="L797" s="582" t="s">
        <v>161</v>
      </c>
      <c r="M797" s="582" t="s">
        <v>162</v>
      </c>
      <c r="N797" s="582" t="s">
        <v>1485</v>
      </c>
    </row>
    <row r="798" spans="1:14" ht="16.5">
      <c r="A798" s="582" t="s">
        <v>1410</v>
      </c>
      <c r="B798" s="582" t="s">
        <v>3689</v>
      </c>
      <c r="C798" s="582"/>
      <c r="D798" s="582"/>
      <c r="E798" s="582"/>
      <c r="F798" s="582" t="s">
        <v>799</v>
      </c>
      <c r="G798" s="582" t="s">
        <v>800</v>
      </c>
      <c r="H798" s="582" t="s">
        <v>157</v>
      </c>
      <c r="I798" s="582" t="s">
        <v>197</v>
      </c>
      <c r="J798" s="582" t="s">
        <v>198</v>
      </c>
      <c r="K798" s="582" t="s">
        <v>160</v>
      </c>
      <c r="L798" s="582" t="s">
        <v>161</v>
      </c>
      <c r="M798" s="582" t="s">
        <v>162</v>
      </c>
      <c r="N798" s="582" t="s">
        <v>796</v>
      </c>
    </row>
    <row r="799" spans="1:14" ht="16.5">
      <c r="A799" s="582" t="s">
        <v>1410</v>
      </c>
      <c r="B799" s="582" t="s">
        <v>3690</v>
      </c>
      <c r="C799" s="582"/>
      <c r="D799" s="582"/>
      <c r="E799" s="582"/>
      <c r="F799" s="582" t="s">
        <v>799</v>
      </c>
      <c r="G799" s="582" t="s">
        <v>800</v>
      </c>
      <c r="H799" s="582" t="s">
        <v>157</v>
      </c>
      <c r="I799" s="582" t="s">
        <v>197</v>
      </c>
      <c r="J799" s="582" t="s">
        <v>198</v>
      </c>
      <c r="K799" s="582" t="s">
        <v>160</v>
      </c>
      <c r="L799" s="582" t="s">
        <v>161</v>
      </c>
      <c r="M799" s="582" t="s">
        <v>162</v>
      </c>
      <c r="N799" s="582" t="s">
        <v>796</v>
      </c>
    </row>
    <row r="800" spans="1:14" ht="16.5">
      <c r="A800" s="582" t="s">
        <v>1410</v>
      </c>
      <c r="B800" s="582" t="s">
        <v>1486</v>
      </c>
      <c r="C800" s="585">
        <v>2.5462962962962961E-3</v>
      </c>
      <c r="D800" s="582" t="s">
        <v>1487</v>
      </c>
      <c r="E800" s="582" t="s">
        <v>154</v>
      </c>
      <c r="F800" s="582" t="s">
        <v>1218</v>
      </c>
      <c r="G800" s="582" t="s">
        <v>1488</v>
      </c>
      <c r="H800" s="582" t="s">
        <v>157</v>
      </c>
      <c r="I800" s="582" t="s">
        <v>158</v>
      </c>
      <c r="J800" s="582" t="s">
        <v>212</v>
      </c>
      <c r="K800" s="582" t="s">
        <v>160</v>
      </c>
      <c r="L800" s="582" t="s">
        <v>161</v>
      </c>
      <c r="M800" s="582" t="s">
        <v>162</v>
      </c>
      <c r="N800" s="582" t="s">
        <v>1489</v>
      </c>
    </row>
    <row r="801" spans="1:14" ht="16.5">
      <c r="A801" s="582" t="s">
        <v>1410</v>
      </c>
      <c r="B801" s="582" t="s">
        <v>1490</v>
      </c>
      <c r="C801" s="585">
        <v>5.4398148148148144E-4</v>
      </c>
      <c r="D801" s="582" t="s">
        <v>1491</v>
      </c>
      <c r="E801" s="582" t="s">
        <v>154</v>
      </c>
      <c r="F801" s="582" t="s">
        <v>980</v>
      </c>
      <c r="G801" s="582" t="s">
        <v>1492</v>
      </c>
      <c r="H801" s="582" t="s">
        <v>157</v>
      </c>
      <c r="I801" s="582" t="s">
        <v>158</v>
      </c>
      <c r="J801" s="582" t="s">
        <v>713</v>
      </c>
      <c r="K801" s="582" t="s">
        <v>169</v>
      </c>
      <c r="L801" s="582" t="s">
        <v>161</v>
      </c>
      <c r="M801" s="582" t="s">
        <v>162</v>
      </c>
      <c r="N801" s="582" t="s">
        <v>1493</v>
      </c>
    </row>
    <row r="802" spans="1:14" ht="16.5">
      <c r="A802" s="582" t="s">
        <v>1410</v>
      </c>
      <c r="B802" s="582" t="s">
        <v>3691</v>
      </c>
      <c r="C802" s="582"/>
      <c r="D802" s="582"/>
      <c r="E802" s="582"/>
      <c r="F802" s="582" t="s">
        <v>3692</v>
      </c>
      <c r="G802" s="582" t="s">
        <v>1592</v>
      </c>
      <c r="H802" s="582" t="s">
        <v>157</v>
      </c>
      <c r="I802" s="582" t="s">
        <v>158</v>
      </c>
      <c r="J802" s="582" t="s">
        <v>168</v>
      </c>
      <c r="K802" s="582" t="s">
        <v>160</v>
      </c>
      <c r="L802" s="582" t="s">
        <v>161</v>
      </c>
      <c r="M802" s="582" t="s">
        <v>162</v>
      </c>
      <c r="N802" s="582" t="s">
        <v>796</v>
      </c>
    </row>
    <row r="803" spans="1:14" ht="16.5">
      <c r="A803" s="582" t="s">
        <v>1314</v>
      </c>
      <c r="B803" s="582" t="s">
        <v>1315</v>
      </c>
      <c r="C803" s="585">
        <v>6.9444444444444447E-4</v>
      </c>
      <c r="D803" s="582" t="s">
        <v>1316</v>
      </c>
      <c r="E803" s="582" t="s">
        <v>154</v>
      </c>
      <c r="F803" s="582" t="s">
        <v>1218</v>
      </c>
      <c r="G803" s="582" t="s">
        <v>1219</v>
      </c>
      <c r="H803" s="582" t="s">
        <v>157</v>
      </c>
      <c r="I803" s="582" t="s">
        <v>158</v>
      </c>
      <c r="J803" s="582" t="s">
        <v>168</v>
      </c>
      <c r="K803" s="582" t="s">
        <v>160</v>
      </c>
      <c r="L803" s="582" t="s">
        <v>161</v>
      </c>
      <c r="M803" s="582" t="s">
        <v>162</v>
      </c>
      <c r="N803" s="582" t="s">
        <v>1317</v>
      </c>
    </row>
    <row r="804" spans="1:14" ht="16.5">
      <c r="A804" s="582" t="s">
        <v>1314</v>
      </c>
      <c r="B804" s="582" t="s">
        <v>1318</v>
      </c>
      <c r="C804" s="585">
        <v>8.2175925925925917E-4</v>
      </c>
      <c r="D804" s="582" t="s">
        <v>1319</v>
      </c>
      <c r="E804" s="582" t="s">
        <v>154</v>
      </c>
      <c r="F804" s="582" t="s">
        <v>1320</v>
      </c>
      <c r="G804" s="582" t="s">
        <v>1321</v>
      </c>
      <c r="H804" s="582" t="s">
        <v>157</v>
      </c>
      <c r="I804" s="582" t="s">
        <v>158</v>
      </c>
      <c r="J804" s="582" t="s">
        <v>168</v>
      </c>
      <c r="K804" s="582" t="s">
        <v>169</v>
      </c>
      <c r="L804" s="582" t="s">
        <v>161</v>
      </c>
      <c r="M804" s="582" t="s">
        <v>162</v>
      </c>
      <c r="N804" s="582" t="s">
        <v>1322</v>
      </c>
    </row>
    <row r="805" spans="1:14" ht="16.5">
      <c r="A805" s="582" t="s">
        <v>1314</v>
      </c>
      <c r="B805" s="582" t="s">
        <v>1323</v>
      </c>
      <c r="C805" s="585">
        <v>7.7546296296296304E-4</v>
      </c>
      <c r="D805" s="582" t="s">
        <v>1324</v>
      </c>
      <c r="E805" s="582" t="s">
        <v>154</v>
      </c>
      <c r="F805" s="582" t="s">
        <v>1135</v>
      </c>
      <c r="G805" s="582" t="s">
        <v>1136</v>
      </c>
      <c r="H805" s="582" t="s">
        <v>157</v>
      </c>
      <c r="I805" s="582" t="s">
        <v>158</v>
      </c>
      <c r="J805" s="582" t="s">
        <v>713</v>
      </c>
      <c r="K805" s="582" t="s">
        <v>160</v>
      </c>
      <c r="L805" s="582" t="s">
        <v>161</v>
      </c>
      <c r="M805" s="582" t="s">
        <v>162</v>
      </c>
      <c r="N805" s="582" t="s">
        <v>796</v>
      </c>
    </row>
    <row r="806" spans="1:14" ht="16.5">
      <c r="A806" s="582" t="s">
        <v>1314</v>
      </c>
      <c r="B806" s="582" t="s">
        <v>1325</v>
      </c>
      <c r="C806" s="585">
        <v>2.4305555555555552E-4</v>
      </c>
      <c r="D806" s="582" t="s">
        <v>1326</v>
      </c>
      <c r="E806" s="582" t="s">
        <v>154</v>
      </c>
      <c r="F806" s="582" t="s">
        <v>980</v>
      </c>
      <c r="G806" s="582" t="s">
        <v>1327</v>
      </c>
      <c r="H806" s="582" t="s">
        <v>157</v>
      </c>
      <c r="I806" s="582" t="s">
        <v>158</v>
      </c>
      <c r="J806" s="582" t="s">
        <v>713</v>
      </c>
      <c r="K806" s="582" t="s">
        <v>169</v>
      </c>
      <c r="L806" s="582" t="s">
        <v>161</v>
      </c>
      <c r="M806" s="582" t="s">
        <v>162</v>
      </c>
      <c r="N806" s="582" t="s">
        <v>1328</v>
      </c>
    </row>
    <row r="807" spans="1:14" ht="16.5">
      <c r="A807" s="582" t="s">
        <v>1314</v>
      </c>
      <c r="B807" s="582" t="s">
        <v>3693</v>
      </c>
      <c r="C807" s="582"/>
      <c r="D807" s="582"/>
      <c r="E807" s="582"/>
      <c r="F807" s="582" t="s">
        <v>1599</v>
      </c>
      <c r="G807" s="582" t="s">
        <v>1592</v>
      </c>
      <c r="H807" s="582" t="s">
        <v>157</v>
      </c>
      <c r="I807" s="582" t="s">
        <v>158</v>
      </c>
      <c r="J807" s="582" t="s">
        <v>168</v>
      </c>
      <c r="K807" s="582" t="s">
        <v>160</v>
      </c>
      <c r="L807" s="582" t="s">
        <v>161</v>
      </c>
      <c r="M807" s="582" t="s">
        <v>162</v>
      </c>
      <c r="N807" s="582" t="s">
        <v>3694</v>
      </c>
    </row>
    <row r="808" spans="1:14" ht="16.5">
      <c r="A808" s="582" t="s">
        <v>1314</v>
      </c>
      <c r="B808" s="582" t="s">
        <v>1329</v>
      </c>
      <c r="C808" s="585">
        <v>3.1250000000000001E-4</v>
      </c>
      <c r="D808" s="582" t="s">
        <v>1330</v>
      </c>
      <c r="E808" s="582" t="s">
        <v>154</v>
      </c>
      <c r="F808" s="582" t="s">
        <v>1331</v>
      </c>
      <c r="G808" s="582" t="s">
        <v>1332</v>
      </c>
      <c r="H808" s="582" t="s">
        <v>157</v>
      </c>
      <c r="I808" s="582" t="s">
        <v>158</v>
      </c>
      <c r="J808" s="582" t="s">
        <v>713</v>
      </c>
      <c r="K808" s="582" t="s">
        <v>160</v>
      </c>
      <c r="L808" s="582" t="s">
        <v>161</v>
      </c>
      <c r="M808" s="582" t="s">
        <v>162</v>
      </c>
      <c r="N808" s="582" t="s">
        <v>1333</v>
      </c>
    </row>
    <row r="809" spans="1:14" ht="16.5">
      <c r="A809" s="582" t="s">
        <v>1314</v>
      </c>
      <c r="B809" s="582" t="s">
        <v>1334</v>
      </c>
      <c r="C809" s="585">
        <v>1.8865740740740742E-3</v>
      </c>
      <c r="D809" s="582" t="s">
        <v>1335</v>
      </c>
      <c r="E809" s="582" t="s">
        <v>154</v>
      </c>
      <c r="F809" s="582" t="s">
        <v>1336</v>
      </c>
      <c r="G809" s="582" t="s">
        <v>1337</v>
      </c>
      <c r="H809" s="582" t="s">
        <v>157</v>
      </c>
      <c r="I809" s="582" t="s">
        <v>158</v>
      </c>
      <c r="J809" s="582" t="s">
        <v>212</v>
      </c>
      <c r="K809" s="582" t="s">
        <v>160</v>
      </c>
      <c r="L809" s="582" t="s">
        <v>161</v>
      </c>
      <c r="M809" s="582" t="s">
        <v>162</v>
      </c>
      <c r="N809" s="582" t="s">
        <v>1338</v>
      </c>
    </row>
    <row r="810" spans="1:14" ht="16.5">
      <c r="A810" s="582" t="s">
        <v>1314</v>
      </c>
      <c r="B810" s="582" t="s">
        <v>1339</v>
      </c>
      <c r="C810" s="585">
        <v>3.4722222222222222E-5</v>
      </c>
      <c r="D810" s="582" t="s">
        <v>1340</v>
      </c>
      <c r="E810" s="582" t="s">
        <v>154</v>
      </c>
      <c r="F810" s="582" t="s">
        <v>1341</v>
      </c>
      <c r="G810" s="582" t="s">
        <v>1342</v>
      </c>
      <c r="H810" s="582" t="s">
        <v>157</v>
      </c>
      <c r="I810" s="582" t="s">
        <v>158</v>
      </c>
      <c r="J810" s="582" t="s">
        <v>168</v>
      </c>
      <c r="K810" s="582" t="s">
        <v>169</v>
      </c>
      <c r="L810" s="582" t="s">
        <v>161</v>
      </c>
      <c r="M810" s="582" t="s">
        <v>162</v>
      </c>
      <c r="N810" s="582" t="s">
        <v>1343</v>
      </c>
    </row>
    <row r="811" spans="1:14" ht="16.5">
      <c r="A811" s="582" t="s">
        <v>1314</v>
      </c>
      <c r="B811" s="582" t="s">
        <v>1344</v>
      </c>
      <c r="C811" s="585">
        <v>3.4490740740740745E-3</v>
      </c>
      <c r="D811" s="582" t="s">
        <v>1345</v>
      </c>
      <c r="E811" s="582" t="s">
        <v>154</v>
      </c>
      <c r="F811" s="582" t="s">
        <v>1336</v>
      </c>
      <c r="G811" s="582" t="s">
        <v>1346</v>
      </c>
      <c r="H811" s="582" t="s">
        <v>157</v>
      </c>
      <c r="I811" s="582" t="s">
        <v>158</v>
      </c>
      <c r="J811" s="582" t="s">
        <v>168</v>
      </c>
      <c r="K811" s="582" t="s">
        <v>160</v>
      </c>
      <c r="L811" s="582" t="s">
        <v>161</v>
      </c>
      <c r="M811" s="582" t="s">
        <v>162</v>
      </c>
      <c r="N811" s="582" t="s">
        <v>1347</v>
      </c>
    </row>
    <row r="812" spans="1:14" ht="16.5">
      <c r="A812" s="582" t="s">
        <v>1314</v>
      </c>
      <c r="B812" s="582" t="s">
        <v>1348</v>
      </c>
      <c r="C812" s="585">
        <v>3.4722222222222222E-5</v>
      </c>
      <c r="D812" s="582" t="s">
        <v>1349</v>
      </c>
      <c r="E812" s="582" t="s">
        <v>154</v>
      </c>
      <c r="F812" s="582" t="s">
        <v>1341</v>
      </c>
      <c r="G812" s="582" t="s">
        <v>1342</v>
      </c>
      <c r="H812" s="582" t="s">
        <v>157</v>
      </c>
      <c r="I812" s="582" t="s">
        <v>158</v>
      </c>
      <c r="J812" s="582" t="s">
        <v>168</v>
      </c>
      <c r="K812" s="582" t="s">
        <v>169</v>
      </c>
      <c r="L812" s="582" t="s">
        <v>161</v>
      </c>
      <c r="M812" s="582" t="s">
        <v>162</v>
      </c>
      <c r="N812" s="582" t="s">
        <v>796</v>
      </c>
    </row>
    <row r="813" spans="1:14" ht="16.5">
      <c r="A813" s="582" t="s">
        <v>1314</v>
      </c>
      <c r="B813" s="582" t="s">
        <v>1350</v>
      </c>
      <c r="C813" s="585">
        <v>6.018518518518519E-4</v>
      </c>
      <c r="D813" s="582" t="s">
        <v>1351</v>
      </c>
      <c r="E813" s="582" t="s">
        <v>154</v>
      </c>
      <c r="F813" s="582" t="s">
        <v>1128</v>
      </c>
      <c r="G813" s="582" t="s">
        <v>1352</v>
      </c>
      <c r="H813" s="582" t="s">
        <v>157</v>
      </c>
      <c r="I813" s="582" t="s">
        <v>158</v>
      </c>
      <c r="J813" s="582" t="s">
        <v>159</v>
      </c>
      <c r="K813" s="582" t="s">
        <v>169</v>
      </c>
      <c r="L813" s="582" t="s">
        <v>161</v>
      </c>
      <c r="M813" s="582" t="s">
        <v>162</v>
      </c>
      <c r="N813" s="582" t="s">
        <v>1353</v>
      </c>
    </row>
    <row r="814" spans="1:14" ht="16.5">
      <c r="A814" s="582" t="s">
        <v>1314</v>
      </c>
      <c r="B814" s="582" t="s">
        <v>1354</v>
      </c>
      <c r="C814" s="585">
        <v>1.25E-3</v>
      </c>
      <c r="D814" s="582" t="s">
        <v>1355</v>
      </c>
      <c r="E814" s="582" t="s">
        <v>154</v>
      </c>
      <c r="F814" s="582" t="s">
        <v>1226</v>
      </c>
      <c r="G814" s="582" t="s">
        <v>1227</v>
      </c>
      <c r="H814" s="582" t="s">
        <v>157</v>
      </c>
      <c r="I814" s="582" t="s">
        <v>197</v>
      </c>
      <c r="J814" s="582" t="s">
        <v>198</v>
      </c>
      <c r="K814" s="582" t="s">
        <v>169</v>
      </c>
      <c r="L814" s="582" t="s">
        <v>161</v>
      </c>
      <c r="M814" s="582" t="s">
        <v>162</v>
      </c>
      <c r="N814" s="582" t="s">
        <v>1356</v>
      </c>
    </row>
    <row r="815" spans="1:14" ht="16.5">
      <c r="A815" s="582" t="s">
        <v>1314</v>
      </c>
      <c r="B815" s="582" t="s">
        <v>3695</v>
      </c>
      <c r="C815" s="582"/>
      <c r="D815" s="582"/>
      <c r="E815" s="582"/>
      <c r="F815" s="582" t="s">
        <v>542</v>
      </c>
      <c r="G815" s="582" t="s">
        <v>531</v>
      </c>
      <c r="H815" s="582" t="s">
        <v>157</v>
      </c>
      <c r="I815" s="582" t="s">
        <v>158</v>
      </c>
      <c r="J815" s="582" t="s">
        <v>168</v>
      </c>
      <c r="K815" s="582" t="s">
        <v>160</v>
      </c>
      <c r="L815" s="582" t="s">
        <v>161</v>
      </c>
      <c r="M815" s="582" t="s">
        <v>162</v>
      </c>
      <c r="N815" s="582" t="s">
        <v>3696</v>
      </c>
    </row>
    <row r="816" spans="1:14" ht="16.5">
      <c r="A816" s="582" t="s">
        <v>1314</v>
      </c>
      <c r="B816" s="582" t="s">
        <v>1357</v>
      </c>
      <c r="C816" s="585">
        <v>3.3564814814814812E-4</v>
      </c>
      <c r="D816" s="582" t="s">
        <v>1358</v>
      </c>
      <c r="E816" s="582" t="s">
        <v>154</v>
      </c>
      <c r="F816" s="582" t="s">
        <v>1226</v>
      </c>
      <c r="G816" s="582" t="s">
        <v>1227</v>
      </c>
      <c r="H816" s="582" t="s">
        <v>157</v>
      </c>
      <c r="I816" s="582" t="s">
        <v>197</v>
      </c>
      <c r="J816" s="582" t="s">
        <v>198</v>
      </c>
      <c r="K816" s="582" t="s">
        <v>169</v>
      </c>
      <c r="L816" s="582" t="s">
        <v>161</v>
      </c>
      <c r="M816" s="582" t="s">
        <v>162</v>
      </c>
      <c r="N816" s="582" t="s">
        <v>1359</v>
      </c>
    </row>
    <row r="817" spans="1:14" ht="16.5">
      <c r="A817" s="582" t="s">
        <v>1314</v>
      </c>
      <c r="B817" s="582" t="s">
        <v>1360</v>
      </c>
      <c r="C817" s="585">
        <v>3.2407407407407406E-4</v>
      </c>
      <c r="D817" s="582" t="s">
        <v>1361</v>
      </c>
      <c r="E817" s="582" t="s">
        <v>154</v>
      </c>
      <c r="F817" s="582" t="s">
        <v>980</v>
      </c>
      <c r="G817" s="582" t="s">
        <v>1362</v>
      </c>
      <c r="H817" s="582" t="s">
        <v>157</v>
      </c>
      <c r="I817" s="582" t="s">
        <v>158</v>
      </c>
      <c r="J817" s="582" t="s">
        <v>713</v>
      </c>
      <c r="K817" s="582" t="s">
        <v>169</v>
      </c>
      <c r="L817" s="582" t="s">
        <v>161</v>
      </c>
      <c r="M817" s="582" t="s">
        <v>162</v>
      </c>
      <c r="N817" s="582" t="s">
        <v>1363</v>
      </c>
    </row>
    <row r="818" spans="1:14" ht="16.5">
      <c r="A818" s="582" t="s">
        <v>1314</v>
      </c>
      <c r="B818" s="582" t="s">
        <v>1365</v>
      </c>
      <c r="C818" s="585">
        <v>6.2500000000000001E-4</v>
      </c>
      <c r="D818" s="582" t="s">
        <v>1366</v>
      </c>
      <c r="E818" s="582" t="s">
        <v>154</v>
      </c>
      <c r="F818" s="582" t="s">
        <v>799</v>
      </c>
      <c r="G818" s="582" t="s">
        <v>800</v>
      </c>
      <c r="H818" s="582" t="s">
        <v>157</v>
      </c>
      <c r="I818" s="582" t="s">
        <v>158</v>
      </c>
      <c r="J818" s="582" t="s">
        <v>713</v>
      </c>
      <c r="K818" s="582" t="s">
        <v>160</v>
      </c>
      <c r="L818" s="582" t="s">
        <v>161</v>
      </c>
      <c r="M818" s="582" t="s">
        <v>162</v>
      </c>
      <c r="N818" s="582" t="s">
        <v>1367</v>
      </c>
    </row>
    <row r="819" spans="1:14" ht="16.5">
      <c r="A819" s="582" t="s">
        <v>1314</v>
      </c>
      <c r="B819" s="582" t="s">
        <v>1369</v>
      </c>
      <c r="C819" s="585">
        <v>7.6388888888888893E-4</v>
      </c>
      <c r="D819" s="582" t="s">
        <v>1370</v>
      </c>
      <c r="E819" s="582" t="s">
        <v>154</v>
      </c>
      <c r="F819" s="582" t="s">
        <v>1371</v>
      </c>
      <c r="G819" s="582" t="s">
        <v>1372</v>
      </c>
      <c r="H819" s="582" t="s">
        <v>157</v>
      </c>
      <c r="I819" s="582" t="s">
        <v>158</v>
      </c>
      <c r="J819" s="582" t="s">
        <v>713</v>
      </c>
      <c r="K819" s="582" t="s">
        <v>160</v>
      </c>
      <c r="L819" s="582" t="s">
        <v>161</v>
      </c>
      <c r="M819" s="582" t="s">
        <v>162</v>
      </c>
      <c r="N819" s="582" t="s">
        <v>1373</v>
      </c>
    </row>
    <row r="820" spans="1:14" ht="16.5">
      <c r="A820" s="582" t="s">
        <v>1314</v>
      </c>
      <c r="B820" s="582" t="s">
        <v>1374</v>
      </c>
      <c r="C820" s="585">
        <v>4.6296296296296293E-4</v>
      </c>
      <c r="D820" s="582" t="s">
        <v>1375</v>
      </c>
      <c r="E820" s="582" t="s">
        <v>154</v>
      </c>
      <c r="F820" s="582" t="s">
        <v>1331</v>
      </c>
      <c r="G820" s="582" t="s">
        <v>1332</v>
      </c>
      <c r="H820" s="582" t="s">
        <v>157</v>
      </c>
      <c r="I820" s="582" t="s">
        <v>158</v>
      </c>
      <c r="J820" s="582" t="s">
        <v>713</v>
      </c>
      <c r="K820" s="582" t="s">
        <v>160</v>
      </c>
      <c r="L820" s="582" t="s">
        <v>161</v>
      </c>
      <c r="M820" s="582" t="s">
        <v>162</v>
      </c>
      <c r="N820" s="582" t="s">
        <v>1376</v>
      </c>
    </row>
    <row r="821" spans="1:14" ht="16.5">
      <c r="A821" s="582" t="s">
        <v>1314</v>
      </c>
      <c r="B821" s="582" t="s">
        <v>1377</v>
      </c>
      <c r="C821" s="585">
        <v>4.6296296296296293E-4</v>
      </c>
      <c r="D821" s="582" t="s">
        <v>1378</v>
      </c>
      <c r="E821" s="582" t="s">
        <v>154</v>
      </c>
      <c r="F821" s="582" t="s">
        <v>980</v>
      </c>
      <c r="G821" s="582" t="s">
        <v>1327</v>
      </c>
      <c r="H821" s="582" t="s">
        <v>157</v>
      </c>
      <c r="I821" s="582" t="s">
        <v>158</v>
      </c>
      <c r="J821" s="582" t="s">
        <v>713</v>
      </c>
      <c r="K821" s="582" t="s">
        <v>169</v>
      </c>
      <c r="L821" s="582" t="s">
        <v>161</v>
      </c>
      <c r="M821" s="582" t="s">
        <v>162</v>
      </c>
      <c r="N821" s="582" t="s">
        <v>1379</v>
      </c>
    </row>
    <row r="822" spans="1:14" ht="16.5">
      <c r="A822" s="582" t="s">
        <v>1314</v>
      </c>
      <c r="B822" s="582" t="s">
        <v>1380</v>
      </c>
      <c r="C822" s="585">
        <v>2.3148148148148146E-4</v>
      </c>
      <c r="D822" s="582" t="s">
        <v>1381</v>
      </c>
      <c r="E822" s="582" t="s">
        <v>154</v>
      </c>
      <c r="F822" s="582" t="s">
        <v>980</v>
      </c>
      <c r="G822" s="582" t="s">
        <v>993</v>
      </c>
      <c r="H822" s="582" t="s">
        <v>157</v>
      </c>
      <c r="I822" s="582" t="s">
        <v>158</v>
      </c>
      <c r="J822" s="582" t="s">
        <v>713</v>
      </c>
      <c r="K822" s="582" t="s">
        <v>169</v>
      </c>
      <c r="L822" s="582" t="s">
        <v>161</v>
      </c>
      <c r="M822" s="582" t="s">
        <v>162</v>
      </c>
      <c r="N822" s="582" t="s">
        <v>1382</v>
      </c>
    </row>
    <row r="823" spans="1:14" ht="16.5">
      <c r="A823" s="582" t="s">
        <v>1314</v>
      </c>
      <c r="B823" s="582" t="s">
        <v>1383</v>
      </c>
      <c r="C823" s="585">
        <v>2.8935185185185189E-4</v>
      </c>
      <c r="D823" s="582" t="s">
        <v>1384</v>
      </c>
      <c r="E823" s="582" t="s">
        <v>154</v>
      </c>
      <c r="F823" s="582" t="s">
        <v>980</v>
      </c>
      <c r="G823" s="582" t="s">
        <v>1264</v>
      </c>
      <c r="H823" s="582" t="s">
        <v>157</v>
      </c>
      <c r="I823" s="582" t="s">
        <v>158</v>
      </c>
      <c r="J823" s="582" t="s">
        <v>713</v>
      </c>
      <c r="K823" s="582" t="s">
        <v>169</v>
      </c>
      <c r="L823" s="582" t="s">
        <v>161</v>
      </c>
      <c r="M823" s="582" t="s">
        <v>162</v>
      </c>
      <c r="N823" s="582" t="s">
        <v>796</v>
      </c>
    </row>
    <row r="824" spans="1:14" ht="16.5">
      <c r="A824" s="582" t="s">
        <v>1314</v>
      </c>
      <c r="B824" s="582" t="s">
        <v>1385</v>
      </c>
      <c r="C824" s="585">
        <v>2.3148148148148147E-5</v>
      </c>
      <c r="D824" s="582" t="s">
        <v>1386</v>
      </c>
      <c r="E824" s="582" t="s">
        <v>154</v>
      </c>
      <c r="F824" s="582" t="s">
        <v>980</v>
      </c>
      <c r="G824" s="582" t="s">
        <v>1165</v>
      </c>
      <c r="H824" s="582" t="s">
        <v>157</v>
      </c>
      <c r="I824" s="582" t="s">
        <v>158</v>
      </c>
      <c r="J824" s="582" t="s">
        <v>713</v>
      </c>
      <c r="K824" s="582" t="s">
        <v>169</v>
      </c>
      <c r="L824" s="582" t="s">
        <v>161</v>
      </c>
      <c r="M824" s="582" t="s">
        <v>162</v>
      </c>
      <c r="N824" s="582" t="s">
        <v>796</v>
      </c>
    </row>
    <row r="825" spans="1:14" ht="16.5">
      <c r="A825" s="582" t="s">
        <v>1314</v>
      </c>
      <c r="B825" s="582" t="s">
        <v>1387</v>
      </c>
      <c r="C825" s="585">
        <v>1.8171296296296297E-3</v>
      </c>
      <c r="D825" s="582" t="s">
        <v>1388</v>
      </c>
      <c r="E825" s="582" t="s">
        <v>154</v>
      </c>
      <c r="F825" s="582" t="s">
        <v>1389</v>
      </c>
      <c r="G825" s="582" t="s">
        <v>1390</v>
      </c>
      <c r="H825" s="582" t="s">
        <v>157</v>
      </c>
      <c r="I825" s="582" t="s">
        <v>158</v>
      </c>
      <c r="J825" s="582" t="s">
        <v>212</v>
      </c>
      <c r="K825" s="582" t="s">
        <v>160</v>
      </c>
      <c r="L825" s="582" t="s">
        <v>161</v>
      </c>
      <c r="M825" s="582" t="s">
        <v>162</v>
      </c>
      <c r="N825" s="582" t="s">
        <v>1391</v>
      </c>
    </row>
    <row r="826" spans="1:14" ht="16.5">
      <c r="A826" s="582" t="s">
        <v>1314</v>
      </c>
      <c r="B826" s="582" t="s">
        <v>1392</v>
      </c>
      <c r="C826" s="585">
        <v>6.9444444444444444E-5</v>
      </c>
      <c r="D826" s="582" t="s">
        <v>1393</v>
      </c>
      <c r="E826" s="582" t="s">
        <v>154</v>
      </c>
      <c r="F826" s="582" t="s">
        <v>980</v>
      </c>
      <c r="G826" s="582" t="s">
        <v>1261</v>
      </c>
      <c r="H826" s="582" t="s">
        <v>157</v>
      </c>
      <c r="I826" s="582" t="s">
        <v>158</v>
      </c>
      <c r="J826" s="582" t="s">
        <v>713</v>
      </c>
      <c r="K826" s="582" t="s">
        <v>169</v>
      </c>
      <c r="L826" s="582" t="s">
        <v>161</v>
      </c>
      <c r="M826" s="582" t="s">
        <v>162</v>
      </c>
      <c r="N826" s="582" t="s">
        <v>1394</v>
      </c>
    </row>
    <row r="827" spans="1:14" ht="16.5">
      <c r="A827" s="582" t="s">
        <v>1314</v>
      </c>
      <c r="B827" s="582" t="s">
        <v>2728</v>
      </c>
      <c r="C827" s="582"/>
      <c r="D827" s="582"/>
      <c r="E827" s="582"/>
      <c r="F827" s="582" t="s">
        <v>980</v>
      </c>
      <c r="G827" s="582" t="s">
        <v>2729</v>
      </c>
      <c r="H827" s="582" t="s">
        <v>157</v>
      </c>
      <c r="I827" s="582" t="s">
        <v>158</v>
      </c>
      <c r="J827" s="582" t="s">
        <v>713</v>
      </c>
      <c r="K827" s="582" t="s">
        <v>169</v>
      </c>
      <c r="L827" s="582" t="s">
        <v>161</v>
      </c>
      <c r="M827" s="582" t="s">
        <v>162</v>
      </c>
      <c r="N827" s="582" t="s">
        <v>796</v>
      </c>
    </row>
    <row r="828" spans="1:14" ht="16.5">
      <c r="A828" s="582" t="s">
        <v>1314</v>
      </c>
      <c r="B828" s="582" t="s">
        <v>1395</v>
      </c>
      <c r="C828" s="585">
        <v>1.7708333333333332E-3</v>
      </c>
      <c r="D828" s="582" t="s">
        <v>1396</v>
      </c>
      <c r="E828" s="582" t="s">
        <v>154</v>
      </c>
      <c r="F828" s="582" t="s">
        <v>1389</v>
      </c>
      <c r="G828" s="582" t="s">
        <v>1397</v>
      </c>
      <c r="H828" s="582" t="s">
        <v>157</v>
      </c>
      <c r="I828" s="582" t="s">
        <v>158</v>
      </c>
      <c r="J828" s="582" t="s">
        <v>168</v>
      </c>
      <c r="K828" s="582" t="s">
        <v>160</v>
      </c>
      <c r="L828" s="582" t="s">
        <v>161</v>
      </c>
      <c r="M828" s="582" t="s">
        <v>162</v>
      </c>
      <c r="N828" s="582" t="s">
        <v>1398</v>
      </c>
    </row>
    <row r="829" spans="1:14" ht="16.5">
      <c r="A829" s="582" t="s">
        <v>1314</v>
      </c>
      <c r="B829" s="582" t="s">
        <v>1399</v>
      </c>
      <c r="C829" s="585">
        <v>1.2847222222222223E-3</v>
      </c>
      <c r="D829" s="582" t="s">
        <v>1400</v>
      </c>
      <c r="E829" s="582" t="s">
        <v>154</v>
      </c>
      <c r="F829" s="582" t="s">
        <v>402</v>
      </c>
      <c r="G829" s="582" t="s">
        <v>1149</v>
      </c>
      <c r="H829" s="582" t="s">
        <v>157</v>
      </c>
      <c r="I829" s="582" t="s">
        <v>158</v>
      </c>
      <c r="J829" s="582" t="s">
        <v>159</v>
      </c>
      <c r="K829" s="582" t="s">
        <v>169</v>
      </c>
      <c r="L829" s="582" t="s">
        <v>161</v>
      </c>
      <c r="M829" s="582" t="s">
        <v>162</v>
      </c>
      <c r="N829" s="582" t="s">
        <v>1401</v>
      </c>
    </row>
    <row r="830" spans="1:14" ht="16.5">
      <c r="A830" s="582" t="s">
        <v>1314</v>
      </c>
      <c r="B830" s="582" t="s">
        <v>1402</v>
      </c>
      <c r="C830" s="585">
        <v>1.0185185185185186E-3</v>
      </c>
      <c r="D830" s="582" t="s">
        <v>1403</v>
      </c>
      <c r="E830" s="582" t="s">
        <v>154</v>
      </c>
      <c r="F830" s="582" t="s">
        <v>1389</v>
      </c>
      <c r="G830" s="582" t="s">
        <v>1404</v>
      </c>
      <c r="H830" s="582" t="s">
        <v>157</v>
      </c>
      <c r="I830" s="582" t="s">
        <v>158</v>
      </c>
      <c r="J830" s="582" t="s">
        <v>168</v>
      </c>
      <c r="K830" s="582" t="s">
        <v>160</v>
      </c>
      <c r="L830" s="582" t="s">
        <v>161</v>
      </c>
      <c r="M830" s="582" t="s">
        <v>162</v>
      </c>
      <c r="N830" s="582" t="s">
        <v>1405</v>
      </c>
    </row>
    <row r="831" spans="1:14" ht="16.5">
      <c r="A831" s="582" t="s">
        <v>1200</v>
      </c>
      <c r="B831" s="582" t="s">
        <v>1201</v>
      </c>
      <c r="C831" s="585">
        <v>1.0185185185185186E-3</v>
      </c>
      <c r="D831" s="582" t="s">
        <v>1202</v>
      </c>
      <c r="E831" s="582" t="s">
        <v>154</v>
      </c>
      <c r="F831" s="582" t="s">
        <v>1203</v>
      </c>
      <c r="G831" s="582" t="s">
        <v>1204</v>
      </c>
      <c r="H831" s="582" t="s">
        <v>157</v>
      </c>
      <c r="I831" s="582" t="s">
        <v>158</v>
      </c>
      <c r="J831" s="582" t="s">
        <v>481</v>
      </c>
      <c r="K831" s="582" t="s">
        <v>169</v>
      </c>
      <c r="L831" s="582" t="s">
        <v>161</v>
      </c>
      <c r="M831" s="582" t="s">
        <v>162</v>
      </c>
      <c r="N831" s="582" t="s">
        <v>1280</v>
      </c>
    </row>
    <row r="832" spans="1:14" ht="16.5">
      <c r="A832" s="582" t="s">
        <v>1200</v>
      </c>
      <c r="B832" s="582" t="s">
        <v>1205</v>
      </c>
      <c r="C832" s="585">
        <v>1.6203703703703703E-4</v>
      </c>
      <c r="D832" s="582" t="s">
        <v>1206</v>
      </c>
      <c r="E832" s="582" t="s">
        <v>154</v>
      </c>
      <c r="F832" s="582" t="s">
        <v>1128</v>
      </c>
      <c r="G832" s="582" t="s">
        <v>1132</v>
      </c>
      <c r="H832" s="582" t="s">
        <v>157</v>
      </c>
      <c r="I832" s="582" t="s">
        <v>158</v>
      </c>
      <c r="J832" s="582" t="s">
        <v>159</v>
      </c>
      <c r="K832" s="582" t="s">
        <v>169</v>
      </c>
      <c r="L832" s="582" t="s">
        <v>161</v>
      </c>
      <c r="M832" s="582" t="s">
        <v>162</v>
      </c>
      <c r="N832" s="582" t="s">
        <v>1281</v>
      </c>
    </row>
    <row r="833" spans="1:14" ht="16.5">
      <c r="A833" s="582" t="s">
        <v>1200</v>
      </c>
      <c r="B833" s="582" t="s">
        <v>1207</v>
      </c>
      <c r="C833" s="585">
        <v>9.3750000000000007E-4</v>
      </c>
      <c r="D833" s="582" t="s">
        <v>1208</v>
      </c>
      <c r="E833" s="582" t="s">
        <v>154</v>
      </c>
      <c r="F833" s="582" t="s">
        <v>1152</v>
      </c>
      <c r="G833" s="582" t="s">
        <v>1209</v>
      </c>
      <c r="H833" s="582" t="s">
        <v>157</v>
      </c>
      <c r="I833" s="582" t="s">
        <v>158</v>
      </c>
      <c r="J833" s="582" t="s">
        <v>212</v>
      </c>
      <c r="K833" s="582" t="s">
        <v>160</v>
      </c>
      <c r="L833" s="582" t="s">
        <v>161</v>
      </c>
      <c r="M833" s="582" t="s">
        <v>162</v>
      </c>
      <c r="N833" s="582" t="s">
        <v>1282</v>
      </c>
    </row>
    <row r="834" spans="1:14" ht="16.5">
      <c r="A834" s="582" t="s">
        <v>1200</v>
      </c>
      <c r="B834" s="582" t="s">
        <v>1210</v>
      </c>
      <c r="C834" s="585">
        <v>1.2962962962962963E-3</v>
      </c>
      <c r="D834" s="582" t="s">
        <v>1211</v>
      </c>
      <c r="E834" s="582" t="s">
        <v>154</v>
      </c>
      <c r="F834" s="582" t="s">
        <v>1152</v>
      </c>
      <c r="G834" s="582" t="s">
        <v>1212</v>
      </c>
      <c r="H834" s="582" t="s">
        <v>157</v>
      </c>
      <c r="I834" s="582" t="s">
        <v>158</v>
      </c>
      <c r="J834" s="582" t="s">
        <v>212</v>
      </c>
      <c r="K834" s="582" t="s">
        <v>160</v>
      </c>
      <c r="L834" s="582" t="s">
        <v>161</v>
      </c>
      <c r="M834" s="582" t="s">
        <v>162</v>
      </c>
      <c r="N834" s="582" t="s">
        <v>1283</v>
      </c>
    </row>
    <row r="835" spans="1:14" ht="16.5">
      <c r="A835" s="582" t="s">
        <v>1200</v>
      </c>
      <c r="B835" s="582" t="s">
        <v>1213</v>
      </c>
      <c r="C835" s="585">
        <v>1.4467592592592594E-3</v>
      </c>
      <c r="D835" s="582" t="s">
        <v>1214</v>
      </c>
      <c r="E835" s="582" t="s">
        <v>154</v>
      </c>
      <c r="F835" s="582" t="s">
        <v>1128</v>
      </c>
      <c r="G835" s="582" t="s">
        <v>1215</v>
      </c>
      <c r="H835" s="582" t="s">
        <v>157</v>
      </c>
      <c r="I835" s="582" t="s">
        <v>158</v>
      </c>
      <c r="J835" s="582" t="s">
        <v>159</v>
      </c>
      <c r="K835" s="582" t="s">
        <v>169</v>
      </c>
      <c r="L835" s="582" t="s">
        <v>161</v>
      </c>
      <c r="M835" s="582" t="s">
        <v>162</v>
      </c>
      <c r="N835" s="582" t="s">
        <v>1284</v>
      </c>
    </row>
    <row r="836" spans="1:14" ht="16.5">
      <c r="A836" s="582" t="s">
        <v>1200</v>
      </c>
      <c r="B836" s="582" t="s">
        <v>1216</v>
      </c>
      <c r="C836" s="585">
        <v>1.25E-3</v>
      </c>
      <c r="D836" s="582" t="s">
        <v>1217</v>
      </c>
      <c r="E836" s="582" t="s">
        <v>154</v>
      </c>
      <c r="F836" s="582" t="s">
        <v>1218</v>
      </c>
      <c r="G836" s="582" t="s">
        <v>1219</v>
      </c>
      <c r="H836" s="582" t="s">
        <v>157</v>
      </c>
      <c r="I836" s="582" t="s">
        <v>158</v>
      </c>
      <c r="J836" s="582" t="s">
        <v>168</v>
      </c>
      <c r="K836" s="582" t="s">
        <v>160</v>
      </c>
      <c r="L836" s="582" t="s">
        <v>161</v>
      </c>
      <c r="M836" s="582" t="s">
        <v>162</v>
      </c>
      <c r="N836" s="582" t="s">
        <v>1285</v>
      </c>
    </row>
    <row r="837" spans="1:14" ht="16.5">
      <c r="A837" s="582" t="s">
        <v>1200</v>
      </c>
      <c r="B837" s="582" t="s">
        <v>1220</v>
      </c>
      <c r="C837" s="585">
        <v>5.7870370370370378E-4</v>
      </c>
      <c r="D837" s="582" t="s">
        <v>1221</v>
      </c>
      <c r="E837" s="582" t="s">
        <v>154</v>
      </c>
      <c r="F837" s="582" t="s">
        <v>1222</v>
      </c>
      <c r="G837" s="582" t="s">
        <v>1223</v>
      </c>
      <c r="H837" s="582" t="s">
        <v>157</v>
      </c>
      <c r="I837" s="582" t="s">
        <v>158</v>
      </c>
      <c r="J837" s="582" t="s">
        <v>168</v>
      </c>
      <c r="K837" s="582" t="s">
        <v>169</v>
      </c>
      <c r="L837" s="582" t="s">
        <v>161</v>
      </c>
      <c r="M837" s="582" t="s">
        <v>162</v>
      </c>
      <c r="N837" s="582" t="s">
        <v>1286</v>
      </c>
    </row>
    <row r="838" spans="1:14" ht="16.5">
      <c r="A838" s="582" t="s">
        <v>1200</v>
      </c>
      <c r="B838" s="582" t="s">
        <v>1224</v>
      </c>
      <c r="C838" s="585">
        <v>3.8194444444444446E-4</v>
      </c>
      <c r="D838" s="582" t="s">
        <v>1225</v>
      </c>
      <c r="E838" s="582" t="s">
        <v>154</v>
      </c>
      <c r="F838" s="582" t="s">
        <v>1226</v>
      </c>
      <c r="G838" s="582" t="s">
        <v>1227</v>
      </c>
      <c r="H838" s="582" t="s">
        <v>157</v>
      </c>
      <c r="I838" s="582" t="s">
        <v>197</v>
      </c>
      <c r="J838" s="582" t="s">
        <v>481</v>
      </c>
      <c r="K838" s="582" t="s">
        <v>169</v>
      </c>
      <c r="L838" s="582" t="s">
        <v>161</v>
      </c>
      <c r="M838" s="582" t="s">
        <v>162</v>
      </c>
      <c r="N838" s="582" t="s">
        <v>1287</v>
      </c>
    </row>
    <row r="839" spans="1:14" ht="16.5">
      <c r="A839" s="582" t="s">
        <v>1200</v>
      </c>
      <c r="B839" s="582" t="s">
        <v>2730</v>
      </c>
      <c r="C839" s="582"/>
      <c r="D839" s="582"/>
      <c r="E839" s="582"/>
      <c r="F839" s="582" t="s">
        <v>1320</v>
      </c>
      <c r="G839" s="582" t="s">
        <v>1321</v>
      </c>
      <c r="H839" s="582" t="s">
        <v>157</v>
      </c>
      <c r="I839" s="582" t="s">
        <v>158</v>
      </c>
      <c r="J839" s="582" t="s">
        <v>168</v>
      </c>
      <c r="K839" s="582" t="s">
        <v>169</v>
      </c>
      <c r="L839" s="582" t="s">
        <v>161</v>
      </c>
      <c r="M839" s="582" t="s">
        <v>162</v>
      </c>
      <c r="N839" s="582" t="s">
        <v>2731</v>
      </c>
    </row>
    <row r="840" spans="1:14" ht="16.5">
      <c r="A840" s="582" t="s">
        <v>1200</v>
      </c>
      <c r="B840" s="582" t="s">
        <v>1228</v>
      </c>
      <c r="C840" s="585">
        <v>1.6782407407407406E-3</v>
      </c>
      <c r="D840" s="582" t="s">
        <v>1229</v>
      </c>
      <c r="E840" s="582" t="s">
        <v>154</v>
      </c>
      <c r="F840" s="582" t="s">
        <v>707</v>
      </c>
      <c r="G840" s="582" t="s">
        <v>708</v>
      </c>
      <c r="H840" s="582" t="s">
        <v>157</v>
      </c>
      <c r="I840" s="582" t="s">
        <v>158</v>
      </c>
      <c r="J840" s="582" t="s">
        <v>191</v>
      </c>
      <c r="K840" s="582" t="s">
        <v>169</v>
      </c>
      <c r="L840" s="582" t="s">
        <v>161</v>
      </c>
      <c r="M840" s="582" t="s">
        <v>162</v>
      </c>
      <c r="N840" s="582" t="s">
        <v>1288</v>
      </c>
    </row>
    <row r="841" spans="1:14" ht="16.5">
      <c r="A841" s="582" t="s">
        <v>1200</v>
      </c>
      <c r="B841" s="582" t="s">
        <v>1230</v>
      </c>
      <c r="C841" s="585">
        <v>2.6967592592592594E-3</v>
      </c>
      <c r="D841" s="582" t="s">
        <v>1231</v>
      </c>
      <c r="E841" s="582" t="s">
        <v>154</v>
      </c>
      <c r="F841" s="582" t="s">
        <v>1232</v>
      </c>
      <c r="G841" s="582" t="s">
        <v>1233</v>
      </c>
      <c r="H841" s="582" t="s">
        <v>157</v>
      </c>
      <c r="I841" s="582" t="s">
        <v>158</v>
      </c>
      <c r="J841" s="582" t="s">
        <v>159</v>
      </c>
      <c r="K841" s="582" t="s">
        <v>169</v>
      </c>
      <c r="L841" s="582" t="s">
        <v>161</v>
      </c>
      <c r="M841" s="582" t="s">
        <v>162</v>
      </c>
      <c r="N841" s="582" t="s">
        <v>1289</v>
      </c>
    </row>
    <row r="842" spans="1:14" ht="16.5">
      <c r="A842" s="582" t="s">
        <v>1200</v>
      </c>
      <c r="B842" s="582" t="s">
        <v>1234</v>
      </c>
      <c r="C842" s="585">
        <v>1.8055555555555557E-3</v>
      </c>
      <c r="D842" s="582" t="s">
        <v>1235</v>
      </c>
      <c r="E842" s="582" t="s">
        <v>154</v>
      </c>
      <c r="F842" s="582" t="s">
        <v>1232</v>
      </c>
      <c r="G842" s="582" t="s">
        <v>1236</v>
      </c>
      <c r="H842" s="582" t="s">
        <v>157</v>
      </c>
      <c r="I842" s="582" t="s">
        <v>158</v>
      </c>
      <c r="J842" s="582" t="s">
        <v>168</v>
      </c>
      <c r="K842" s="582" t="s">
        <v>169</v>
      </c>
      <c r="L842" s="582" t="s">
        <v>161</v>
      </c>
      <c r="M842" s="582" t="s">
        <v>162</v>
      </c>
      <c r="N842" s="582" t="s">
        <v>1187</v>
      </c>
    </row>
    <row r="843" spans="1:14" ht="16.5">
      <c r="A843" s="582" t="s">
        <v>1200</v>
      </c>
      <c r="B843" s="582" t="s">
        <v>1743</v>
      </c>
      <c r="C843" s="582"/>
      <c r="D843" s="582"/>
      <c r="E843" s="582"/>
      <c r="F843" s="582" t="s">
        <v>1336</v>
      </c>
      <c r="G843" s="582" t="s">
        <v>1346</v>
      </c>
      <c r="H843" s="582" t="s">
        <v>157</v>
      </c>
      <c r="I843" s="582" t="s">
        <v>158</v>
      </c>
      <c r="J843" s="582" t="s">
        <v>168</v>
      </c>
      <c r="K843" s="582" t="s">
        <v>160</v>
      </c>
      <c r="L843" s="582" t="s">
        <v>161</v>
      </c>
      <c r="M843" s="582" t="s">
        <v>162</v>
      </c>
      <c r="N843" s="582" t="s">
        <v>2732</v>
      </c>
    </row>
    <row r="844" spans="1:14" ht="16.5">
      <c r="A844" s="582" t="s">
        <v>1200</v>
      </c>
      <c r="B844" s="582" t="s">
        <v>1237</v>
      </c>
      <c r="C844" s="585">
        <v>2.9629629629629628E-3</v>
      </c>
      <c r="D844" s="582" t="s">
        <v>1238</v>
      </c>
      <c r="E844" s="582" t="s">
        <v>154</v>
      </c>
      <c r="F844" s="582" t="s">
        <v>1203</v>
      </c>
      <c r="G844" s="582" t="s">
        <v>1204</v>
      </c>
      <c r="H844" s="582" t="s">
        <v>157</v>
      </c>
      <c r="I844" s="582" t="s">
        <v>158</v>
      </c>
      <c r="J844" s="582" t="s">
        <v>168</v>
      </c>
      <c r="K844" s="582" t="s">
        <v>169</v>
      </c>
      <c r="L844" s="582" t="s">
        <v>161</v>
      </c>
      <c r="M844" s="582" t="s">
        <v>162</v>
      </c>
      <c r="N844" s="582" t="s">
        <v>1290</v>
      </c>
    </row>
    <row r="845" spans="1:14" ht="16.5">
      <c r="A845" s="582" t="s">
        <v>1200</v>
      </c>
      <c r="B845" s="582" t="s">
        <v>2733</v>
      </c>
      <c r="C845" s="582"/>
      <c r="D845" s="582"/>
      <c r="E845" s="582"/>
      <c r="F845" s="582" t="s">
        <v>542</v>
      </c>
      <c r="G845" s="582" t="s">
        <v>531</v>
      </c>
      <c r="H845" s="582" t="s">
        <v>157</v>
      </c>
      <c r="I845" s="582" t="s">
        <v>158</v>
      </c>
      <c r="J845" s="582" t="s">
        <v>168</v>
      </c>
      <c r="K845" s="582" t="s">
        <v>160</v>
      </c>
      <c r="L845" s="582" t="s">
        <v>161</v>
      </c>
      <c r="M845" s="582" t="s">
        <v>162</v>
      </c>
      <c r="N845" s="582" t="s">
        <v>2734</v>
      </c>
    </row>
    <row r="846" spans="1:14" ht="16.5">
      <c r="A846" s="582" t="s">
        <v>1200</v>
      </c>
      <c r="B846" s="582" t="s">
        <v>1239</v>
      </c>
      <c r="C846" s="585">
        <v>1.4351851851851854E-3</v>
      </c>
      <c r="D846" s="582" t="s">
        <v>1240</v>
      </c>
      <c r="E846" s="582" t="s">
        <v>154</v>
      </c>
      <c r="F846" s="582" t="s">
        <v>1241</v>
      </c>
      <c r="G846" s="582" t="s">
        <v>792</v>
      </c>
      <c r="H846" s="582" t="s">
        <v>157</v>
      </c>
      <c r="I846" s="582" t="s">
        <v>158</v>
      </c>
      <c r="J846" s="582" t="s">
        <v>191</v>
      </c>
      <c r="K846" s="582" t="s">
        <v>160</v>
      </c>
      <c r="L846" s="582" t="s">
        <v>161</v>
      </c>
      <c r="M846" s="582" t="s">
        <v>162</v>
      </c>
      <c r="N846" s="582" t="s">
        <v>1291</v>
      </c>
    </row>
    <row r="847" spans="1:14" ht="16.5">
      <c r="A847" s="582" t="s">
        <v>1200</v>
      </c>
      <c r="B847" s="582" t="s">
        <v>1242</v>
      </c>
      <c r="C847" s="585">
        <v>3.5879629629629635E-4</v>
      </c>
      <c r="D847" s="582" t="s">
        <v>1243</v>
      </c>
      <c r="E847" s="582" t="s">
        <v>154</v>
      </c>
      <c r="F847" s="582" t="s">
        <v>1161</v>
      </c>
      <c r="G847" s="582" t="s">
        <v>1244</v>
      </c>
      <c r="H847" s="582" t="s">
        <v>157</v>
      </c>
      <c r="I847" s="582" t="s">
        <v>158</v>
      </c>
      <c r="J847" s="582" t="s">
        <v>159</v>
      </c>
      <c r="K847" s="582" t="s">
        <v>169</v>
      </c>
      <c r="L847" s="582" t="s">
        <v>161</v>
      </c>
      <c r="M847" s="582" t="s">
        <v>162</v>
      </c>
      <c r="N847" s="582" t="s">
        <v>1292</v>
      </c>
    </row>
    <row r="848" spans="1:14" ht="16.5">
      <c r="A848" s="582" t="s">
        <v>1200</v>
      </c>
      <c r="B848" s="582" t="s">
        <v>1245</v>
      </c>
      <c r="C848" s="585">
        <v>3.0787037037037037E-3</v>
      </c>
      <c r="D848" s="582" t="s">
        <v>1246</v>
      </c>
      <c r="E848" s="582" t="s">
        <v>154</v>
      </c>
      <c r="F848" s="582" t="s">
        <v>1247</v>
      </c>
      <c r="G848" s="582" t="s">
        <v>1248</v>
      </c>
      <c r="H848" s="582" t="s">
        <v>157</v>
      </c>
      <c r="I848" s="582" t="s">
        <v>158</v>
      </c>
      <c r="J848" s="582" t="s">
        <v>168</v>
      </c>
      <c r="K848" s="582" t="s">
        <v>160</v>
      </c>
      <c r="L848" s="582" t="s">
        <v>161</v>
      </c>
      <c r="M848" s="582" t="s">
        <v>162</v>
      </c>
      <c r="N848" s="582" t="s">
        <v>1293</v>
      </c>
    </row>
    <row r="849" spans="1:14" ht="16.5">
      <c r="A849" s="582" t="s">
        <v>1200</v>
      </c>
      <c r="B849" s="582" t="s">
        <v>1249</v>
      </c>
      <c r="C849" s="585">
        <v>2.0833333333333335E-4</v>
      </c>
      <c r="D849" s="582" t="s">
        <v>1250</v>
      </c>
      <c r="E849" s="582" t="s">
        <v>154</v>
      </c>
      <c r="F849" s="582" t="s">
        <v>841</v>
      </c>
      <c r="G849" s="582" t="s">
        <v>846</v>
      </c>
      <c r="H849" s="582" t="s">
        <v>157</v>
      </c>
      <c r="I849" s="582" t="s">
        <v>197</v>
      </c>
      <c r="J849" s="582" t="s">
        <v>198</v>
      </c>
      <c r="K849" s="582" t="s">
        <v>169</v>
      </c>
      <c r="L849" s="582" t="s">
        <v>161</v>
      </c>
      <c r="M849" s="582" t="s">
        <v>162</v>
      </c>
      <c r="N849" s="582" t="s">
        <v>1294</v>
      </c>
    </row>
    <row r="850" spans="1:14" ht="16.5">
      <c r="A850" s="582" t="s">
        <v>1200</v>
      </c>
      <c r="B850" s="582" t="s">
        <v>1251</v>
      </c>
      <c r="C850" s="585">
        <v>6.4814814814814813E-4</v>
      </c>
      <c r="D850" s="582" t="s">
        <v>1252</v>
      </c>
      <c r="E850" s="582" t="s">
        <v>154</v>
      </c>
      <c r="F850" s="582" t="s">
        <v>841</v>
      </c>
      <c r="G850" s="582" t="s">
        <v>846</v>
      </c>
      <c r="H850" s="582" t="s">
        <v>157</v>
      </c>
      <c r="I850" s="582" t="s">
        <v>158</v>
      </c>
      <c r="J850" s="582" t="s">
        <v>481</v>
      </c>
      <c r="K850" s="582" t="s">
        <v>169</v>
      </c>
      <c r="L850" s="582" t="s">
        <v>161</v>
      </c>
      <c r="M850" s="582" t="s">
        <v>162</v>
      </c>
      <c r="N850" s="582" t="s">
        <v>1295</v>
      </c>
    </row>
    <row r="851" spans="1:14" ht="16.5">
      <c r="A851" s="582" t="s">
        <v>1200</v>
      </c>
      <c r="B851" s="582" t="s">
        <v>1253</v>
      </c>
      <c r="C851" s="585">
        <v>6.018518518518519E-4</v>
      </c>
      <c r="D851" s="582" t="s">
        <v>1254</v>
      </c>
      <c r="E851" s="582" t="s">
        <v>154</v>
      </c>
      <c r="F851" s="582" t="s">
        <v>1128</v>
      </c>
      <c r="G851" s="582" t="s">
        <v>1132</v>
      </c>
      <c r="H851" s="582" t="s">
        <v>157</v>
      </c>
      <c r="I851" s="582" t="s">
        <v>158</v>
      </c>
      <c r="J851" s="582" t="s">
        <v>159</v>
      </c>
      <c r="K851" s="582" t="s">
        <v>169</v>
      </c>
      <c r="L851" s="582" t="s">
        <v>161</v>
      </c>
      <c r="M851" s="582" t="s">
        <v>162</v>
      </c>
      <c r="N851" s="582" t="s">
        <v>1296</v>
      </c>
    </row>
    <row r="852" spans="1:14" ht="16.5">
      <c r="A852" s="582" t="s">
        <v>1200</v>
      </c>
      <c r="B852" s="582" t="s">
        <v>1255</v>
      </c>
      <c r="C852" s="585">
        <v>3.1250000000000001E-4</v>
      </c>
      <c r="D852" s="582" t="s">
        <v>1256</v>
      </c>
      <c r="E852" s="582" t="s">
        <v>154</v>
      </c>
      <c r="F852" s="582" t="s">
        <v>1241</v>
      </c>
      <c r="G852" s="582" t="s">
        <v>792</v>
      </c>
      <c r="H852" s="582" t="s">
        <v>157</v>
      </c>
      <c r="I852" s="582" t="s">
        <v>158</v>
      </c>
      <c r="J852" s="582" t="s">
        <v>481</v>
      </c>
      <c r="K852" s="582" t="s">
        <v>169</v>
      </c>
      <c r="L852" s="582" t="s">
        <v>161</v>
      </c>
      <c r="M852" s="582" t="s">
        <v>162</v>
      </c>
      <c r="N852" s="582" t="s">
        <v>1297</v>
      </c>
    </row>
    <row r="853" spans="1:14" ht="16.5">
      <c r="A853" s="582" t="s">
        <v>1200</v>
      </c>
      <c r="B853" s="582" t="s">
        <v>2735</v>
      </c>
      <c r="C853" s="582"/>
      <c r="D853" s="582"/>
      <c r="E853" s="582"/>
      <c r="F853" s="582" t="s">
        <v>1389</v>
      </c>
      <c r="G853" s="582" t="s">
        <v>1404</v>
      </c>
      <c r="H853" s="582" t="s">
        <v>157</v>
      </c>
      <c r="I853" s="582" t="s">
        <v>158</v>
      </c>
      <c r="J853" s="582" t="s">
        <v>168</v>
      </c>
      <c r="K853" s="582" t="s">
        <v>160</v>
      </c>
      <c r="L853" s="582" t="s">
        <v>161</v>
      </c>
      <c r="M853" s="582" t="s">
        <v>162</v>
      </c>
      <c r="N853" s="582" t="s">
        <v>1745</v>
      </c>
    </row>
    <row r="854" spans="1:14" ht="16.5">
      <c r="A854" s="582" t="s">
        <v>1200</v>
      </c>
      <c r="B854" s="582" t="s">
        <v>2736</v>
      </c>
      <c r="C854" s="582"/>
      <c r="D854" s="582"/>
      <c r="E854" s="582"/>
      <c r="F854" s="582" t="s">
        <v>980</v>
      </c>
      <c r="G854" s="582" t="s">
        <v>1165</v>
      </c>
      <c r="H854" s="582" t="s">
        <v>157</v>
      </c>
      <c r="I854" s="582" t="s">
        <v>158</v>
      </c>
      <c r="J854" s="582" t="s">
        <v>713</v>
      </c>
      <c r="K854" s="582" t="s">
        <v>169</v>
      </c>
      <c r="L854" s="582" t="s">
        <v>161</v>
      </c>
      <c r="M854" s="582" t="s">
        <v>162</v>
      </c>
      <c r="N854" s="582" t="s">
        <v>2737</v>
      </c>
    </row>
    <row r="855" spans="1:14" ht="16.5">
      <c r="A855" s="582" t="s">
        <v>1200</v>
      </c>
      <c r="B855" s="582" t="s">
        <v>1259</v>
      </c>
      <c r="C855" s="585">
        <v>8.1018518518518516E-5</v>
      </c>
      <c r="D855" s="582" t="s">
        <v>1260</v>
      </c>
      <c r="E855" s="582" t="s">
        <v>154</v>
      </c>
      <c r="F855" s="582" t="s">
        <v>980</v>
      </c>
      <c r="G855" s="582" t="s">
        <v>1261</v>
      </c>
      <c r="H855" s="582" t="s">
        <v>157</v>
      </c>
      <c r="I855" s="582" t="s">
        <v>158</v>
      </c>
      <c r="J855" s="582" t="s">
        <v>713</v>
      </c>
      <c r="K855" s="582" t="s">
        <v>169</v>
      </c>
      <c r="L855" s="582" t="s">
        <v>161</v>
      </c>
      <c r="M855" s="582" t="s">
        <v>162</v>
      </c>
      <c r="N855" s="582" t="s">
        <v>1197</v>
      </c>
    </row>
    <row r="856" spans="1:14" ht="16.5">
      <c r="A856" s="582" t="s">
        <v>1200</v>
      </c>
      <c r="B856" s="582" t="s">
        <v>1262</v>
      </c>
      <c r="C856" s="585">
        <v>2.7777777777777778E-4</v>
      </c>
      <c r="D856" s="582" t="s">
        <v>1263</v>
      </c>
      <c r="E856" s="582" t="s">
        <v>154</v>
      </c>
      <c r="F856" s="582" t="s">
        <v>980</v>
      </c>
      <c r="G856" s="582" t="s">
        <v>1264</v>
      </c>
      <c r="H856" s="582" t="s">
        <v>157</v>
      </c>
      <c r="I856" s="582" t="s">
        <v>158</v>
      </c>
      <c r="J856" s="582" t="s">
        <v>713</v>
      </c>
      <c r="K856" s="582" t="s">
        <v>169</v>
      </c>
      <c r="L856" s="582" t="s">
        <v>161</v>
      </c>
      <c r="M856" s="582" t="s">
        <v>162</v>
      </c>
      <c r="N856" s="582" t="s">
        <v>1196</v>
      </c>
    </row>
    <row r="857" spans="1:14" ht="16.5">
      <c r="A857" s="582" t="s">
        <v>1200</v>
      </c>
      <c r="B857" s="582" t="s">
        <v>1265</v>
      </c>
      <c r="C857" s="585">
        <v>5.0925925925925921E-4</v>
      </c>
      <c r="D857" s="582" t="s">
        <v>1266</v>
      </c>
      <c r="E857" s="582" t="s">
        <v>154</v>
      </c>
      <c r="F857" s="582" t="s">
        <v>980</v>
      </c>
      <c r="G857" s="582" t="s">
        <v>993</v>
      </c>
      <c r="H857" s="582" t="s">
        <v>157</v>
      </c>
      <c r="I857" s="582" t="s">
        <v>158</v>
      </c>
      <c r="J857" s="582" t="s">
        <v>713</v>
      </c>
      <c r="K857" s="582" t="s">
        <v>169</v>
      </c>
      <c r="L857" s="582" t="s">
        <v>161</v>
      </c>
      <c r="M857" s="582" t="s">
        <v>162</v>
      </c>
      <c r="N857" s="582" t="s">
        <v>1299</v>
      </c>
    </row>
    <row r="858" spans="1:14" ht="16.5">
      <c r="A858" s="582" t="s">
        <v>1200</v>
      </c>
      <c r="B858" s="582" t="s">
        <v>2738</v>
      </c>
      <c r="C858" s="582"/>
      <c r="D858" s="582"/>
      <c r="E858" s="582"/>
      <c r="F858" s="582" t="s">
        <v>980</v>
      </c>
      <c r="G858" s="582" t="s">
        <v>2729</v>
      </c>
      <c r="H858" s="582" t="s">
        <v>157</v>
      </c>
      <c r="I858" s="582" t="s">
        <v>158</v>
      </c>
      <c r="J858" s="582" t="s">
        <v>713</v>
      </c>
      <c r="K858" s="582" t="s">
        <v>169</v>
      </c>
      <c r="L858" s="582" t="s">
        <v>161</v>
      </c>
      <c r="M858" s="582" t="s">
        <v>162</v>
      </c>
      <c r="N858" s="582" t="s">
        <v>2739</v>
      </c>
    </row>
    <row r="859" spans="1:14" ht="16.5">
      <c r="A859" s="582" t="s">
        <v>1200</v>
      </c>
      <c r="B859" s="582" t="s">
        <v>1267</v>
      </c>
      <c r="C859" s="585">
        <v>2.2800925925925927E-3</v>
      </c>
      <c r="D859" s="582" t="s">
        <v>1268</v>
      </c>
      <c r="E859" s="582" t="s">
        <v>154</v>
      </c>
      <c r="F859" s="582" t="s">
        <v>1152</v>
      </c>
      <c r="G859" s="582" t="s">
        <v>1212</v>
      </c>
      <c r="H859" s="582" t="s">
        <v>157</v>
      </c>
      <c r="I859" s="582" t="s">
        <v>158</v>
      </c>
      <c r="J859" s="582" t="s">
        <v>212</v>
      </c>
      <c r="K859" s="582" t="s">
        <v>160</v>
      </c>
      <c r="L859" s="582" t="s">
        <v>161</v>
      </c>
      <c r="M859" s="582" t="s">
        <v>162</v>
      </c>
      <c r="N859" s="582" t="s">
        <v>1300</v>
      </c>
    </row>
    <row r="860" spans="1:14" ht="16.5">
      <c r="A860" s="582" t="s">
        <v>1200</v>
      </c>
      <c r="B860" s="582" t="s">
        <v>1269</v>
      </c>
      <c r="C860" s="585">
        <v>5.5555555555555556E-4</v>
      </c>
      <c r="D860" s="582" t="s">
        <v>1270</v>
      </c>
      <c r="E860" s="582" t="s">
        <v>154</v>
      </c>
      <c r="F860" s="582" t="s">
        <v>1152</v>
      </c>
      <c r="G860" s="582" t="s">
        <v>1271</v>
      </c>
      <c r="H860" s="582" t="s">
        <v>157</v>
      </c>
      <c r="I860" s="582" t="s">
        <v>158</v>
      </c>
      <c r="J860" s="582" t="s">
        <v>212</v>
      </c>
      <c r="K860" s="582" t="s">
        <v>160</v>
      </c>
      <c r="L860" s="582" t="s">
        <v>161</v>
      </c>
      <c r="M860" s="582" t="s">
        <v>162</v>
      </c>
      <c r="N860" s="582" t="s">
        <v>1301</v>
      </c>
    </row>
    <row r="861" spans="1:14" ht="16.5">
      <c r="A861" s="582" t="s">
        <v>1200</v>
      </c>
      <c r="B861" s="582" t="s">
        <v>1272</v>
      </c>
      <c r="C861" s="585">
        <v>1.1574074074074073E-5</v>
      </c>
      <c r="D861" s="582" t="s">
        <v>1273</v>
      </c>
      <c r="E861" s="582" t="s">
        <v>154</v>
      </c>
      <c r="F861" s="582" t="s">
        <v>1161</v>
      </c>
      <c r="G861" s="582" t="s">
        <v>1244</v>
      </c>
      <c r="H861" s="582" t="s">
        <v>157</v>
      </c>
      <c r="I861" s="582" t="s">
        <v>158</v>
      </c>
      <c r="J861" s="582" t="s">
        <v>159</v>
      </c>
      <c r="K861" s="582" t="s">
        <v>169</v>
      </c>
      <c r="L861" s="582" t="s">
        <v>161</v>
      </c>
      <c r="M861" s="582" t="s">
        <v>162</v>
      </c>
      <c r="N861" s="582" t="s">
        <v>1302</v>
      </c>
    </row>
    <row r="862" spans="1:14" ht="16.5">
      <c r="A862" s="582" t="s">
        <v>1200</v>
      </c>
      <c r="B862" s="582" t="s">
        <v>1274</v>
      </c>
      <c r="C862" s="585">
        <v>9.2592592592592588E-5</v>
      </c>
      <c r="D862" s="582" t="s">
        <v>1275</v>
      </c>
      <c r="E862" s="582" t="s">
        <v>154</v>
      </c>
      <c r="F862" s="582" t="s">
        <v>1135</v>
      </c>
      <c r="G862" s="582" t="s">
        <v>1136</v>
      </c>
      <c r="H862" s="582" t="s">
        <v>157</v>
      </c>
      <c r="I862" s="582" t="s">
        <v>158</v>
      </c>
      <c r="J862" s="582" t="s">
        <v>713</v>
      </c>
      <c r="K862" s="582" t="s">
        <v>160</v>
      </c>
      <c r="L862" s="582" t="s">
        <v>161</v>
      </c>
      <c r="M862" s="582" t="s">
        <v>162</v>
      </c>
      <c r="N862" s="582" t="s">
        <v>1303</v>
      </c>
    </row>
    <row r="863" spans="1:14" ht="16.5">
      <c r="A863" s="582" t="s">
        <v>1200</v>
      </c>
      <c r="B863" s="582" t="s">
        <v>1276</v>
      </c>
      <c r="C863" s="585">
        <v>6.134259259259259E-4</v>
      </c>
      <c r="D863" s="582" t="s">
        <v>1277</v>
      </c>
      <c r="E863" s="582" t="s">
        <v>154</v>
      </c>
      <c r="F863" s="582" t="s">
        <v>707</v>
      </c>
      <c r="G863" s="582" t="s">
        <v>708</v>
      </c>
      <c r="H863" s="582" t="s">
        <v>157</v>
      </c>
      <c r="I863" s="582" t="s">
        <v>158</v>
      </c>
      <c r="J863" s="582" t="s">
        <v>168</v>
      </c>
      <c r="K863" s="582" t="s">
        <v>169</v>
      </c>
      <c r="L863" s="582" t="s">
        <v>161</v>
      </c>
      <c r="M863" s="582" t="s">
        <v>162</v>
      </c>
      <c r="N863" s="582" t="s">
        <v>1304</v>
      </c>
    </row>
    <row r="864" spans="1:14" ht="16.5">
      <c r="A864" s="582" t="s">
        <v>1200</v>
      </c>
      <c r="B864" s="582" t="s">
        <v>1278</v>
      </c>
      <c r="C864" s="585">
        <v>1.5624999999999999E-3</v>
      </c>
      <c r="D864" s="582" t="s">
        <v>1279</v>
      </c>
      <c r="E864" s="582" t="s">
        <v>154</v>
      </c>
      <c r="F864" s="582" t="s">
        <v>707</v>
      </c>
      <c r="G864" s="582" t="s">
        <v>708</v>
      </c>
      <c r="H864" s="582" t="s">
        <v>157</v>
      </c>
      <c r="I864" s="582" t="s">
        <v>197</v>
      </c>
      <c r="J864" s="582" t="s">
        <v>198</v>
      </c>
      <c r="K864" s="582" t="s">
        <v>169</v>
      </c>
      <c r="L864" s="582" t="s">
        <v>161</v>
      </c>
      <c r="M864" s="582" t="s">
        <v>162</v>
      </c>
      <c r="N864" s="582" t="s">
        <v>1305</v>
      </c>
    </row>
    <row r="865" spans="1:14" ht="16.5">
      <c r="A865" s="582" t="s">
        <v>1123</v>
      </c>
      <c r="B865" s="582" t="s">
        <v>1124</v>
      </c>
      <c r="C865" s="585">
        <v>2.1412037037037038E-3</v>
      </c>
      <c r="D865" s="582" t="s">
        <v>1125</v>
      </c>
      <c r="E865" s="582" t="s">
        <v>154</v>
      </c>
      <c r="F865" s="582" t="s">
        <v>823</v>
      </c>
      <c r="G865" s="582" t="s">
        <v>828</v>
      </c>
      <c r="H865" s="582" t="s">
        <v>157</v>
      </c>
      <c r="I865" s="582" t="s">
        <v>158</v>
      </c>
      <c r="J865" s="582" t="s">
        <v>212</v>
      </c>
      <c r="K865" s="582" t="s">
        <v>160</v>
      </c>
      <c r="L865" s="582" t="s">
        <v>161</v>
      </c>
      <c r="M865" s="582" t="s">
        <v>162</v>
      </c>
      <c r="N865" s="582" t="s">
        <v>1181</v>
      </c>
    </row>
    <row r="866" spans="1:14" ht="16.5">
      <c r="A866" s="582" t="s">
        <v>1123</v>
      </c>
      <c r="B866" s="582" t="s">
        <v>1126</v>
      </c>
      <c r="C866" s="585">
        <v>1.1921296296296296E-3</v>
      </c>
      <c r="D866" s="582" t="s">
        <v>1127</v>
      </c>
      <c r="E866" s="582" t="s">
        <v>154</v>
      </c>
      <c r="F866" s="582" t="s">
        <v>1128</v>
      </c>
      <c r="G866" s="582" t="s">
        <v>1129</v>
      </c>
      <c r="H866" s="582" t="s">
        <v>157</v>
      </c>
      <c r="I866" s="582" t="s">
        <v>158</v>
      </c>
      <c r="J866" s="582" t="s">
        <v>159</v>
      </c>
      <c r="K866" s="582" t="s">
        <v>169</v>
      </c>
      <c r="L866" s="582" t="s">
        <v>161</v>
      </c>
      <c r="M866" s="582" t="s">
        <v>162</v>
      </c>
      <c r="N866" s="582" t="s">
        <v>1182</v>
      </c>
    </row>
    <row r="867" spans="1:14" ht="16.5">
      <c r="A867" s="582" t="s">
        <v>1123</v>
      </c>
      <c r="B867" s="582" t="s">
        <v>1130</v>
      </c>
      <c r="C867" s="585">
        <v>4.9768518518518521E-4</v>
      </c>
      <c r="D867" s="582" t="s">
        <v>1131</v>
      </c>
      <c r="E867" s="582" t="s">
        <v>154</v>
      </c>
      <c r="F867" s="582" t="s">
        <v>1128</v>
      </c>
      <c r="G867" s="582" t="s">
        <v>1132</v>
      </c>
      <c r="H867" s="582" t="s">
        <v>157</v>
      </c>
      <c r="I867" s="582" t="s">
        <v>158</v>
      </c>
      <c r="J867" s="582" t="s">
        <v>159</v>
      </c>
      <c r="K867" s="582" t="s">
        <v>169</v>
      </c>
      <c r="L867" s="582" t="s">
        <v>161</v>
      </c>
      <c r="M867" s="582" t="s">
        <v>162</v>
      </c>
      <c r="N867" s="582" t="s">
        <v>1183</v>
      </c>
    </row>
    <row r="868" spans="1:14" ht="16.5">
      <c r="A868" s="582" t="s">
        <v>1123</v>
      </c>
      <c r="B868" s="582" t="s">
        <v>2740</v>
      </c>
      <c r="C868" s="582"/>
      <c r="D868" s="582"/>
      <c r="E868" s="582"/>
      <c r="F868" s="582" t="s">
        <v>1152</v>
      </c>
      <c r="G868" s="582" t="s">
        <v>1271</v>
      </c>
      <c r="H868" s="582" t="s">
        <v>157</v>
      </c>
      <c r="I868" s="582" t="s">
        <v>158</v>
      </c>
      <c r="J868" s="582" t="s">
        <v>212</v>
      </c>
      <c r="K868" s="582" t="s">
        <v>160</v>
      </c>
      <c r="L868" s="582" t="s">
        <v>161</v>
      </c>
      <c r="M868" s="582" t="s">
        <v>162</v>
      </c>
      <c r="N868" s="582" t="s">
        <v>557</v>
      </c>
    </row>
    <row r="869" spans="1:14" ht="16.5">
      <c r="A869" s="582" t="s">
        <v>1123</v>
      </c>
      <c r="B869" s="582" t="s">
        <v>1133</v>
      </c>
      <c r="C869" s="585">
        <v>9.1435185185185185E-4</v>
      </c>
      <c r="D869" s="582" t="s">
        <v>1134</v>
      </c>
      <c r="E869" s="582" t="s">
        <v>154</v>
      </c>
      <c r="F869" s="582" t="s">
        <v>1135</v>
      </c>
      <c r="G869" s="582" t="s">
        <v>1136</v>
      </c>
      <c r="H869" s="582" t="s">
        <v>157</v>
      </c>
      <c r="I869" s="582" t="s">
        <v>158</v>
      </c>
      <c r="J869" s="582" t="s">
        <v>713</v>
      </c>
      <c r="K869" s="582" t="s">
        <v>160</v>
      </c>
      <c r="L869" s="582" t="s">
        <v>161</v>
      </c>
      <c r="M869" s="582" t="s">
        <v>162</v>
      </c>
      <c r="N869" s="582" t="s">
        <v>1184</v>
      </c>
    </row>
    <row r="870" spans="1:14" ht="16.5">
      <c r="A870" s="582" t="s">
        <v>1123</v>
      </c>
      <c r="B870" s="582" t="s">
        <v>1137</v>
      </c>
      <c r="C870" s="585">
        <v>3.2870370370370367E-3</v>
      </c>
      <c r="D870" s="582" t="s">
        <v>1138</v>
      </c>
      <c r="E870" s="582" t="s">
        <v>154</v>
      </c>
      <c r="F870" s="582" t="s">
        <v>1081</v>
      </c>
      <c r="G870" s="582" t="s">
        <v>1139</v>
      </c>
      <c r="H870" s="582" t="s">
        <v>157</v>
      </c>
      <c r="I870" s="582" t="s">
        <v>158</v>
      </c>
      <c r="J870" s="582" t="s">
        <v>159</v>
      </c>
      <c r="K870" s="582" t="s">
        <v>169</v>
      </c>
      <c r="L870" s="582" t="s">
        <v>161</v>
      </c>
      <c r="M870" s="582" t="s">
        <v>162</v>
      </c>
      <c r="N870" s="582" t="s">
        <v>1185</v>
      </c>
    </row>
    <row r="871" spans="1:14" ht="16.5">
      <c r="A871" s="582" t="s">
        <v>1123</v>
      </c>
      <c r="B871" s="582" t="s">
        <v>1140</v>
      </c>
      <c r="C871" s="585">
        <v>2.2106481481481478E-3</v>
      </c>
      <c r="D871" s="582" t="s">
        <v>1141</v>
      </c>
      <c r="E871" s="582" t="s">
        <v>154</v>
      </c>
      <c r="F871" s="582" t="s">
        <v>1128</v>
      </c>
      <c r="G871" s="582" t="s">
        <v>1142</v>
      </c>
      <c r="H871" s="582" t="s">
        <v>157</v>
      </c>
      <c r="I871" s="582" t="s">
        <v>158</v>
      </c>
      <c r="J871" s="582" t="s">
        <v>159</v>
      </c>
      <c r="K871" s="582" t="s">
        <v>169</v>
      </c>
      <c r="L871" s="582" t="s">
        <v>161</v>
      </c>
      <c r="M871" s="582" t="s">
        <v>162</v>
      </c>
      <c r="N871" s="582" t="s">
        <v>1186</v>
      </c>
    </row>
    <row r="872" spans="1:14" ht="16.5">
      <c r="A872" s="582" t="s">
        <v>1123</v>
      </c>
      <c r="B872" s="582" t="s">
        <v>1143</v>
      </c>
      <c r="C872" s="585">
        <v>3.6805555555555554E-3</v>
      </c>
      <c r="D872" s="582" t="s">
        <v>1144</v>
      </c>
      <c r="E872" s="582" t="s">
        <v>154</v>
      </c>
      <c r="F872" s="582" t="s">
        <v>1128</v>
      </c>
      <c r="G872" s="582" t="s">
        <v>1132</v>
      </c>
      <c r="H872" s="582" t="s">
        <v>157</v>
      </c>
      <c r="I872" s="582" t="s">
        <v>158</v>
      </c>
      <c r="J872" s="582" t="s">
        <v>168</v>
      </c>
      <c r="K872" s="582" t="s">
        <v>169</v>
      </c>
      <c r="L872" s="582" t="s">
        <v>161</v>
      </c>
      <c r="M872" s="582" t="s">
        <v>162</v>
      </c>
      <c r="N872" s="582" t="s">
        <v>1187</v>
      </c>
    </row>
    <row r="873" spans="1:14" ht="16.5">
      <c r="A873" s="582" t="s">
        <v>1123</v>
      </c>
      <c r="B873" s="582" t="s">
        <v>2741</v>
      </c>
      <c r="C873" s="582"/>
      <c r="D873" s="582"/>
      <c r="E873" s="582"/>
      <c r="F873" s="582" t="s">
        <v>1336</v>
      </c>
      <c r="G873" s="582" t="s">
        <v>1346</v>
      </c>
      <c r="H873" s="582" t="s">
        <v>157</v>
      </c>
      <c r="I873" s="582" t="s">
        <v>158</v>
      </c>
      <c r="J873" s="582" t="s">
        <v>168</v>
      </c>
      <c r="K873" s="582" t="s">
        <v>160</v>
      </c>
      <c r="L873" s="582" t="s">
        <v>161</v>
      </c>
      <c r="M873" s="582" t="s">
        <v>162</v>
      </c>
      <c r="N873" s="582" t="s">
        <v>796</v>
      </c>
    </row>
    <row r="874" spans="1:14" ht="16.5">
      <c r="A874" s="582" t="s">
        <v>1123</v>
      </c>
      <c r="B874" s="582" t="s">
        <v>1145</v>
      </c>
      <c r="C874" s="585">
        <v>6.4814814814814813E-4</v>
      </c>
      <c r="D874" s="582" t="s">
        <v>1146</v>
      </c>
      <c r="E874" s="582" t="s">
        <v>154</v>
      </c>
      <c r="F874" s="582" t="s">
        <v>823</v>
      </c>
      <c r="G874" s="582" t="s">
        <v>828</v>
      </c>
      <c r="H874" s="582" t="s">
        <v>157</v>
      </c>
      <c r="I874" s="582" t="s">
        <v>158</v>
      </c>
      <c r="J874" s="582" t="s">
        <v>212</v>
      </c>
      <c r="K874" s="582" t="s">
        <v>160</v>
      </c>
      <c r="L874" s="582" t="s">
        <v>161</v>
      </c>
      <c r="M874" s="582" t="s">
        <v>162</v>
      </c>
      <c r="N874" s="582" t="s">
        <v>1188</v>
      </c>
    </row>
    <row r="875" spans="1:14" ht="16.5">
      <c r="A875" s="582" t="s">
        <v>1123</v>
      </c>
      <c r="B875" s="582" t="s">
        <v>1147</v>
      </c>
      <c r="C875" s="585">
        <v>1.25E-3</v>
      </c>
      <c r="D875" s="582" t="s">
        <v>1148</v>
      </c>
      <c r="E875" s="582" t="s">
        <v>154</v>
      </c>
      <c r="F875" s="582" t="s">
        <v>402</v>
      </c>
      <c r="G875" s="582" t="s">
        <v>1149</v>
      </c>
      <c r="H875" s="582" t="s">
        <v>157</v>
      </c>
      <c r="I875" s="582" t="s">
        <v>158</v>
      </c>
      <c r="J875" s="582" t="s">
        <v>159</v>
      </c>
      <c r="K875" s="582" t="s">
        <v>169</v>
      </c>
      <c r="L875" s="582" t="s">
        <v>161</v>
      </c>
      <c r="M875" s="582" t="s">
        <v>162</v>
      </c>
      <c r="N875" s="582" t="s">
        <v>1189</v>
      </c>
    </row>
    <row r="876" spans="1:14" ht="16.5">
      <c r="A876" s="582" t="s">
        <v>1123</v>
      </c>
      <c r="B876" s="582" t="s">
        <v>2742</v>
      </c>
      <c r="C876" s="582"/>
      <c r="D876" s="582"/>
      <c r="E876" s="582"/>
      <c r="F876" s="582" t="s">
        <v>1152</v>
      </c>
      <c r="G876" s="582" t="s">
        <v>1271</v>
      </c>
      <c r="H876" s="582" t="s">
        <v>157</v>
      </c>
      <c r="I876" s="582" t="s">
        <v>158</v>
      </c>
      <c r="J876" s="582" t="s">
        <v>212</v>
      </c>
      <c r="K876" s="582" t="s">
        <v>160</v>
      </c>
      <c r="L876" s="582" t="s">
        <v>161</v>
      </c>
      <c r="M876" s="582" t="s">
        <v>162</v>
      </c>
      <c r="N876" s="582" t="s">
        <v>2743</v>
      </c>
    </row>
    <row r="877" spans="1:14" ht="16.5">
      <c r="A877" s="582" t="s">
        <v>1123</v>
      </c>
      <c r="B877" s="582" t="s">
        <v>1150</v>
      </c>
      <c r="C877" s="585">
        <v>1.9907407407407408E-3</v>
      </c>
      <c r="D877" s="582" t="s">
        <v>1151</v>
      </c>
      <c r="E877" s="582" t="s">
        <v>154</v>
      </c>
      <c r="F877" s="582" t="s">
        <v>1152</v>
      </c>
      <c r="G877" s="582" t="s">
        <v>1153</v>
      </c>
      <c r="H877" s="582" t="s">
        <v>157</v>
      </c>
      <c r="I877" s="582" t="s">
        <v>158</v>
      </c>
      <c r="J877" s="582" t="s">
        <v>168</v>
      </c>
      <c r="K877" s="582" t="s">
        <v>160</v>
      </c>
      <c r="L877" s="582" t="s">
        <v>161</v>
      </c>
      <c r="M877" s="582" t="s">
        <v>162</v>
      </c>
      <c r="N877" s="582" t="s">
        <v>3307</v>
      </c>
    </row>
    <row r="878" spans="1:14" ht="16.5">
      <c r="A878" s="582" t="s">
        <v>1123</v>
      </c>
      <c r="B878" s="582" t="s">
        <v>1154</v>
      </c>
      <c r="C878" s="585">
        <v>7.175925925925927E-4</v>
      </c>
      <c r="D878" s="582" t="s">
        <v>1155</v>
      </c>
      <c r="E878" s="582" t="s">
        <v>154</v>
      </c>
      <c r="F878" s="582" t="s">
        <v>402</v>
      </c>
      <c r="G878" s="582" t="s">
        <v>429</v>
      </c>
      <c r="H878" s="582" t="s">
        <v>157</v>
      </c>
      <c r="I878" s="582" t="s">
        <v>158</v>
      </c>
      <c r="J878" s="582" t="s">
        <v>168</v>
      </c>
      <c r="K878" s="582" t="s">
        <v>169</v>
      </c>
      <c r="L878" s="582" t="s">
        <v>161</v>
      </c>
      <c r="M878" s="582" t="s">
        <v>162</v>
      </c>
      <c r="N878" s="582" t="s">
        <v>1190</v>
      </c>
    </row>
    <row r="879" spans="1:14" ht="16.5">
      <c r="A879" s="582" t="s">
        <v>1123</v>
      </c>
      <c r="B879" s="582" t="s">
        <v>1156</v>
      </c>
      <c r="C879" s="585">
        <v>4.8611111111111104E-4</v>
      </c>
      <c r="D879" s="582" t="s">
        <v>1157</v>
      </c>
      <c r="E879" s="582" t="s">
        <v>154</v>
      </c>
      <c r="F879" s="582" t="s">
        <v>402</v>
      </c>
      <c r="G879" s="582" t="s">
        <v>1158</v>
      </c>
      <c r="H879" s="582" t="s">
        <v>157</v>
      </c>
      <c r="I879" s="582" t="s">
        <v>158</v>
      </c>
      <c r="J879" s="582" t="s">
        <v>168</v>
      </c>
      <c r="K879" s="582" t="s">
        <v>169</v>
      </c>
      <c r="L879" s="582" t="s">
        <v>161</v>
      </c>
      <c r="M879" s="582" t="s">
        <v>162</v>
      </c>
      <c r="N879" s="582" t="s">
        <v>1191</v>
      </c>
    </row>
    <row r="880" spans="1:14" ht="16.5">
      <c r="A880" s="582" t="s">
        <v>1123</v>
      </c>
      <c r="B880" s="582" t="s">
        <v>1159</v>
      </c>
      <c r="C880" s="585">
        <v>7.6388888888888893E-4</v>
      </c>
      <c r="D880" s="582" t="s">
        <v>1160</v>
      </c>
      <c r="E880" s="582" t="s">
        <v>154</v>
      </c>
      <c r="F880" s="582" t="s">
        <v>1161</v>
      </c>
      <c r="G880" s="582" t="s">
        <v>1162</v>
      </c>
      <c r="H880" s="582" t="s">
        <v>157</v>
      </c>
      <c r="I880" s="582" t="s">
        <v>158</v>
      </c>
      <c r="J880" s="582" t="s">
        <v>159</v>
      </c>
      <c r="K880" s="582" t="s">
        <v>169</v>
      </c>
      <c r="L880" s="582" t="s">
        <v>161</v>
      </c>
      <c r="M880" s="582" t="s">
        <v>162</v>
      </c>
      <c r="N880" s="582" t="s">
        <v>1192</v>
      </c>
    </row>
    <row r="881" spans="1:14" ht="16.5">
      <c r="A881" s="582" t="s">
        <v>1123</v>
      </c>
      <c r="B881" s="582" t="s">
        <v>1163</v>
      </c>
      <c r="C881" s="585">
        <v>2.3148148148148147E-5</v>
      </c>
      <c r="D881" s="582" t="s">
        <v>1164</v>
      </c>
      <c r="E881" s="582" t="s">
        <v>154</v>
      </c>
      <c r="F881" s="582" t="s">
        <v>980</v>
      </c>
      <c r="G881" s="582" t="s">
        <v>1165</v>
      </c>
      <c r="H881" s="582" t="s">
        <v>157</v>
      </c>
      <c r="I881" s="582" t="s">
        <v>158</v>
      </c>
      <c r="J881" s="582" t="s">
        <v>713</v>
      </c>
      <c r="K881" s="582" t="s">
        <v>169</v>
      </c>
      <c r="L881" s="582" t="s">
        <v>161</v>
      </c>
      <c r="M881" s="582" t="s">
        <v>162</v>
      </c>
      <c r="N881" s="582" t="s">
        <v>1193</v>
      </c>
    </row>
    <row r="882" spans="1:14" ht="16.5">
      <c r="A882" s="582" t="s">
        <v>1123</v>
      </c>
      <c r="B882" s="582" t="s">
        <v>2744</v>
      </c>
      <c r="C882" s="582"/>
      <c r="D882" s="582"/>
      <c r="E882" s="582"/>
      <c r="F882" s="582" t="s">
        <v>542</v>
      </c>
      <c r="G882" s="582" t="s">
        <v>531</v>
      </c>
      <c r="H882" s="582" t="s">
        <v>157</v>
      </c>
      <c r="I882" s="582" t="s">
        <v>158</v>
      </c>
      <c r="J882" s="582" t="s">
        <v>168</v>
      </c>
      <c r="K882" s="582" t="s">
        <v>160</v>
      </c>
      <c r="L882" s="582" t="s">
        <v>161</v>
      </c>
      <c r="M882" s="582" t="s">
        <v>162</v>
      </c>
      <c r="N882" s="582" t="s">
        <v>2745</v>
      </c>
    </row>
    <row r="883" spans="1:14" ht="16.5">
      <c r="A883" s="582" t="s">
        <v>1123</v>
      </c>
      <c r="B883" s="582" t="s">
        <v>1166</v>
      </c>
      <c r="C883" s="585">
        <v>1.8171296296296297E-3</v>
      </c>
      <c r="D883" s="582" t="s">
        <v>1167</v>
      </c>
      <c r="E883" s="582" t="s">
        <v>154</v>
      </c>
      <c r="F883" s="582" t="s">
        <v>1052</v>
      </c>
      <c r="G883" s="582" t="s">
        <v>1103</v>
      </c>
      <c r="H883" s="582" t="s">
        <v>157</v>
      </c>
      <c r="I883" s="582" t="s">
        <v>158</v>
      </c>
      <c r="J883" s="582" t="s">
        <v>168</v>
      </c>
      <c r="K883" s="582" t="s">
        <v>160</v>
      </c>
      <c r="L883" s="582" t="s">
        <v>161</v>
      </c>
      <c r="M883" s="582" t="s">
        <v>162</v>
      </c>
      <c r="N883" s="582" t="s">
        <v>1194</v>
      </c>
    </row>
    <row r="884" spans="1:14" ht="16.5">
      <c r="A884" s="582" t="s">
        <v>1123</v>
      </c>
      <c r="B884" s="582" t="s">
        <v>1168</v>
      </c>
      <c r="C884" s="585">
        <v>4.8611111111111104E-4</v>
      </c>
      <c r="D884" s="582" t="s">
        <v>1169</v>
      </c>
      <c r="E884" s="582" t="s">
        <v>154</v>
      </c>
      <c r="F884" s="582" t="s">
        <v>1052</v>
      </c>
      <c r="G884" s="582" t="s">
        <v>403</v>
      </c>
      <c r="H884" s="582" t="s">
        <v>157</v>
      </c>
      <c r="I884" s="582" t="s">
        <v>158</v>
      </c>
      <c r="J884" s="582" t="s">
        <v>168</v>
      </c>
      <c r="K884" s="582" t="s">
        <v>160</v>
      </c>
      <c r="L884" s="582" t="s">
        <v>161</v>
      </c>
      <c r="M884" s="582" t="s">
        <v>162</v>
      </c>
      <c r="N884" s="582" t="s">
        <v>1195</v>
      </c>
    </row>
    <row r="885" spans="1:14" ht="16.5">
      <c r="A885" s="582" t="s">
        <v>1123</v>
      </c>
      <c r="B885" s="582" t="s">
        <v>1170</v>
      </c>
      <c r="C885" s="585">
        <v>2.6620370370370372E-4</v>
      </c>
      <c r="D885" s="582" t="s">
        <v>1171</v>
      </c>
      <c r="E885" s="582" t="s">
        <v>154</v>
      </c>
      <c r="F885" s="582" t="s">
        <v>980</v>
      </c>
      <c r="G885" s="582" t="s">
        <v>981</v>
      </c>
      <c r="H885" s="582" t="s">
        <v>157</v>
      </c>
      <c r="I885" s="582" t="s">
        <v>158</v>
      </c>
      <c r="J885" s="582" t="s">
        <v>713</v>
      </c>
      <c r="K885" s="582" t="s">
        <v>169</v>
      </c>
      <c r="L885" s="582" t="s">
        <v>161</v>
      </c>
      <c r="M885" s="582" t="s">
        <v>162</v>
      </c>
      <c r="N885" s="582" t="s">
        <v>1196</v>
      </c>
    </row>
    <row r="886" spans="1:14" ht="16.5">
      <c r="A886" s="582" t="s">
        <v>1123</v>
      </c>
      <c r="B886" s="582" t="s">
        <v>1172</v>
      </c>
      <c r="C886" s="585">
        <v>1.3888888888888889E-4</v>
      </c>
      <c r="D886" s="582" t="s">
        <v>1173</v>
      </c>
      <c r="E886" s="582" t="s">
        <v>154</v>
      </c>
      <c r="F886" s="582" t="s">
        <v>980</v>
      </c>
      <c r="G886" s="582" t="s">
        <v>1174</v>
      </c>
      <c r="H886" s="582" t="s">
        <v>157</v>
      </c>
      <c r="I886" s="582" t="s">
        <v>158</v>
      </c>
      <c r="J886" s="582" t="s">
        <v>713</v>
      </c>
      <c r="K886" s="582" t="s">
        <v>169</v>
      </c>
      <c r="L886" s="582" t="s">
        <v>161</v>
      </c>
      <c r="M886" s="582" t="s">
        <v>162</v>
      </c>
      <c r="N886" s="582" t="s">
        <v>1197</v>
      </c>
    </row>
    <row r="887" spans="1:14" ht="16.5">
      <c r="A887" s="582" t="s">
        <v>1123</v>
      </c>
      <c r="B887" s="582" t="s">
        <v>1175</v>
      </c>
      <c r="C887" s="585">
        <v>8.1018518518518516E-4</v>
      </c>
      <c r="D887" s="582" t="s">
        <v>1176</v>
      </c>
      <c r="E887" s="582" t="s">
        <v>154</v>
      </c>
      <c r="F887" s="582" t="s">
        <v>980</v>
      </c>
      <c r="G887" s="582" t="s">
        <v>993</v>
      </c>
      <c r="H887" s="582" t="s">
        <v>157</v>
      </c>
      <c r="I887" s="582" t="s">
        <v>158</v>
      </c>
      <c r="J887" s="582" t="s">
        <v>713</v>
      </c>
      <c r="K887" s="582" t="s">
        <v>169</v>
      </c>
      <c r="L887" s="582" t="s">
        <v>161</v>
      </c>
      <c r="M887" s="582" t="s">
        <v>162</v>
      </c>
      <c r="N887" s="582" t="s">
        <v>1198</v>
      </c>
    </row>
    <row r="888" spans="1:14" ht="16.5">
      <c r="A888" s="582" t="s">
        <v>1123</v>
      </c>
      <c r="B888" s="582" t="s">
        <v>1177</v>
      </c>
      <c r="C888" s="585">
        <v>6.9444444444444444E-5</v>
      </c>
      <c r="D888" s="582" t="s">
        <v>1178</v>
      </c>
      <c r="E888" s="582" t="s">
        <v>154</v>
      </c>
      <c r="F888" s="582" t="s">
        <v>1135</v>
      </c>
      <c r="G888" s="582" t="s">
        <v>1136</v>
      </c>
      <c r="H888" s="582" t="s">
        <v>157</v>
      </c>
      <c r="I888" s="582" t="s">
        <v>158</v>
      </c>
      <c r="J888" s="582" t="s">
        <v>168</v>
      </c>
      <c r="K888" s="582" t="s">
        <v>160</v>
      </c>
      <c r="L888" s="582" t="s">
        <v>161</v>
      </c>
      <c r="M888" s="582" t="s">
        <v>162</v>
      </c>
      <c r="N888" s="582" t="s">
        <v>1199</v>
      </c>
    </row>
    <row r="889" spans="1:14" ht="16.5">
      <c r="A889" s="582" t="s">
        <v>1123</v>
      </c>
      <c r="B889" s="582" t="s">
        <v>1179</v>
      </c>
      <c r="C889" s="585">
        <v>1.1574074074074073E-5</v>
      </c>
      <c r="D889" s="582" t="s">
        <v>1180</v>
      </c>
      <c r="E889" s="582" t="s">
        <v>154</v>
      </c>
      <c r="F889" s="582" t="s">
        <v>980</v>
      </c>
      <c r="G889" s="582" t="s">
        <v>1110</v>
      </c>
      <c r="H889" s="582" t="s">
        <v>157</v>
      </c>
      <c r="I889" s="582" t="s">
        <v>158</v>
      </c>
      <c r="J889" s="582" t="s">
        <v>713</v>
      </c>
      <c r="K889" s="582" t="s">
        <v>169</v>
      </c>
      <c r="L889" s="582" t="s">
        <v>161</v>
      </c>
      <c r="M889" s="582" t="s">
        <v>162</v>
      </c>
      <c r="N889" s="582" t="s">
        <v>796</v>
      </c>
    </row>
    <row r="890" spans="1:14" ht="16.5">
      <c r="A890" s="582" t="s">
        <v>1123</v>
      </c>
      <c r="B890" s="582" t="s">
        <v>2747</v>
      </c>
      <c r="C890" s="582"/>
      <c r="D890" s="582"/>
      <c r="E890" s="582"/>
      <c r="F890" s="582" t="s">
        <v>1152</v>
      </c>
      <c r="G890" s="582" t="s">
        <v>1570</v>
      </c>
      <c r="H890" s="582" t="s">
        <v>157</v>
      </c>
      <c r="I890" s="582" t="s">
        <v>158</v>
      </c>
      <c r="J890" s="582" t="s">
        <v>168</v>
      </c>
      <c r="K890" s="582" t="s">
        <v>160</v>
      </c>
      <c r="L890" s="582" t="s">
        <v>161</v>
      </c>
      <c r="M890" s="582" t="s">
        <v>162</v>
      </c>
      <c r="N890" s="582" t="s">
        <v>2748</v>
      </c>
    </row>
    <row r="891" spans="1:14" ht="16.5">
      <c r="A891" s="582" t="s">
        <v>1074</v>
      </c>
      <c r="B891" s="582" t="s">
        <v>1075</v>
      </c>
      <c r="C891" s="585">
        <v>2.3032407407407407E-3</v>
      </c>
      <c r="D891" s="582" t="s">
        <v>1076</v>
      </c>
      <c r="E891" s="582" t="s">
        <v>154</v>
      </c>
      <c r="F891" s="582" t="s">
        <v>1077</v>
      </c>
      <c r="G891" s="582" t="s">
        <v>1056</v>
      </c>
      <c r="H891" s="582" t="s">
        <v>157</v>
      </c>
      <c r="I891" s="582" t="s">
        <v>158</v>
      </c>
      <c r="J891" s="582" t="s">
        <v>212</v>
      </c>
      <c r="K891" s="582" t="s">
        <v>160</v>
      </c>
      <c r="L891" s="582" t="s">
        <v>161</v>
      </c>
      <c r="M891" s="582" t="s">
        <v>162</v>
      </c>
      <c r="N891" s="582" t="s">
        <v>1111</v>
      </c>
    </row>
    <row r="892" spans="1:14" ht="16.5">
      <c r="A892" s="582" t="s">
        <v>1074</v>
      </c>
      <c r="B892" s="582" t="s">
        <v>1079</v>
      </c>
      <c r="C892" s="585">
        <v>1.0300925925925926E-3</v>
      </c>
      <c r="D892" s="582" t="s">
        <v>1080</v>
      </c>
      <c r="E892" s="582" t="s">
        <v>154</v>
      </c>
      <c r="F892" s="582" t="s">
        <v>1081</v>
      </c>
      <c r="G892" s="582" t="s">
        <v>1082</v>
      </c>
      <c r="H892" s="582" t="s">
        <v>157</v>
      </c>
      <c r="I892" s="582" t="s">
        <v>158</v>
      </c>
      <c r="J892" s="582" t="s">
        <v>159</v>
      </c>
      <c r="K892" s="582" t="s">
        <v>169</v>
      </c>
      <c r="L892" s="582" t="s">
        <v>161</v>
      </c>
      <c r="M892" s="582" t="s">
        <v>162</v>
      </c>
      <c r="N892" s="582" t="s">
        <v>1112</v>
      </c>
    </row>
    <row r="893" spans="1:14" ht="16.5">
      <c r="A893" s="582" t="s">
        <v>1074</v>
      </c>
      <c r="B893" s="582" t="s">
        <v>1083</v>
      </c>
      <c r="C893" s="585">
        <v>1.6087962962962963E-3</v>
      </c>
      <c r="D893" s="582" t="s">
        <v>1084</v>
      </c>
      <c r="E893" s="582" t="s">
        <v>154</v>
      </c>
      <c r="F893" s="582" t="s">
        <v>1081</v>
      </c>
      <c r="G893" s="582" t="s">
        <v>1085</v>
      </c>
      <c r="H893" s="582" t="s">
        <v>157</v>
      </c>
      <c r="I893" s="582" t="s">
        <v>158</v>
      </c>
      <c r="J893" s="582" t="s">
        <v>168</v>
      </c>
      <c r="K893" s="582" t="s">
        <v>169</v>
      </c>
      <c r="L893" s="582" t="s">
        <v>161</v>
      </c>
      <c r="M893" s="582" t="s">
        <v>162</v>
      </c>
      <c r="N893" s="582" t="s">
        <v>1113</v>
      </c>
    </row>
    <row r="894" spans="1:14" ht="16.5">
      <c r="A894" s="582" t="s">
        <v>1074</v>
      </c>
      <c r="B894" s="582" t="s">
        <v>1086</v>
      </c>
      <c r="C894" s="585">
        <v>3.1250000000000001E-4</v>
      </c>
      <c r="D894" s="582" t="s">
        <v>1087</v>
      </c>
      <c r="E894" s="582" t="s">
        <v>154</v>
      </c>
      <c r="F894" s="582" t="s">
        <v>980</v>
      </c>
      <c r="G894" s="582" t="s">
        <v>981</v>
      </c>
      <c r="H894" s="582" t="s">
        <v>157</v>
      </c>
      <c r="I894" s="582" t="s">
        <v>158</v>
      </c>
      <c r="J894" s="582" t="s">
        <v>713</v>
      </c>
      <c r="K894" s="582" t="s">
        <v>169</v>
      </c>
      <c r="L894" s="582" t="s">
        <v>161</v>
      </c>
      <c r="M894" s="582" t="s">
        <v>162</v>
      </c>
      <c r="N894" s="582" t="s">
        <v>796</v>
      </c>
    </row>
    <row r="895" spans="1:14" ht="16.5">
      <c r="A895" s="582" t="s">
        <v>1074</v>
      </c>
      <c r="B895" s="582" t="s">
        <v>1088</v>
      </c>
      <c r="C895" s="585">
        <v>5.6712962962962956E-4</v>
      </c>
      <c r="D895" s="582" t="s">
        <v>1089</v>
      </c>
      <c r="E895" s="582" t="s">
        <v>154</v>
      </c>
      <c r="F895" s="582" t="s">
        <v>980</v>
      </c>
      <c r="G895" s="582" t="s">
        <v>984</v>
      </c>
      <c r="H895" s="582" t="s">
        <v>157</v>
      </c>
      <c r="I895" s="582" t="s">
        <v>158</v>
      </c>
      <c r="J895" s="582" t="s">
        <v>713</v>
      </c>
      <c r="K895" s="582" t="s">
        <v>169</v>
      </c>
      <c r="L895" s="582" t="s">
        <v>161</v>
      </c>
      <c r="M895" s="582" t="s">
        <v>162</v>
      </c>
      <c r="N895" s="582" t="s">
        <v>1114</v>
      </c>
    </row>
    <row r="896" spans="1:14" ht="16.5">
      <c r="A896" s="582" t="s">
        <v>1074</v>
      </c>
      <c r="B896" s="582" t="s">
        <v>1090</v>
      </c>
      <c r="C896" s="585">
        <v>8.2175925925925917E-4</v>
      </c>
      <c r="D896" s="582" t="s">
        <v>1091</v>
      </c>
      <c r="E896" s="582" t="s">
        <v>154</v>
      </c>
      <c r="F896" s="582" t="s">
        <v>980</v>
      </c>
      <c r="G896" s="582" t="s">
        <v>993</v>
      </c>
      <c r="H896" s="582" t="s">
        <v>157</v>
      </c>
      <c r="I896" s="582" t="s">
        <v>158</v>
      </c>
      <c r="J896" s="582" t="s">
        <v>713</v>
      </c>
      <c r="K896" s="582" t="s">
        <v>169</v>
      </c>
      <c r="L896" s="582" t="s">
        <v>161</v>
      </c>
      <c r="M896" s="582" t="s">
        <v>162</v>
      </c>
      <c r="N896" s="582" t="s">
        <v>1115</v>
      </c>
    </row>
    <row r="897" spans="1:14" ht="16.5">
      <c r="A897" s="582" t="s">
        <v>1074</v>
      </c>
      <c r="B897" s="582" t="s">
        <v>2749</v>
      </c>
      <c r="C897" s="582"/>
      <c r="D897" s="582"/>
      <c r="E897" s="582"/>
      <c r="F897" s="582" t="s">
        <v>980</v>
      </c>
      <c r="G897" s="582" t="s">
        <v>2729</v>
      </c>
      <c r="H897" s="582" t="s">
        <v>157</v>
      </c>
      <c r="I897" s="582" t="s">
        <v>158</v>
      </c>
      <c r="J897" s="582" t="s">
        <v>713</v>
      </c>
      <c r="K897" s="582" t="s">
        <v>169</v>
      </c>
      <c r="L897" s="582" t="s">
        <v>161</v>
      </c>
      <c r="M897" s="582" t="s">
        <v>162</v>
      </c>
      <c r="N897" s="582" t="s">
        <v>796</v>
      </c>
    </row>
    <row r="898" spans="1:14" ht="16.5">
      <c r="A898" s="582" t="s">
        <v>1074</v>
      </c>
      <c r="B898" s="582" t="s">
        <v>1092</v>
      </c>
      <c r="C898" s="585">
        <v>1.9675925925925926E-4</v>
      </c>
      <c r="D898" s="582" t="s">
        <v>1093</v>
      </c>
      <c r="E898" s="582" t="s">
        <v>154</v>
      </c>
      <c r="F898" s="582" t="s">
        <v>453</v>
      </c>
      <c r="G898" s="582" t="s">
        <v>454</v>
      </c>
      <c r="H898" s="582" t="s">
        <v>157</v>
      </c>
      <c r="I898" s="582" t="s">
        <v>158</v>
      </c>
      <c r="J898" s="582" t="s">
        <v>168</v>
      </c>
      <c r="K898" s="582" t="s">
        <v>169</v>
      </c>
      <c r="L898" s="582" t="s">
        <v>161</v>
      </c>
      <c r="M898" s="582" t="s">
        <v>162</v>
      </c>
      <c r="N898" s="582" t="s">
        <v>1116</v>
      </c>
    </row>
    <row r="899" spans="1:14" ht="16.5">
      <c r="A899" s="582" t="s">
        <v>1074</v>
      </c>
      <c r="B899" s="582" t="s">
        <v>1094</v>
      </c>
      <c r="C899" s="585">
        <v>8.1018518518518516E-5</v>
      </c>
      <c r="D899" s="582" t="s">
        <v>1095</v>
      </c>
      <c r="E899" s="582" t="s">
        <v>154</v>
      </c>
      <c r="F899" s="582" t="s">
        <v>1081</v>
      </c>
      <c r="G899" s="582" t="s">
        <v>1096</v>
      </c>
      <c r="H899" s="582" t="s">
        <v>157</v>
      </c>
      <c r="I899" s="582" t="s">
        <v>158</v>
      </c>
      <c r="J899" s="582" t="s">
        <v>713</v>
      </c>
      <c r="K899" s="582" t="s">
        <v>169</v>
      </c>
      <c r="L899" s="582" t="s">
        <v>161</v>
      </c>
      <c r="M899" s="582" t="s">
        <v>162</v>
      </c>
      <c r="N899" s="582" t="s">
        <v>1117</v>
      </c>
    </row>
    <row r="900" spans="1:14" ht="16.5">
      <c r="A900" s="582" t="s">
        <v>1074</v>
      </c>
      <c r="B900" s="582" t="s">
        <v>1097</v>
      </c>
      <c r="C900" s="585">
        <v>5.7870370370370366E-5</v>
      </c>
      <c r="D900" s="582" t="s">
        <v>1098</v>
      </c>
      <c r="E900" s="582" t="s">
        <v>154</v>
      </c>
      <c r="F900" s="582" t="s">
        <v>823</v>
      </c>
      <c r="G900" s="582" t="s">
        <v>828</v>
      </c>
      <c r="H900" s="582" t="s">
        <v>157</v>
      </c>
      <c r="I900" s="582" t="s">
        <v>158</v>
      </c>
      <c r="J900" s="582" t="s">
        <v>212</v>
      </c>
      <c r="K900" s="582" t="s">
        <v>160</v>
      </c>
      <c r="L900" s="582" t="s">
        <v>161</v>
      </c>
      <c r="M900" s="582" t="s">
        <v>162</v>
      </c>
      <c r="N900" s="582" t="s">
        <v>1118</v>
      </c>
    </row>
    <row r="901" spans="1:14" ht="16.5">
      <c r="A901" s="582" t="s">
        <v>1074</v>
      </c>
      <c r="B901" s="582" t="s">
        <v>1746</v>
      </c>
      <c r="C901" s="582"/>
      <c r="D901" s="582"/>
      <c r="E901" s="582"/>
      <c r="F901" s="582" t="s">
        <v>1052</v>
      </c>
      <c r="G901" s="582" t="s">
        <v>1103</v>
      </c>
      <c r="H901" s="582" t="s">
        <v>157</v>
      </c>
      <c r="I901" s="582" t="s">
        <v>158</v>
      </c>
      <c r="J901" s="582" t="s">
        <v>168</v>
      </c>
      <c r="K901" s="582" t="s">
        <v>160</v>
      </c>
      <c r="L901" s="582" t="s">
        <v>161</v>
      </c>
      <c r="M901" s="582" t="s">
        <v>162</v>
      </c>
      <c r="N901" s="582" t="s">
        <v>1747</v>
      </c>
    </row>
    <row r="902" spans="1:14" ht="16.5">
      <c r="A902" s="582" t="s">
        <v>1074</v>
      </c>
      <c r="B902" s="582" t="s">
        <v>1748</v>
      </c>
      <c r="C902" s="582"/>
      <c r="D902" s="582"/>
      <c r="E902" s="582"/>
      <c r="F902" s="582" t="s">
        <v>542</v>
      </c>
      <c r="G902" s="582" t="s">
        <v>531</v>
      </c>
      <c r="H902" s="582" t="s">
        <v>157</v>
      </c>
      <c r="I902" s="582" t="s">
        <v>158</v>
      </c>
      <c r="J902" s="582" t="s">
        <v>168</v>
      </c>
      <c r="K902" s="582" t="s">
        <v>160</v>
      </c>
      <c r="L902" s="582" t="s">
        <v>161</v>
      </c>
      <c r="M902" s="582" t="s">
        <v>162</v>
      </c>
      <c r="N902" s="582" t="s">
        <v>796</v>
      </c>
    </row>
    <row r="903" spans="1:14" ht="16.5">
      <c r="A903" s="582" t="s">
        <v>1074</v>
      </c>
      <c r="B903" s="582" t="s">
        <v>1104</v>
      </c>
      <c r="C903" s="585">
        <v>6.5046296296296302E-3</v>
      </c>
      <c r="D903" s="582" t="s">
        <v>1105</v>
      </c>
      <c r="E903" s="582" t="s">
        <v>154</v>
      </c>
      <c r="F903" s="582" t="s">
        <v>841</v>
      </c>
      <c r="G903" s="582" t="s">
        <v>842</v>
      </c>
      <c r="H903" s="582" t="s">
        <v>157</v>
      </c>
      <c r="I903" s="582" t="s">
        <v>158</v>
      </c>
      <c r="J903" s="582" t="s">
        <v>159</v>
      </c>
      <c r="K903" s="582" t="s">
        <v>169</v>
      </c>
      <c r="L903" s="582" t="s">
        <v>161</v>
      </c>
      <c r="M903" s="582" t="s">
        <v>162</v>
      </c>
      <c r="N903" s="582" t="s">
        <v>1120</v>
      </c>
    </row>
    <row r="904" spans="1:14" ht="16.5">
      <c r="A904" s="582" t="s">
        <v>1074</v>
      </c>
      <c r="B904" s="582" t="s">
        <v>1106</v>
      </c>
      <c r="C904" s="585">
        <v>3.4722222222222222E-5</v>
      </c>
      <c r="D904" s="582" t="s">
        <v>1107</v>
      </c>
      <c r="E904" s="582" t="s">
        <v>154</v>
      </c>
      <c r="F904" s="582" t="s">
        <v>799</v>
      </c>
      <c r="G904" s="582" t="s">
        <v>1056</v>
      </c>
      <c r="H904" s="582" t="s">
        <v>157</v>
      </c>
      <c r="I904" s="582" t="s">
        <v>158</v>
      </c>
      <c r="J904" s="582" t="s">
        <v>212</v>
      </c>
      <c r="K904" s="582" t="s">
        <v>160</v>
      </c>
      <c r="L904" s="582" t="s">
        <v>161</v>
      </c>
      <c r="M904" s="582" t="s">
        <v>162</v>
      </c>
      <c r="N904" s="582" t="s">
        <v>1121</v>
      </c>
    </row>
    <row r="905" spans="1:14" ht="16.5">
      <c r="A905" s="582" t="s">
        <v>1074</v>
      </c>
      <c r="B905" s="582" t="s">
        <v>1108</v>
      </c>
      <c r="C905" s="585">
        <v>8.6805555555555551E-4</v>
      </c>
      <c r="D905" s="582" t="s">
        <v>1109</v>
      </c>
      <c r="E905" s="582" t="s">
        <v>154</v>
      </c>
      <c r="F905" s="582" t="s">
        <v>823</v>
      </c>
      <c r="G905" s="582" t="s">
        <v>824</v>
      </c>
      <c r="H905" s="582" t="s">
        <v>157</v>
      </c>
      <c r="I905" s="582" t="s">
        <v>158</v>
      </c>
      <c r="J905" s="582" t="s">
        <v>212</v>
      </c>
      <c r="K905" s="582" t="s">
        <v>160</v>
      </c>
      <c r="L905" s="582" t="s">
        <v>161</v>
      </c>
      <c r="M905" s="582" t="s">
        <v>162</v>
      </c>
      <c r="N905" s="582" t="s">
        <v>1122</v>
      </c>
    </row>
    <row r="906" spans="1:14" ht="16.5">
      <c r="A906" s="582" t="s">
        <v>977</v>
      </c>
      <c r="B906" s="582" t="s">
        <v>978</v>
      </c>
      <c r="C906" s="585">
        <v>3.3564814814814812E-4</v>
      </c>
      <c r="D906" s="582" t="s">
        <v>979</v>
      </c>
      <c r="E906" s="582" t="s">
        <v>154</v>
      </c>
      <c r="F906" s="582" t="s">
        <v>980</v>
      </c>
      <c r="G906" s="582" t="s">
        <v>981</v>
      </c>
      <c r="H906" s="582" t="s">
        <v>157</v>
      </c>
      <c r="I906" s="582" t="s">
        <v>158</v>
      </c>
      <c r="J906" s="582" t="s">
        <v>159</v>
      </c>
      <c r="K906" s="582" t="s">
        <v>160</v>
      </c>
      <c r="L906" s="582" t="s">
        <v>161</v>
      </c>
      <c r="M906" s="582" t="s">
        <v>162</v>
      </c>
      <c r="N906" s="582" t="s">
        <v>796</v>
      </c>
    </row>
    <row r="907" spans="1:14" ht="16.5">
      <c r="A907" s="582" t="s">
        <v>977</v>
      </c>
      <c r="B907" s="582" t="s">
        <v>982</v>
      </c>
      <c r="C907" s="585">
        <v>3.3564814814814812E-4</v>
      </c>
      <c r="D907" s="582" t="s">
        <v>983</v>
      </c>
      <c r="E907" s="582" t="s">
        <v>154</v>
      </c>
      <c r="F907" s="582" t="s">
        <v>980</v>
      </c>
      <c r="G907" s="582" t="s">
        <v>984</v>
      </c>
      <c r="H907" s="582" t="s">
        <v>157</v>
      </c>
      <c r="I907" s="582" t="s">
        <v>158</v>
      </c>
      <c r="J907" s="582" t="s">
        <v>159</v>
      </c>
      <c r="K907" s="582" t="s">
        <v>160</v>
      </c>
      <c r="L907" s="582" t="s">
        <v>161</v>
      </c>
      <c r="M907" s="582" t="s">
        <v>162</v>
      </c>
      <c r="N907" s="582" t="s">
        <v>985</v>
      </c>
    </row>
    <row r="908" spans="1:14" ht="16.5">
      <c r="A908" s="582" t="s">
        <v>977</v>
      </c>
      <c r="B908" s="582" t="s">
        <v>986</v>
      </c>
      <c r="C908" s="585">
        <v>3.2407407407407406E-4</v>
      </c>
      <c r="D908" s="582" t="s">
        <v>987</v>
      </c>
      <c r="E908" s="582" t="s">
        <v>154</v>
      </c>
      <c r="F908" s="582" t="s">
        <v>988</v>
      </c>
      <c r="G908" s="582" t="s">
        <v>989</v>
      </c>
      <c r="H908" s="582" t="s">
        <v>157</v>
      </c>
      <c r="I908" s="582" t="s">
        <v>158</v>
      </c>
      <c r="J908" s="582" t="s">
        <v>159</v>
      </c>
      <c r="K908" s="582" t="s">
        <v>160</v>
      </c>
      <c r="L908" s="582" t="s">
        <v>161</v>
      </c>
      <c r="M908" s="582" t="s">
        <v>162</v>
      </c>
      <c r="N908" s="582" t="s">
        <v>990</v>
      </c>
    </row>
    <row r="909" spans="1:14" ht="16.5">
      <c r="A909" s="582" t="s">
        <v>977</v>
      </c>
      <c r="B909" s="582" t="s">
        <v>991</v>
      </c>
      <c r="C909" s="585">
        <v>3.0092592592592595E-4</v>
      </c>
      <c r="D909" s="582" t="s">
        <v>992</v>
      </c>
      <c r="E909" s="582" t="s">
        <v>154</v>
      </c>
      <c r="F909" s="582" t="s">
        <v>988</v>
      </c>
      <c r="G909" s="582" t="s">
        <v>993</v>
      </c>
      <c r="H909" s="582" t="s">
        <v>157</v>
      </c>
      <c r="I909" s="582" t="s">
        <v>158</v>
      </c>
      <c r="J909" s="582" t="s">
        <v>168</v>
      </c>
      <c r="K909" s="582" t="s">
        <v>160</v>
      </c>
      <c r="L909" s="582" t="s">
        <v>161</v>
      </c>
      <c r="M909" s="582" t="s">
        <v>162</v>
      </c>
      <c r="N909" s="582" t="s">
        <v>994</v>
      </c>
    </row>
    <row r="910" spans="1:14" ht="16.5">
      <c r="A910" s="582" t="s">
        <v>977</v>
      </c>
      <c r="B910" s="582" t="s">
        <v>995</v>
      </c>
      <c r="C910" s="585">
        <v>1.7245370370370372E-3</v>
      </c>
      <c r="D910" s="582" t="s">
        <v>996</v>
      </c>
      <c r="E910" s="582" t="s">
        <v>154</v>
      </c>
      <c r="F910" s="582" t="s">
        <v>767</v>
      </c>
      <c r="G910" s="582" t="s">
        <v>768</v>
      </c>
      <c r="H910" s="582" t="s">
        <v>157</v>
      </c>
      <c r="I910" s="582" t="s">
        <v>158</v>
      </c>
      <c r="J910" s="582" t="s">
        <v>212</v>
      </c>
      <c r="K910" s="582" t="s">
        <v>160</v>
      </c>
      <c r="L910" s="582" t="s">
        <v>161</v>
      </c>
      <c r="M910" s="582" t="s">
        <v>162</v>
      </c>
      <c r="N910" s="582" t="s">
        <v>997</v>
      </c>
    </row>
    <row r="911" spans="1:14" ht="16.5">
      <c r="A911" s="582" t="s">
        <v>977</v>
      </c>
      <c r="B911" s="582" t="s">
        <v>998</v>
      </c>
      <c r="C911" s="585">
        <v>7.9861111111111105E-4</v>
      </c>
      <c r="D911" s="582" t="s">
        <v>999</v>
      </c>
      <c r="E911" s="582" t="s">
        <v>154</v>
      </c>
      <c r="F911" s="582" t="s">
        <v>767</v>
      </c>
      <c r="G911" s="582" t="s">
        <v>768</v>
      </c>
      <c r="H911" s="582" t="s">
        <v>157</v>
      </c>
      <c r="I911" s="582" t="s">
        <v>158</v>
      </c>
      <c r="J911" s="582" t="s">
        <v>212</v>
      </c>
      <c r="K911" s="582" t="s">
        <v>160</v>
      </c>
      <c r="L911" s="582" t="s">
        <v>161</v>
      </c>
      <c r="M911" s="582" t="s">
        <v>162</v>
      </c>
      <c r="N911" s="582" t="s">
        <v>1000</v>
      </c>
    </row>
    <row r="912" spans="1:14" ht="16.5">
      <c r="A912" s="582" t="s">
        <v>977</v>
      </c>
      <c r="B912" s="582" t="s">
        <v>1001</v>
      </c>
      <c r="C912" s="585">
        <v>9.7222222222222209E-4</v>
      </c>
      <c r="D912" s="582" t="s">
        <v>1002</v>
      </c>
      <c r="E912" s="582" t="s">
        <v>154</v>
      </c>
      <c r="F912" s="582" t="s">
        <v>1003</v>
      </c>
      <c r="G912" s="582" t="s">
        <v>1004</v>
      </c>
      <c r="H912" s="582" t="s">
        <v>157</v>
      </c>
      <c r="I912" s="582" t="s">
        <v>158</v>
      </c>
      <c r="J912" s="582" t="s">
        <v>212</v>
      </c>
      <c r="K912" s="582" t="s">
        <v>160</v>
      </c>
      <c r="L912" s="582" t="s">
        <v>161</v>
      </c>
      <c r="M912" s="582" t="s">
        <v>162</v>
      </c>
      <c r="N912" s="582" t="s">
        <v>1005</v>
      </c>
    </row>
    <row r="913" spans="1:14" ht="16.5">
      <c r="A913" s="582" t="s">
        <v>977</v>
      </c>
      <c r="B913" s="582" t="s">
        <v>1006</v>
      </c>
      <c r="C913" s="585">
        <v>8.1018518518518516E-4</v>
      </c>
      <c r="D913" s="582" t="s">
        <v>1007</v>
      </c>
      <c r="E913" s="582" t="s">
        <v>154</v>
      </c>
      <c r="F913" s="582" t="s">
        <v>1003</v>
      </c>
      <c r="G913" s="582" t="s">
        <v>1008</v>
      </c>
      <c r="H913" s="582" t="s">
        <v>157</v>
      </c>
      <c r="I913" s="582" t="s">
        <v>158</v>
      </c>
      <c r="J913" s="582" t="s">
        <v>159</v>
      </c>
      <c r="K913" s="582" t="s">
        <v>160</v>
      </c>
      <c r="L913" s="582" t="s">
        <v>161</v>
      </c>
      <c r="M913" s="582" t="s">
        <v>162</v>
      </c>
      <c r="N913" s="582" t="s">
        <v>1009</v>
      </c>
    </row>
    <row r="914" spans="1:14" ht="16.5">
      <c r="A914" s="582" t="s">
        <v>977</v>
      </c>
      <c r="B914" s="582" t="s">
        <v>1010</v>
      </c>
      <c r="C914" s="585">
        <v>1.7013888888888892E-3</v>
      </c>
      <c r="D914" s="582" t="s">
        <v>1011</v>
      </c>
      <c r="E914" s="582" t="s">
        <v>154</v>
      </c>
      <c r="F914" s="582" t="s">
        <v>210</v>
      </c>
      <c r="G914" s="582" t="s">
        <v>576</v>
      </c>
      <c r="H914" s="582" t="s">
        <v>157</v>
      </c>
      <c r="I914" s="582" t="s">
        <v>158</v>
      </c>
      <c r="J914" s="582" t="s">
        <v>212</v>
      </c>
      <c r="K914" s="582" t="s">
        <v>160</v>
      </c>
      <c r="L914" s="582" t="s">
        <v>161</v>
      </c>
      <c r="M914" s="582" t="s">
        <v>162</v>
      </c>
      <c r="N914" s="582" t="s">
        <v>1012</v>
      </c>
    </row>
    <row r="915" spans="1:14" ht="16.5">
      <c r="A915" s="582" t="s">
        <v>977</v>
      </c>
      <c r="B915" s="582" t="s">
        <v>1013</v>
      </c>
      <c r="C915" s="585">
        <v>4.2824074074074075E-4</v>
      </c>
      <c r="D915" s="582" t="s">
        <v>1014</v>
      </c>
      <c r="E915" s="582" t="s">
        <v>154</v>
      </c>
      <c r="F915" s="582" t="s">
        <v>988</v>
      </c>
      <c r="G915" s="582" t="s">
        <v>1015</v>
      </c>
      <c r="H915" s="582" t="s">
        <v>157</v>
      </c>
      <c r="I915" s="582" t="s">
        <v>158</v>
      </c>
      <c r="J915" s="582" t="s">
        <v>481</v>
      </c>
      <c r="K915" s="582" t="s">
        <v>95</v>
      </c>
      <c r="L915" s="582" t="s">
        <v>161</v>
      </c>
      <c r="M915" s="582" t="s">
        <v>162</v>
      </c>
      <c r="N915" s="582" t="s">
        <v>1016</v>
      </c>
    </row>
    <row r="916" spans="1:14" ht="16.5">
      <c r="A916" s="582" t="s">
        <v>977</v>
      </c>
      <c r="B916" s="582" t="s">
        <v>1017</v>
      </c>
      <c r="C916" s="585">
        <v>2.0717592592592593E-3</v>
      </c>
      <c r="D916" s="582" t="s">
        <v>1018</v>
      </c>
      <c r="E916" s="582" t="s">
        <v>154</v>
      </c>
      <c r="F916" s="582" t="s">
        <v>1003</v>
      </c>
      <c r="G916" s="582" t="s">
        <v>1008</v>
      </c>
      <c r="H916" s="582" t="s">
        <v>157</v>
      </c>
      <c r="I916" s="582" t="s">
        <v>158</v>
      </c>
      <c r="J916" s="582" t="s">
        <v>168</v>
      </c>
      <c r="K916" s="582" t="s">
        <v>160</v>
      </c>
      <c r="L916" s="582" t="s">
        <v>161</v>
      </c>
      <c r="M916" s="582" t="s">
        <v>162</v>
      </c>
      <c r="N916" s="582" t="s">
        <v>1019</v>
      </c>
    </row>
    <row r="917" spans="1:14" ht="16.5">
      <c r="A917" s="582" t="s">
        <v>977</v>
      </c>
      <c r="B917" s="582" t="s">
        <v>1749</v>
      </c>
      <c r="C917" s="582"/>
      <c r="D917" s="582"/>
      <c r="E917" s="582"/>
      <c r="F917" s="582" t="s">
        <v>980</v>
      </c>
      <c r="G917" s="582" t="s">
        <v>1110</v>
      </c>
      <c r="H917" s="582" t="s">
        <v>157</v>
      </c>
      <c r="I917" s="582" t="s">
        <v>158</v>
      </c>
      <c r="J917" s="582" t="s">
        <v>713</v>
      </c>
      <c r="K917" s="582" t="s">
        <v>160</v>
      </c>
      <c r="L917" s="582" t="s">
        <v>161</v>
      </c>
      <c r="M917" s="582" t="s">
        <v>162</v>
      </c>
      <c r="N917" s="582" t="s">
        <v>1750</v>
      </c>
    </row>
    <row r="918" spans="1:14" ht="16.5">
      <c r="A918" s="582" t="s">
        <v>977</v>
      </c>
      <c r="B918" s="582" t="s">
        <v>1020</v>
      </c>
      <c r="C918" s="585">
        <v>4.1666666666666669E-4</v>
      </c>
      <c r="D918" s="582" t="s">
        <v>1021</v>
      </c>
      <c r="E918" s="582" t="s">
        <v>154</v>
      </c>
      <c r="F918" s="582" t="s">
        <v>980</v>
      </c>
      <c r="G918" s="582" t="s">
        <v>1022</v>
      </c>
      <c r="H918" s="582" t="s">
        <v>157</v>
      </c>
      <c r="I918" s="582" t="s">
        <v>158</v>
      </c>
      <c r="J918" s="582" t="s">
        <v>168</v>
      </c>
      <c r="K918" s="582" t="s">
        <v>160</v>
      </c>
      <c r="L918" s="582" t="s">
        <v>161</v>
      </c>
      <c r="M918" s="582" t="s">
        <v>162</v>
      </c>
      <c r="N918" s="582" t="s">
        <v>1023</v>
      </c>
    </row>
    <row r="919" spans="1:14" ht="16.5">
      <c r="A919" s="582" t="s">
        <v>977</v>
      </c>
      <c r="B919" s="582" t="s">
        <v>1024</v>
      </c>
      <c r="C919" s="585">
        <v>2.3148148148148146E-4</v>
      </c>
      <c r="D919" s="582" t="s">
        <v>1025</v>
      </c>
      <c r="E919" s="582" t="s">
        <v>154</v>
      </c>
      <c r="F919" s="582" t="s">
        <v>980</v>
      </c>
      <c r="G919" s="582" t="s">
        <v>1022</v>
      </c>
      <c r="H919" s="582" t="s">
        <v>157</v>
      </c>
      <c r="I919" s="582" t="s">
        <v>158</v>
      </c>
      <c r="J919" s="582" t="s">
        <v>168</v>
      </c>
      <c r="K919" s="582" t="s">
        <v>160</v>
      </c>
      <c r="L919" s="582" t="s">
        <v>161</v>
      </c>
      <c r="M919" s="582" t="s">
        <v>162</v>
      </c>
      <c r="N919" s="582" t="s">
        <v>1026</v>
      </c>
    </row>
    <row r="920" spans="1:14" ht="16.5">
      <c r="A920" s="582" t="s">
        <v>977</v>
      </c>
      <c r="B920" s="582" t="s">
        <v>1751</v>
      </c>
      <c r="C920" s="582"/>
      <c r="D920" s="582"/>
      <c r="E920" s="582"/>
      <c r="F920" s="582" t="s">
        <v>796</v>
      </c>
      <c r="G920" s="582" t="s">
        <v>1752</v>
      </c>
      <c r="H920" s="582" t="s">
        <v>157</v>
      </c>
      <c r="I920" s="582" t="s">
        <v>158</v>
      </c>
      <c r="J920" s="582" t="s">
        <v>481</v>
      </c>
      <c r="K920" s="582" t="s">
        <v>160</v>
      </c>
      <c r="L920" s="582" t="s">
        <v>161</v>
      </c>
      <c r="M920" s="582" t="s">
        <v>162</v>
      </c>
      <c r="N920" s="582" t="s">
        <v>1753</v>
      </c>
    </row>
    <row r="921" spans="1:14" ht="16.5">
      <c r="A921" s="582" t="s">
        <v>977</v>
      </c>
      <c r="B921" s="582" t="s">
        <v>1027</v>
      </c>
      <c r="C921" s="585">
        <v>1.8750000000000001E-3</v>
      </c>
      <c r="D921" s="582" t="s">
        <v>1028</v>
      </c>
      <c r="E921" s="582" t="s">
        <v>154</v>
      </c>
      <c r="F921" s="582" t="s">
        <v>1029</v>
      </c>
      <c r="G921" s="582" t="s">
        <v>1030</v>
      </c>
      <c r="H921" s="582" t="s">
        <v>157</v>
      </c>
      <c r="I921" s="582" t="s">
        <v>197</v>
      </c>
      <c r="J921" s="582" t="s">
        <v>198</v>
      </c>
      <c r="K921" s="582" t="s">
        <v>160</v>
      </c>
      <c r="L921" s="582" t="s">
        <v>161</v>
      </c>
      <c r="M921" s="582" t="s">
        <v>162</v>
      </c>
      <c r="N921" s="582" t="s">
        <v>1031</v>
      </c>
    </row>
    <row r="922" spans="1:14" ht="16.5">
      <c r="A922" s="582" t="s">
        <v>977</v>
      </c>
      <c r="B922" s="582" t="s">
        <v>1032</v>
      </c>
      <c r="C922" s="585">
        <v>1.712962962962963E-3</v>
      </c>
      <c r="D922" s="582" t="s">
        <v>1033</v>
      </c>
      <c r="E922" s="582" t="s">
        <v>154</v>
      </c>
      <c r="F922" s="582" t="s">
        <v>1034</v>
      </c>
      <c r="G922" s="582" t="s">
        <v>1030</v>
      </c>
      <c r="H922" s="582" t="s">
        <v>157</v>
      </c>
      <c r="I922" s="582" t="s">
        <v>197</v>
      </c>
      <c r="J922" s="582" t="s">
        <v>198</v>
      </c>
      <c r="K922" s="582" t="s">
        <v>160</v>
      </c>
      <c r="L922" s="582" t="s">
        <v>161</v>
      </c>
      <c r="M922" s="582" t="s">
        <v>162</v>
      </c>
      <c r="N922" s="582" t="s">
        <v>1035</v>
      </c>
    </row>
    <row r="923" spans="1:14" ht="16.5">
      <c r="A923" s="582" t="s">
        <v>977</v>
      </c>
      <c r="B923" s="582" t="s">
        <v>1036</v>
      </c>
      <c r="C923" s="585">
        <v>1.273148148148148E-4</v>
      </c>
      <c r="D923" s="582" t="s">
        <v>1037</v>
      </c>
      <c r="E923" s="582" t="s">
        <v>154</v>
      </c>
      <c r="F923" s="582" t="s">
        <v>1038</v>
      </c>
      <c r="G923" s="582" t="s">
        <v>1030</v>
      </c>
      <c r="H923" s="582" t="s">
        <v>157</v>
      </c>
      <c r="I923" s="582" t="s">
        <v>197</v>
      </c>
      <c r="J923" s="582" t="s">
        <v>198</v>
      </c>
      <c r="K923" s="582" t="s">
        <v>160</v>
      </c>
      <c r="L923" s="582" t="s">
        <v>161</v>
      </c>
      <c r="M923" s="582" t="s">
        <v>162</v>
      </c>
      <c r="N923" s="582" t="s">
        <v>1039</v>
      </c>
    </row>
    <row r="924" spans="1:14" ht="16.5">
      <c r="A924" s="582" t="s">
        <v>977</v>
      </c>
      <c r="B924" s="582" t="s">
        <v>1754</v>
      </c>
      <c r="C924" s="582"/>
      <c r="D924" s="582"/>
      <c r="E924" s="582"/>
      <c r="F924" s="582" t="s">
        <v>1755</v>
      </c>
      <c r="G924" s="582" t="s">
        <v>824</v>
      </c>
      <c r="H924" s="582" t="s">
        <v>157</v>
      </c>
      <c r="I924" s="582" t="s">
        <v>158</v>
      </c>
      <c r="J924" s="582" t="s">
        <v>212</v>
      </c>
      <c r="K924" s="582" t="s">
        <v>160</v>
      </c>
      <c r="L924" s="582" t="s">
        <v>161</v>
      </c>
      <c r="M924" s="582" t="s">
        <v>162</v>
      </c>
      <c r="N924" s="582" t="s">
        <v>1756</v>
      </c>
    </row>
    <row r="925" spans="1:14" ht="16.5">
      <c r="A925" s="582" t="s">
        <v>977</v>
      </c>
      <c r="B925" s="582" t="s">
        <v>1757</v>
      </c>
      <c r="C925" s="582"/>
      <c r="D925" s="582"/>
      <c r="E925" s="582"/>
      <c r="F925" s="582" t="s">
        <v>1758</v>
      </c>
      <c r="G925" s="582" t="s">
        <v>1103</v>
      </c>
      <c r="H925" s="582" t="s">
        <v>157</v>
      </c>
      <c r="I925" s="582" t="s">
        <v>158</v>
      </c>
      <c r="J925" s="582" t="s">
        <v>168</v>
      </c>
      <c r="K925" s="582" t="s">
        <v>160</v>
      </c>
      <c r="L925" s="582" t="s">
        <v>161</v>
      </c>
      <c r="M925" s="582" t="s">
        <v>162</v>
      </c>
      <c r="N925" s="582" t="s">
        <v>1759</v>
      </c>
    </row>
    <row r="926" spans="1:14" ht="16.5">
      <c r="A926" s="582" t="s">
        <v>977</v>
      </c>
      <c r="B926" s="582" t="s">
        <v>1760</v>
      </c>
      <c r="C926" s="582"/>
      <c r="D926" s="582"/>
      <c r="E926" s="582"/>
      <c r="F926" s="582" t="s">
        <v>542</v>
      </c>
      <c r="G926" s="582" t="s">
        <v>531</v>
      </c>
      <c r="H926" s="582" t="s">
        <v>157</v>
      </c>
      <c r="I926" s="582" t="s">
        <v>158</v>
      </c>
      <c r="J926" s="582" t="s">
        <v>168</v>
      </c>
      <c r="K926" s="582" t="s">
        <v>160</v>
      </c>
      <c r="L926" s="582" t="s">
        <v>161</v>
      </c>
      <c r="M926" s="582" t="s">
        <v>162</v>
      </c>
      <c r="N926" s="582" t="s">
        <v>557</v>
      </c>
    </row>
    <row r="927" spans="1:14" ht="16.5">
      <c r="A927" s="582" t="s">
        <v>977</v>
      </c>
      <c r="B927" s="582" t="s">
        <v>1040</v>
      </c>
      <c r="C927" s="585">
        <v>3.9351851851851852E-4</v>
      </c>
      <c r="D927" s="582" t="s">
        <v>1041</v>
      </c>
      <c r="E927" s="582" t="s">
        <v>154</v>
      </c>
      <c r="F927" s="582" t="s">
        <v>1029</v>
      </c>
      <c r="G927" s="582" t="s">
        <v>1030</v>
      </c>
      <c r="H927" s="582" t="s">
        <v>157</v>
      </c>
      <c r="I927" s="582" t="s">
        <v>197</v>
      </c>
      <c r="J927" s="582" t="s">
        <v>198</v>
      </c>
      <c r="K927" s="582" t="s">
        <v>160</v>
      </c>
      <c r="L927" s="582" t="s">
        <v>161</v>
      </c>
      <c r="M927" s="582" t="s">
        <v>162</v>
      </c>
      <c r="N927" s="582" t="s">
        <v>1042</v>
      </c>
    </row>
    <row r="928" spans="1:14" ht="16.5">
      <c r="A928" s="582" t="s">
        <v>977</v>
      </c>
      <c r="B928" s="582" t="s">
        <v>1043</v>
      </c>
      <c r="C928" s="585">
        <v>1.0879629629629629E-3</v>
      </c>
      <c r="D928" s="582" t="s">
        <v>1044</v>
      </c>
      <c r="E928" s="582" t="s">
        <v>154</v>
      </c>
      <c r="F928" s="582" t="s">
        <v>1029</v>
      </c>
      <c r="G928" s="582" t="s">
        <v>1045</v>
      </c>
      <c r="H928" s="582" t="s">
        <v>157</v>
      </c>
      <c r="I928" s="582" t="s">
        <v>197</v>
      </c>
      <c r="J928" s="582" t="s">
        <v>198</v>
      </c>
      <c r="K928" s="582" t="s">
        <v>160</v>
      </c>
      <c r="L928" s="582" t="s">
        <v>161</v>
      </c>
      <c r="M928" s="582" t="s">
        <v>162</v>
      </c>
      <c r="N928" s="582" t="s">
        <v>1046</v>
      </c>
    </row>
    <row r="929" spans="1:14" ht="16.5">
      <c r="A929" s="582" t="s">
        <v>977</v>
      </c>
      <c r="B929" s="582" t="s">
        <v>1047</v>
      </c>
      <c r="C929" s="585">
        <v>3.4722222222222222E-5</v>
      </c>
      <c r="D929" s="582" t="s">
        <v>1048</v>
      </c>
      <c r="E929" s="582" t="s">
        <v>154</v>
      </c>
      <c r="F929" s="582" t="s">
        <v>1029</v>
      </c>
      <c r="G929" s="582" t="s">
        <v>1045</v>
      </c>
      <c r="H929" s="582" t="s">
        <v>157</v>
      </c>
      <c r="I929" s="582" t="s">
        <v>197</v>
      </c>
      <c r="J929" s="582" t="s">
        <v>198</v>
      </c>
      <c r="K929" s="582" t="s">
        <v>160</v>
      </c>
      <c r="L929" s="582" t="s">
        <v>161</v>
      </c>
      <c r="M929" s="582" t="s">
        <v>162</v>
      </c>
      <c r="N929" s="582" t="s">
        <v>1049</v>
      </c>
    </row>
    <row r="930" spans="1:14" ht="16.5">
      <c r="A930" s="582" t="s">
        <v>977</v>
      </c>
      <c r="B930" s="582" t="s">
        <v>1050</v>
      </c>
      <c r="C930" s="585">
        <v>5.6712962962962956E-4</v>
      </c>
      <c r="D930" s="582" t="s">
        <v>1051</v>
      </c>
      <c r="E930" s="582" t="s">
        <v>154</v>
      </c>
      <c r="F930" s="582" t="s">
        <v>1052</v>
      </c>
      <c r="G930" s="582" t="s">
        <v>403</v>
      </c>
      <c r="H930" s="582" t="s">
        <v>157</v>
      </c>
      <c r="I930" s="582" t="s">
        <v>158</v>
      </c>
      <c r="J930" s="582" t="s">
        <v>168</v>
      </c>
      <c r="K930" s="582" t="s">
        <v>160</v>
      </c>
      <c r="L930" s="582" t="s">
        <v>161</v>
      </c>
      <c r="M930" s="582" t="s">
        <v>162</v>
      </c>
      <c r="N930" s="582" t="s">
        <v>1053</v>
      </c>
    </row>
    <row r="931" spans="1:14" ht="16.5">
      <c r="A931" s="582" t="s">
        <v>977</v>
      </c>
      <c r="B931" s="582" t="s">
        <v>1054</v>
      </c>
      <c r="C931" s="585">
        <v>8.7962962962962962E-4</v>
      </c>
      <c r="D931" s="582" t="s">
        <v>1055</v>
      </c>
      <c r="E931" s="582" t="s">
        <v>154</v>
      </c>
      <c r="F931" s="582" t="s">
        <v>799</v>
      </c>
      <c r="G931" s="582" t="s">
        <v>1056</v>
      </c>
      <c r="H931" s="582" t="s">
        <v>157</v>
      </c>
      <c r="I931" s="582" t="s">
        <v>158</v>
      </c>
      <c r="J931" s="582" t="s">
        <v>212</v>
      </c>
      <c r="K931" s="582" t="s">
        <v>160</v>
      </c>
      <c r="L931" s="582" t="s">
        <v>161</v>
      </c>
      <c r="M931" s="582" t="s">
        <v>162</v>
      </c>
      <c r="N931" s="582" t="s">
        <v>1057</v>
      </c>
    </row>
    <row r="932" spans="1:14" ht="16.5">
      <c r="A932" s="582" t="s">
        <v>977</v>
      </c>
      <c r="B932" s="582" t="s">
        <v>1058</v>
      </c>
      <c r="C932" s="585">
        <v>1.0995370370370371E-3</v>
      </c>
      <c r="D932" s="582" t="s">
        <v>1059</v>
      </c>
      <c r="E932" s="582" t="s">
        <v>154</v>
      </c>
      <c r="F932" s="582" t="s">
        <v>799</v>
      </c>
      <c r="G932" s="582" t="s">
        <v>800</v>
      </c>
      <c r="H932" s="582" t="s">
        <v>157</v>
      </c>
      <c r="I932" s="582" t="s">
        <v>158</v>
      </c>
      <c r="J932" s="582" t="s">
        <v>168</v>
      </c>
      <c r="K932" s="582" t="s">
        <v>160</v>
      </c>
      <c r="L932" s="582" t="s">
        <v>161</v>
      </c>
      <c r="M932" s="582" t="s">
        <v>162</v>
      </c>
      <c r="N932" s="582" t="s">
        <v>1060</v>
      </c>
    </row>
    <row r="933" spans="1:14" ht="16.5">
      <c r="A933" s="582" t="s">
        <v>977</v>
      </c>
      <c r="B933" s="582" t="s">
        <v>1761</v>
      </c>
      <c r="C933" s="582"/>
      <c r="D933" s="582"/>
      <c r="E933" s="582"/>
      <c r="F933" s="582" t="s">
        <v>1762</v>
      </c>
      <c r="G933" s="582" t="s">
        <v>454</v>
      </c>
      <c r="H933" s="582" t="s">
        <v>157</v>
      </c>
      <c r="I933" s="582" t="s">
        <v>158</v>
      </c>
      <c r="J933" s="582" t="s">
        <v>168</v>
      </c>
      <c r="K933" s="582" t="s">
        <v>160</v>
      </c>
      <c r="L933" s="582" t="s">
        <v>161</v>
      </c>
      <c r="M933" s="582" t="s">
        <v>162</v>
      </c>
      <c r="N933" s="582" t="s">
        <v>1744</v>
      </c>
    </row>
    <row r="934" spans="1:14" ht="16.5">
      <c r="A934" s="582" t="s">
        <v>977</v>
      </c>
      <c r="B934" s="582" t="s">
        <v>1763</v>
      </c>
      <c r="C934" s="582"/>
      <c r="D934" s="582"/>
      <c r="E934" s="582"/>
      <c r="F934" s="582" t="s">
        <v>799</v>
      </c>
      <c r="G934" s="582" t="s">
        <v>800</v>
      </c>
      <c r="H934" s="582" t="s">
        <v>157</v>
      </c>
      <c r="I934" s="582" t="s">
        <v>158</v>
      </c>
      <c r="J934" s="582" t="s">
        <v>168</v>
      </c>
      <c r="K934" s="582" t="s">
        <v>160</v>
      </c>
      <c r="L934" s="582" t="s">
        <v>161</v>
      </c>
      <c r="M934" s="582" t="s">
        <v>162</v>
      </c>
      <c r="N934" s="582" t="s">
        <v>1764</v>
      </c>
    </row>
    <row r="935" spans="1:14" ht="16.5">
      <c r="A935" s="582" t="s">
        <v>977</v>
      </c>
      <c r="B935" s="582" t="s">
        <v>1061</v>
      </c>
      <c r="C935" s="585">
        <v>9.0277777777777784E-4</v>
      </c>
      <c r="D935" s="582" t="s">
        <v>1062</v>
      </c>
      <c r="E935" s="582" t="s">
        <v>154</v>
      </c>
      <c r="F935" s="582" t="s">
        <v>767</v>
      </c>
      <c r="G935" s="582" t="s">
        <v>768</v>
      </c>
      <c r="H935" s="582" t="s">
        <v>157</v>
      </c>
      <c r="I935" s="582" t="s">
        <v>158</v>
      </c>
      <c r="J935" s="582" t="s">
        <v>212</v>
      </c>
      <c r="K935" s="582" t="s">
        <v>160</v>
      </c>
      <c r="L935" s="582" t="s">
        <v>161</v>
      </c>
      <c r="M935" s="582" t="s">
        <v>162</v>
      </c>
      <c r="N935" s="582" t="s">
        <v>1063</v>
      </c>
    </row>
    <row r="936" spans="1:14" ht="16.5">
      <c r="A936" s="319" t="s">
        <v>760</v>
      </c>
      <c r="B936" s="319" t="s">
        <v>761</v>
      </c>
      <c r="C936" s="320">
        <v>2.0023148148148148E-3</v>
      </c>
      <c r="D936" s="319" t="s">
        <v>762</v>
      </c>
      <c r="E936" s="319" t="s">
        <v>154</v>
      </c>
      <c r="F936" s="319" t="s">
        <v>252</v>
      </c>
      <c r="G936" s="406" t="s">
        <v>763</v>
      </c>
      <c r="H936" s="319" t="s">
        <v>157</v>
      </c>
      <c r="I936" s="319" t="s">
        <v>158</v>
      </c>
      <c r="J936" s="319" t="s">
        <v>391</v>
      </c>
      <c r="K936" s="319" t="s">
        <v>95</v>
      </c>
      <c r="L936" s="319" t="s">
        <v>161</v>
      </c>
      <c r="M936" s="319" t="s">
        <v>162</v>
      </c>
      <c r="N936" s="319" t="s">
        <v>764</v>
      </c>
    </row>
    <row r="937" spans="1:14" ht="16.5">
      <c r="A937" s="319" t="s">
        <v>760</v>
      </c>
      <c r="B937" s="319" t="s">
        <v>765</v>
      </c>
      <c r="C937" s="320">
        <v>8.6805555555555551E-4</v>
      </c>
      <c r="D937" s="319" t="s">
        <v>766</v>
      </c>
      <c r="E937" s="319" t="s">
        <v>154</v>
      </c>
      <c r="F937" s="319" t="s">
        <v>767</v>
      </c>
      <c r="G937" s="406" t="s">
        <v>768</v>
      </c>
      <c r="H937" s="319" t="s">
        <v>157</v>
      </c>
      <c r="I937" s="319" t="s">
        <v>158</v>
      </c>
      <c r="J937" s="319" t="s">
        <v>159</v>
      </c>
      <c r="K937" s="319" t="s">
        <v>169</v>
      </c>
      <c r="L937" s="319" t="s">
        <v>161</v>
      </c>
      <c r="M937" s="319" t="s">
        <v>162</v>
      </c>
      <c r="N937" s="319" t="s">
        <v>769</v>
      </c>
    </row>
    <row r="938" spans="1:14" ht="16.5">
      <c r="A938" s="319" t="s">
        <v>760</v>
      </c>
      <c r="B938" s="319" t="s">
        <v>770</v>
      </c>
      <c r="C938" s="320">
        <v>7.7546296296296304E-4</v>
      </c>
      <c r="D938" s="319" t="s">
        <v>771</v>
      </c>
      <c r="E938" s="319" t="s">
        <v>154</v>
      </c>
      <c r="F938" s="319" t="s">
        <v>252</v>
      </c>
      <c r="G938" s="406" t="s">
        <v>772</v>
      </c>
      <c r="H938" s="319" t="s">
        <v>157</v>
      </c>
      <c r="I938" s="319" t="s">
        <v>158</v>
      </c>
      <c r="J938" s="319" t="s">
        <v>212</v>
      </c>
      <c r="K938" s="319" t="s">
        <v>160</v>
      </c>
      <c r="L938" s="319" t="s">
        <v>161</v>
      </c>
      <c r="M938" s="319" t="s">
        <v>162</v>
      </c>
      <c r="N938" s="319" t="s">
        <v>773</v>
      </c>
    </row>
    <row r="939" spans="1:14" ht="16.5">
      <c r="A939" s="319" t="s">
        <v>760</v>
      </c>
      <c r="B939" s="319" t="s">
        <v>774</v>
      </c>
      <c r="C939" s="320">
        <v>9.7222222222222209E-4</v>
      </c>
      <c r="D939" s="319" t="s">
        <v>775</v>
      </c>
      <c r="E939" s="319" t="s">
        <v>154</v>
      </c>
      <c r="F939" s="319" t="s">
        <v>611</v>
      </c>
      <c r="G939" s="406" t="s">
        <v>612</v>
      </c>
      <c r="H939" s="319" t="s">
        <v>157</v>
      </c>
      <c r="I939" s="319" t="s">
        <v>197</v>
      </c>
      <c r="J939" s="319" t="s">
        <v>198</v>
      </c>
      <c r="K939" s="319" t="s">
        <v>95</v>
      </c>
      <c r="L939" s="319" t="s">
        <v>161</v>
      </c>
      <c r="M939" s="319" t="s">
        <v>162</v>
      </c>
      <c r="N939" s="319" t="s">
        <v>776</v>
      </c>
    </row>
    <row r="940" spans="1:14" ht="16.5">
      <c r="A940" s="319" t="s">
        <v>760</v>
      </c>
      <c r="B940" s="319" t="s">
        <v>777</v>
      </c>
      <c r="C940" s="320">
        <v>2.3611111111111111E-3</v>
      </c>
      <c r="D940" s="319" t="s">
        <v>778</v>
      </c>
      <c r="E940" s="319" t="s">
        <v>154</v>
      </c>
      <c r="F940" s="319" t="s">
        <v>611</v>
      </c>
      <c r="G940" s="406" t="s">
        <v>612</v>
      </c>
      <c r="H940" s="319" t="s">
        <v>157</v>
      </c>
      <c r="I940" s="319" t="s">
        <v>197</v>
      </c>
      <c r="J940" s="319" t="s">
        <v>198</v>
      </c>
      <c r="K940" s="319" t="s">
        <v>169</v>
      </c>
      <c r="L940" s="319" t="s">
        <v>161</v>
      </c>
      <c r="M940" s="319" t="s">
        <v>162</v>
      </c>
      <c r="N940" s="319" t="s">
        <v>779</v>
      </c>
    </row>
    <row r="941" spans="1:14" ht="16.5">
      <c r="A941" s="319" t="s">
        <v>760</v>
      </c>
      <c r="B941" s="319" t="s">
        <v>780</v>
      </c>
      <c r="C941" s="320">
        <v>5.0925925925925921E-4</v>
      </c>
      <c r="D941" s="319" t="s">
        <v>781</v>
      </c>
      <c r="E941" s="319" t="s">
        <v>154</v>
      </c>
      <c r="F941" s="319" t="s">
        <v>782</v>
      </c>
      <c r="G941" s="406" t="s">
        <v>581</v>
      </c>
      <c r="H941" s="319" t="s">
        <v>157</v>
      </c>
      <c r="I941" s="319" t="s">
        <v>197</v>
      </c>
      <c r="J941" s="319" t="s">
        <v>198</v>
      </c>
      <c r="K941" s="319" t="s">
        <v>160</v>
      </c>
      <c r="L941" s="319" t="s">
        <v>161</v>
      </c>
      <c r="M941" s="319" t="s">
        <v>162</v>
      </c>
      <c r="N941" s="319" t="s">
        <v>783</v>
      </c>
    </row>
    <row r="942" spans="1:14" ht="16.5">
      <c r="A942" s="319" t="s">
        <v>760</v>
      </c>
      <c r="B942" s="319" t="s">
        <v>784</v>
      </c>
      <c r="C942" s="320">
        <v>1.6203703703703703E-3</v>
      </c>
      <c r="D942" s="319" t="s">
        <v>785</v>
      </c>
      <c r="E942" s="319" t="s">
        <v>154</v>
      </c>
      <c r="F942" s="319" t="s">
        <v>782</v>
      </c>
      <c r="G942" s="406" t="s">
        <v>581</v>
      </c>
      <c r="H942" s="319" t="s">
        <v>157</v>
      </c>
      <c r="I942" s="319" t="s">
        <v>197</v>
      </c>
      <c r="J942" s="319" t="s">
        <v>198</v>
      </c>
      <c r="K942" s="319" t="s">
        <v>160</v>
      </c>
      <c r="L942" s="319" t="s">
        <v>161</v>
      </c>
      <c r="M942" s="319" t="s">
        <v>162</v>
      </c>
      <c r="N942" s="319" t="s">
        <v>786</v>
      </c>
    </row>
    <row r="943" spans="1:14" ht="16.5">
      <c r="A943" s="319" t="s">
        <v>760</v>
      </c>
      <c r="B943" s="319" t="s">
        <v>787</v>
      </c>
      <c r="C943" s="320">
        <v>9.7222222222222209E-4</v>
      </c>
      <c r="D943" s="319" t="s">
        <v>788</v>
      </c>
      <c r="E943" s="319" t="s">
        <v>154</v>
      </c>
      <c r="F943" s="319" t="s">
        <v>767</v>
      </c>
      <c r="G943" s="406" t="s">
        <v>768</v>
      </c>
      <c r="H943" s="319" t="s">
        <v>157</v>
      </c>
      <c r="I943" s="319" t="s">
        <v>158</v>
      </c>
      <c r="J943" s="319" t="s">
        <v>159</v>
      </c>
      <c r="K943" s="319" t="s">
        <v>169</v>
      </c>
      <c r="L943" s="319" t="s">
        <v>161</v>
      </c>
      <c r="M943" s="319" t="s">
        <v>162</v>
      </c>
      <c r="N943" s="319" t="s">
        <v>789</v>
      </c>
    </row>
    <row r="944" spans="1:14" ht="16.5">
      <c r="A944" s="319" t="s">
        <v>760</v>
      </c>
      <c r="B944" s="319" t="s">
        <v>790</v>
      </c>
      <c r="C944" s="320">
        <v>1.9675925925925928E-3</v>
      </c>
      <c r="D944" s="319" t="s">
        <v>791</v>
      </c>
      <c r="E944" s="319" t="s">
        <v>154</v>
      </c>
      <c r="F944" s="319" t="s">
        <v>767</v>
      </c>
      <c r="G944" s="406" t="s">
        <v>792</v>
      </c>
      <c r="H944" s="319" t="s">
        <v>157</v>
      </c>
      <c r="I944" s="319" t="s">
        <v>158</v>
      </c>
      <c r="J944" s="319" t="s">
        <v>168</v>
      </c>
      <c r="K944" s="319" t="s">
        <v>169</v>
      </c>
      <c r="L944" s="319" t="s">
        <v>161</v>
      </c>
      <c r="M944" s="319" t="s">
        <v>162</v>
      </c>
      <c r="N944" s="319" t="s">
        <v>793</v>
      </c>
    </row>
    <row r="945" spans="1:14" ht="16.5">
      <c r="A945" s="319" t="s">
        <v>760</v>
      </c>
      <c r="B945" s="319" t="s">
        <v>794</v>
      </c>
      <c r="C945" s="320">
        <v>8.1018518518518516E-5</v>
      </c>
      <c r="D945" s="319" t="s">
        <v>795</v>
      </c>
      <c r="E945" s="319" t="s">
        <v>154</v>
      </c>
      <c r="F945" s="319" t="s">
        <v>611</v>
      </c>
      <c r="G945" s="406" t="s">
        <v>612</v>
      </c>
      <c r="H945" s="319" t="s">
        <v>157</v>
      </c>
      <c r="I945" s="319" t="s">
        <v>197</v>
      </c>
      <c r="J945" s="319" t="s">
        <v>198</v>
      </c>
      <c r="K945" s="319" t="s">
        <v>169</v>
      </c>
      <c r="L945" s="319" t="s">
        <v>161</v>
      </c>
      <c r="M945" s="319" t="s">
        <v>162</v>
      </c>
      <c r="N945" s="319" t="s">
        <v>796</v>
      </c>
    </row>
    <row r="946" spans="1:14" ht="16.5">
      <c r="A946" s="319" t="s">
        <v>760</v>
      </c>
      <c r="B946" s="319" t="s">
        <v>797</v>
      </c>
      <c r="C946" s="320">
        <v>7.0601851851851847E-4</v>
      </c>
      <c r="D946" s="319" t="s">
        <v>798</v>
      </c>
      <c r="E946" s="319" t="s">
        <v>154</v>
      </c>
      <c r="F946" s="319" t="s">
        <v>799</v>
      </c>
      <c r="G946" s="406" t="s">
        <v>800</v>
      </c>
      <c r="H946" s="319" t="s">
        <v>157</v>
      </c>
      <c r="I946" s="319" t="s">
        <v>158</v>
      </c>
      <c r="J946" s="319" t="s">
        <v>159</v>
      </c>
      <c r="K946" s="319" t="s">
        <v>160</v>
      </c>
      <c r="L946" s="319" t="s">
        <v>161</v>
      </c>
      <c r="M946" s="319" t="s">
        <v>162</v>
      </c>
      <c r="N946" s="319" t="s">
        <v>801</v>
      </c>
    </row>
    <row r="947" spans="1:14" ht="16.5">
      <c r="A947" s="319" t="s">
        <v>760</v>
      </c>
      <c r="B947" s="319" t="s">
        <v>802</v>
      </c>
      <c r="C947" s="320">
        <v>1.5277777777777779E-3</v>
      </c>
      <c r="D947" s="319" t="s">
        <v>803</v>
      </c>
      <c r="E947" s="319" t="s">
        <v>154</v>
      </c>
      <c r="F947" s="319" t="s">
        <v>664</v>
      </c>
      <c r="G947" s="406" t="s">
        <v>665</v>
      </c>
      <c r="H947" s="319" t="s">
        <v>157</v>
      </c>
      <c r="I947" s="319" t="s">
        <v>197</v>
      </c>
      <c r="J947" s="319" t="s">
        <v>198</v>
      </c>
      <c r="K947" s="319" t="s">
        <v>160</v>
      </c>
      <c r="L947" s="319" t="s">
        <v>161</v>
      </c>
      <c r="M947" s="319" t="s">
        <v>162</v>
      </c>
      <c r="N947" s="319" t="s">
        <v>783</v>
      </c>
    </row>
    <row r="948" spans="1:14" ht="16.5">
      <c r="A948" s="319" t="s">
        <v>760</v>
      </c>
      <c r="B948" s="319" t="s">
        <v>804</v>
      </c>
      <c r="C948" s="320">
        <v>1.2152777777777778E-3</v>
      </c>
      <c r="D948" s="319" t="s">
        <v>805</v>
      </c>
      <c r="E948" s="319" t="s">
        <v>154</v>
      </c>
      <c r="F948" s="319" t="s">
        <v>664</v>
      </c>
      <c r="G948" s="406" t="s">
        <v>665</v>
      </c>
      <c r="H948" s="319" t="s">
        <v>157</v>
      </c>
      <c r="I948" s="319" t="s">
        <v>197</v>
      </c>
      <c r="J948" s="319" t="s">
        <v>198</v>
      </c>
      <c r="K948" s="319" t="s">
        <v>160</v>
      </c>
      <c r="L948" s="319" t="s">
        <v>161</v>
      </c>
      <c r="M948" s="319" t="s">
        <v>162</v>
      </c>
      <c r="N948" s="319" t="s">
        <v>806</v>
      </c>
    </row>
    <row r="949" spans="1:14" ht="16.5">
      <c r="A949" s="319" t="s">
        <v>760</v>
      </c>
      <c r="B949" s="319" t="s">
        <v>807</v>
      </c>
      <c r="C949" s="320">
        <v>4.1666666666666669E-4</v>
      </c>
      <c r="D949" s="319" t="s">
        <v>808</v>
      </c>
      <c r="E949" s="319" t="s">
        <v>154</v>
      </c>
      <c r="F949" s="319" t="s">
        <v>611</v>
      </c>
      <c r="G949" s="406" t="s">
        <v>612</v>
      </c>
      <c r="H949" s="319" t="s">
        <v>157</v>
      </c>
      <c r="I949" s="319" t="s">
        <v>197</v>
      </c>
      <c r="J949" s="319" t="s">
        <v>198</v>
      </c>
      <c r="K949" s="319" t="s">
        <v>169</v>
      </c>
      <c r="L949" s="319" t="s">
        <v>161</v>
      </c>
      <c r="M949" s="319" t="s">
        <v>162</v>
      </c>
      <c r="N949" s="319" t="s">
        <v>809</v>
      </c>
    </row>
    <row r="950" spans="1:14" ht="16.5">
      <c r="A950" s="319" t="s">
        <v>760</v>
      </c>
      <c r="B950" s="319" t="s">
        <v>810</v>
      </c>
      <c r="C950" s="320">
        <v>4.8611111111111104E-4</v>
      </c>
      <c r="D950" s="319" t="s">
        <v>811</v>
      </c>
      <c r="E950" s="319" t="s">
        <v>154</v>
      </c>
      <c r="F950" s="319" t="s">
        <v>445</v>
      </c>
      <c r="G950" s="406" t="s">
        <v>446</v>
      </c>
      <c r="H950" s="319" t="s">
        <v>157</v>
      </c>
      <c r="I950" s="319" t="s">
        <v>197</v>
      </c>
      <c r="J950" s="319" t="s">
        <v>198</v>
      </c>
      <c r="K950" s="319" t="s">
        <v>160</v>
      </c>
      <c r="L950" s="319" t="s">
        <v>161</v>
      </c>
      <c r="M950" s="319" t="s">
        <v>162</v>
      </c>
      <c r="N950" s="319" t="s">
        <v>812</v>
      </c>
    </row>
    <row r="951" spans="1:14" ht="16.5">
      <c r="A951" s="319" t="s">
        <v>760</v>
      </c>
      <c r="B951" s="319" t="s">
        <v>813</v>
      </c>
      <c r="C951" s="320">
        <v>1.3657407407407409E-3</v>
      </c>
      <c r="D951" s="319" t="s">
        <v>814</v>
      </c>
      <c r="E951" s="319" t="s">
        <v>154</v>
      </c>
      <c r="F951" s="319" t="s">
        <v>815</v>
      </c>
      <c r="G951" s="406" t="s">
        <v>446</v>
      </c>
      <c r="H951" s="319" t="s">
        <v>157</v>
      </c>
      <c r="I951" s="319" t="s">
        <v>197</v>
      </c>
      <c r="J951" s="319" t="s">
        <v>198</v>
      </c>
      <c r="K951" s="319" t="s">
        <v>160</v>
      </c>
      <c r="L951" s="319" t="s">
        <v>161</v>
      </c>
      <c r="M951" s="319" t="s">
        <v>162</v>
      </c>
      <c r="N951" s="319" t="s">
        <v>816</v>
      </c>
    </row>
    <row r="952" spans="1:14" ht="16.5">
      <c r="A952" s="319" t="s">
        <v>760</v>
      </c>
      <c r="B952" s="319" t="s">
        <v>817</v>
      </c>
      <c r="C952" s="320">
        <v>1.1111111111111111E-3</v>
      </c>
      <c r="D952" s="319" t="s">
        <v>818</v>
      </c>
      <c r="E952" s="319" t="s">
        <v>154</v>
      </c>
      <c r="F952" s="319" t="s">
        <v>624</v>
      </c>
      <c r="G952" s="406" t="s">
        <v>819</v>
      </c>
      <c r="H952" s="319" t="s">
        <v>157</v>
      </c>
      <c r="I952" s="319" t="s">
        <v>197</v>
      </c>
      <c r="J952" s="319" t="s">
        <v>198</v>
      </c>
      <c r="K952" s="319" t="s">
        <v>169</v>
      </c>
      <c r="L952" s="319" t="s">
        <v>161</v>
      </c>
      <c r="M952" s="319" t="s">
        <v>162</v>
      </c>
      <c r="N952" s="319" t="s">
        <v>820</v>
      </c>
    </row>
    <row r="953" spans="1:14" ht="16.5">
      <c r="A953" s="319" t="s">
        <v>760</v>
      </c>
      <c r="B953" s="319" t="s">
        <v>821</v>
      </c>
      <c r="C953" s="320">
        <v>1.1342592592592591E-3</v>
      </c>
      <c r="D953" s="319" t="s">
        <v>822</v>
      </c>
      <c r="E953" s="319" t="s">
        <v>154</v>
      </c>
      <c r="F953" s="319" t="s">
        <v>823</v>
      </c>
      <c r="G953" s="406" t="s">
        <v>824</v>
      </c>
      <c r="H953" s="319" t="s">
        <v>157</v>
      </c>
      <c r="I953" s="319" t="s">
        <v>158</v>
      </c>
      <c r="J953" s="319" t="s">
        <v>212</v>
      </c>
      <c r="K953" s="319" t="s">
        <v>160</v>
      </c>
      <c r="L953" s="319" t="s">
        <v>161</v>
      </c>
      <c r="M953" s="319" t="s">
        <v>162</v>
      </c>
      <c r="N953" s="319" t="s">
        <v>825</v>
      </c>
    </row>
    <row r="954" spans="1:14" ht="16.5">
      <c r="A954" s="319" t="s">
        <v>760</v>
      </c>
      <c r="B954" s="319" t="s">
        <v>826</v>
      </c>
      <c r="C954" s="320">
        <v>1.9560185185185184E-3</v>
      </c>
      <c r="D954" s="319" t="s">
        <v>827</v>
      </c>
      <c r="E954" s="319" t="s">
        <v>154</v>
      </c>
      <c r="F954" s="319" t="s">
        <v>823</v>
      </c>
      <c r="G954" s="406" t="s">
        <v>828</v>
      </c>
      <c r="H954" s="319" t="s">
        <v>157</v>
      </c>
      <c r="I954" s="319" t="s">
        <v>158</v>
      </c>
      <c r="J954" s="319" t="s">
        <v>159</v>
      </c>
      <c r="K954" s="319" t="s">
        <v>160</v>
      </c>
      <c r="L954" s="319" t="s">
        <v>161</v>
      </c>
      <c r="M954" s="319" t="s">
        <v>162</v>
      </c>
      <c r="N954" s="319" t="s">
        <v>829</v>
      </c>
    </row>
    <row r="955" spans="1:14" ht="16.5">
      <c r="A955" s="319" t="s">
        <v>760</v>
      </c>
      <c r="B955" s="319" t="s">
        <v>830</v>
      </c>
      <c r="C955" s="320">
        <v>2.6504629629629625E-3</v>
      </c>
      <c r="D955" s="319" t="s">
        <v>831</v>
      </c>
      <c r="E955" s="319" t="s">
        <v>154</v>
      </c>
      <c r="F955" s="319" t="s">
        <v>832</v>
      </c>
      <c r="G955" s="406" t="s">
        <v>833</v>
      </c>
      <c r="H955" s="319" t="s">
        <v>157</v>
      </c>
      <c r="I955" s="319" t="s">
        <v>158</v>
      </c>
      <c r="J955" s="319" t="s">
        <v>212</v>
      </c>
      <c r="K955" s="319" t="s">
        <v>160</v>
      </c>
      <c r="L955" s="319" t="s">
        <v>161</v>
      </c>
      <c r="M955" s="319" t="s">
        <v>162</v>
      </c>
      <c r="N955" s="319" t="s">
        <v>834</v>
      </c>
    </row>
    <row r="956" spans="1:14" ht="16.5">
      <c r="A956" s="319" t="s">
        <v>760</v>
      </c>
      <c r="B956" s="319" t="s">
        <v>835</v>
      </c>
      <c r="C956" s="320">
        <v>1.4351851851851854E-3</v>
      </c>
      <c r="D956" s="319" t="s">
        <v>836</v>
      </c>
      <c r="E956" s="319" t="s">
        <v>154</v>
      </c>
      <c r="F956" s="319" t="s">
        <v>832</v>
      </c>
      <c r="G956" s="406" t="s">
        <v>837</v>
      </c>
      <c r="H956" s="319" t="s">
        <v>157</v>
      </c>
      <c r="I956" s="319" t="s">
        <v>158</v>
      </c>
      <c r="J956" s="319" t="s">
        <v>159</v>
      </c>
      <c r="K956" s="319" t="s">
        <v>160</v>
      </c>
      <c r="L956" s="319" t="s">
        <v>161</v>
      </c>
      <c r="M956" s="319" t="s">
        <v>162</v>
      </c>
      <c r="N956" s="319" t="s">
        <v>838</v>
      </c>
    </row>
    <row r="957" spans="1:14" ht="16.5">
      <c r="A957" s="319" t="s">
        <v>760</v>
      </c>
      <c r="B957" s="319" t="s">
        <v>839</v>
      </c>
      <c r="C957" s="320">
        <v>1.3425925925925925E-3</v>
      </c>
      <c r="D957" s="319" t="s">
        <v>840</v>
      </c>
      <c r="E957" s="319" t="s">
        <v>154</v>
      </c>
      <c r="F957" s="319" t="s">
        <v>841</v>
      </c>
      <c r="G957" s="406" t="s">
        <v>842</v>
      </c>
      <c r="H957" s="319" t="s">
        <v>157</v>
      </c>
      <c r="I957" s="319" t="s">
        <v>158</v>
      </c>
      <c r="J957" s="319" t="s">
        <v>159</v>
      </c>
      <c r="K957" s="319" t="s">
        <v>169</v>
      </c>
      <c r="L957" s="319" t="s">
        <v>161</v>
      </c>
      <c r="M957" s="319" t="s">
        <v>162</v>
      </c>
      <c r="N957" s="319" t="s">
        <v>843</v>
      </c>
    </row>
    <row r="958" spans="1:14" ht="16.5">
      <c r="A958" s="319" t="s">
        <v>760</v>
      </c>
      <c r="B958" s="319" t="s">
        <v>844</v>
      </c>
      <c r="C958" s="320">
        <v>4.9884259259259265E-3</v>
      </c>
      <c r="D958" s="319" t="s">
        <v>845</v>
      </c>
      <c r="E958" s="319" t="s">
        <v>154</v>
      </c>
      <c r="F958" s="319" t="s">
        <v>841</v>
      </c>
      <c r="G958" s="406" t="s">
        <v>846</v>
      </c>
      <c r="H958" s="319" t="s">
        <v>157</v>
      </c>
      <c r="I958" s="319" t="s">
        <v>158</v>
      </c>
      <c r="J958" s="319" t="s">
        <v>168</v>
      </c>
      <c r="K958" s="319" t="s">
        <v>169</v>
      </c>
      <c r="L958" s="319" t="s">
        <v>161</v>
      </c>
      <c r="M958" s="319" t="s">
        <v>162</v>
      </c>
      <c r="N958" s="319" t="s">
        <v>847</v>
      </c>
    </row>
    <row r="959" spans="1:14" ht="16.5">
      <c r="A959" s="319" t="s">
        <v>760</v>
      </c>
      <c r="B959" s="319" t="s">
        <v>848</v>
      </c>
      <c r="C959" s="320">
        <v>6.0648148148148145E-3</v>
      </c>
      <c r="D959" s="319" t="s">
        <v>849</v>
      </c>
      <c r="E959" s="319" t="s">
        <v>154</v>
      </c>
      <c r="F959" s="319" t="s">
        <v>850</v>
      </c>
      <c r="G959" s="406" t="s">
        <v>362</v>
      </c>
      <c r="H959" s="319" t="s">
        <v>157</v>
      </c>
      <c r="I959" s="319" t="s">
        <v>158</v>
      </c>
      <c r="J959" s="319" t="s">
        <v>212</v>
      </c>
      <c r="K959" s="319" t="s">
        <v>160</v>
      </c>
      <c r="L959" s="319" t="s">
        <v>161</v>
      </c>
      <c r="M959" s="319" t="s">
        <v>162</v>
      </c>
      <c r="N959" s="319" t="s">
        <v>851</v>
      </c>
    </row>
    <row r="960" spans="1:14" ht="16.5">
      <c r="A960" s="319" t="s">
        <v>760</v>
      </c>
      <c r="B960" s="319" t="s">
        <v>852</v>
      </c>
      <c r="C960" s="320">
        <v>1.4467592592592594E-3</v>
      </c>
      <c r="D960" s="319" t="s">
        <v>853</v>
      </c>
      <c r="E960" s="319" t="s">
        <v>154</v>
      </c>
      <c r="F960" s="319" t="s">
        <v>850</v>
      </c>
      <c r="G960" s="406" t="s">
        <v>362</v>
      </c>
      <c r="H960" s="319" t="s">
        <v>157</v>
      </c>
      <c r="I960" s="319" t="s">
        <v>158</v>
      </c>
      <c r="J960" s="319" t="s">
        <v>212</v>
      </c>
      <c r="K960" s="319" t="s">
        <v>160</v>
      </c>
      <c r="L960" s="319" t="s">
        <v>161</v>
      </c>
      <c r="M960" s="319" t="s">
        <v>162</v>
      </c>
      <c r="N960" s="319" t="s">
        <v>854</v>
      </c>
    </row>
    <row r="961" spans="1:14" ht="16.5">
      <c r="A961" s="319" t="s">
        <v>760</v>
      </c>
      <c r="B961" s="319" t="s">
        <v>855</v>
      </c>
      <c r="C961" s="320">
        <v>2.6620370370370372E-4</v>
      </c>
      <c r="D961" s="319" t="s">
        <v>856</v>
      </c>
      <c r="E961" s="319" t="s">
        <v>154</v>
      </c>
      <c r="F961" s="319" t="s">
        <v>850</v>
      </c>
      <c r="G961" s="406" t="s">
        <v>362</v>
      </c>
      <c r="H961" s="319" t="s">
        <v>157</v>
      </c>
      <c r="I961" s="319" t="s">
        <v>158</v>
      </c>
      <c r="J961" s="319" t="s">
        <v>212</v>
      </c>
      <c r="K961" s="319" t="s">
        <v>160</v>
      </c>
      <c r="L961" s="319" t="s">
        <v>161</v>
      </c>
      <c r="M961" s="319" t="s">
        <v>162</v>
      </c>
      <c r="N961" s="319" t="s">
        <v>857</v>
      </c>
    </row>
    <row r="962" spans="1:14" ht="16.5">
      <c r="A962" s="319" t="s">
        <v>760</v>
      </c>
      <c r="B962" s="319" t="s">
        <v>858</v>
      </c>
      <c r="C962" s="320">
        <v>1.9444444444444442E-3</v>
      </c>
      <c r="D962" s="319" t="s">
        <v>859</v>
      </c>
      <c r="E962" s="319" t="s">
        <v>154</v>
      </c>
      <c r="F962" s="319" t="s">
        <v>522</v>
      </c>
      <c r="G962" s="406" t="s">
        <v>362</v>
      </c>
      <c r="H962" s="319" t="s">
        <v>157</v>
      </c>
      <c r="I962" s="319" t="s">
        <v>158</v>
      </c>
      <c r="J962" s="319" t="s">
        <v>159</v>
      </c>
      <c r="K962" s="319" t="s">
        <v>169</v>
      </c>
      <c r="L962" s="319" t="s">
        <v>161</v>
      </c>
      <c r="M962" s="319" t="s">
        <v>162</v>
      </c>
      <c r="N962" s="319" t="s">
        <v>860</v>
      </c>
    </row>
    <row r="963" spans="1:14" ht="16.5">
      <c r="A963" s="319" t="s">
        <v>760</v>
      </c>
      <c r="B963" s="319" t="s">
        <v>861</v>
      </c>
      <c r="C963" s="320">
        <v>2.1296296296296298E-3</v>
      </c>
      <c r="D963" s="319" t="s">
        <v>862</v>
      </c>
      <c r="E963" s="319" t="s">
        <v>154</v>
      </c>
      <c r="F963" s="319" t="s">
        <v>850</v>
      </c>
      <c r="G963" s="406" t="s">
        <v>362</v>
      </c>
      <c r="H963" s="319" t="s">
        <v>157</v>
      </c>
      <c r="I963" s="319" t="s">
        <v>158</v>
      </c>
      <c r="J963" s="319" t="s">
        <v>212</v>
      </c>
      <c r="K963" s="319" t="s">
        <v>160</v>
      </c>
      <c r="L963" s="319" t="s">
        <v>161</v>
      </c>
      <c r="M963" s="319" t="s">
        <v>162</v>
      </c>
      <c r="N963" s="319" t="s">
        <v>863</v>
      </c>
    </row>
    <row r="964" spans="1:14" ht="16.5">
      <c r="A964" s="319" t="s">
        <v>760</v>
      </c>
      <c r="B964" s="319" t="s">
        <v>864</v>
      </c>
      <c r="C964" s="320">
        <v>7.7546296296296304E-4</v>
      </c>
      <c r="D964" s="319" t="s">
        <v>865</v>
      </c>
      <c r="E964" s="319" t="s">
        <v>154</v>
      </c>
      <c r="F964" s="319" t="s">
        <v>664</v>
      </c>
      <c r="G964" s="406" t="s">
        <v>665</v>
      </c>
      <c r="H964" s="319" t="s">
        <v>157</v>
      </c>
      <c r="I964" s="319" t="s">
        <v>158</v>
      </c>
      <c r="J964" s="319" t="s">
        <v>212</v>
      </c>
      <c r="K964" s="319" t="s">
        <v>160</v>
      </c>
      <c r="L964" s="319" t="s">
        <v>161</v>
      </c>
      <c r="M964" s="319" t="s">
        <v>162</v>
      </c>
      <c r="N964" s="319" t="s">
        <v>866</v>
      </c>
    </row>
    <row r="965" spans="1:14" ht="16.5">
      <c r="A965" s="319" t="s">
        <v>760</v>
      </c>
      <c r="B965" s="319" t="s">
        <v>867</v>
      </c>
      <c r="C965" s="320">
        <v>1.1574074074074073E-5</v>
      </c>
      <c r="D965" s="319" t="s">
        <v>868</v>
      </c>
      <c r="E965" s="319" t="s">
        <v>154</v>
      </c>
      <c r="F965" s="319" t="s">
        <v>463</v>
      </c>
      <c r="G965" s="406" t="s">
        <v>464</v>
      </c>
      <c r="H965" s="319" t="s">
        <v>157</v>
      </c>
      <c r="I965" s="319" t="s">
        <v>158</v>
      </c>
      <c r="J965" s="319" t="s">
        <v>168</v>
      </c>
      <c r="K965" s="319" t="s">
        <v>169</v>
      </c>
      <c r="L965" s="319" t="s">
        <v>161</v>
      </c>
      <c r="M965" s="319" t="s">
        <v>162</v>
      </c>
      <c r="N965" s="319" t="s">
        <v>869</v>
      </c>
    </row>
    <row r="966" spans="1:14" ht="16.5">
      <c r="A966" s="319" t="s">
        <v>760</v>
      </c>
      <c r="B966" s="319" t="s">
        <v>870</v>
      </c>
      <c r="C966" s="320">
        <v>1.0995370370370371E-3</v>
      </c>
      <c r="D966" s="319" t="s">
        <v>871</v>
      </c>
      <c r="E966" s="319" t="s">
        <v>154</v>
      </c>
      <c r="F966" s="319" t="s">
        <v>872</v>
      </c>
      <c r="G966" s="406" t="s">
        <v>873</v>
      </c>
      <c r="H966" s="319" t="s">
        <v>157</v>
      </c>
      <c r="I966" s="319" t="s">
        <v>197</v>
      </c>
      <c r="J966" s="319" t="s">
        <v>198</v>
      </c>
      <c r="K966" s="319" t="s">
        <v>160</v>
      </c>
      <c r="L966" s="319" t="s">
        <v>161</v>
      </c>
      <c r="M966" s="319" t="s">
        <v>162</v>
      </c>
      <c r="N966" s="319" t="s">
        <v>783</v>
      </c>
    </row>
    <row r="967" spans="1:14" ht="16.5">
      <c r="A967" s="319" t="s">
        <v>760</v>
      </c>
      <c r="B967" s="319" t="s">
        <v>874</v>
      </c>
      <c r="C967" s="320">
        <v>2.0717592592592593E-3</v>
      </c>
      <c r="D967" s="319" t="s">
        <v>875</v>
      </c>
      <c r="E967" s="319" t="s">
        <v>154</v>
      </c>
      <c r="F967" s="319" t="s">
        <v>872</v>
      </c>
      <c r="G967" s="406" t="s">
        <v>873</v>
      </c>
      <c r="H967" s="319" t="s">
        <v>157</v>
      </c>
      <c r="I967" s="319" t="s">
        <v>197</v>
      </c>
      <c r="J967" s="319" t="s">
        <v>198</v>
      </c>
      <c r="K967" s="319" t="s">
        <v>160</v>
      </c>
      <c r="L967" s="319" t="s">
        <v>161</v>
      </c>
      <c r="M967" s="319" t="s">
        <v>162</v>
      </c>
      <c r="N967" s="319" t="s">
        <v>876</v>
      </c>
    </row>
    <row r="968" spans="1:14" ht="16.5">
      <c r="A968" s="250" t="s">
        <v>877</v>
      </c>
      <c r="B968" s="250" t="s">
        <v>878</v>
      </c>
      <c r="C968" s="251">
        <v>2.0138888888888888E-3</v>
      </c>
      <c r="D968" s="250" t="s">
        <v>879</v>
      </c>
      <c r="E968" s="250" t="s">
        <v>154</v>
      </c>
      <c r="F968" s="250" t="s">
        <v>880</v>
      </c>
      <c r="G968" s="407" t="s">
        <v>881</v>
      </c>
      <c r="H968" s="250" t="s">
        <v>157</v>
      </c>
      <c r="I968" s="250" t="s">
        <v>158</v>
      </c>
      <c r="J968" s="250" t="s">
        <v>168</v>
      </c>
      <c r="K968" s="250" t="s">
        <v>169</v>
      </c>
      <c r="L968" s="250" t="s">
        <v>161</v>
      </c>
      <c r="M968" s="250" t="s">
        <v>162</v>
      </c>
      <c r="N968" s="250" t="s">
        <v>882</v>
      </c>
    </row>
    <row r="969" spans="1:14" ht="16.5">
      <c r="A969" s="250" t="s">
        <v>877</v>
      </c>
      <c r="B969" s="250" t="s">
        <v>883</v>
      </c>
      <c r="C969" s="251">
        <v>1.6782407407407406E-3</v>
      </c>
      <c r="D969" s="250" t="s">
        <v>884</v>
      </c>
      <c r="E969" s="250" t="s">
        <v>154</v>
      </c>
      <c r="F969" s="250" t="s">
        <v>468</v>
      </c>
      <c r="G969" s="407" t="s">
        <v>469</v>
      </c>
      <c r="H969" s="250" t="s">
        <v>157</v>
      </c>
      <c r="I969" s="250" t="s">
        <v>158</v>
      </c>
      <c r="J969" s="250" t="s">
        <v>168</v>
      </c>
      <c r="K969" s="250" t="s">
        <v>160</v>
      </c>
      <c r="L969" s="250" t="s">
        <v>161</v>
      </c>
      <c r="M969" s="250" t="s">
        <v>162</v>
      </c>
      <c r="N969" s="250" t="s">
        <v>885</v>
      </c>
    </row>
    <row r="970" spans="1:14" ht="16.5">
      <c r="A970" s="250" t="s">
        <v>877</v>
      </c>
      <c r="B970" s="250" t="s">
        <v>886</v>
      </c>
      <c r="C970" s="251">
        <v>6.7129629629629625E-4</v>
      </c>
      <c r="D970" s="250" t="s">
        <v>887</v>
      </c>
      <c r="E970" s="250" t="s">
        <v>154</v>
      </c>
      <c r="F970" s="250" t="s">
        <v>205</v>
      </c>
      <c r="G970" s="407" t="s">
        <v>206</v>
      </c>
      <c r="H970" s="250" t="s">
        <v>157</v>
      </c>
      <c r="I970" s="250" t="s">
        <v>197</v>
      </c>
      <c r="J970" s="250" t="s">
        <v>198</v>
      </c>
      <c r="K970" s="250" t="s">
        <v>169</v>
      </c>
      <c r="L970" s="250" t="s">
        <v>161</v>
      </c>
      <c r="M970" s="250" t="s">
        <v>162</v>
      </c>
      <c r="N970" s="250" t="s">
        <v>888</v>
      </c>
    </row>
    <row r="971" spans="1:14" ht="16.5">
      <c r="A971" s="250" t="s">
        <v>877</v>
      </c>
      <c r="B971" s="250" t="s">
        <v>889</v>
      </c>
      <c r="C971" s="251">
        <v>3.5879629629629635E-4</v>
      </c>
      <c r="D971" s="250" t="s">
        <v>890</v>
      </c>
      <c r="E971" s="250" t="s">
        <v>154</v>
      </c>
      <c r="F971" s="250" t="s">
        <v>468</v>
      </c>
      <c r="G971" s="407" t="s">
        <v>469</v>
      </c>
      <c r="H971" s="250" t="s">
        <v>157</v>
      </c>
      <c r="I971" s="250" t="s">
        <v>158</v>
      </c>
      <c r="J971" s="250" t="s">
        <v>159</v>
      </c>
      <c r="K971" s="250" t="s">
        <v>160</v>
      </c>
      <c r="L971" s="250" t="s">
        <v>161</v>
      </c>
      <c r="M971" s="250" t="s">
        <v>162</v>
      </c>
      <c r="N971" s="250" t="s">
        <v>891</v>
      </c>
    </row>
    <row r="972" spans="1:14" ht="16.5">
      <c r="A972" s="250" t="s">
        <v>877</v>
      </c>
      <c r="B972" s="250" t="s">
        <v>892</v>
      </c>
      <c r="C972" s="251">
        <v>3.9236111111111112E-3</v>
      </c>
      <c r="D972" s="250" t="s">
        <v>893</v>
      </c>
      <c r="E972" s="250" t="s">
        <v>154</v>
      </c>
      <c r="F972" s="250" t="s">
        <v>247</v>
      </c>
      <c r="G972" s="407" t="s">
        <v>894</v>
      </c>
      <c r="H972" s="250" t="s">
        <v>157</v>
      </c>
      <c r="I972" s="250" t="s">
        <v>158</v>
      </c>
      <c r="J972" s="250" t="s">
        <v>168</v>
      </c>
      <c r="K972" s="250" t="s">
        <v>169</v>
      </c>
      <c r="L972" s="250" t="s">
        <v>161</v>
      </c>
      <c r="M972" s="250" t="s">
        <v>162</v>
      </c>
      <c r="N972" s="250" t="s">
        <v>895</v>
      </c>
    </row>
    <row r="973" spans="1:14" ht="16.5">
      <c r="A973" s="250" t="s">
        <v>877</v>
      </c>
      <c r="B973" s="250" t="s">
        <v>896</v>
      </c>
      <c r="C973" s="251">
        <v>2.3148148148148147E-5</v>
      </c>
      <c r="D973" s="250" t="s">
        <v>897</v>
      </c>
      <c r="E973" s="250" t="s">
        <v>154</v>
      </c>
      <c r="F973" s="250" t="s">
        <v>898</v>
      </c>
      <c r="G973" s="407" t="s">
        <v>899</v>
      </c>
      <c r="H973" s="250" t="s">
        <v>157</v>
      </c>
      <c r="I973" s="250" t="s">
        <v>158</v>
      </c>
      <c r="J973" s="250" t="s">
        <v>168</v>
      </c>
      <c r="K973" s="250" t="s">
        <v>169</v>
      </c>
      <c r="L973" s="250" t="s">
        <v>161</v>
      </c>
      <c r="M973" s="250" t="s">
        <v>162</v>
      </c>
      <c r="N973" s="250" t="s">
        <v>900</v>
      </c>
    </row>
    <row r="974" spans="1:14" ht="16.5">
      <c r="A974" s="250" t="s">
        <v>877</v>
      </c>
      <c r="B974" s="250" t="s">
        <v>901</v>
      </c>
      <c r="C974" s="251">
        <v>9.4907407407407408E-4</v>
      </c>
      <c r="D974" s="250" t="s">
        <v>902</v>
      </c>
      <c r="E974" s="250" t="s">
        <v>154</v>
      </c>
      <c r="F974" s="250" t="s">
        <v>898</v>
      </c>
      <c r="G974" s="407" t="s">
        <v>881</v>
      </c>
      <c r="H974" s="250" t="s">
        <v>157</v>
      </c>
      <c r="I974" s="250" t="s">
        <v>158</v>
      </c>
      <c r="J974" s="250" t="s">
        <v>168</v>
      </c>
      <c r="K974" s="250" t="s">
        <v>169</v>
      </c>
      <c r="L974" s="250" t="s">
        <v>161</v>
      </c>
      <c r="M974" s="250" t="s">
        <v>162</v>
      </c>
      <c r="N974" s="250" t="s">
        <v>903</v>
      </c>
    </row>
    <row r="975" spans="1:14" ht="16.5">
      <c r="A975" s="250" t="s">
        <v>877</v>
      </c>
      <c r="B975" s="250" t="s">
        <v>904</v>
      </c>
      <c r="C975" s="251">
        <v>6.5972222222222213E-4</v>
      </c>
      <c r="D975" s="250" t="s">
        <v>905</v>
      </c>
      <c r="E975" s="250" t="s">
        <v>154</v>
      </c>
      <c r="F975" s="250" t="s">
        <v>906</v>
      </c>
      <c r="G975" s="407" t="s">
        <v>907</v>
      </c>
      <c r="H975" s="250" t="s">
        <v>157</v>
      </c>
      <c r="I975" s="250" t="s">
        <v>197</v>
      </c>
      <c r="J975" s="250" t="s">
        <v>198</v>
      </c>
      <c r="K975" s="250" t="s">
        <v>160</v>
      </c>
      <c r="L975" s="250" t="s">
        <v>161</v>
      </c>
      <c r="M975" s="250" t="s">
        <v>162</v>
      </c>
      <c r="N975" s="250" t="s">
        <v>908</v>
      </c>
    </row>
    <row r="976" spans="1:14" ht="16.5">
      <c r="A976" s="250" t="s">
        <v>877</v>
      </c>
      <c r="B976" s="250" t="s">
        <v>909</v>
      </c>
      <c r="C976" s="251">
        <v>1.2268518518518518E-3</v>
      </c>
      <c r="D976" s="250" t="s">
        <v>910</v>
      </c>
      <c r="E976" s="250" t="s">
        <v>154</v>
      </c>
      <c r="F976" s="250" t="s">
        <v>911</v>
      </c>
      <c r="G976" s="407" t="s">
        <v>907</v>
      </c>
      <c r="H976" s="250" t="s">
        <v>157</v>
      </c>
      <c r="I976" s="250" t="s">
        <v>197</v>
      </c>
      <c r="J976" s="250" t="s">
        <v>198</v>
      </c>
      <c r="K976" s="250" t="s">
        <v>160</v>
      </c>
      <c r="L976" s="250" t="s">
        <v>161</v>
      </c>
      <c r="M976" s="250" t="s">
        <v>162</v>
      </c>
      <c r="N976" s="250" t="s">
        <v>912</v>
      </c>
    </row>
    <row r="977" spans="1:14" ht="16.5">
      <c r="A977" s="250" t="s">
        <v>877</v>
      </c>
      <c r="B977" s="250" t="s">
        <v>913</v>
      </c>
      <c r="C977" s="251">
        <v>6.9444444444444447E-4</v>
      </c>
      <c r="D977" s="250" t="s">
        <v>914</v>
      </c>
      <c r="E977" s="250" t="s">
        <v>154</v>
      </c>
      <c r="F977" s="250" t="s">
        <v>911</v>
      </c>
      <c r="G977" s="407" t="s">
        <v>915</v>
      </c>
      <c r="H977" s="250" t="s">
        <v>157</v>
      </c>
      <c r="I977" s="250" t="s">
        <v>197</v>
      </c>
      <c r="J977" s="250" t="s">
        <v>198</v>
      </c>
      <c r="K977" s="250" t="s">
        <v>160</v>
      </c>
      <c r="L977" s="250" t="s">
        <v>161</v>
      </c>
      <c r="M977" s="250" t="s">
        <v>162</v>
      </c>
      <c r="N977" s="250" t="s">
        <v>916</v>
      </c>
    </row>
    <row r="978" spans="1:14" ht="16.5">
      <c r="A978" s="250" t="s">
        <v>877</v>
      </c>
      <c r="B978" s="250" t="s">
        <v>917</v>
      </c>
      <c r="C978" s="251">
        <v>9.2592592592592588E-5</v>
      </c>
      <c r="D978" s="250" t="s">
        <v>918</v>
      </c>
      <c r="E978" s="250" t="s">
        <v>154</v>
      </c>
      <c r="F978" s="250" t="s">
        <v>453</v>
      </c>
      <c r="G978" s="407" t="s">
        <v>454</v>
      </c>
      <c r="H978" s="250" t="s">
        <v>157</v>
      </c>
      <c r="I978" s="250" t="s">
        <v>158</v>
      </c>
      <c r="J978" s="250" t="s">
        <v>168</v>
      </c>
      <c r="K978" s="250" t="s">
        <v>169</v>
      </c>
      <c r="L978" s="250" t="s">
        <v>161</v>
      </c>
      <c r="M978" s="250" t="s">
        <v>162</v>
      </c>
      <c r="N978" s="250" t="s">
        <v>919</v>
      </c>
    </row>
    <row r="979" spans="1:14" ht="16.5">
      <c r="A979" s="250" t="s">
        <v>877</v>
      </c>
      <c r="B979" s="250" t="s">
        <v>920</v>
      </c>
      <c r="C979" s="251">
        <v>4.9768518518518521E-4</v>
      </c>
      <c r="D979" s="250" t="s">
        <v>921</v>
      </c>
      <c r="E979" s="250" t="s">
        <v>154</v>
      </c>
      <c r="F979" s="250" t="s">
        <v>463</v>
      </c>
      <c r="G979" s="407" t="s">
        <v>464</v>
      </c>
      <c r="H979" s="250" t="s">
        <v>157</v>
      </c>
      <c r="I979" s="250" t="s">
        <v>158</v>
      </c>
      <c r="J979" s="250" t="s">
        <v>168</v>
      </c>
      <c r="K979" s="250" t="s">
        <v>169</v>
      </c>
      <c r="L979" s="250" t="s">
        <v>161</v>
      </c>
      <c r="M979" s="250" t="s">
        <v>162</v>
      </c>
      <c r="N979" s="250" t="s">
        <v>922</v>
      </c>
    </row>
    <row r="980" spans="1:14" ht="16.5">
      <c r="A980" s="250" t="s">
        <v>877</v>
      </c>
      <c r="B980" s="250" t="s">
        <v>923</v>
      </c>
      <c r="C980" s="251">
        <v>1.3657407407407409E-3</v>
      </c>
      <c r="D980" s="250" t="s">
        <v>924</v>
      </c>
      <c r="E980" s="250" t="s">
        <v>154</v>
      </c>
      <c r="F980" s="250" t="s">
        <v>485</v>
      </c>
      <c r="G980" s="407" t="s">
        <v>486</v>
      </c>
      <c r="H980" s="250" t="s">
        <v>157</v>
      </c>
      <c r="I980" s="250" t="s">
        <v>197</v>
      </c>
      <c r="J980" s="250" t="s">
        <v>198</v>
      </c>
      <c r="K980" s="250" t="s">
        <v>160</v>
      </c>
      <c r="L980" s="250" t="s">
        <v>161</v>
      </c>
      <c r="M980" s="250" t="s">
        <v>162</v>
      </c>
      <c r="N980" s="250" t="s">
        <v>925</v>
      </c>
    </row>
    <row r="981" spans="1:14" ht="16.5">
      <c r="A981" s="250" t="s">
        <v>877</v>
      </c>
      <c r="B981" s="250" t="s">
        <v>926</v>
      </c>
      <c r="C981" s="251">
        <v>9.9537037037037042E-4</v>
      </c>
      <c r="D981" s="250" t="s">
        <v>927</v>
      </c>
      <c r="E981" s="250" t="s">
        <v>154</v>
      </c>
      <c r="F981" s="250" t="s">
        <v>485</v>
      </c>
      <c r="G981" s="407" t="s">
        <v>486</v>
      </c>
      <c r="H981" s="250" t="s">
        <v>157</v>
      </c>
      <c r="I981" s="250" t="s">
        <v>197</v>
      </c>
      <c r="J981" s="250" t="s">
        <v>198</v>
      </c>
      <c r="K981" s="250" t="s">
        <v>160</v>
      </c>
      <c r="L981" s="250" t="s">
        <v>161</v>
      </c>
      <c r="M981" s="250" t="s">
        <v>162</v>
      </c>
      <c r="N981" s="250" t="s">
        <v>928</v>
      </c>
    </row>
    <row r="982" spans="1:14" ht="16.5">
      <c r="A982" s="250" t="s">
        <v>877</v>
      </c>
      <c r="B982" s="250" t="s">
        <v>929</v>
      </c>
      <c r="C982" s="251">
        <v>2.1874999999999998E-3</v>
      </c>
      <c r="D982" s="250" t="s">
        <v>930</v>
      </c>
      <c r="E982" s="250" t="s">
        <v>154</v>
      </c>
      <c r="F982" s="250" t="s">
        <v>931</v>
      </c>
      <c r="G982" s="407" t="s">
        <v>665</v>
      </c>
      <c r="H982" s="250" t="s">
        <v>157</v>
      </c>
      <c r="I982" s="250" t="s">
        <v>158</v>
      </c>
      <c r="J982" s="250" t="s">
        <v>212</v>
      </c>
      <c r="K982" s="250" t="s">
        <v>160</v>
      </c>
      <c r="L982" s="250" t="s">
        <v>161</v>
      </c>
      <c r="M982" s="250" t="s">
        <v>162</v>
      </c>
      <c r="N982" s="250" t="s">
        <v>932</v>
      </c>
    </row>
    <row r="983" spans="1:14" ht="16.5">
      <c r="A983" s="250" t="s">
        <v>877</v>
      </c>
      <c r="B983" s="250" t="s">
        <v>933</v>
      </c>
      <c r="C983" s="251">
        <v>1.7939814814814815E-3</v>
      </c>
      <c r="D983" s="250" t="s">
        <v>934</v>
      </c>
      <c r="E983" s="250" t="s">
        <v>154</v>
      </c>
      <c r="F983" s="250" t="s">
        <v>580</v>
      </c>
      <c r="G983" s="407" t="s">
        <v>576</v>
      </c>
      <c r="H983" s="250" t="s">
        <v>157</v>
      </c>
      <c r="I983" s="250" t="s">
        <v>158</v>
      </c>
      <c r="J983" s="250" t="s">
        <v>212</v>
      </c>
      <c r="K983" s="250" t="s">
        <v>160</v>
      </c>
      <c r="L983" s="250" t="s">
        <v>161</v>
      </c>
      <c r="M983" s="250" t="s">
        <v>162</v>
      </c>
      <c r="N983" s="250" t="s">
        <v>935</v>
      </c>
    </row>
    <row r="984" spans="1:14" ht="16.5">
      <c r="A984" s="250" t="s">
        <v>877</v>
      </c>
      <c r="B984" s="250" t="s">
        <v>936</v>
      </c>
      <c r="C984" s="251">
        <v>1.0532407407407407E-3</v>
      </c>
      <c r="D984" s="250" t="s">
        <v>937</v>
      </c>
      <c r="E984" s="250" t="s">
        <v>154</v>
      </c>
      <c r="F984" s="250" t="s">
        <v>664</v>
      </c>
      <c r="G984" s="407" t="s">
        <v>938</v>
      </c>
      <c r="H984" s="250" t="s">
        <v>157</v>
      </c>
      <c r="I984" s="250" t="s">
        <v>158</v>
      </c>
      <c r="J984" s="250" t="s">
        <v>212</v>
      </c>
      <c r="K984" s="250" t="s">
        <v>160</v>
      </c>
      <c r="L984" s="250" t="s">
        <v>161</v>
      </c>
      <c r="M984" s="250" t="s">
        <v>162</v>
      </c>
      <c r="N984" s="250" t="s">
        <v>939</v>
      </c>
    </row>
    <row r="985" spans="1:14" ht="16.5">
      <c r="A985" s="250" t="s">
        <v>877</v>
      </c>
      <c r="B985" s="250" t="s">
        <v>940</v>
      </c>
      <c r="C985" s="251">
        <v>3.7037037037037035E-4</v>
      </c>
      <c r="D985" s="250" t="s">
        <v>941</v>
      </c>
      <c r="E985" s="250" t="s">
        <v>154</v>
      </c>
      <c r="F985" s="250" t="s">
        <v>445</v>
      </c>
      <c r="G985" s="407" t="s">
        <v>942</v>
      </c>
      <c r="H985" s="250" t="s">
        <v>157</v>
      </c>
      <c r="I985" s="250" t="s">
        <v>158</v>
      </c>
      <c r="J985" s="250" t="s">
        <v>159</v>
      </c>
      <c r="K985" s="250" t="s">
        <v>169</v>
      </c>
      <c r="L985" s="250" t="s">
        <v>161</v>
      </c>
      <c r="M985" s="250" t="s">
        <v>162</v>
      </c>
      <c r="N985" s="250" t="s">
        <v>943</v>
      </c>
    </row>
    <row r="986" spans="1:14" ht="16.5">
      <c r="A986" s="250" t="s">
        <v>877</v>
      </c>
      <c r="B986" s="250" t="s">
        <v>944</v>
      </c>
      <c r="C986" s="251">
        <v>2.673611111111111E-3</v>
      </c>
      <c r="D986" s="250" t="s">
        <v>945</v>
      </c>
      <c r="E986" s="250" t="s">
        <v>154</v>
      </c>
      <c r="F986" s="250" t="s">
        <v>675</v>
      </c>
      <c r="G986" s="407" t="s">
        <v>676</v>
      </c>
      <c r="H986" s="250" t="s">
        <v>157</v>
      </c>
      <c r="I986" s="250" t="s">
        <v>158</v>
      </c>
      <c r="J986" s="250" t="s">
        <v>212</v>
      </c>
      <c r="K986" s="250" t="s">
        <v>160</v>
      </c>
      <c r="L986" s="250" t="s">
        <v>161</v>
      </c>
      <c r="M986" s="250" t="s">
        <v>162</v>
      </c>
      <c r="N986" s="250" t="s">
        <v>946</v>
      </c>
    </row>
    <row r="987" spans="1:14" ht="16.5">
      <c r="A987" s="250" t="s">
        <v>877</v>
      </c>
      <c r="B987" s="250" t="s">
        <v>947</v>
      </c>
      <c r="C987" s="251">
        <v>4.6296296296296294E-5</v>
      </c>
      <c r="D987" s="250" t="s">
        <v>948</v>
      </c>
      <c r="E987" s="250" t="s">
        <v>154</v>
      </c>
      <c r="F987" s="250" t="s">
        <v>949</v>
      </c>
      <c r="G987" s="407" t="s">
        <v>156</v>
      </c>
      <c r="H987" s="250" t="s">
        <v>157</v>
      </c>
      <c r="I987" s="250" t="s">
        <v>197</v>
      </c>
      <c r="J987" s="250" t="s">
        <v>297</v>
      </c>
      <c r="K987" s="250" t="s">
        <v>950</v>
      </c>
      <c r="L987" s="250" t="s">
        <v>951</v>
      </c>
      <c r="M987" s="250" t="s">
        <v>952</v>
      </c>
      <c r="N987" s="250" t="s">
        <v>949</v>
      </c>
    </row>
    <row r="988" spans="1:14" ht="16.5">
      <c r="A988" s="250" t="s">
        <v>573</v>
      </c>
      <c r="B988" s="250" t="s">
        <v>574</v>
      </c>
      <c r="C988" s="251">
        <v>2.3032407407407407E-3</v>
      </c>
      <c r="D988" s="250" t="s">
        <v>575</v>
      </c>
      <c r="E988" s="250" t="s">
        <v>154</v>
      </c>
      <c r="F988" s="250" t="s">
        <v>210</v>
      </c>
      <c r="G988" s="407" t="s">
        <v>576</v>
      </c>
      <c r="H988" s="250" t="s">
        <v>157</v>
      </c>
      <c r="I988" s="250" t="s">
        <v>158</v>
      </c>
      <c r="J988" s="250" t="s">
        <v>212</v>
      </c>
      <c r="K988" s="250" t="s">
        <v>160</v>
      </c>
      <c r="L988" s="250" t="s">
        <v>161</v>
      </c>
      <c r="M988" s="250" t="s">
        <v>162</v>
      </c>
      <c r="N988" s="250" t="s">
        <v>577</v>
      </c>
    </row>
    <row r="989" spans="1:14" ht="16.5">
      <c r="A989" s="250" t="s">
        <v>573</v>
      </c>
      <c r="B989" s="250" t="s">
        <v>578</v>
      </c>
      <c r="C989" s="251">
        <v>5.0925925925925921E-4</v>
      </c>
      <c r="D989" s="250" t="s">
        <v>579</v>
      </c>
      <c r="E989" s="250" t="s">
        <v>154</v>
      </c>
      <c r="F989" s="250" t="s">
        <v>580</v>
      </c>
      <c r="G989" s="407" t="s">
        <v>581</v>
      </c>
      <c r="H989" s="250" t="s">
        <v>157</v>
      </c>
      <c r="I989" s="250" t="s">
        <v>158</v>
      </c>
      <c r="J989" s="250" t="s">
        <v>159</v>
      </c>
      <c r="K989" s="250" t="s">
        <v>160</v>
      </c>
      <c r="L989" s="250" t="s">
        <v>161</v>
      </c>
      <c r="M989" s="250" t="s">
        <v>162</v>
      </c>
      <c r="N989" s="250" t="s">
        <v>582</v>
      </c>
    </row>
    <row r="990" spans="1:14" ht="16.5">
      <c r="A990" s="250" t="s">
        <v>573</v>
      </c>
      <c r="B990" s="250" t="s">
        <v>583</v>
      </c>
      <c r="C990" s="251">
        <v>1.8518518518518517E-3</v>
      </c>
      <c r="D990" s="250" t="s">
        <v>584</v>
      </c>
      <c r="E990" s="250" t="s">
        <v>154</v>
      </c>
      <c r="F990" s="250" t="s">
        <v>585</v>
      </c>
      <c r="G990" s="407" t="s">
        <v>586</v>
      </c>
      <c r="H990" s="250" t="s">
        <v>157</v>
      </c>
      <c r="I990" s="250" t="s">
        <v>158</v>
      </c>
      <c r="J990" s="250" t="s">
        <v>212</v>
      </c>
      <c r="K990" s="250" t="s">
        <v>160</v>
      </c>
      <c r="L990" s="250" t="s">
        <v>161</v>
      </c>
      <c r="M990" s="250" t="s">
        <v>162</v>
      </c>
      <c r="N990" s="250" t="s">
        <v>587</v>
      </c>
    </row>
    <row r="991" spans="1:14" ht="16.5">
      <c r="A991" s="250" t="s">
        <v>573</v>
      </c>
      <c r="B991" s="250" t="s">
        <v>588</v>
      </c>
      <c r="C991" s="251">
        <v>2.0370370370370373E-3</v>
      </c>
      <c r="D991" s="250" t="s">
        <v>589</v>
      </c>
      <c r="E991" s="250" t="s">
        <v>154</v>
      </c>
      <c r="F991" s="250" t="s">
        <v>580</v>
      </c>
      <c r="G991" s="407" t="s">
        <v>581</v>
      </c>
      <c r="H991" s="250" t="s">
        <v>157</v>
      </c>
      <c r="I991" s="250" t="s">
        <v>158</v>
      </c>
      <c r="J991" s="250" t="s">
        <v>168</v>
      </c>
      <c r="K991" s="250" t="s">
        <v>160</v>
      </c>
      <c r="L991" s="250" t="s">
        <v>161</v>
      </c>
      <c r="M991" s="250" t="s">
        <v>162</v>
      </c>
      <c r="N991" s="250" t="s">
        <v>590</v>
      </c>
    </row>
    <row r="992" spans="1:14" ht="16.5">
      <c r="A992" s="250" t="s">
        <v>573</v>
      </c>
      <c r="B992" s="250" t="s">
        <v>591</v>
      </c>
      <c r="C992" s="251">
        <v>7.291666666666667E-4</v>
      </c>
      <c r="D992" s="250" t="s">
        <v>592</v>
      </c>
      <c r="E992" s="250" t="s">
        <v>154</v>
      </c>
      <c r="F992" s="250" t="s">
        <v>593</v>
      </c>
      <c r="G992" s="407" t="s">
        <v>594</v>
      </c>
      <c r="H992" s="250" t="s">
        <v>157</v>
      </c>
      <c r="I992" s="250" t="s">
        <v>158</v>
      </c>
      <c r="J992" s="250" t="s">
        <v>159</v>
      </c>
      <c r="K992" s="250" t="s">
        <v>169</v>
      </c>
      <c r="L992" s="250" t="s">
        <v>161</v>
      </c>
      <c r="M992" s="250" t="s">
        <v>162</v>
      </c>
      <c r="N992" s="250" t="s">
        <v>595</v>
      </c>
    </row>
    <row r="993" spans="1:14" ht="16.5">
      <c r="A993" s="250" t="s">
        <v>573</v>
      </c>
      <c r="B993" s="250" t="s">
        <v>596</v>
      </c>
      <c r="C993" s="251">
        <v>2.5578703703703705E-3</v>
      </c>
      <c r="D993" s="250" t="s">
        <v>597</v>
      </c>
      <c r="E993" s="250" t="s">
        <v>154</v>
      </c>
      <c r="F993" s="250" t="s">
        <v>593</v>
      </c>
      <c r="G993" s="407" t="s">
        <v>598</v>
      </c>
      <c r="H993" s="250" t="s">
        <v>157</v>
      </c>
      <c r="I993" s="250" t="s">
        <v>158</v>
      </c>
      <c r="J993" s="250" t="s">
        <v>168</v>
      </c>
      <c r="K993" s="250" t="s">
        <v>169</v>
      </c>
      <c r="L993" s="250" t="s">
        <v>161</v>
      </c>
      <c r="M993" s="250" t="s">
        <v>162</v>
      </c>
      <c r="N993" s="250" t="s">
        <v>599</v>
      </c>
    </row>
    <row r="994" spans="1:14" ht="16.5">
      <c r="A994" s="250" t="s">
        <v>573</v>
      </c>
      <c r="B994" s="250" t="s">
        <v>600</v>
      </c>
      <c r="C994" s="251">
        <v>2.5925925925925925E-3</v>
      </c>
      <c r="D994" s="250" t="s">
        <v>601</v>
      </c>
      <c r="E994" s="250" t="s">
        <v>154</v>
      </c>
      <c r="F994" s="250" t="s">
        <v>166</v>
      </c>
      <c r="G994" s="407" t="s">
        <v>602</v>
      </c>
      <c r="H994" s="250" t="s">
        <v>157</v>
      </c>
      <c r="I994" s="250" t="s">
        <v>158</v>
      </c>
      <c r="J994" s="250" t="s">
        <v>159</v>
      </c>
      <c r="K994" s="250" t="s">
        <v>169</v>
      </c>
      <c r="L994" s="250" t="s">
        <v>161</v>
      </c>
      <c r="M994" s="250" t="s">
        <v>162</v>
      </c>
      <c r="N994" s="250" t="s">
        <v>603</v>
      </c>
    </row>
    <row r="995" spans="1:14" ht="16.5">
      <c r="A995" s="250" t="s">
        <v>573</v>
      </c>
      <c r="B995" s="250" t="s">
        <v>604</v>
      </c>
      <c r="C995" s="251">
        <v>1.2962962962962963E-3</v>
      </c>
      <c r="D995" s="250" t="s">
        <v>605</v>
      </c>
      <c r="E995" s="250" t="s">
        <v>154</v>
      </c>
      <c r="F995" s="250" t="s">
        <v>606</v>
      </c>
      <c r="G995" s="407" t="s">
        <v>607</v>
      </c>
      <c r="H995" s="250" t="s">
        <v>157</v>
      </c>
      <c r="I995" s="250" t="s">
        <v>158</v>
      </c>
      <c r="J995" s="250" t="s">
        <v>159</v>
      </c>
      <c r="K995" s="250" t="s">
        <v>160</v>
      </c>
      <c r="L995" s="250" t="s">
        <v>161</v>
      </c>
      <c r="M995" s="250" t="s">
        <v>162</v>
      </c>
      <c r="N995" s="250" t="s">
        <v>608</v>
      </c>
    </row>
    <row r="996" spans="1:14" ht="16.5">
      <c r="A996" s="250" t="s">
        <v>573</v>
      </c>
      <c r="B996" s="250" t="s">
        <v>609</v>
      </c>
      <c r="C996" s="251">
        <v>2.0370370370370373E-3</v>
      </c>
      <c r="D996" s="250" t="s">
        <v>610</v>
      </c>
      <c r="E996" s="250" t="s">
        <v>154</v>
      </c>
      <c r="F996" s="250" t="s">
        <v>611</v>
      </c>
      <c r="G996" s="407" t="s">
        <v>612</v>
      </c>
      <c r="H996" s="250" t="s">
        <v>157</v>
      </c>
      <c r="I996" s="250" t="s">
        <v>158</v>
      </c>
      <c r="J996" s="250" t="s">
        <v>159</v>
      </c>
      <c r="K996" s="250" t="s">
        <v>160</v>
      </c>
      <c r="L996" s="250" t="s">
        <v>161</v>
      </c>
      <c r="M996" s="250" t="s">
        <v>162</v>
      </c>
      <c r="N996" s="250" t="s">
        <v>613</v>
      </c>
    </row>
    <row r="997" spans="1:14" ht="16.5">
      <c r="A997" s="250" t="s">
        <v>573</v>
      </c>
      <c r="B997" s="250" t="s">
        <v>614</v>
      </c>
      <c r="C997" s="251">
        <v>5.4861111111111117E-3</v>
      </c>
      <c r="D997" s="250" t="s">
        <v>615</v>
      </c>
      <c r="E997" s="250" t="s">
        <v>154</v>
      </c>
      <c r="F997" s="250" t="s">
        <v>501</v>
      </c>
      <c r="G997" s="407" t="s">
        <v>616</v>
      </c>
      <c r="H997" s="250" t="s">
        <v>157</v>
      </c>
      <c r="I997" s="250" t="s">
        <v>158</v>
      </c>
      <c r="J997" s="250" t="s">
        <v>159</v>
      </c>
      <c r="K997" s="250" t="s">
        <v>169</v>
      </c>
      <c r="L997" s="250" t="s">
        <v>161</v>
      </c>
      <c r="M997" s="250" t="s">
        <v>162</v>
      </c>
      <c r="N997" s="250" t="s">
        <v>617</v>
      </c>
    </row>
    <row r="998" spans="1:14" ht="16.5">
      <c r="A998" s="250" t="s">
        <v>573</v>
      </c>
      <c r="B998" s="250" t="s">
        <v>618</v>
      </c>
      <c r="C998" s="251">
        <v>1.7592592592592592E-3</v>
      </c>
      <c r="D998" s="250" t="s">
        <v>619</v>
      </c>
      <c r="E998" s="250" t="s">
        <v>154</v>
      </c>
      <c r="F998" s="250" t="s">
        <v>210</v>
      </c>
      <c r="G998" s="407" t="s">
        <v>620</v>
      </c>
      <c r="H998" s="250" t="s">
        <v>157</v>
      </c>
      <c r="I998" s="250" t="s">
        <v>158</v>
      </c>
      <c r="J998" s="250" t="s">
        <v>212</v>
      </c>
      <c r="K998" s="250" t="s">
        <v>160</v>
      </c>
      <c r="L998" s="250" t="s">
        <v>161</v>
      </c>
      <c r="M998" s="250" t="s">
        <v>162</v>
      </c>
      <c r="N998" s="250" t="s">
        <v>621</v>
      </c>
    </row>
    <row r="999" spans="1:14" ht="16.5">
      <c r="A999" s="250" t="s">
        <v>573</v>
      </c>
      <c r="B999" s="250" t="s">
        <v>622</v>
      </c>
      <c r="C999" s="251">
        <v>7.0601851851851847E-4</v>
      </c>
      <c r="D999" s="250" t="s">
        <v>623</v>
      </c>
      <c r="E999" s="250" t="s">
        <v>154</v>
      </c>
      <c r="F999" s="250" t="s">
        <v>624</v>
      </c>
      <c r="G999" s="407" t="s">
        <v>625</v>
      </c>
      <c r="H999" s="250" t="s">
        <v>157</v>
      </c>
      <c r="I999" s="250" t="s">
        <v>158</v>
      </c>
      <c r="J999" s="250" t="s">
        <v>191</v>
      </c>
      <c r="K999" s="250" t="s">
        <v>160</v>
      </c>
      <c r="L999" s="250" t="s">
        <v>161</v>
      </c>
      <c r="M999" s="250" t="s">
        <v>162</v>
      </c>
      <c r="N999" s="250" t="s">
        <v>626</v>
      </c>
    </row>
    <row r="1000" spans="1:14" ht="16.5">
      <c r="A1000" s="250" t="s">
        <v>573</v>
      </c>
      <c r="B1000" s="250" t="s">
        <v>627</v>
      </c>
      <c r="C1000" s="251">
        <v>4.8611111111111104E-4</v>
      </c>
      <c r="D1000" s="250" t="s">
        <v>628</v>
      </c>
      <c r="E1000" s="250" t="s">
        <v>154</v>
      </c>
      <c r="F1000" s="250" t="s">
        <v>501</v>
      </c>
      <c r="G1000" s="407" t="s">
        <v>502</v>
      </c>
      <c r="H1000" s="250" t="s">
        <v>157</v>
      </c>
      <c r="I1000" s="250" t="s">
        <v>158</v>
      </c>
      <c r="J1000" s="250" t="s">
        <v>159</v>
      </c>
      <c r="K1000" s="250" t="s">
        <v>169</v>
      </c>
      <c r="L1000" s="250" t="s">
        <v>161</v>
      </c>
      <c r="M1000" s="250" t="s">
        <v>162</v>
      </c>
      <c r="N1000" s="250" t="s">
        <v>629</v>
      </c>
    </row>
    <row r="1001" spans="1:14" ht="16.5">
      <c r="A1001" s="250" t="s">
        <v>573</v>
      </c>
      <c r="B1001" s="250" t="s">
        <v>630</v>
      </c>
      <c r="C1001" s="251">
        <v>1.2384259259259258E-3</v>
      </c>
      <c r="D1001" s="250" t="s">
        <v>631</v>
      </c>
      <c r="E1001" s="250" t="s">
        <v>154</v>
      </c>
      <c r="F1001" s="250" t="s">
        <v>632</v>
      </c>
      <c r="G1001" s="407" t="s">
        <v>625</v>
      </c>
      <c r="H1001" s="250" t="s">
        <v>157</v>
      </c>
      <c r="I1001" s="250" t="s">
        <v>158</v>
      </c>
      <c r="J1001" s="250" t="s">
        <v>168</v>
      </c>
      <c r="K1001" s="250" t="s">
        <v>160</v>
      </c>
      <c r="L1001" s="250" t="s">
        <v>161</v>
      </c>
      <c r="M1001" s="250" t="s">
        <v>162</v>
      </c>
      <c r="N1001" s="250" t="s">
        <v>633</v>
      </c>
    </row>
    <row r="1002" spans="1:14" ht="16.5">
      <c r="A1002" s="250" t="s">
        <v>573</v>
      </c>
      <c r="B1002" s="250" t="s">
        <v>634</v>
      </c>
      <c r="C1002" s="251">
        <v>1.3888888888888889E-3</v>
      </c>
      <c r="D1002" s="250" t="s">
        <v>635</v>
      </c>
      <c r="E1002" s="250" t="s">
        <v>154</v>
      </c>
      <c r="F1002" s="250" t="s">
        <v>636</v>
      </c>
      <c r="G1002" s="407" t="s">
        <v>637</v>
      </c>
      <c r="H1002" s="250" t="s">
        <v>157</v>
      </c>
      <c r="I1002" s="250" t="s">
        <v>197</v>
      </c>
      <c r="J1002" s="250" t="s">
        <v>198</v>
      </c>
      <c r="K1002" s="250" t="s">
        <v>169</v>
      </c>
      <c r="L1002" s="250" t="s">
        <v>161</v>
      </c>
      <c r="M1002" s="250" t="s">
        <v>162</v>
      </c>
      <c r="N1002" s="250" t="s">
        <v>638</v>
      </c>
    </row>
    <row r="1003" spans="1:14" ht="16.5">
      <c r="A1003" s="250" t="s">
        <v>573</v>
      </c>
      <c r="B1003" s="250" t="s">
        <v>650</v>
      </c>
      <c r="C1003" s="251">
        <v>1.3541666666666667E-3</v>
      </c>
      <c r="D1003" s="250" t="s">
        <v>651</v>
      </c>
      <c r="E1003" s="250" t="s">
        <v>154</v>
      </c>
      <c r="F1003" s="250" t="s">
        <v>652</v>
      </c>
      <c r="G1003" s="407" t="s">
        <v>653</v>
      </c>
      <c r="H1003" s="250" t="s">
        <v>157</v>
      </c>
      <c r="I1003" s="250" t="s">
        <v>197</v>
      </c>
      <c r="J1003" s="250" t="s">
        <v>198</v>
      </c>
      <c r="K1003" s="250" t="s">
        <v>95</v>
      </c>
      <c r="L1003" s="250" t="s">
        <v>161</v>
      </c>
      <c r="M1003" s="250" t="s">
        <v>162</v>
      </c>
      <c r="N1003" s="250" t="s">
        <v>654</v>
      </c>
    </row>
    <row r="1004" spans="1:14" ht="16.5">
      <c r="A1004" s="250" t="s">
        <v>573</v>
      </c>
      <c r="B1004" s="250" t="s">
        <v>655</v>
      </c>
      <c r="C1004" s="251">
        <v>1.0763888888888889E-3</v>
      </c>
      <c r="D1004" s="250" t="s">
        <v>656</v>
      </c>
      <c r="E1004" s="250" t="s">
        <v>154</v>
      </c>
      <c r="F1004" s="250" t="s">
        <v>657</v>
      </c>
      <c r="G1004" s="407" t="s">
        <v>653</v>
      </c>
      <c r="H1004" s="250" t="s">
        <v>157</v>
      </c>
      <c r="I1004" s="250" t="s">
        <v>197</v>
      </c>
      <c r="J1004" s="250" t="s">
        <v>198</v>
      </c>
      <c r="K1004" s="250" t="s">
        <v>95</v>
      </c>
      <c r="L1004" s="250" t="s">
        <v>161</v>
      </c>
      <c r="M1004" s="250" t="s">
        <v>162</v>
      </c>
      <c r="N1004" s="250" t="s">
        <v>658</v>
      </c>
    </row>
    <row r="1005" spans="1:14" ht="16.5">
      <c r="A1005" s="250" t="s">
        <v>573</v>
      </c>
      <c r="B1005" s="250" t="s">
        <v>659</v>
      </c>
      <c r="C1005" s="251">
        <v>8.1018518518518516E-5</v>
      </c>
      <c r="D1005" s="250" t="s">
        <v>660</v>
      </c>
      <c r="E1005" s="250" t="s">
        <v>154</v>
      </c>
      <c r="F1005" s="250" t="s">
        <v>636</v>
      </c>
      <c r="G1005" s="407" t="s">
        <v>637</v>
      </c>
      <c r="H1005" s="250" t="s">
        <v>157</v>
      </c>
      <c r="I1005" s="250" t="s">
        <v>158</v>
      </c>
      <c r="J1005" s="250" t="s">
        <v>168</v>
      </c>
      <c r="K1005" s="250" t="s">
        <v>169</v>
      </c>
      <c r="L1005" s="250" t="s">
        <v>161</v>
      </c>
      <c r="M1005" s="250" t="s">
        <v>162</v>
      </c>
      <c r="N1005" s="250" t="s">
        <v>661</v>
      </c>
    </row>
    <row r="1006" spans="1:14" ht="16.5">
      <c r="A1006" s="250" t="s">
        <v>573</v>
      </c>
      <c r="B1006" s="250" t="s">
        <v>662</v>
      </c>
      <c r="C1006" s="251">
        <v>2.7083333333333334E-3</v>
      </c>
      <c r="D1006" s="250" t="s">
        <v>663</v>
      </c>
      <c r="E1006" s="250" t="s">
        <v>154</v>
      </c>
      <c r="F1006" s="250" t="s">
        <v>664</v>
      </c>
      <c r="G1006" s="407" t="s">
        <v>665</v>
      </c>
      <c r="H1006" s="250" t="s">
        <v>157</v>
      </c>
      <c r="I1006" s="250" t="s">
        <v>158</v>
      </c>
      <c r="J1006" s="250" t="s">
        <v>159</v>
      </c>
      <c r="K1006" s="250" t="s">
        <v>160</v>
      </c>
      <c r="L1006" s="250" t="s">
        <v>161</v>
      </c>
      <c r="M1006" s="250" t="s">
        <v>162</v>
      </c>
      <c r="N1006" s="250" t="s">
        <v>666</v>
      </c>
    </row>
    <row r="1007" spans="1:14" ht="16.5">
      <c r="A1007" s="250" t="s">
        <v>573</v>
      </c>
      <c r="B1007" s="250" t="s">
        <v>667</v>
      </c>
      <c r="C1007" s="251">
        <v>5.0925925925925921E-4</v>
      </c>
      <c r="D1007" s="250" t="s">
        <v>668</v>
      </c>
      <c r="E1007" s="250" t="s">
        <v>154</v>
      </c>
      <c r="F1007" s="250" t="s">
        <v>652</v>
      </c>
      <c r="G1007" s="407" t="s">
        <v>477</v>
      </c>
      <c r="H1007" s="250" t="s">
        <v>157</v>
      </c>
      <c r="I1007" s="250" t="s">
        <v>197</v>
      </c>
      <c r="J1007" s="250" t="s">
        <v>198</v>
      </c>
      <c r="K1007" s="250" t="s">
        <v>95</v>
      </c>
      <c r="L1007" s="250" t="s">
        <v>161</v>
      </c>
      <c r="M1007" s="250" t="s">
        <v>162</v>
      </c>
      <c r="N1007" s="250" t="s">
        <v>669</v>
      </c>
    </row>
    <row r="1008" spans="1:14" ht="16.5">
      <c r="A1008" s="250" t="s">
        <v>573</v>
      </c>
      <c r="B1008" s="250" t="s">
        <v>670</v>
      </c>
      <c r="C1008" s="251">
        <v>5.7870370370370378E-4</v>
      </c>
      <c r="D1008" s="250" t="s">
        <v>671</v>
      </c>
      <c r="E1008" s="250" t="s">
        <v>154</v>
      </c>
      <c r="F1008" s="250" t="s">
        <v>624</v>
      </c>
      <c r="G1008" s="407" t="s">
        <v>625</v>
      </c>
      <c r="H1008" s="250" t="s">
        <v>157</v>
      </c>
      <c r="I1008" s="250" t="s">
        <v>158</v>
      </c>
      <c r="J1008" s="250" t="s">
        <v>159</v>
      </c>
      <c r="K1008" s="250" t="s">
        <v>160</v>
      </c>
      <c r="L1008" s="250" t="s">
        <v>161</v>
      </c>
      <c r="M1008" s="250" t="s">
        <v>162</v>
      </c>
      <c r="N1008" s="250" t="s">
        <v>672</v>
      </c>
    </row>
    <row r="1009" spans="1:14" ht="16.5">
      <c r="A1009" s="250" t="s">
        <v>573</v>
      </c>
      <c r="B1009" s="250" t="s">
        <v>673</v>
      </c>
      <c r="C1009" s="251">
        <v>8.564814814814815E-4</v>
      </c>
      <c r="D1009" s="250" t="s">
        <v>674</v>
      </c>
      <c r="E1009" s="250" t="s">
        <v>154</v>
      </c>
      <c r="F1009" s="250" t="s">
        <v>675</v>
      </c>
      <c r="G1009" s="407" t="s">
        <v>676</v>
      </c>
      <c r="H1009" s="250" t="s">
        <v>157</v>
      </c>
      <c r="I1009" s="250" t="s">
        <v>158</v>
      </c>
      <c r="J1009" s="250" t="s">
        <v>212</v>
      </c>
      <c r="K1009" s="250" t="s">
        <v>160</v>
      </c>
      <c r="L1009" s="250" t="s">
        <v>161</v>
      </c>
      <c r="M1009" s="250" t="s">
        <v>162</v>
      </c>
      <c r="N1009" s="250" t="s">
        <v>677</v>
      </c>
    </row>
    <row r="1010" spans="1:14" ht="16.5">
      <c r="A1010" s="250" t="s">
        <v>573</v>
      </c>
      <c r="B1010" s="250" t="s">
        <v>678</v>
      </c>
      <c r="C1010" s="251">
        <v>1.3888888888888889E-4</v>
      </c>
      <c r="D1010" s="250" t="s">
        <v>679</v>
      </c>
      <c r="E1010" s="250" t="s">
        <v>154</v>
      </c>
      <c r="F1010" s="250" t="s">
        <v>453</v>
      </c>
      <c r="G1010" s="407" t="s">
        <v>454</v>
      </c>
      <c r="H1010" s="250" t="s">
        <v>157</v>
      </c>
      <c r="I1010" s="250" t="s">
        <v>158</v>
      </c>
      <c r="J1010" s="250" t="s">
        <v>168</v>
      </c>
      <c r="K1010" s="250" t="s">
        <v>169</v>
      </c>
      <c r="L1010" s="250" t="s">
        <v>161</v>
      </c>
      <c r="M1010" s="250" t="s">
        <v>162</v>
      </c>
      <c r="N1010" s="250" t="s">
        <v>680</v>
      </c>
    </row>
    <row r="1011" spans="1:14" ht="16.5">
      <c r="A1011" s="250" t="s">
        <v>573</v>
      </c>
      <c r="B1011" s="250" t="s">
        <v>681</v>
      </c>
      <c r="C1011" s="251">
        <v>3.2407407407407406E-4</v>
      </c>
      <c r="D1011" s="250" t="s">
        <v>682</v>
      </c>
      <c r="E1011" s="250" t="s">
        <v>154</v>
      </c>
      <c r="F1011" s="250" t="s">
        <v>675</v>
      </c>
      <c r="G1011" s="407" t="s">
        <v>683</v>
      </c>
      <c r="H1011" s="250" t="s">
        <v>157</v>
      </c>
      <c r="I1011" s="250" t="s">
        <v>158</v>
      </c>
      <c r="J1011" s="250" t="s">
        <v>212</v>
      </c>
      <c r="K1011" s="250" t="s">
        <v>160</v>
      </c>
      <c r="L1011" s="250" t="s">
        <v>161</v>
      </c>
      <c r="M1011" s="250" t="s">
        <v>162</v>
      </c>
      <c r="N1011" s="250" t="s">
        <v>684</v>
      </c>
    </row>
    <row r="1012" spans="1:14" ht="16.5">
      <c r="A1012" s="250" t="s">
        <v>573</v>
      </c>
      <c r="B1012" s="250" t="s">
        <v>685</v>
      </c>
      <c r="C1012" s="251">
        <v>1.9675925925925926E-4</v>
      </c>
      <c r="D1012" s="250" t="s">
        <v>686</v>
      </c>
      <c r="E1012" s="250" t="s">
        <v>154</v>
      </c>
      <c r="F1012" s="250" t="s">
        <v>593</v>
      </c>
      <c r="G1012" s="407" t="s">
        <v>598</v>
      </c>
      <c r="H1012" s="250" t="s">
        <v>157</v>
      </c>
      <c r="I1012" s="250" t="s">
        <v>158</v>
      </c>
      <c r="J1012" s="250" t="s">
        <v>168</v>
      </c>
      <c r="K1012" s="250" t="s">
        <v>169</v>
      </c>
      <c r="L1012" s="250" t="s">
        <v>161</v>
      </c>
      <c r="M1012" s="250" t="s">
        <v>162</v>
      </c>
      <c r="N1012" s="250" t="s">
        <v>687</v>
      </c>
    </row>
    <row r="1013" spans="1:14" ht="16.5">
      <c r="A1013" s="250" t="s">
        <v>573</v>
      </c>
      <c r="B1013" s="250" t="s">
        <v>688</v>
      </c>
      <c r="C1013" s="251">
        <v>2.0486111111111113E-3</v>
      </c>
      <c r="D1013" s="250" t="s">
        <v>689</v>
      </c>
      <c r="E1013" s="250" t="s">
        <v>154</v>
      </c>
      <c r="F1013" s="250" t="s">
        <v>445</v>
      </c>
      <c r="G1013" s="407" t="s">
        <v>446</v>
      </c>
      <c r="H1013" s="250" t="s">
        <v>157</v>
      </c>
      <c r="I1013" s="250" t="s">
        <v>158</v>
      </c>
      <c r="J1013" s="250" t="s">
        <v>159</v>
      </c>
      <c r="K1013" s="250" t="s">
        <v>160</v>
      </c>
      <c r="L1013" s="250" t="s">
        <v>161</v>
      </c>
      <c r="M1013" s="250" t="s">
        <v>162</v>
      </c>
      <c r="N1013" s="250" t="s">
        <v>690</v>
      </c>
    </row>
    <row r="1014" spans="1:14" ht="16.5">
      <c r="A1014" s="250" t="s">
        <v>573</v>
      </c>
      <c r="B1014" s="250" t="s">
        <v>691</v>
      </c>
      <c r="C1014" s="251">
        <v>1.8750000000000001E-3</v>
      </c>
      <c r="D1014" s="250" t="s">
        <v>692</v>
      </c>
      <c r="E1014" s="250" t="s">
        <v>154</v>
      </c>
      <c r="F1014" s="250" t="s">
        <v>417</v>
      </c>
      <c r="G1014" s="407" t="s">
        <v>418</v>
      </c>
      <c r="H1014" s="250" t="s">
        <v>157</v>
      </c>
      <c r="I1014" s="250" t="s">
        <v>158</v>
      </c>
      <c r="J1014" s="250" t="s">
        <v>168</v>
      </c>
      <c r="K1014" s="250" t="s">
        <v>169</v>
      </c>
      <c r="L1014" s="250" t="s">
        <v>161</v>
      </c>
      <c r="M1014" s="250" t="s">
        <v>162</v>
      </c>
      <c r="N1014" s="250" t="s">
        <v>693</v>
      </c>
    </row>
    <row r="1015" spans="1:14" ht="16.5">
      <c r="A1015" s="250" t="s">
        <v>573</v>
      </c>
      <c r="B1015" s="250" t="s">
        <v>694</v>
      </c>
      <c r="C1015" s="251">
        <v>7.8703703703703705E-4</v>
      </c>
      <c r="D1015" s="250" t="s">
        <v>695</v>
      </c>
      <c r="E1015" s="250" t="s">
        <v>154</v>
      </c>
      <c r="F1015" s="250" t="s">
        <v>696</v>
      </c>
      <c r="G1015" s="407" t="s">
        <v>477</v>
      </c>
      <c r="H1015" s="250" t="s">
        <v>157</v>
      </c>
      <c r="I1015" s="250" t="s">
        <v>158</v>
      </c>
      <c r="J1015" s="250" t="s">
        <v>391</v>
      </c>
      <c r="K1015" s="250" t="s">
        <v>95</v>
      </c>
      <c r="L1015" s="250" t="s">
        <v>161</v>
      </c>
      <c r="M1015" s="250" t="s">
        <v>162</v>
      </c>
      <c r="N1015" s="250" t="s">
        <v>697</v>
      </c>
    </row>
    <row r="1016" spans="1:14" ht="16.5">
      <c r="A1016" s="250" t="s">
        <v>573</v>
      </c>
      <c r="B1016" s="250" t="s">
        <v>702</v>
      </c>
      <c r="C1016" s="251">
        <v>4.1666666666666669E-4</v>
      </c>
      <c r="D1016" s="250" t="s">
        <v>703</v>
      </c>
      <c r="E1016" s="250" t="s">
        <v>154</v>
      </c>
      <c r="F1016" s="250" t="s">
        <v>675</v>
      </c>
      <c r="G1016" s="407" t="s">
        <v>700</v>
      </c>
      <c r="H1016" s="250" t="s">
        <v>157</v>
      </c>
      <c r="I1016" s="250" t="s">
        <v>158</v>
      </c>
      <c r="J1016" s="250" t="s">
        <v>159</v>
      </c>
      <c r="K1016" s="250" t="s">
        <v>160</v>
      </c>
      <c r="L1016" s="250" t="s">
        <v>161</v>
      </c>
      <c r="M1016" s="250" t="s">
        <v>162</v>
      </c>
      <c r="N1016" s="250" t="s">
        <v>704</v>
      </c>
    </row>
    <row r="1017" spans="1:14" ht="16.5">
      <c r="A1017" s="250" t="s">
        <v>573</v>
      </c>
      <c r="B1017" s="250" t="s">
        <v>705</v>
      </c>
      <c r="C1017" s="251">
        <v>1.736111111111111E-3</v>
      </c>
      <c r="D1017" s="250" t="s">
        <v>706</v>
      </c>
      <c r="E1017" s="250" t="s">
        <v>154</v>
      </c>
      <c r="F1017" s="250" t="s">
        <v>707</v>
      </c>
      <c r="G1017" s="407" t="s">
        <v>708</v>
      </c>
      <c r="H1017" s="250" t="s">
        <v>157</v>
      </c>
      <c r="I1017" s="250" t="s">
        <v>158</v>
      </c>
      <c r="J1017" s="250" t="s">
        <v>159</v>
      </c>
      <c r="K1017" s="250" t="s">
        <v>160</v>
      </c>
      <c r="L1017" s="250" t="s">
        <v>161</v>
      </c>
      <c r="M1017" s="250" t="s">
        <v>162</v>
      </c>
      <c r="N1017" s="250" t="s">
        <v>709</v>
      </c>
    </row>
    <row r="1018" spans="1:14" ht="16.5">
      <c r="A1018" s="250" t="s">
        <v>573</v>
      </c>
      <c r="B1018" s="250" t="s">
        <v>715</v>
      </c>
      <c r="C1018" s="251">
        <v>9.9537037037037042E-4</v>
      </c>
      <c r="D1018" s="250" t="s">
        <v>716</v>
      </c>
      <c r="E1018" s="250" t="s">
        <v>154</v>
      </c>
      <c r="F1018" s="250" t="s">
        <v>166</v>
      </c>
      <c r="G1018" s="407" t="s">
        <v>167</v>
      </c>
      <c r="H1018" s="250" t="s">
        <v>157</v>
      </c>
      <c r="I1018" s="250" t="s">
        <v>158</v>
      </c>
      <c r="J1018" s="250" t="s">
        <v>159</v>
      </c>
      <c r="K1018" s="250" t="s">
        <v>169</v>
      </c>
      <c r="L1018" s="250" t="s">
        <v>161</v>
      </c>
      <c r="M1018" s="250" t="s">
        <v>162</v>
      </c>
      <c r="N1018" s="250" t="s">
        <v>717</v>
      </c>
    </row>
    <row r="1019" spans="1:14" ht="16.5">
      <c r="A1019" s="250" t="s">
        <v>573</v>
      </c>
      <c r="B1019" s="250" t="s">
        <v>718</v>
      </c>
      <c r="C1019" s="251">
        <v>1.273148148148148E-4</v>
      </c>
      <c r="D1019" s="250" t="s">
        <v>719</v>
      </c>
      <c r="E1019" s="250" t="s">
        <v>154</v>
      </c>
      <c r="F1019" s="250" t="s">
        <v>463</v>
      </c>
      <c r="G1019" s="407" t="s">
        <v>464</v>
      </c>
      <c r="H1019" s="250" t="s">
        <v>157</v>
      </c>
      <c r="I1019" s="250" t="s">
        <v>158</v>
      </c>
      <c r="J1019" s="250" t="s">
        <v>168</v>
      </c>
      <c r="K1019" s="250" t="s">
        <v>169</v>
      </c>
      <c r="L1019" s="250" t="s">
        <v>161</v>
      </c>
      <c r="M1019" s="250" t="s">
        <v>162</v>
      </c>
      <c r="N1019" s="250" t="s">
        <v>720</v>
      </c>
    </row>
    <row r="1020" spans="1:14" ht="16.5">
      <c r="A1020" s="250" t="s">
        <v>573</v>
      </c>
      <c r="B1020" s="250" t="s">
        <v>721</v>
      </c>
      <c r="C1020" s="251">
        <v>2.6620370370370372E-4</v>
      </c>
      <c r="D1020" s="250" t="s">
        <v>722</v>
      </c>
      <c r="E1020" s="250" t="s">
        <v>154</v>
      </c>
      <c r="F1020" s="250" t="s">
        <v>707</v>
      </c>
      <c r="G1020" s="407" t="s">
        <v>708</v>
      </c>
      <c r="H1020" s="250" t="s">
        <v>157</v>
      </c>
      <c r="I1020" s="250" t="s">
        <v>158</v>
      </c>
      <c r="J1020" s="250" t="s">
        <v>159</v>
      </c>
      <c r="K1020" s="250" t="s">
        <v>160</v>
      </c>
      <c r="L1020" s="250" t="s">
        <v>161</v>
      </c>
      <c r="M1020" s="250" t="s">
        <v>162</v>
      </c>
      <c r="N1020" s="250" t="s">
        <v>723</v>
      </c>
    </row>
    <row r="1021" spans="1:14" ht="16.5">
      <c r="A1021" s="250" t="s">
        <v>573</v>
      </c>
      <c r="B1021" s="250" t="s">
        <v>724</v>
      </c>
      <c r="C1021" s="251">
        <v>1.9097222222222222E-3</v>
      </c>
      <c r="D1021" s="250" t="s">
        <v>725</v>
      </c>
      <c r="E1021" s="250" t="s">
        <v>154</v>
      </c>
      <c r="F1021" s="250" t="s">
        <v>458</v>
      </c>
      <c r="G1021" s="407" t="s">
        <v>459</v>
      </c>
      <c r="H1021" s="250" t="s">
        <v>157</v>
      </c>
      <c r="I1021" s="250" t="s">
        <v>158</v>
      </c>
      <c r="J1021" s="250" t="s">
        <v>168</v>
      </c>
      <c r="K1021" s="250" t="s">
        <v>169</v>
      </c>
      <c r="L1021" s="250" t="s">
        <v>161</v>
      </c>
      <c r="M1021" s="250" t="s">
        <v>162</v>
      </c>
      <c r="N1021" s="250" t="s">
        <v>726</v>
      </c>
    </row>
    <row r="1022" spans="1:14" ht="16.5">
      <c r="A1022" s="250" t="s">
        <v>573</v>
      </c>
      <c r="B1022" s="250" t="s">
        <v>727</v>
      </c>
      <c r="C1022" s="251">
        <v>1.9675925925925926E-4</v>
      </c>
      <c r="D1022" s="250" t="s">
        <v>728</v>
      </c>
      <c r="E1022" s="250" t="s">
        <v>154</v>
      </c>
      <c r="F1022" s="250" t="s">
        <v>417</v>
      </c>
      <c r="G1022" s="407" t="s">
        <v>418</v>
      </c>
      <c r="H1022" s="250" t="s">
        <v>157</v>
      </c>
      <c r="I1022" s="250" t="s">
        <v>158</v>
      </c>
      <c r="J1022" s="250" t="s">
        <v>168</v>
      </c>
      <c r="K1022" s="250" t="s">
        <v>169</v>
      </c>
      <c r="L1022" s="250" t="s">
        <v>161</v>
      </c>
      <c r="M1022" s="250" t="s">
        <v>162</v>
      </c>
      <c r="N1022" s="250" t="s">
        <v>729</v>
      </c>
    </row>
    <row r="1023" spans="1:14" ht="16.5">
      <c r="A1023" s="250" t="s">
        <v>573</v>
      </c>
      <c r="B1023" s="250" t="s">
        <v>730</v>
      </c>
      <c r="C1023" s="251">
        <v>1.9907407407407408E-3</v>
      </c>
      <c r="D1023" s="250" t="s">
        <v>731</v>
      </c>
      <c r="E1023" s="250" t="s">
        <v>154</v>
      </c>
      <c r="F1023" s="250" t="s">
        <v>732</v>
      </c>
      <c r="G1023" s="407" t="s">
        <v>733</v>
      </c>
      <c r="H1023" s="250" t="s">
        <v>157</v>
      </c>
      <c r="I1023" s="250" t="s">
        <v>158</v>
      </c>
      <c r="J1023" s="250" t="s">
        <v>159</v>
      </c>
      <c r="K1023" s="250" t="s">
        <v>160</v>
      </c>
      <c r="L1023" s="250" t="s">
        <v>161</v>
      </c>
      <c r="M1023" s="250" t="s">
        <v>162</v>
      </c>
      <c r="N1023" s="250" t="s">
        <v>734</v>
      </c>
    </row>
    <row r="1024" spans="1:14" ht="16.5">
      <c r="A1024" s="250" t="s">
        <v>573</v>
      </c>
      <c r="B1024" s="250" t="s">
        <v>735</v>
      </c>
      <c r="C1024" s="251">
        <v>2.0833333333333335E-4</v>
      </c>
      <c r="D1024" s="250" t="s">
        <v>736</v>
      </c>
      <c r="E1024" s="250" t="s">
        <v>154</v>
      </c>
      <c r="F1024" s="250" t="s">
        <v>453</v>
      </c>
      <c r="G1024" s="407" t="s">
        <v>454</v>
      </c>
      <c r="H1024" s="250" t="s">
        <v>157</v>
      </c>
      <c r="I1024" s="250" t="s">
        <v>158</v>
      </c>
      <c r="J1024" s="250" t="s">
        <v>168</v>
      </c>
      <c r="K1024" s="250" t="s">
        <v>169</v>
      </c>
      <c r="L1024" s="250" t="s">
        <v>161</v>
      </c>
      <c r="M1024" s="250" t="s">
        <v>162</v>
      </c>
      <c r="N1024" s="250" t="s">
        <v>737</v>
      </c>
    </row>
    <row r="1025" spans="1:14" ht="16.5">
      <c r="A1025" s="250" t="s">
        <v>573</v>
      </c>
      <c r="B1025" s="250" t="s">
        <v>738</v>
      </c>
      <c r="C1025" s="251">
        <v>7.407407407407407E-4</v>
      </c>
      <c r="D1025" s="250" t="s">
        <v>739</v>
      </c>
      <c r="E1025" s="250" t="s">
        <v>154</v>
      </c>
      <c r="F1025" s="250" t="s">
        <v>269</v>
      </c>
      <c r="G1025" s="407" t="s">
        <v>740</v>
      </c>
      <c r="H1025" s="250" t="s">
        <v>157</v>
      </c>
      <c r="I1025" s="250" t="s">
        <v>197</v>
      </c>
      <c r="J1025" s="250" t="s">
        <v>198</v>
      </c>
      <c r="K1025" s="250" t="s">
        <v>160</v>
      </c>
      <c r="L1025" s="250" t="s">
        <v>161</v>
      </c>
      <c r="M1025" s="250" t="s">
        <v>162</v>
      </c>
      <c r="N1025" s="250" t="s">
        <v>741</v>
      </c>
    </row>
    <row r="1026" spans="1:14" ht="16.5">
      <c r="A1026" s="250" t="s">
        <v>573</v>
      </c>
      <c r="B1026" s="250" t="s">
        <v>742</v>
      </c>
      <c r="C1026" s="251">
        <v>2.4652777777777776E-3</v>
      </c>
      <c r="D1026" s="250" t="s">
        <v>743</v>
      </c>
      <c r="E1026" s="250" t="s">
        <v>154</v>
      </c>
      <c r="F1026" s="250" t="s">
        <v>269</v>
      </c>
      <c r="G1026" s="407" t="s">
        <v>740</v>
      </c>
      <c r="H1026" s="250" t="s">
        <v>157</v>
      </c>
      <c r="I1026" s="250" t="s">
        <v>197</v>
      </c>
      <c r="J1026" s="250" t="s">
        <v>198</v>
      </c>
      <c r="K1026" s="250" t="s">
        <v>160</v>
      </c>
      <c r="L1026" s="250" t="s">
        <v>161</v>
      </c>
      <c r="M1026" s="250" t="s">
        <v>162</v>
      </c>
      <c r="N1026" s="250" t="s">
        <v>744</v>
      </c>
    </row>
    <row r="1027" spans="1:14" ht="16.5">
      <c r="A1027" s="250" t="s">
        <v>573</v>
      </c>
      <c r="B1027" s="250" t="s">
        <v>745</v>
      </c>
      <c r="C1027" s="251">
        <v>4.7453703703703704E-4</v>
      </c>
      <c r="D1027" s="250" t="s">
        <v>746</v>
      </c>
      <c r="E1027" s="250" t="s">
        <v>154</v>
      </c>
      <c r="F1027" s="250" t="s">
        <v>732</v>
      </c>
      <c r="G1027" s="407" t="s">
        <v>733</v>
      </c>
      <c r="H1027" s="250" t="s">
        <v>157</v>
      </c>
      <c r="I1027" s="250" t="s">
        <v>158</v>
      </c>
      <c r="J1027" s="250" t="s">
        <v>391</v>
      </c>
      <c r="K1027" s="250" t="s">
        <v>160</v>
      </c>
      <c r="L1027" s="250" t="s">
        <v>161</v>
      </c>
      <c r="M1027" s="250" t="s">
        <v>162</v>
      </c>
      <c r="N1027" s="250" t="s">
        <v>747</v>
      </c>
    </row>
    <row r="1028" spans="1:14" ht="16.5">
      <c r="A1028" s="250" t="s">
        <v>573</v>
      </c>
      <c r="B1028" s="250" t="s">
        <v>748</v>
      </c>
      <c r="C1028" s="251">
        <v>1.5046296296296294E-3</v>
      </c>
      <c r="D1028" s="250" t="s">
        <v>749</v>
      </c>
      <c r="E1028" s="250" t="s">
        <v>154</v>
      </c>
      <c r="F1028" s="250" t="s">
        <v>476</v>
      </c>
      <c r="G1028" s="407" t="s">
        <v>477</v>
      </c>
      <c r="H1028" s="250" t="s">
        <v>157</v>
      </c>
      <c r="I1028" s="250" t="s">
        <v>158</v>
      </c>
      <c r="J1028" s="250" t="s">
        <v>168</v>
      </c>
      <c r="K1028" s="250" t="s">
        <v>160</v>
      </c>
      <c r="L1028" s="250" t="s">
        <v>161</v>
      </c>
      <c r="M1028" s="250" t="s">
        <v>162</v>
      </c>
      <c r="N1028" s="250" t="s">
        <v>750</v>
      </c>
    </row>
    <row r="1029" spans="1:14" ht="16.5">
      <c r="A1029" s="250" t="s">
        <v>573</v>
      </c>
      <c r="B1029" s="250" t="s">
        <v>751</v>
      </c>
      <c r="C1029" s="251">
        <v>2.4305555555555552E-4</v>
      </c>
      <c r="D1029" s="250" t="s">
        <v>752</v>
      </c>
      <c r="E1029" s="250" t="s">
        <v>154</v>
      </c>
      <c r="F1029" s="250" t="s">
        <v>476</v>
      </c>
      <c r="G1029" s="407" t="s">
        <v>477</v>
      </c>
      <c r="H1029" s="250" t="s">
        <v>157</v>
      </c>
      <c r="I1029" s="250" t="s">
        <v>158</v>
      </c>
      <c r="J1029" s="250" t="s">
        <v>159</v>
      </c>
      <c r="K1029" s="250" t="s">
        <v>160</v>
      </c>
      <c r="L1029" s="250" t="s">
        <v>161</v>
      </c>
      <c r="M1029" s="250" t="s">
        <v>162</v>
      </c>
      <c r="N1029" s="250" t="s">
        <v>753</v>
      </c>
    </row>
    <row r="1030" spans="1:14" ht="16.5">
      <c r="A1030" s="250" t="s">
        <v>442</v>
      </c>
      <c r="B1030" s="250" t="s">
        <v>443</v>
      </c>
      <c r="C1030" s="251">
        <v>1.6782407407407406E-3</v>
      </c>
      <c r="D1030" s="250" t="s">
        <v>444</v>
      </c>
      <c r="E1030" s="250" t="s">
        <v>154</v>
      </c>
      <c r="F1030" s="250" t="s">
        <v>445</v>
      </c>
      <c r="G1030" s="407" t="s">
        <v>446</v>
      </c>
      <c r="H1030" s="250" t="s">
        <v>157</v>
      </c>
      <c r="I1030" s="250" t="s">
        <v>158</v>
      </c>
      <c r="J1030" s="250" t="s">
        <v>168</v>
      </c>
      <c r="K1030" s="250" t="s">
        <v>160</v>
      </c>
      <c r="L1030" s="250" t="s">
        <v>161</v>
      </c>
      <c r="M1030" s="250" t="s">
        <v>162</v>
      </c>
      <c r="N1030" s="250" t="s">
        <v>447</v>
      </c>
    </row>
    <row r="1031" spans="1:14" ht="16.5">
      <c r="A1031" s="250" t="s">
        <v>442</v>
      </c>
      <c r="B1031" s="250" t="s">
        <v>448</v>
      </c>
      <c r="C1031" s="251">
        <v>3.1250000000000001E-4</v>
      </c>
      <c r="D1031" s="250" t="s">
        <v>449</v>
      </c>
      <c r="E1031" s="250" t="s">
        <v>154</v>
      </c>
      <c r="F1031" s="250" t="s">
        <v>417</v>
      </c>
      <c r="G1031" s="407" t="s">
        <v>418</v>
      </c>
      <c r="H1031" s="250" t="s">
        <v>157</v>
      </c>
      <c r="I1031" s="250" t="s">
        <v>158</v>
      </c>
      <c r="J1031" s="250" t="s">
        <v>168</v>
      </c>
      <c r="K1031" s="250" t="s">
        <v>169</v>
      </c>
      <c r="L1031" s="250" t="s">
        <v>161</v>
      </c>
      <c r="M1031" s="250" t="s">
        <v>162</v>
      </c>
      <c r="N1031" s="250" t="s">
        <v>450</v>
      </c>
    </row>
    <row r="1032" spans="1:14" ht="16.5">
      <c r="A1032" s="250" t="s">
        <v>442</v>
      </c>
      <c r="B1032" s="250" t="s">
        <v>451</v>
      </c>
      <c r="C1032" s="251">
        <v>2.6620370370370372E-4</v>
      </c>
      <c r="D1032" s="250" t="s">
        <v>452</v>
      </c>
      <c r="E1032" s="250" t="s">
        <v>154</v>
      </c>
      <c r="F1032" s="250" t="s">
        <v>453</v>
      </c>
      <c r="G1032" s="407" t="s">
        <v>454</v>
      </c>
      <c r="H1032" s="250" t="s">
        <v>157</v>
      </c>
      <c r="I1032" s="250" t="s">
        <v>158</v>
      </c>
      <c r="J1032" s="250" t="s">
        <v>168</v>
      </c>
      <c r="K1032" s="250" t="s">
        <v>169</v>
      </c>
      <c r="L1032" s="250" t="s">
        <v>161</v>
      </c>
      <c r="M1032" s="250" t="s">
        <v>162</v>
      </c>
      <c r="N1032" s="250" t="s">
        <v>455</v>
      </c>
    </row>
    <row r="1033" spans="1:14" ht="16.5">
      <c r="A1033" s="250" t="s">
        <v>442</v>
      </c>
      <c r="B1033" s="250" t="s">
        <v>456</v>
      </c>
      <c r="C1033" s="251">
        <v>6.9444444444444444E-5</v>
      </c>
      <c r="D1033" s="250" t="s">
        <v>457</v>
      </c>
      <c r="E1033" s="250" t="s">
        <v>154</v>
      </c>
      <c r="F1033" s="250" t="s">
        <v>458</v>
      </c>
      <c r="G1033" s="407" t="s">
        <v>459</v>
      </c>
      <c r="H1033" s="250" t="s">
        <v>157</v>
      </c>
      <c r="I1033" s="250" t="s">
        <v>158</v>
      </c>
      <c r="J1033" s="250" t="s">
        <v>168</v>
      </c>
      <c r="K1033" s="250" t="s">
        <v>169</v>
      </c>
      <c r="L1033" s="250" t="s">
        <v>161</v>
      </c>
      <c r="M1033" s="250" t="s">
        <v>162</v>
      </c>
      <c r="N1033" s="250" t="s">
        <v>460</v>
      </c>
    </row>
    <row r="1034" spans="1:14" ht="16.5">
      <c r="A1034" s="250" t="s">
        <v>442</v>
      </c>
      <c r="B1034" s="250" t="s">
        <v>461</v>
      </c>
      <c r="C1034" s="251">
        <v>1.7361111111111112E-4</v>
      </c>
      <c r="D1034" s="250" t="s">
        <v>462</v>
      </c>
      <c r="E1034" s="250" t="s">
        <v>154</v>
      </c>
      <c r="F1034" s="250" t="s">
        <v>463</v>
      </c>
      <c r="G1034" s="407" t="s">
        <v>464</v>
      </c>
      <c r="H1034" s="250" t="s">
        <v>157</v>
      </c>
      <c r="I1034" s="250" t="s">
        <v>158</v>
      </c>
      <c r="J1034" s="250" t="s">
        <v>168</v>
      </c>
      <c r="K1034" s="250" t="s">
        <v>169</v>
      </c>
      <c r="L1034" s="250" t="s">
        <v>161</v>
      </c>
      <c r="M1034" s="250" t="s">
        <v>162</v>
      </c>
      <c r="N1034" s="250" t="s">
        <v>465</v>
      </c>
    </row>
    <row r="1035" spans="1:14" ht="16.5">
      <c r="A1035" s="250" t="s">
        <v>442</v>
      </c>
      <c r="B1035" s="250" t="s">
        <v>466</v>
      </c>
      <c r="C1035" s="251">
        <v>9.0277777777777784E-4</v>
      </c>
      <c r="D1035" s="250" t="s">
        <v>467</v>
      </c>
      <c r="E1035" s="250" t="s">
        <v>154</v>
      </c>
      <c r="F1035" s="250" t="s">
        <v>468</v>
      </c>
      <c r="G1035" s="407" t="s">
        <v>469</v>
      </c>
      <c r="H1035" s="250" t="s">
        <v>157</v>
      </c>
      <c r="I1035" s="250" t="s">
        <v>158</v>
      </c>
      <c r="J1035" s="250" t="s">
        <v>168</v>
      </c>
      <c r="K1035" s="250" t="s">
        <v>160</v>
      </c>
      <c r="L1035" s="250" t="s">
        <v>161</v>
      </c>
      <c r="M1035" s="250" t="s">
        <v>162</v>
      </c>
      <c r="N1035" s="250" t="s">
        <v>470</v>
      </c>
    </row>
    <row r="1036" spans="1:14" ht="16.5">
      <c r="A1036" s="250" t="s">
        <v>442</v>
      </c>
      <c r="B1036" s="250" t="s">
        <v>471</v>
      </c>
      <c r="C1036" s="251">
        <v>8.1018518518518516E-4</v>
      </c>
      <c r="D1036" s="250" t="s">
        <v>472</v>
      </c>
      <c r="E1036" s="250" t="s">
        <v>154</v>
      </c>
      <c r="F1036" s="250" t="s">
        <v>412</v>
      </c>
      <c r="G1036" s="407" t="s">
        <v>413</v>
      </c>
      <c r="H1036" s="250" t="s">
        <v>157</v>
      </c>
      <c r="I1036" s="250" t="s">
        <v>158</v>
      </c>
      <c r="J1036" s="250" t="s">
        <v>168</v>
      </c>
      <c r="K1036" s="250" t="s">
        <v>169</v>
      </c>
      <c r="L1036" s="250" t="s">
        <v>161</v>
      </c>
      <c r="M1036" s="250" t="s">
        <v>162</v>
      </c>
      <c r="N1036" s="250" t="s">
        <v>473</v>
      </c>
    </row>
    <row r="1037" spans="1:14" ht="16.5">
      <c r="A1037" s="250" t="s">
        <v>442</v>
      </c>
      <c r="B1037" s="250" t="s">
        <v>474</v>
      </c>
      <c r="C1037" s="251">
        <v>1.7708333333333332E-3</v>
      </c>
      <c r="D1037" s="250" t="s">
        <v>475</v>
      </c>
      <c r="E1037" s="250" t="s">
        <v>154</v>
      </c>
      <c r="F1037" s="250" t="s">
        <v>476</v>
      </c>
      <c r="G1037" s="407" t="s">
        <v>477</v>
      </c>
      <c r="H1037" s="250" t="s">
        <v>157</v>
      </c>
      <c r="I1037" s="250" t="s">
        <v>158</v>
      </c>
      <c r="J1037" s="250" t="s">
        <v>168</v>
      </c>
      <c r="K1037" s="250" t="s">
        <v>160</v>
      </c>
      <c r="L1037" s="250" t="s">
        <v>161</v>
      </c>
      <c r="M1037" s="250" t="s">
        <v>162</v>
      </c>
      <c r="N1037" s="250" t="s">
        <v>478</v>
      </c>
    </row>
    <row r="1038" spans="1:14" ht="16.5">
      <c r="A1038" s="250" t="s">
        <v>442</v>
      </c>
      <c r="B1038" s="250" t="s">
        <v>483</v>
      </c>
      <c r="C1038" s="251">
        <v>1.8518518518518518E-4</v>
      </c>
      <c r="D1038" s="250" t="s">
        <v>484</v>
      </c>
      <c r="E1038" s="250" t="s">
        <v>154</v>
      </c>
      <c r="F1038" s="250" t="s">
        <v>485</v>
      </c>
      <c r="G1038" s="407" t="s">
        <v>486</v>
      </c>
      <c r="H1038" s="250" t="s">
        <v>157</v>
      </c>
      <c r="I1038" s="250" t="s">
        <v>158</v>
      </c>
      <c r="J1038" s="250" t="s">
        <v>159</v>
      </c>
      <c r="K1038" s="250" t="s">
        <v>169</v>
      </c>
      <c r="L1038" s="250" t="s">
        <v>161</v>
      </c>
      <c r="M1038" s="250" t="s">
        <v>162</v>
      </c>
      <c r="N1038" s="250" t="s">
        <v>487</v>
      </c>
    </row>
    <row r="1039" spans="1:14" ht="16.5">
      <c r="A1039" s="250" t="s">
        <v>442</v>
      </c>
      <c r="B1039" s="250" t="s">
        <v>488</v>
      </c>
      <c r="C1039" s="251">
        <v>4.3981481481481481E-4</v>
      </c>
      <c r="D1039" s="250" t="s">
        <v>489</v>
      </c>
      <c r="E1039" s="250" t="s">
        <v>154</v>
      </c>
      <c r="F1039" s="250" t="s">
        <v>490</v>
      </c>
      <c r="G1039" s="407" t="s">
        <v>491</v>
      </c>
      <c r="H1039" s="250" t="s">
        <v>157</v>
      </c>
      <c r="I1039" s="250" t="s">
        <v>158</v>
      </c>
      <c r="J1039" s="250" t="s">
        <v>159</v>
      </c>
      <c r="K1039" s="250" t="s">
        <v>160</v>
      </c>
      <c r="L1039" s="250" t="s">
        <v>161</v>
      </c>
      <c r="M1039" s="250" t="s">
        <v>162</v>
      </c>
      <c r="N1039" s="250" t="s">
        <v>492</v>
      </c>
    </row>
    <row r="1040" spans="1:14" ht="16.5">
      <c r="A1040" s="250" t="s">
        <v>442</v>
      </c>
      <c r="B1040" s="250" t="s">
        <v>493</v>
      </c>
      <c r="C1040" s="251">
        <v>1.9444444444444442E-3</v>
      </c>
      <c r="D1040" s="250" t="s">
        <v>494</v>
      </c>
      <c r="E1040" s="250" t="s">
        <v>154</v>
      </c>
      <c r="F1040" s="250" t="s">
        <v>189</v>
      </c>
      <c r="G1040" s="407" t="s">
        <v>190</v>
      </c>
      <c r="H1040" s="250" t="s">
        <v>157</v>
      </c>
      <c r="I1040" s="250" t="s">
        <v>158</v>
      </c>
      <c r="J1040" s="250" t="s">
        <v>191</v>
      </c>
      <c r="K1040" s="250" t="s">
        <v>95</v>
      </c>
      <c r="L1040" s="250" t="s">
        <v>161</v>
      </c>
      <c r="M1040" s="250" t="s">
        <v>162</v>
      </c>
      <c r="N1040" s="250" t="s">
        <v>495</v>
      </c>
    </row>
    <row r="1041" spans="1:14" ht="16.5">
      <c r="A1041" s="250" t="s">
        <v>442</v>
      </c>
      <c r="B1041" s="250" t="s">
        <v>496</v>
      </c>
      <c r="C1041" s="251">
        <v>0</v>
      </c>
      <c r="D1041" s="250" t="s">
        <v>497</v>
      </c>
      <c r="E1041" s="250" t="s">
        <v>154</v>
      </c>
      <c r="F1041" s="250" t="s">
        <v>453</v>
      </c>
      <c r="G1041" s="407" t="s">
        <v>454</v>
      </c>
      <c r="H1041" s="250" t="s">
        <v>157</v>
      </c>
      <c r="I1041" s="250" t="s">
        <v>158</v>
      </c>
      <c r="J1041" s="250" t="s">
        <v>168</v>
      </c>
      <c r="K1041" s="250" t="s">
        <v>169</v>
      </c>
      <c r="L1041" s="250" t="s">
        <v>161</v>
      </c>
      <c r="M1041" s="250" t="s">
        <v>162</v>
      </c>
      <c r="N1041" s="250" t="s">
        <v>498</v>
      </c>
    </row>
    <row r="1042" spans="1:14" ht="16.5">
      <c r="A1042" s="250" t="s">
        <v>442</v>
      </c>
      <c r="B1042" s="250" t="s">
        <v>499</v>
      </c>
      <c r="C1042" s="251">
        <v>1.9097222222222222E-3</v>
      </c>
      <c r="D1042" s="250" t="s">
        <v>500</v>
      </c>
      <c r="E1042" s="250" t="s">
        <v>154</v>
      </c>
      <c r="F1042" s="250" t="s">
        <v>501</v>
      </c>
      <c r="G1042" s="407" t="s">
        <v>502</v>
      </c>
      <c r="H1042" s="250" t="s">
        <v>157</v>
      </c>
      <c r="I1042" s="250" t="s">
        <v>158</v>
      </c>
      <c r="J1042" s="250" t="s">
        <v>168</v>
      </c>
      <c r="K1042" s="250" t="s">
        <v>169</v>
      </c>
      <c r="L1042" s="250" t="s">
        <v>161</v>
      </c>
      <c r="M1042" s="250" t="s">
        <v>162</v>
      </c>
      <c r="N1042" s="250" t="s">
        <v>503</v>
      </c>
    </row>
    <row r="1043" spans="1:14" ht="16.5">
      <c r="A1043" s="250" t="s">
        <v>442</v>
      </c>
      <c r="B1043" s="250" t="s">
        <v>504</v>
      </c>
      <c r="C1043" s="251">
        <v>1.1111111111111111E-3</v>
      </c>
      <c r="D1043" s="250" t="s">
        <v>505</v>
      </c>
      <c r="E1043" s="250" t="s">
        <v>154</v>
      </c>
      <c r="F1043" s="250" t="s">
        <v>506</v>
      </c>
      <c r="G1043" s="407" t="s">
        <v>365</v>
      </c>
      <c r="H1043" s="250" t="s">
        <v>157</v>
      </c>
      <c r="I1043" s="250" t="s">
        <v>197</v>
      </c>
      <c r="J1043" s="250" t="s">
        <v>198</v>
      </c>
      <c r="K1043" s="250" t="s">
        <v>160</v>
      </c>
      <c r="L1043" s="250" t="s">
        <v>161</v>
      </c>
      <c r="M1043" s="250" t="s">
        <v>162</v>
      </c>
      <c r="N1043" s="250" t="s">
        <v>507</v>
      </c>
    </row>
    <row r="1044" spans="1:14" ht="16.5">
      <c r="A1044" s="250" t="s">
        <v>442</v>
      </c>
      <c r="B1044" s="250" t="s">
        <v>508</v>
      </c>
      <c r="C1044" s="251">
        <v>1.1574074074074073E-3</v>
      </c>
      <c r="D1044" s="250" t="s">
        <v>509</v>
      </c>
      <c r="E1044" s="250" t="s">
        <v>154</v>
      </c>
      <c r="F1044" s="250" t="s">
        <v>361</v>
      </c>
      <c r="G1044" s="407" t="s">
        <v>365</v>
      </c>
      <c r="H1044" s="250" t="s">
        <v>157</v>
      </c>
      <c r="I1044" s="250" t="s">
        <v>197</v>
      </c>
      <c r="J1044" s="250" t="s">
        <v>198</v>
      </c>
      <c r="K1044" s="250" t="s">
        <v>160</v>
      </c>
      <c r="L1044" s="250" t="s">
        <v>161</v>
      </c>
      <c r="M1044" s="250" t="s">
        <v>162</v>
      </c>
      <c r="N1044" s="250" t="s">
        <v>510</v>
      </c>
    </row>
    <row r="1045" spans="1:14" ht="16.5">
      <c r="A1045" s="250" t="s">
        <v>442</v>
      </c>
      <c r="B1045" s="250" t="s">
        <v>511</v>
      </c>
      <c r="C1045" s="251">
        <v>1.2037037037037038E-3</v>
      </c>
      <c r="D1045" s="250" t="s">
        <v>512</v>
      </c>
      <c r="E1045" s="250" t="s">
        <v>154</v>
      </c>
      <c r="F1045" s="250" t="s">
        <v>166</v>
      </c>
      <c r="G1045" s="407" t="s">
        <v>167</v>
      </c>
      <c r="H1045" s="250" t="s">
        <v>157</v>
      </c>
      <c r="I1045" s="250" t="s">
        <v>158</v>
      </c>
      <c r="J1045" s="250" t="s">
        <v>168</v>
      </c>
      <c r="K1045" s="250" t="s">
        <v>169</v>
      </c>
      <c r="L1045" s="250" t="s">
        <v>161</v>
      </c>
      <c r="M1045" s="250" t="s">
        <v>162</v>
      </c>
      <c r="N1045" s="250" t="s">
        <v>513</v>
      </c>
    </row>
    <row r="1046" spans="1:14" ht="16.5">
      <c r="A1046" s="250" t="s">
        <v>442</v>
      </c>
      <c r="B1046" s="250" t="s">
        <v>514</v>
      </c>
      <c r="C1046" s="251">
        <v>7.175925925925927E-4</v>
      </c>
      <c r="D1046" s="250" t="s">
        <v>515</v>
      </c>
      <c r="E1046" s="250" t="s">
        <v>154</v>
      </c>
      <c r="F1046" s="250" t="s">
        <v>485</v>
      </c>
      <c r="G1046" s="407" t="s">
        <v>486</v>
      </c>
      <c r="H1046" s="250" t="s">
        <v>157</v>
      </c>
      <c r="I1046" s="250" t="s">
        <v>158</v>
      </c>
      <c r="J1046" s="250" t="s">
        <v>159</v>
      </c>
      <c r="K1046" s="250" t="s">
        <v>169</v>
      </c>
      <c r="L1046" s="250" t="s">
        <v>161</v>
      </c>
      <c r="M1046" s="250" t="s">
        <v>162</v>
      </c>
      <c r="N1046" s="250" t="s">
        <v>516</v>
      </c>
    </row>
    <row r="1047" spans="1:14" ht="16.5">
      <c r="A1047" s="250" t="s">
        <v>442</v>
      </c>
      <c r="B1047" s="250" t="s">
        <v>517</v>
      </c>
      <c r="C1047" s="251">
        <v>1.5046296296296297E-4</v>
      </c>
      <c r="D1047" s="250" t="s">
        <v>518</v>
      </c>
      <c r="E1047" s="250" t="s">
        <v>154</v>
      </c>
      <c r="F1047" s="250" t="s">
        <v>166</v>
      </c>
      <c r="G1047" s="407" t="s">
        <v>167</v>
      </c>
      <c r="H1047" s="250" t="s">
        <v>157</v>
      </c>
      <c r="I1047" s="250" t="s">
        <v>158</v>
      </c>
      <c r="J1047" s="250" t="s">
        <v>168</v>
      </c>
      <c r="K1047" s="250" t="s">
        <v>169</v>
      </c>
      <c r="L1047" s="250" t="s">
        <v>161</v>
      </c>
      <c r="M1047" s="250" t="s">
        <v>162</v>
      </c>
      <c r="N1047" s="250" t="s">
        <v>519</v>
      </c>
    </row>
    <row r="1048" spans="1:14" ht="16.5">
      <c r="A1048" s="250" t="s">
        <v>442</v>
      </c>
      <c r="B1048" s="250" t="s">
        <v>520</v>
      </c>
      <c r="C1048" s="251">
        <v>1.5972222222222221E-3</v>
      </c>
      <c r="D1048" s="250" t="s">
        <v>521</v>
      </c>
      <c r="E1048" s="250" t="s">
        <v>154</v>
      </c>
      <c r="F1048" s="250" t="s">
        <v>522</v>
      </c>
      <c r="G1048" s="407" t="s">
        <v>523</v>
      </c>
      <c r="H1048" s="250" t="s">
        <v>157</v>
      </c>
      <c r="I1048" s="250" t="s">
        <v>158</v>
      </c>
      <c r="J1048" s="250" t="s">
        <v>168</v>
      </c>
      <c r="K1048" s="250" t="s">
        <v>160</v>
      </c>
      <c r="L1048" s="250" t="s">
        <v>161</v>
      </c>
      <c r="M1048" s="250" t="s">
        <v>162</v>
      </c>
      <c r="N1048" s="250" t="s">
        <v>524</v>
      </c>
    </row>
    <row r="1049" spans="1:14" ht="16.5">
      <c r="A1049" s="250" t="s">
        <v>442</v>
      </c>
      <c r="B1049" s="250" t="s">
        <v>525</v>
      </c>
      <c r="C1049" s="251">
        <v>1.0185185185185186E-3</v>
      </c>
      <c r="D1049" s="250" t="s">
        <v>526</v>
      </c>
      <c r="E1049" s="250" t="s">
        <v>154</v>
      </c>
      <c r="F1049" s="250" t="s">
        <v>485</v>
      </c>
      <c r="G1049" s="407" t="s">
        <v>486</v>
      </c>
      <c r="H1049" s="250" t="s">
        <v>157</v>
      </c>
      <c r="I1049" s="250" t="s">
        <v>158</v>
      </c>
      <c r="J1049" s="250" t="s">
        <v>159</v>
      </c>
      <c r="K1049" s="250" t="s">
        <v>169</v>
      </c>
      <c r="L1049" s="250" t="s">
        <v>161</v>
      </c>
      <c r="M1049" s="250" t="s">
        <v>162</v>
      </c>
      <c r="N1049" s="250" t="s">
        <v>527</v>
      </c>
    </row>
    <row r="1050" spans="1:14" ht="16.5">
      <c r="A1050" s="250" t="s">
        <v>442</v>
      </c>
      <c r="B1050" s="250" t="s">
        <v>528</v>
      </c>
      <c r="C1050" s="251">
        <v>9.2592592592592588E-5</v>
      </c>
      <c r="D1050" s="250" t="s">
        <v>529</v>
      </c>
      <c r="E1050" s="250" t="s">
        <v>154</v>
      </c>
      <c r="F1050" s="250" t="s">
        <v>530</v>
      </c>
      <c r="G1050" s="407" t="s">
        <v>531</v>
      </c>
      <c r="H1050" s="250" t="s">
        <v>157</v>
      </c>
      <c r="I1050" s="250" t="s">
        <v>158</v>
      </c>
      <c r="J1050" s="250" t="s">
        <v>481</v>
      </c>
      <c r="K1050" s="250" t="s">
        <v>160</v>
      </c>
      <c r="L1050" s="250" t="s">
        <v>161</v>
      </c>
      <c r="M1050" s="250" t="s">
        <v>162</v>
      </c>
      <c r="N1050" s="250" t="s">
        <v>532</v>
      </c>
    </row>
    <row r="1051" spans="1:14" ht="16.5">
      <c r="A1051" s="250" t="s">
        <v>442</v>
      </c>
      <c r="B1051" s="250" t="s">
        <v>533</v>
      </c>
      <c r="C1051" s="251">
        <v>3.9351851851851852E-4</v>
      </c>
      <c r="D1051" s="250" t="s">
        <v>534</v>
      </c>
      <c r="E1051" s="250" t="s">
        <v>154</v>
      </c>
      <c r="F1051" s="250" t="s">
        <v>485</v>
      </c>
      <c r="G1051" s="407" t="s">
        <v>486</v>
      </c>
      <c r="H1051" s="250" t="s">
        <v>157</v>
      </c>
      <c r="I1051" s="250" t="s">
        <v>158</v>
      </c>
      <c r="J1051" s="250" t="s">
        <v>159</v>
      </c>
      <c r="K1051" s="250" t="s">
        <v>169</v>
      </c>
      <c r="L1051" s="250" t="s">
        <v>161</v>
      </c>
      <c r="M1051" s="250" t="s">
        <v>162</v>
      </c>
      <c r="N1051" s="250" t="s">
        <v>535</v>
      </c>
    </row>
    <row r="1052" spans="1:14" ht="16.5">
      <c r="A1052" s="250" t="s">
        <v>442</v>
      </c>
      <c r="B1052" s="250" t="s">
        <v>536</v>
      </c>
      <c r="C1052" s="251">
        <v>3.5185185185185185E-3</v>
      </c>
      <c r="D1052" s="250" t="s">
        <v>537</v>
      </c>
      <c r="E1052" s="250" t="s">
        <v>154</v>
      </c>
      <c r="F1052" s="250" t="s">
        <v>485</v>
      </c>
      <c r="G1052" s="407" t="s">
        <v>538</v>
      </c>
      <c r="H1052" s="250" t="s">
        <v>157</v>
      </c>
      <c r="I1052" s="250" t="s">
        <v>158</v>
      </c>
      <c r="J1052" s="250" t="s">
        <v>159</v>
      </c>
      <c r="K1052" s="250" t="s">
        <v>169</v>
      </c>
      <c r="L1052" s="250" t="s">
        <v>161</v>
      </c>
      <c r="M1052" s="250" t="s">
        <v>162</v>
      </c>
      <c r="N1052" s="250" t="s">
        <v>539</v>
      </c>
    </row>
    <row r="1053" spans="1:14" ht="16.5">
      <c r="A1053" s="250" t="s">
        <v>442</v>
      </c>
      <c r="B1053" s="250" t="s">
        <v>540</v>
      </c>
      <c r="C1053" s="251">
        <v>3.1250000000000001E-4</v>
      </c>
      <c r="D1053" s="250" t="s">
        <v>541</v>
      </c>
      <c r="E1053" s="250" t="s">
        <v>154</v>
      </c>
      <c r="F1053" s="250" t="s">
        <v>542</v>
      </c>
      <c r="G1053" s="407" t="s">
        <v>531</v>
      </c>
      <c r="H1053" s="250" t="s">
        <v>157</v>
      </c>
      <c r="I1053" s="250" t="s">
        <v>158</v>
      </c>
      <c r="J1053" s="250" t="s">
        <v>159</v>
      </c>
      <c r="K1053" s="250" t="s">
        <v>160</v>
      </c>
      <c r="L1053" s="250" t="s">
        <v>161</v>
      </c>
      <c r="M1053" s="250" t="s">
        <v>162</v>
      </c>
      <c r="N1053" s="250" t="s">
        <v>543</v>
      </c>
    </row>
    <row r="1054" spans="1:14" ht="16.5">
      <c r="A1054" s="250" t="s">
        <v>442</v>
      </c>
      <c r="B1054" s="250" t="s">
        <v>544</v>
      </c>
      <c r="C1054" s="251">
        <v>3.2407407407407406E-4</v>
      </c>
      <c r="D1054" s="250" t="s">
        <v>545</v>
      </c>
      <c r="E1054" s="250" t="s">
        <v>154</v>
      </c>
      <c r="F1054" s="250" t="s">
        <v>485</v>
      </c>
      <c r="G1054" s="407" t="s">
        <v>538</v>
      </c>
      <c r="H1054" s="250" t="s">
        <v>157</v>
      </c>
      <c r="I1054" s="250" t="s">
        <v>158</v>
      </c>
      <c r="J1054" s="250" t="s">
        <v>159</v>
      </c>
      <c r="K1054" s="250" t="s">
        <v>169</v>
      </c>
      <c r="L1054" s="250" t="s">
        <v>161</v>
      </c>
      <c r="M1054" s="250" t="s">
        <v>162</v>
      </c>
      <c r="N1054" s="250" t="s">
        <v>546</v>
      </c>
    </row>
    <row r="1055" spans="1:14" ht="16.5">
      <c r="A1055" s="250" t="s">
        <v>442</v>
      </c>
      <c r="B1055" s="250" t="s">
        <v>547</v>
      </c>
      <c r="C1055" s="251">
        <v>1.8634259259259261E-3</v>
      </c>
      <c r="D1055" s="250" t="s">
        <v>548</v>
      </c>
      <c r="E1055" s="250" t="s">
        <v>154</v>
      </c>
      <c r="F1055" s="250" t="s">
        <v>485</v>
      </c>
      <c r="G1055" s="407" t="s">
        <v>486</v>
      </c>
      <c r="H1055" s="250" t="s">
        <v>157</v>
      </c>
      <c r="I1055" s="250" t="s">
        <v>158</v>
      </c>
      <c r="J1055" s="250" t="s">
        <v>168</v>
      </c>
      <c r="K1055" s="250" t="s">
        <v>169</v>
      </c>
      <c r="L1055" s="250" t="s">
        <v>161</v>
      </c>
      <c r="M1055" s="250" t="s">
        <v>162</v>
      </c>
      <c r="N1055" s="250" t="s">
        <v>549</v>
      </c>
    </row>
    <row r="1056" spans="1:14" ht="16.5">
      <c r="A1056" s="250" t="s">
        <v>442</v>
      </c>
      <c r="B1056" s="250" t="s">
        <v>550</v>
      </c>
      <c r="C1056" s="251">
        <v>2.2222222222222222E-3</v>
      </c>
      <c r="D1056" s="250" t="s">
        <v>551</v>
      </c>
      <c r="E1056" s="250" t="s">
        <v>154</v>
      </c>
      <c r="F1056" s="250" t="s">
        <v>552</v>
      </c>
      <c r="G1056" s="407" t="s">
        <v>553</v>
      </c>
      <c r="H1056" s="250" t="s">
        <v>157</v>
      </c>
      <c r="I1056" s="250" t="s">
        <v>197</v>
      </c>
      <c r="J1056" s="250" t="s">
        <v>198</v>
      </c>
      <c r="K1056" s="250" t="s">
        <v>169</v>
      </c>
      <c r="L1056" s="250" t="s">
        <v>161</v>
      </c>
      <c r="M1056" s="250" t="s">
        <v>162</v>
      </c>
      <c r="N1056" s="250" t="s">
        <v>554</v>
      </c>
    </row>
    <row r="1057" spans="1:14" ht="16.5">
      <c r="A1057" s="250" t="s">
        <v>442</v>
      </c>
      <c r="B1057" s="250" t="s">
        <v>555</v>
      </c>
      <c r="C1057" s="251">
        <v>3.4722222222222222E-5</v>
      </c>
      <c r="D1057" s="250" t="s">
        <v>556</v>
      </c>
      <c r="E1057" s="250" t="s">
        <v>154</v>
      </c>
      <c r="F1057" s="250" t="s">
        <v>552</v>
      </c>
      <c r="G1057" s="407" t="s">
        <v>553</v>
      </c>
      <c r="H1057" s="250" t="s">
        <v>157</v>
      </c>
      <c r="I1057" s="250" t="s">
        <v>197</v>
      </c>
      <c r="J1057" s="250" t="s">
        <v>198</v>
      </c>
      <c r="K1057" s="250" t="s">
        <v>169</v>
      </c>
      <c r="L1057" s="250" t="s">
        <v>161</v>
      </c>
      <c r="M1057" s="250" t="s">
        <v>162</v>
      </c>
      <c r="N1057" s="250" t="s">
        <v>557</v>
      </c>
    </row>
    <row r="1058" spans="1:14" ht="16.5">
      <c r="A1058" s="250" t="s">
        <v>442</v>
      </c>
      <c r="B1058" s="250" t="s">
        <v>558</v>
      </c>
      <c r="C1058" s="251">
        <v>1.1574074074074073E-4</v>
      </c>
      <c r="D1058" s="250" t="s">
        <v>559</v>
      </c>
      <c r="E1058" s="250" t="s">
        <v>154</v>
      </c>
      <c r="F1058" s="250" t="s">
        <v>417</v>
      </c>
      <c r="G1058" s="407" t="s">
        <v>418</v>
      </c>
      <c r="H1058" s="250" t="s">
        <v>157</v>
      </c>
      <c r="I1058" s="250" t="s">
        <v>158</v>
      </c>
      <c r="J1058" s="250" t="s">
        <v>168</v>
      </c>
      <c r="K1058" s="250" t="s">
        <v>169</v>
      </c>
      <c r="L1058" s="250" t="s">
        <v>161</v>
      </c>
      <c r="M1058" s="250" t="s">
        <v>162</v>
      </c>
      <c r="N1058" s="250" t="s">
        <v>560</v>
      </c>
    </row>
    <row r="1059" spans="1:14" ht="16.5">
      <c r="A1059" s="250" t="s">
        <v>442</v>
      </c>
      <c r="B1059" s="250" t="s">
        <v>561</v>
      </c>
      <c r="C1059" s="251">
        <v>2.6620370370370374E-3</v>
      </c>
      <c r="D1059" s="250" t="s">
        <v>562</v>
      </c>
      <c r="E1059" s="250" t="s">
        <v>154</v>
      </c>
      <c r="F1059" s="250" t="s">
        <v>563</v>
      </c>
      <c r="G1059" s="407" t="s">
        <v>369</v>
      </c>
      <c r="H1059" s="250" t="s">
        <v>157</v>
      </c>
      <c r="I1059" s="250" t="s">
        <v>158</v>
      </c>
      <c r="J1059" s="250" t="s">
        <v>391</v>
      </c>
      <c r="K1059" s="250" t="s">
        <v>160</v>
      </c>
      <c r="L1059" s="250" t="s">
        <v>161</v>
      </c>
      <c r="M1059" s="250" t="s">
        <v>162</v>
      </c>
      <c r="N1059" s="250" t="s">
        <v>564</v>
      </c>
    </row>
    <row r="1060" spans="1:14" ht="16.5">
      <c r="A1060" s="250" t="s">
        <v>151</v>
      </c>
      <c r="B1060" s="250" t="s">
        <v>354</v>
      </c>
      <c r="C1060" s="251">
        <v>8.449074074074075E-4</v>
      </c>
      <c r="D1060" s="250" t="s">
        <v>355</v>
      </c>
      <c r="E1060" s="250" t="s">
        <v>154</v>
      </c>
      <c r="F1060" s="250" t="s">
        <v>356</v>
      </c>
      <c r="G1060" s="407" t="s">
        <v>357</v>
      </c>
      <c r="H1060" s="250" t="s">
        <v>157</v>
      </c>
      <c r="I1060" s="250" t="s">
        <v>158</v>
      </c>
      <c r="J1060" s="250" t="s">
        <v>168</v>
      </c>
      <c r="K1060" s="250" t="s">
        <v>169</v>
      </c>
      <c r="L1060" s="250" t="s">
        <v>161</v>
      </c>
      <c r="M1060" s="250" t="s">
        <v>162</v>
      </c>
      <c r="N1060" s="250" t="s">
        <v>358</v>
      </c>
    </row>
    <row r="1061" spans="1:14" ht="16.5">
      <c r="A1061" s="250" t="s">
        <v>151</v>
      </c>
      <c r="B1061" s="250" t="s">
        <v>359</v>
      </c>
      <c r="C1061" s="251">
        <v>2.7430555555555559E-3</v>
      </c>
      <c r="D1061" s="250" t="s">
        <v>360</v>
      </c>
      <c r="E1061" s="250" t="s">
        <v>154</v>
      </c>
      <c r="F1061" s="250" t="s">
        <v>361</v>
      </c>
      <c r="G1061" s="407" t="s">
        <v>362</v>
      </c>
      <c r="H1061" s="250" t="s">
        <v>157</v>
      </c>
      <c r="I1061" s="250" t="s">
        <v>158</v>
      </c>
      <c r="J1061" s="250" t="s">
        <v>159</v>
      </c>
      <c r="K1061" s="250" t="s">
        <v>169</v>
      </c>
      <c r="L1061" s="250" t="s">
        <v>161</v>
      </c>
      <c r="M1061" s="250" t="s">
        <v>162</v>
      </c>
      <c r="N1061" s="250" t="s">
        <v>363</v>
      </c>
    </row>
    <row r="1062" spans="1:14" ht="16.5">
      <c r="A1062" s="250" t="s">
        <v>151</v>
      </c>
      <c r="B1062" s="250" t="s">
        <v>565</v>
      </c>
      <c r="C1062" s="251">
        <v>3.0324074074074073E-3</v>
      </c>
      <c r="D1062" s="250" t="s">
        <v>364</v>
      </c>
      <c r="E1062" s="250" t="s">
        <v>154</v>
      </c>
      <c r="F1062" s="250" t="s">
        <v>361</v>
      </c>
      <c r="G1062" s="407" t="s">
        <v>365</v>
      </c>
      <c r="H1062" s="250" t="s">
        <v>157</v>
      </c>
      <c r="I1062" s="250" t="s">
        <v>158</v>
      </c>
      <c r="J1062" s="250" t="s">
        <v>168</v>
      </c>
      <c r="K1062" s="250" t="s">
        <v>169</v>
      </c>
      <c r="L1062" s="250" t="s">
        <v>161</v>
      </c>
      <c r="M1062" s="250" t="s">
        <v>162</v>
      </c>
      <c r="N1062" s="250" t="s">
        <v>366</v>
      </c>
    </row>
    <row r="1063" spans="1:14" ht="16.5">
      <c r="A1063" s="250" t="s">
        <v>151</v>
      </c>
      <c r="B1063" s="250" t="s">
        <v>367</v>
      </c>
      <c r="C1063" s="251">
        <v>2.1412037037037038E-3</v>
      </c>
      <c r="D1063" s="250" t="s">
        <v>368</v>
      </c>
      <c r="E1063" s="250" t="s">
        <v>154</v>
      </c>
      <c r="F1063" s="250" t="s">
        <v>210</v>
      </c>
      <c r="G1063" s="407" t="s">
        <v>369</v>
      </c>
      <c r="H1063" s="250" t="s">
        <v>157</v>
      </c>
      <c r="I1063" s="250" t="s">
        <v>158</v>
      </c>
      <c r="J1063" s="250" t="s">
        <v>159</v>
      </c>
      <c r="K1063" s="250" t="s">
        <v>160</v>
      </c>
      <c r="L1063" s="250" t="s">
        <v>161</v>
      </c>
      <c r="M1063" s="250" t="s">
        <v>162</v>
      </c>
      <c r="N1063" s="250" t="s">
        <v>370</v>
      </c>
    </row>
    <row r="1064" spans="1:14" ht="16.5">
      <c r="A1064" s="250" t="s">
        <v>151</v>
      </c>
      <c r="B1064" s="250" t="s">
        <v>371</v>
      </c>
      <c r="C1064" s="251">
        <v>3.472222222222222E-3</v>
      </c>
      <c r="D1064" s="250" t="s">
        <v>372</v>
      </c>
      <c r="E1064" s="250" t="s">
        <v>154</v>
      </c>
      <c r="F1064" s="250" t="s">
        <v>373</v>
      </c>
      <c r="G1064" s="407" t="s">
        <v>374</v>
      </c>
      <c r="H1064" s="250" t="s">
        <v>157</v>
      </c>
      <c r="I1064" s="250" t="s">
        <v>158</v>
      </c>
      <c r="J1064" s="250" t="s">
        <v>168</v>
      </c>
      <c r="K1064" s="250" t="s">
        <v>160</v>
      </c>
      <c r="L1064" s="250" t="s">
        <v>161</v>
      </c>
      <c r="M1064" s="250" t="s">
        <v>162</v>
      </c>
      <c r="N1064" s="250" t="s">
        <v>375</v>
      </c>
    </row>
    <row r="1065" spans="1:14" ht="16.5">
      <c r="A1065" s="250" t="s">
        <v>151</v>
      </c>
      <c r="B1065" s="250" t="s">
        <v>376</v>
      </c>
      <c r="C1065" s="251">
        <v>8.1018518518518516E-5</v>
      </c>
      <c r="D1065" s="250" t="s">
        <v>377</v>
      </c>
      <c r="E1065" s="250" t="s">
        <v>154</v>
      </c>
      <c r="F1065" s="250" t="s">
        <v>356</v>
      </c>
      <c r="G1065" s="407" t="s">
        <v>357</v>
      </c>
      <c r="H1065" s="250" t="s">
        <v>157</v>
      </c>
      <c r="I1065" s="250" t="s">
        <v>158</v>
      </c>
      <c r="J1065" s="250" t="s">
        <v>168</v>
      </c>
      <c r="K1065" s="250" t="s">
        <v>169</v>
      </c>
      <c r="L1065" s="250" t="s">
        <v>161</v>
      </c>
      <c r="M1065" s="250" t="s">
        <v>162</v>
      </c>
      <c r="N1065" s="250" t="s">
        <v>378</v>
      </c>
    </row>
    <row r="1066" spans="1:14" ht="16.5">
      <c r="A1066" s="250" t="s">
        <v>151</v>
      </c>
      <c r="B1066" s="250" t="s">
        <v>384</v>
      </c>
      <c r="C1066" s="251">
        <v>4.9768518518518521E-4</v>
      </c>
      <c r="D1066" s="250" t="s">
        <v>385</v>
      </c>
      <c r="E1066" s="250" t="s">
        <v>154</v>
      </c>
      <c r="F1066" s="250" t="s">
        <v>361</v>
      </c>
      <c r="G1066" s="407" t="s">
        <v>365</v>
      </c>
      <c r="H1066" s="250" t="s">
        <v>157</v>
      </c>
      <c r="I1066" s="250" t="s">
        <v>158</v>
      </c>
      <c r="J1066" s="250" t="s">
        <v>168</v>
      </c>
      <c r="K1066" s="250" t="s">
        <v>169</v>
      </c>
      <c r="L1066" s="250" t="s">
        <v>161</v>
      </c>
      <c r="M1066" s="250" t="s">
        <v>162</v>
      </c>
      <c r="N1066" s="250" t="s">
        <v>386</v>
      </c>
    </row>
    <row r="1067" spans="1:14" ht="16.5">
      <c r="A1067" s="250" t="s">
        <v>151</v>
      </c>
      <c r="B1067" s="250" t="s">
        <v>387</v>
      </c>
      <c r="C1067" s="251">
        <v>1.5972222222222221E-3</v>
      </c>
      <c r="D1067" s="250" t="s">
        <v>388</v>
      </c>
      <c r="E1067" s="250" t="s">
        <v>154</v>
      </c>
      <c r="F1067" s="250" t="s">
        <v>389</v>
      </c>
      <c r="G1067" s="407" t="s">
        <v>390</v>
      </c>
      <c r="H1067" s="250" t="s">
        <v>157</v>
      </c>
      <c r="I1067" s="250" t="s">
        <v>158</v>
      </c>
      <c r="J1067" s="250" t="s">
        <v>391</v>
      </c>
      <c r="K1067" s="250" t="s">
        <v>160</v>
      </c>
      <c r="L1067" s="250" t="s">
        <v>161</v>
      </c>
      <c r="M1067" s="250" t="s">
        <v>162</v>
      </c>
      <c r="N1067" s="250" t="s">
        <v>392</v>
      </c>
    </row>
    <row r="1068" spans="1:14" ht="16.5">
      <c r="A1068" s="250" t="s">
        <v>151</v>
      </c>
      <c r="B1068" s="250" t="s">
        <v>393</v>
      </c>
      <c r="C1068" s="251">
        <v>8.564814814814815E-4</v>
      </c>
      <c r="D1068" s="250" t="s">
        <v>394</v>
      </c>
      <c r="E1068" s="250" t="s">
        <v>154</v>
      </c>
      <c r="F1068" s="250" t="s">
        <v>189</v>
      </c>
      <c r="G1068" s="407" t="s">
        <v>190</v>
      </c>
      <c r="H1068" s="250" t="s">
        <v>157</v>
      </c>
      <c r="I1068" s="250" t="s">
        <v>158</v>
      </c>
      <c r="J1068" s="250" t="s">
        <v>191</v>
      </c>
      <c r="K1068" s="250" t="s">
        <v>95</v>
      </c>
      <c r="L1068" s="250" t="s">
        <v>161</v>
      </c>
      <c r="M1068" s="250" t="s">
        <v>162</v>
      </c>
      <c r="N1068" s="250" t="s">
        <v>395</v>
      </c>
    </row>
    <row r="1069" spans="1:14" ht="16.5">
      <c r="A1069" s="250" t="s">
        <v>151</v>
      </c>
      <c r="B1069" s="250" t="s">
        <v>396</v>
      </c>
      <c r="C1069" s="251">
        <v>2.0717592592592593E-3</v>
      </c>
      <c r="D1069" s="250" t="s">
        <v>397</v>
      </c>
      <c r="E1069" s="250" t="s">
        <v>154</v>
      </c>
      <c r="F1069" s="250" t="s">
        <v>155</v>
      </c>
      <c r="G1069" s="407" t="s">
        <v>398</v>
      </c>
      <c r="H1069" s="250" t="s">
        <v>157</v>
      </c>
      <c r="I1069" s="250" t="s">
        <v>158</v>
      </c>
      <c r="J1069" s="250" t="s">
        <v>159</v>
      </c>
      <c r="K1069" s="250" t="s">
        <v>160</v>
      </c>
      <c r="L1069" s="250" t="s">
        <v>161</v>
      </c>
      <c r="M1069" s="250" t="s">
        <v>162</v>
      </c>
      <c r="N1069" s="250" t="s">
        <v>399</v>
      </c>
    </row>
    <row r="1070" spans="1:14" ht="16.5">
      <c r="A1070" s="250" t="s">
        <v>151</v>
      </c>
      <c r="B1070" s="250" t="s">
        <v>400</v>
      </c>
      <c r="C1070" s="251">
        <v>3.8194444444444446E-4</v>
      </c>
      <c r="D1070" s="250" t="s">
        <v>401</v>
      </c>
      <c r="E1070" s="250" t="s">
        <v>154</v>
      </c>
      <c r="F1070" s="250" t="s">
        <v>402</v>
      </c>
      <c r="G1070" s="407" t="s">
        <v>403</v>
      </c>
      <c r="H1070" s="250" t="s">
        <v>157</v>
      </c>
      <c r="I1070" s="250" t="s">
        <v>158</v>
      </c>
      <c r="J1070" s="250" t="s">
        <v>168</v>
      </c>
      <c r="K1070" s="250" t="s">
        <v>169</v>
      </c>
      <c r="L1070" s="250" t="s">
        <v>161</v>
      </c>
      <c r="M1070" s="250" t="s">
        <v>162</v>
      </c>
      <c r="N1070" s="250" t="s">
        <v>404</v>
      </c>
    </row>
    <row r="1071" spans="1:14" ht="16.5">
      <c r="A1071" s="250" t="s">
        <v>151</v>
      </c>
      <c r="B1071" s="250" t="s">
        <v>405</v>
      </c>
      <c r="C1071" s="251">
        <v>6.134259259259259E-4</v>
      </c>
      <c r="D1071" s="250" t="s">
        <v>406</v>
      </c>
      <c r="E1071" s="250" t="s">
        <v>154</v>
      </c>
      <c r="F1071" s="250" t="s">
        <v>407</v>
      </c>
      <c r="G1071" s="407" t="s">
        <v>408</v>
      </c>
      <c r="H1071" s="250" t="s">
        <v>157</v>
      </c>
      <c r="I1071" s="250" t="s">
        <v>158</v>
      </c>
      <c r="J1071" s="250" t="s">
        <v>168</v>
      </c>
      <c r="K1071" s="250" t="s">
        <v>169</v>
      </c>
      <c r="L1071" s="250" t="s">
        <v>161</v>
      </c>
      <c r="M1071" s="250" t="s">
        <v>162</v>
      </c>
      <c r="N1071" s="250" t="s">
        <v>409</v>
      </c>
    </row>
    <row r="1072" spans="1:14" ht="16.5">
      <c r="A1072" s="250" t="s">
        <v>151</v>
      </c>
      <c r="B1072" s="250" t="s">
        <v>410</v>
      </c>
      <c r="C1072" s="251">
        <v>2.3148148148148146E-4</v>
      </c>
      <c r="D1072" s="250" t="s">
        <v>411</v>
      </c>
      <c r="E1072" s="250" t="s">
        <v>154</v>
      </c>
      <c r="F1072" s="250" t="s">
        <v>412</v>
      </c>
      <c r="G1072" s="407" t="s">
        <v>413</v>
      </c>
      <c r="H1072" s="250" t="s">
        <v>157</v>
      </c>
      <c r="I1072" s="250" t="s">
        <v>158</v>
      </c>
      <c r="J1072" s="250" t="s">
        <v>168</v>
      </c>
      <c r="K1072" s="250" t="s">
        <v>169</v>
      </c>
      <c r="L1072" s="250" t="s">
        <v>161</v>
      </c>
      <c r="M1072" s="250" t="s">
        <v>162</v>
      </c>
      <c r="N1072" s="250" t="s">
        <v>414</v>
      </c>
    </row>
    <row r="1073" spans="1:14" ht="16.5">
      <c r="A1073" s="250" t="s">
        <v>151</v>
      </c>
      <c r="B1073" s="250" t="s">
        <v>415</v>
      </c>
      <c r="C1073" s="251">
        <v>1.1574074074074073E-4</v>
      </c>
      <c r="D1073" s="250" t="s">
        <v>416</v>
      </c>
      <c r="E1073" s="250" t="s">
        <v>154</v>
      </c>
      <c r="F1073" s="250" t="s">
        <v>417</v>
      </c>
      <c r="G1073" s="407" t="s">
        <v>418</v>
      </c>
      <c r="H1073" s="250" t="s">
        <v>157</v>
      </c>
      <c r="I1073" s="250" t="s">
        <v>158</v>
      </c>
      <c r="J1073" s="250" t="s">
        <v>168</v>
      </c>
      <c r="K1073" s="250" t="s">
        <v>169</v>
      </c>
      <c r="L1073" s="250" t="s">
        <v>161</v>
      </c>
      <c r="M1073" s="250" t="s">
        <v>162</v>
      </c>
      <c r="N1073" s="250" t="s">
        <v>419</v>
      </c>
    </row>
    <row r="1074" spans="1:14" ht="16.5">
      <c r="A1074" s="250" t="s">
        <v>151</v>
      </c>
      <c r="B1074" s="250" t="s">
        <v>420</v>
      </c>
      <c r="C1074" s="251">
        <v>8.1018518518518516E-5</v>
      </c>
      <c r="D1074" s="250" t="s">
        <v>421</v>
      </c>
      <c r="E1074" s="250" t="s">
        <v>154</v>
      </c>
      <c r="F1074" s="250" t="s">
        <v>417</v>
      </c>
      <c r="G1074" s="407" t="s">
        <v>418</v>
      </c>
      <c r="H1074" s="250" t="s">
        <v>157</v>
      </c>
      <c r="I1074" s="250" t="s">
        <v>158</v>
      </c>
      <c r="J1074" s="250" t="s">
        <v>168</v>
      </c>
      <c r="K1074" s="250" t="s">
        <v>169</v>
      </c>
      <c r="L1074" s="250" t="s">
        <v>161</v>
      </c>
      <c r="M1074" s="250" t="s">
        <v>162</v>
      </c>
      <c r="N1074" s="250" t="s">
        <v>422</v>
      </c>
    </row>
    <row r="1075" spans="1:14" ht="16.5">
      <c r="A1075" s="250" t="s">
        <v>151</v>
      </c>
      <c r="B1075" s="250" t="s">
        <v>423</v>
      </c>
      <c r="C1075" s="251">
        <v>4.6296296296296294E-5</v>
      </c>
      <c r="D1075" s="250" t="s">
        <v>424</v>
      </c>
      <c r="E1075" s="250" t="s">
        <v>154</v>
      </c>
      <c r="F1075" s="250" t="s">
        <v>389</v>
      </c>
      <c r="G1075" s="407" t="s">
        <v>390</v>
      </c>
      <c r="H1075" s="250" t="s">
        <v>157</v>
      </c>
      <c r="I1075" s="250" t="s">
        <v>158</v>
      </c>
      <c r="J1075" s="250" t="s">
        <v>159</v>
      </c>
      <c r="K1075" s="250" t="s">
        <v>160</v>
      </c>
      <c r="L1075" s="250" t="s">
        <v>161</v>
      </c>
      <c r="M1075" s="250" t="s">
        <v>162</v>
      </c>
      <c r="N1075" s="250" t="s">
        <v>425</v>
      </c>
    </row>
    <row r="1076" spans="1:14" ht="16.5">
      <c r="A1076" s="250" t="s">
        <v>151</v>
      </c>
      <c r="B1076" s="250" t="s">
        <v>426</v>
      </c>
      <c r="C1076" s="251">
        <v>2.0949074074074073E-3</v>
      </c>
      <c r="D1076" s="250" t="s">
        <v>427</v>
      </c>
      <c r="E1076" s="250" t="s">
        <v>154</v>
      </c>
      <c r="F1076" s="250" t="s">
        <v>428</v>
      </c>
      <c r="G1076" s="407" t="s">
        <v>429</v>
      </c>
      <c r="H1076" s="250" t="s">
        <v>157</v>
      </c>
      <c r="I1076" s="250" t="s">
        <v>158</v>
      </c>
      <c r="J1076" s="250" t="s">
        <v>168</v>
      </c>
      <c r="K1076" s="250" t="s">
        <v>169</v>
      </c>
      <c r="L1076" s="250" t="s">
        <v>161</v>
      </c>
      <c r="M1076" s="250" t="s">
        <v>162</v>
      </c>
      <c r="N1076" s="250" t="s">
        <v>430</v>
      </c>
    </row>
    <row r="1077" spans="1:14" ht="16.5">
      <c r="A1077" s="250" t="s">
        <v>151</v>
      </c>
      <c r="B1077" s="250" t="s">
        <v>431</v>
      </c>
      <c r="C1077" s="251">
        <v>1.0416666666666667E-3</v>
      </c>
      <c r="D1077" s="250" t="s">
        <v>432</v>
      </c>
      <c r="E1077" s="250" t="s">
        <v>154</v>
      </c>
      <c r="F1077" s="250" t="s">
        <v>182</v>
      </c>
      <c r="G1077" s="407" t="s">
        <v>183</v>
      </c>
      <c r="H1077" s="250" t="s">
        <v>157</v>
      </c>
      <c r="I1077" s="250" t="s">
        <v>158</v>
      </c>
      <c r="J1077" s="250" t="s">
        <v>168</v>
      </c>
      <c r="K1077" s="250" t="s">
        <v>169</v>
      </c>
      <c r="L1077" s="250" t="s">
        <v>161</v>
      </c>
      <c r="M1077" s="250" t="s">
        <v>162</v>
      </c>
      <c r="N1077" s="250" t="s">
        <v>433</v>
      </c>
    </row>
    <row r="1078" spans="1:14" ht="16.5">
      <c r="A1078" s="250" t="s">
        <v>151</v>
      </c>
      <c r="B1078" s="250" t="s">
        <v>434</v>
      </c>
      <c r="C1078" s="251">
        <v>2.1064814814814813E-3</v>
      </c>
      <c r="D1078" s="250" t="s">
        <v>435</v>
      </c>
      <c r="E1078" s="250" t="s">
        <v>154</v>
      </c>
      <c r="F1078" s="250" t="s">
        <v>436</v>
      </c>
      <c r="G1078" s="407" t="s">
        <v>437</v>
      </c>
      <c r="H1078" s="250" t="s">
        <v>157</v>
      </c>
      <c r="I1078" s="250" t="s">
        <v>158</v>
      </c>
      <c r="J1078" s="250" t="s">
        <v>159</v>
      </c>
      <c r="K1078" s="250" t="s">
        <v>160</v>
      </c>
      <c r="L1078" s="250" t="s">
        <v>161</v>
      </c>
      <c r="M1078" s="250" t="s">
        <v>162</v>
      </c>
      <c r="N1078" s="250" t="s">
        <v>438</v>
      </c>
    </row>
    <row r="1079" spans="1:14" ht="16.5">
      <c r="A1079" s="250" t="s">
        <v>151</v>
      </c>
      <c r="B1079" s="250" t="s">
        <v>180</v>
      </c>
      <c r="C1079" s="251">
        <v>2.2222222222222222E-3</v>
      </c>
      <c r="D1079" s="250" t="s">
        <v>181</v>
      </c>
      <c r="E1079" s="250" t="s">
        <v>154</v>
      </c>
      <c r="F1079" s="250" t="s">
        <v>182</v>
      </c>
      <c r="G1079" s="407" t="s">
        <v>183</v>
      </c>
      <c r="H1079" s="250" t="s">
        <v>157</v>
      </c>
      <c r="I1079" s="250" t="s">
        <v>158</v>
      </c>
      <c r="J1079" s="250" t="s">
        <v>168</v>
      </c>
      <c r="K1079" s="250" t="s">
        <v>169</v>
      </c>
      <c r="L1079" s="250" t="s">
        <v>161</v>
      </c>
      <c r="M1079" s="250" t="s">
        <v>162</v>
      </c>
      <c r="N1079" s="250" t="s">
        <v>184</v>
      </c>
    </row>
    <row r="1080" spans="1:14" ht="16.5">
      <c r="A1080" s="250" t="s">
        <v>151</v>
      </c>
      <c r="B1080" s="250" t="s">
        <v>152</v>
      </c>
      <c r="C1080" s="251">
        <v>1.2962962962962963E-3</v>
      </c>
      <c r="D1080" s="250" t="s">
        <v>153</v>
      </c>
      <c r="E1080" s="250" t="s">
        <v>154</v>
      </c>
      <c r="F1080" s="250" t="s">
        <v>155</v>
      </c>
      <c r="G1080" s="407" t="s">
        <v>156</v>
      </c>
      <c r="H1080" s="250" t="s">
        <v>157</v>
      </c>
      <c r="I1080" s="250" t="s">
        <v>158</v>
      </c>
      <c r="J1080" s="250" t="s">
        <v>159</v>
      </c>
      <c r="K1080" s="250" t="s">
        <v>160</v>
      </c>
      <c r="L1080" s="250" t="s">
        <v>161</v>
      </c>
      <c r="M1080" s="250" t="s">
        <v>162</v>
      </c>
      <c r="N1080" s="250" t="s">
        <v>163</v>
      </c>
    </row>
    <row r="1081" spans="1:14" ht="16.5">
      <c r="A1081" s="250" t="s">
        <v>151</v>
      </c>
      <c r="B1081" s="250" t="s">
        <v>164</v>
      </c>
      <c r="C1081" s="251">
        <v>9.4907407407407408E-4</v>
      </c>
      <c r="D1081" s="250" t="s">
        <v>165</v>
      </c>
      <c r="E1081" s="250" t="s">
        <v>154</v>
      </c>
      <c r="F1081" s="250" t="s">
        <v>166</v>
      </c>
      <c r="G1081" s="407" t="s">
        <v>167</v>
      </c>
      <c r="H1081" s="250" t="s">
        <v>157</v>
      </c>
      <c r="I1081" s="250" t="s">
        <v>158</v>
      </c>
      <c r="J1081" s="250" t="s">
        <v>168</v>
      </c>
      <c r="K1081" s="250" t="s">
        <v>169</v>
      </c>
      <c r="L1081" s="250" t="s">
        <v>161</v>
      </c>
      <c r="M1081" s="250" t="s">
        <v>162</v>
      </c>
      <c r="N1081" s="250" t="s">
        <v>170</v>
      </c>
    </row>
    <row r="1082" spans="1:14" ht="16.5">
      <c r="A1082" s="250" t="s">
        <v>151</v>
      </c>
      <c r="B1082" s="250" t="s">
        <v>171</v>
      </c>
      <c r="C1082" s="251">
        <v>1.8171296296296297E-3</v>
      </c>
      <c r="D1082" s="250" t="s">
        <v>172</v>
      </c>
      <c r="E1082" s="250" t="s">
        <v>154</v>
      </c>
      <c r="F1082" s="250" t="s">
        <v>173</v>
      </c>
      <c r="G1082" s="407" t="s">
        <v>174</v>
      </c>
      <c r="H1082" s="250" t="s">
        <v>157</v>
      </c>
      <c r="I1082" s="250" t="s">
        <v>158</v>
      </c>
      <c r="J1082" s="250" t="s">
        <v>159</v>
      </c>
      <c r="K1082" s="250" t="s">
        <v>160</v>
      </c>
      <c r="L1082" s="250" t="s">
        <v>161</v>
      </c>
      <c r="M1082" s="250" t="s">
        <v>162</v>
      </c>
      <c r="N1082" s="250" t="s">
        <v>175</v>
      </c>
    </row>
    <row r="1083" spans="1:14" ht="16.5">
      <c r="A1083" s="250" t="s">
        <v>151</v>
      </c>
      <c r="B1083" s="250" t="s">
        <v>566</v>
      </c>
      <c r="C1083" s="251">
        <v>1.9675925925925926E-4</v>
      </c>
      <c r="D1083" s="250" t="s">
        <v>567</v>
      </c>
      <c r="E1083" s="250" t="s">
        <v>154</v>
      </c>
      <c r="F1083" s="250" t="s">
        <v>156</v>
      </c>
      <c r="G1083" s="407" t="s">
        <v>568</v>
      </c>
      <c r="H1083" s="250" t="s">
        <v>157</v>
      </c>
      <c r="I1083" s="250" t="s">
        <v>176</v>
      </c>
      <c r="J1083" s="250" t="s">
        <v>481</v>
      </c>
      <c r="K1083" s="250" t="s">
        <v>169</v>
      </c>
      <c r="L1083" s="250" t="s">
        <v>161</v>
      </c>
      <c r="M1083" s="250" t="s">
        <v>162</v>
      </c>
      <c r="N1083" s="250" t="s">
        <v>569</v>
      </c>
    </row>
    <row r="1084" spans="1:14" ht="16.5">
      <c r="A1084" s="250" t="s">
        <v>151</v>
      </c>
      <c r="B1084" s="250" t="s">
        <v>570</v>
      </c>
      <c r="C1084" s="251">
        <v>4.6296296296296294E-5</v>
      </c>
      <c r="D1084" s="250" t="s">
        <v>571</v>
      </c>
      <c r="E1084" s="250" t="s">
        <v>154</v>
      </c>
      <c r="F1084" s="250" t="s">
        <v>572</v>
      </c>
      <c r="G1084" s="407" t="s">
        <v>156</v>
      </c>
      <c r="H1084" s="250" t="s">
        <v>157</v>
      </c>
      <c r="I1084" s="250" t="s">
        <v>158</v>
      </c>
      <c r="J1084" s="250" t="s">
        <v>481</v>
      </c>
      <c r="K1084" s="250" t="s">
        <v>160</v>
      </c>
      <c r="L1084" s="250" t="s">
        <v>161</v>
      </c>
      <c r="M1084" s="250" t="s">
        <v>162</v>
      </c>
      <c r="N1084" s="250" t="s">
        <v>572</v>
      </c>
    </row>
    <row r="1085" spans="1:14" ht="16.5">
      <c r="A1085" s="250" t="s">
        <v>151</v>
      </c>
      <c r="B1085" s="250" t="s">
        <v>177</v>
      </c>
      <c r="C1085" s="251">
        <v>1.7361111111111112E-4</v>
      </c>
      <c r="D1085" s="250" t="s">
        <v>178</v>
      </c>
      <c r="E1085" s="250" t="s">
        <v>154</v>
      </c>
      <c r="F1085" s="250" t="s">
        <v>173</v>
      </c>
      <c r="G1085" s="407" t="s">
        <v>174</v>
      </c>
      <c r="H1085" s="250" t="s">
        <v>157</v>
      </c>
      <c r="I1085" s="250" t="s">
        <v>158</v>
      </c>
      <c r="J1085" s="250" t="s">
        <v>159</v>
      </c>
      <c r="K1085" s="250" t="s">
        <v>160</v>
      </c>
      <c r="L1085" s="250" t="s">
        <v>161</v>
      </c>
      <c r="M1085" s="250" t="s">
        <v>162</v>
      </c>
      <c r="N1085" s="250" t="s">
        <v>179</v>
      </c>
    </row>
    <row r="1086" spans="1:14" ht="16.5">
      <c r="A1086" s="250" t="s">
        <v>185</v>
      </c>
      <c r="B1086" s="250" t="s">
        <v>193</v>
      </c>
      <c r="C1086" s="251">
        <v>3.2407407407407406E-4</v>
      </c>
      <c r="D1086" s="250" t="s">
        <v>194</v>
      </c>
      <c r="E1086" s="250" t="s">
        <v>154</v>
      </c>
      <c r="F1086" s="250" t="s">
        <v>195</v>
      </c>
      <c r="G1086" s="407" t="s">
        <v>196</v>
      </c>
      <c r="H1086" s="250" t="s">
        <v>157</v>
      </c>
      <c r="I1086" s="250" t="s">
        <v>197</v>
      </c>
      <c r="J1086" s="250" t="s">
        <v>198</v>
      </c>
      <c r="K1086" s="250" t="s">
        <v>169</v>
      </c>
      <c r="L1086" s="250" t="s">
        <v>161</v>
      </c>
      <c r="M1086" s="250" t="s">
        <v>162</v>
      </c>
      <c r="N1086" s="250" t="s">
        <v>199</v>
      </c>
    </row>
    <row r="1087" spans="1:14" ht="16.5">
      <c r="A1087" s="250" t="s">
        <v>185</v>
      </c>
      <c r="B1087" s="250" t="s">
        <v>200</v>
      </c>
      <c r="C1087" s="251">
        <v>1.2152777777777778E-3</v>
      </c>
      <c r="D1087" s="250" t="s">
        <v>201</v>
      </c>
      <c r="E1087" s="250" t="s">
        <v>154</v>
      </c>
      <c r="F1087" s="250" t="s">
        <v>195</v>
      </c>
      <c r="G1087" s="407" t="s">
        <v>196</v>
      </c>
      <c r="H1087" s="250" t="s">
        <v>157</v>
      </c>
      <c r="I1087" s="250" t="s">
        <v>197</v>
      </c>
      <c r="J1087" s="250" t="s">
        <v>198</v>
      </c>
      <c r="K1087" s="250" t="s">
        <v>169</v>
      </c>
      <c r="L1087" s="250" t="s">
        <v>161</v>
      </c>
      <c r="M1087" s="250" t="s">
        <v>162</v>
      </c>
      <c r="N1087" s="250" t="s">
        <v>202</v>
      </c>
    </row>
    <row r="1088" spans="1:14" ht="16.5">
      <c r="A1088" s="250" t="s">
        <v>185</v>
      </c>
      <c r="B1088" s="250" t="s">
        <v>203</v>
      </c>
      <c r="C1088" s="251">
        <v>9.3634259259259261E-3</v>
      </c>
      <c r="D1088" s="250" t="s">
        <v>204</v>
      </c>
      <c r="E1088" s="250" t="s">
        <v>154</v>
      </c>
      <c r="F1088" s="250" t="s">
        <v>205</v>
      </c>
      <c r="G1088" s="407" t="s">
        <v>206</v>
      </c>
      <c r="H1088" s="250" t="s">
        <v>157</v>
      </c>
      <c r="I1088" s="250" t="s">
        <v>197</v>
      </c>
      <c r="J1088" s="250" t="s">
        <v>198</v>
      </c>
      <c r="K1088" s="250" t="s">
        <v>160</v>
      </c>
      <c r="L1088" s="250" t="s">
        <v>161</v>
      </c>
      <c r="M1088" s="250" t="s">
        <v>162</v>
      </c>
      <c r="N1088" s="250" t="s">
        <v>207</v>
      </c>
    </row>
    <row r="1089" spans="1:14" ht="16.5">
      <c r="A1089" s="250" t="s">
        <v>185</v>
      </c>
      <c r="B1089" s="250" t="s">
        <v>208</v>
      </c>
      <c r="C1089" s="251">
        <v>1.7245370370370372E-3</v>
      </c>
      <c r="D1089" s="250" t="s">
        <v>209</v>
      </c>
      <c r="E1089" s="250" t="s">
        <v>154</v>
      </c>
      <c r="F1089" s="250" t="s">
        <v>210</v>
      </c>
      <c r="G1089" s="407" t="s">
        <v>211</v>
      </c>
      <c r="H1089" s="250" t="s">
        <v>157</v>
      </c>
      <c r="I1089" s="250" t="s">
        <v>158</v>
      </c>
      <c r="J1089" s="250" t="s">
        <v>212</v>
      </c>
      <c r="K1089" s="250" t="s">
        <v>160</v>
      </c>
      <c r="L1089" s="250" t="s">
        <v>161</v>
      </c>
      <c r="M1089" s="250" t="s">
        <v>162</v>
      </c>
      <c r="N1089" s="250" t="s">
        <v>213</v>
      </c>
    </row>
    <row r="1090" spans="1:14" ht="16.5">
      <c r="A1090" s="250" t="s">
        <v>185</v>
      </c>
      <c r="B1090" s="250" t="s">
        <v>214</v>
      </c>
      <c r="C1090" s="251">
        <v>4.7453703703703704E-4</v>
      </c>
      <c r="D1090" s="250" t="s">
        <v>215</v>
      </c>
      <c r="E1090" s="250" t="s">
        <v>154</v>
      </c>
      <c r="F1090" s="250" t="s">
        <v>216</v>
      </c>
      <c r="G1090" s="407" t="s">
        <v>217</v>
      </c>
      <c r="H1090" s="250" t="s">
        <v>157</v>
      </c>
      <c r="I1090" s="250" t="s">
        <v>158</v>
      </c>
      <c r="J1090" s="250" t="s">
        <v>159</v>
      </c>
      <c r="K1090" s="250" t="s">
        <v>160</v>
      </c>
      <c r="L1090" s="250" t="s">
        <v>161</v>
      </c>
      <c r="M1090" s="250" t="s">
        <v>162</v>
      </c>
      <c r="N1090" s="250" t="s">
        <v>218</v>
      </c>
    </row>
    <row r="1091" spans="1:14" ht="16.5">
      <c r="A1091" s="250" t="s">
        <v>185</v>
      </c>
      <c r="B1091" s="250" t="s">
        <v>219</v>
      </c>
      <c r="C1091" s="251">
        <v>2.1527777777777778E-3</v>
      </c>
      <c r="D1091" s="250" t="s">
        <v>220</v>
      </c>
      <c r="E1091" s="250" t="s">
        <v>154</v>
      </c>
      <c r="F1091" s="250" t="s">
        <v>216</v>
      </c>
      <c r="G1091" s="407" t="s">
        <v>217</v>
      </c>
      <c r="H1091" s="250" t="s">
        <v>157</v>
      </c>
      <c r="I1091" s="250" t="s">
        <v>158</v>
      </c>
      <c r="J1091" s="250" t="s">
        <v>159</v>
      </c>
      <c r="K1091" s="250" t="s">
        <v>160</v>
      </c>
      <c r="L1091" s="250" t="s">
        <v>161</v>
      </c>
      <c r="M1091" s="250" t="s">
        <v>162</v>
      </c>
      <c r="N1091" s="250" t="s">
        <v>221</v>
      </c>
    </row>
    <row r="1092" spans="1:14" ht="16.5">
      <c r="A1092" s="250" t="s">
        <v>185</v>
      </c>
      <c r="B1092" s="250" t="s">
        <v>222</v>
      </c>
      <c r="C1092" s="251">
        <v>3.2407407407407406E-4</v>
      </c>
      <c r="D1092" s="250" t="s">
        <v>223</v>
      </c>
      <c r="E1092" s="250" t="s">
        <v>154</v>
      </c>
      <c r="F1092" s="250" t="s">
        <v>224</v>
      </c>
      <c r="G1092" s="407" t="s">
        <v>225</v>
      </c>
      <c r="H1092" s="250" t="s">
        <v>157</v>
      </c>
      <c r="I1092" s="250" t="s">
        <v>197</v>
      </c>
      <c r="J1092" s="250" t="s">
        <v>198</v>
      </c>
      <c r="K1092" s="250" t="s">
        <v>169</v>
      </c>
      <c r="L1092" s="250" t="s">
        <v>161</v>
      </c>
      <c r="M1092" s="250" t="s">
        <v>162</v>
      </c>
      <c r="N1092" s="250" t="s">
        <v>226</v>
      </c>
    </row>
    <row r="1093" spans="1:14" ht="16.5">
      <c r="A1093" s="250" t="s">
        <v>185</v>
      </c>
      <c r="B1093" s="250" t="s">
        <v>227</v>
      </c>
      <c r="C1093" s="251">
        <v>3.4722222222222224E-4</v>
      </c>
      <c r="D1093" s="250" t="s">
        <v>228</v>
      </c>
      <c r="E1093" s="250" t="s">
        <v>154</v>
      </c>
      <c r="F1093" s="250" t="s">
        <v>229</v>
      </c>
      <c r="G1093" s="407" t="s">
        <v>230</v>
      </c>
      <c r="H1093" s="250" t="s">
        <v>157</v>
      </c>
      <c r="I1093" s="250" t="s">
        <v>197</v>
      </c>
      <c r="J1093" s="250" t="s">
        <v>198</v>
      </c>
      <c r="K1093" s="250" t="s">
        <v>169</v>
      </c>
      <c r="L1093" s="250" t="s">
        <v>161</v>
      </c>
      <c r="M1093" s="250" t="s">
        <v>162</v>
      </c>
      <c r="N1093" s="250" t="s">
        <v>231</v>
      </c>
    </row>
    <row r="1094" spans="1:14" ht="16.5">
      <c r="A1094" s="250" t="s">
        <v>185</v>
      </c>
      <c r="B1094" s="250" t="s">
        <v>232</v>
      </c>
      <c r="C1094" s="251">
        <v>1.4699074074074074E-3</v>
      </c>
      <c r="D1094" s="250" t="s">
        <v>233</v>
      </c>
      <c r="E1094" s="250" t="s">
        <v>154</v>
      </c>
      <c r="F1094" s="250" t="s">
        <v>234</v>
      </c>
      <c r="G1094" s="407" t="s">
        <v>235</v>
      </c>
      <c r="H1094" s="250" t="s">
        <v>157</v>
      </c>
      <c r="I1094" s="250" t="s">
        <v>197</v>
      </c>
      <c r="J1094" s="250" t="s">
        <v>198</v>
      </c>
      <c r="K1094" s="250" t="s">
        <v>160</v>
      </c>
      <c r="L1094" s="250" t="s">
        <v>161</v>
      </c>
      <c r="M1094" s="250" t="s">
        <v>162</v>
      </c>
      <c r="N1094" s="250" t="s">
        <v>236</v>
      </c>
    </row>
    <row r="1095" spans="1:14" ht="16.5">
      <c r="A1095" s="250" t="s">
        <v>185</v>
      </c>
      <c r="B1095" s="250" t="s">
        <v>237</v>
      </c>
      <c r="C1095" s="251">
        <v>1.8171296296296297E-3</v>
      </c>
      <c r="D1095" s="250" t="s">
        <v>238</v>
      </c>
      <c r="E1095" s="250" t="s">
        <v>154</v>
      </c>
      <c r="F1095" s="250" t="s">
        <v>239</v>
      </c>
      <c r="G1095" s="407" t="s">
        <v>235</v>
      </c>
      <c r="H1095" s="250" t="s">
        <v>157</v>
      </c>
      <c r="I1095" s="250" t="s">
        <v>197</v>
      </c>
      <c r="J1095" s="250" t="s">
        <v>198</v>
      </c>
      <c r="K1095" s="250" t="s">
        <v>160</v>
      </c>
      <c r="L1095" s="250" t="s">
        <v>161</v>
      </c>
      <c r="M1095" s="250" t="s">
        <v>162</v>
      </c>
      <c r="N1095" s="250" t="s">
        <v>240</v>
      </c>
    </row>
    <row r="1096" spans="1:14" ht="16.5">
      <c r="A1096" s="250" t="s">
        <v>185</v>
      </c>
      <c r="B1096" s="250" t="s">
        <v>241</v>
      </c>
      <c r="C1096" s="251">
        <v>8.564814814814815E-4</v>
      </c>
      <c r="D1096" s="250" t="s">
        <v>242</v>
      </c>
      <c r="E1096" s="250" t="s">
        <v>154</v>
      </c>
      <c r="F1096" s="250" t="s">
        <v>229</v>
      </c>
      <c r="G1096" s="407" t="s">
        <v>243</v>
      </c>
      <c r="H1096" s="250" t="s">
        <v>157</v>
      </c>
      <c r="I1096" s="250" t="s">
        <v>197</v>
      </c>
      <c r="J1096" s="250" t="s">
        <v>198</v>
      </c>
      <c r="K1096" s="250" t="s">
        <v>169</v>
      </c>
      <c r="L1096" s="250" t="s">
        <v>161</v>
      </c>
      <c r="M1096" s="250" t="s">
        <v>162</v>
      </c>
      <c r="N1096" s="250" t="s">
        <v>244</v>
      </c>
    </row>
    <row r="1097" spans="1:14" ht="16.5">
      <c r="A1097" s="250" t="s">
        <v>185</v>
      </c>
      <c r="B1097" s="250" t="s">
        <v>245</v>
      </c>
      <c r="C1097" s="251">
        <v>1.0763888888888889E-3</v>
      </c>
      <c r="D1097" s="250" t="s">
        <v>246</v>
      </c>
      <c r="E1097" s="250" t="s">
        <v>154</v>
      </c>
      <c r="F1097" s="250" t="s">
        <v>247</v>
      </c>
      <c r="G1097" s="407" t="s">
        <v>248</v>
      </c>
      <c r="H1097" s="250" t="s">
        <v>157</v>
      </c>
      <c r="I1097" s="250" t="s">
        <v>158</v>
      </c>
      <c r="J1097" s="250" t="s">
        <v>168</v>
      </c>
      <c r="K1097" s="250" t="s">
        <v>169</v>
      </c>
      <c r="L1097" s="250" t="s">
        <v>161</v>
      </c>
      <c r="M1097" s="250" t="s">
        <v>162</v>
      </c>
      <c r="N1097" s="250" t="s">
        <v>249</v>
      </c>
    </row>
    <row r="1098" spans="1:14" ht="16.5">
      <c r="A1098" s="250" t="s">
        <v>185</v>
      </c>
      <c r="B1098" s="250" t="s">
        <v>250</v>
      </c>
      <c r="C1098" s="251">
        <v>2.5578703703703705E-3</v>
      </c>
      <c r="D1098" s="250" t="s">
        <v>251</v>
      </c>
      <c r="E1098" s="250" t="s">
        <v>154</v>
      </c>
      <c r="F1098" s="250" t="s">
        <v>252</v>
      </c>
      <c r="G1098" s="407" t="s">
        <v>253</v>
      </c>
      <c r="H1098" s="250" t="s">
        <v>157</v>
      </c>
      <c r="I1098" s="250" t="s">
        <v>158</v>
      </c>
      <c r="J1098" s="250" t="s">
        <v>168</v>
      </c>
      <c r="K1098" s="250" t="s">
        <v>169</v>
      </c>
      <c r="L1098" s="250" t="s">
        <v>161</v>
      </c>
      <c r="M1098" s="250" t="s">
        <v>162</v>
      </c>
      <c r="N1098" s="250" t="s">
        <v>254</v>
      </c>
    </row>
    <row r="1099" spans="1:14" ht="16.5">
      <c r="A1099" s="250" t="s">
        <v>185</v>
      </c>
      <c r="B1099" s="250" t="s">
        <v>255</v>
      </c>
      <c r="C1099" s="251">
        <v>1.2384259259259258E-3</v>
      </c>
      <c r="D1099" s="250" t="s">
        <v>256</v>
      </c>
      <c r="E1099" s="250" t="s">
        <v>154</v>
      </c>
      <c r="F1099" s="250" t="s">
        <v>257</v>
      </c>
      <c r="G1099" s="407" t="s">
        <v>258</v>
      </c>
      <c r="H1099" s="250" t="s">
        <v>157</v>
      </c>
      <c r="I1099" s="250" t="s">
        <v>158</v>
      </c>
      <c r="J1099" s="250" t="s">
        <v>159</v>
      </c>
      <c r="K1099" s="250" t="s">
        <v>160</v>
      </c>
      <c r="L1099" s="250" t="s">
        <v>161</v>
      </c>
      <c r="M1099" s="250" t="s">
        <v>162</v>
      </c>
      <c r="N1099" s="250" t="s">
        <v>259</v>
      </c>
    </row>
    <row r="1100" spans="1:14" ht="16.5">
      <c r="A1100" s="250" t="s">
        <v>185</v>
      </c>
      <c r="B1100" s="250" t="s">
        <v>260</v>
      </c>
      <c r="C1100" s="251">
        <v>8.564814814814815E-4</v>
      </c>
      <c r="D1100" s="250" t="s">
        <v>261</v>
      </c>
      <c r="E1100" s="250" t="s">
        <v>154</v>
      </c>
      <c r="F1100" s="250" t="s">
        <v>247</v>
      </c>
      <c r="G1100" s="407" t="s">
        <v>248</v>
      </c>
      <c r="H1100" s="250" t="s">
        <v>157</v>
      </c>
      <c r="I1100" s="250" t="s">
        <v>158</v>
      </c>
      <c r="J1100" s="250" t="s">
        <v>159</v>
      </c>
      <c r="K1100" s="250" t="s">
        <v>169</v>
      </c>
      <c r="L1100" s="250" t="s">
        <v>161</v>
      </c>
      <c r="M1100" s="250" t="s">
        <v>162</v>
      </c>
      <c r="N1100" s="250" t="s">
        <v>262</v>
      </c>
    </row>
    <row r="1101" spans="1:14" ht="16.5">
      <c r="A1101" s="250" t="s">
        <v>185</v>
      </c>
      <c r="B1101" s="250" t="s">
        <v>263</v>
      </c>
      <c r="C1101" s="251">
        <v>3.1250000000000001E-4</v>
      </c>
      <c r="D1101" s="250" t="s">
        <v>264</v>
      </c>
      <c r="E1101" s="250" t="s">
        <v>154</v>
      </c>
      <c r="F1101" s="250" t="s">
        <v>247</v>
      </c>
      <c r="G1101" s="407" t="s">
        <v>265</v>
      </c>
      <c r="H1101" s="250" t="s">
        <v>157</v>
      </c>
      <c r="I1101" s="250" t="s">
        <v>158</v>
      </c>
      <c r="J1101" s="250" t="s">
        <v>159</v>
      </c>
      <c r="K1101" s="250" t="s">
        <v>169</v>
      </c>
      <c r="L1101" s="250" t="s">
        <v>161</v>
      </c>
      <c r="M1101" s="250" t="s">
        <v>162</v>
      </c>
      <c r="N1101" s="250" t="s">
        <v>266</v>
      </c>
    </row>
    <row r="1102" spans="1:14" ht="16.5">
      <c r="A1102" s="250" t="s">
        <v>185</v>
      </c>
      <c r="B1102" s="250" t="s">
        <v>267</v>
      </c>
      <c r="C1102" s="251">
        <v>6.2500000000000001E-4</v>
      </c>
      <c r="D1102" s="250" t="s">
        <v>268</v>
      </c>
      <c r="E1102" s="250" t="s">
        <v>154</v>
      </c>
      <c r="F1102" s="250" t="s">
        <v>269</v>
      </c>
      <c r="G1102" s="407" t="s">
        <v>270</v>
      </c>
      <c r="H1102" s="250" t="s">
        <v>157</v>
      </c>
      <c r="I1102" s="250" t="s">
        <v>158</v>
      </c>
      <c r="J1102" s="250" t="s">
        <v>159</v>
      </c>
      <c r="K1102" s="250" t="s">
        <v>160</v>
      </c>
      <c r="L1102" s="250" t="s">
        <v>161</v>
      </c>
      <c r="M1102" s="250" t="s">
        <v>162</v>
      </c>
      <c r="N1102" s="250" t="s">
        <v>271</v>
      </c>
    </row>
    <row r="1103" spans="1:14" ht="16.5">
      <c r="A1103" s="250" t="s">
        <v>272</v>
      </c>
      <c r="B1103" s="250" t="s">
        <v>273</v>
      </c>
      <c r="C1103" s="251">
        <v>1.8171296296296297E-3</v>
      </c>
      <c r="D1103" s="250" t="s">
        <v>274</v>
      </c>
      <c r="E1103" s="250" t="s">
        <v>154</v>
      </c>
      <c r="F1103" s="250" t="s">
        <v>275</v>
      </c>
      <c r="G1103" s="407" t="s">
        <v>276</v>
      </c>
      <c r="H1103" s="250" t="s">
        <v>157</v>
      </c>
      <c r="I1103" s="250" t="s">
        <v>158</v>
      </c>
      <c r="J1103" s="250" t="s">
        <v>159</v>
      </c>
      <c r="K1103" s="250" t="s">
        <v>160</v>
      </c>
      <c r="L1103" s="250" t="s">
        <v>161</v>
      </c>
      <c r="M1103" s="250" t="s">
        <v>162</v>
      </c>
      <c r="N1103" s="250" t="s">
        <v>277</v>
      </c>
    </row>
    <row r="1104" spans="1:14" ht="16.5">
      <c r="A1104" s="250" t="s">
        <v>272</v>
      </c>
      <c r="B1104" s="250" t="s">
        <v>278</v>
      </c>
      <c r="C1104" s="251">
        <v>2.3148148148148151E-3</v>
      </c>
      <c r="D1104" s="250" t="s">
        <v>279</v>
      </c>
      <c r="E1104" s="250" t="s">
        <v>154</v>
      </c>
      <c r="F1104" s="250" t="s">
        <v>280</v>
      </c>
      <c r="G1104" s="407" t="s">
        <v>281</v>
      </c>
      <c r="H1104" s="250" t="s">
        <v>157</v>
      </c>
      <c r="I1104" s="250" t="s">
        <v>176</v>
      </c>
      <c r="J1104" s="250" t="s">
        <v>282</v>
      </c>
      <c r="K1104" s="250" t="s">
        <v>169</v>
      </c>
      <c r="L1104" s="250" t="s">
        <v>161</v>
      </c>
      <c r="M1104" s="250" t="s">
        <v>162</v>
      </c>
      <c r="N1104" s="250" t="s">
        <v>283</v>
      </c>
    </row>
    <row r="1105" spans="1:14" ht="16.5">
      <c r="A1105" s="250" t="s">
        <v>272</v>
      </c>
      <c r="B1105" s="250" t="s">
        <v>284</v>
      </c>
      <c r="C1105" s="251">
        <v>3.0787037037037037E-3</v>
      </c>
      <c r="D1105" s="250" t="s">
        <v>285</v>
      </c>
      <c r="E1105" s="250" t="s">
        <v>154</v>
      </c>
      <c r="F1105" s="250" t="s">
        <v>229</v>
      </c>
      <c r="G1105" s="407" t="s">
        <v>286</v>
      </c>
      <c r="H1105" s="250" t="s">
        <v>157</v>
      </c>
      <c r="I1105" s="250" t="s">
        <v>158</v>
      </c>
      <c r="J1105" s="250" t="s">
        <v>168</v>
      </c>
      <c r="K1105" s="250" t="s">
        <v>160</v>
      </c>
      <c r="L1105" s="250" t="s">
        <v>161</v>
      </c>
      <c r="M1105" s="250" t="s">
        <v>162</v>
      </c>
      <c r="N1105" s="250" t="s">
        <v>287</v>
      </c>
    </row>
    <row r="1106" spans="1:14" ht="16.5">
      <c r="A1106" s="250" t="s">
        <v>272</v>
      </c>
      <c r="B1106" s="250" t="s">
        <v>288</v>
      </c>
      <c r="C1106" s="251">
        <v>1.9212962962962962E-3</v>
      </c>
      <c r="D1106" s="250" t="s">
        <v>289</v>
      </c>
      <c r="E1106" s="250" t="s">
        <v>154</v>
      </c>
      <c r="F1106" s="250" t="s">
        <v>290</v>
      </c>
      <c r="G1106" s="407" t="s">
        <v>281</v>
      </c>
      <c r="H1106" s="250" t="s">
        <v>157</v>
      </c>
      <c r="I1106" s="250" t="s">
        <v>197</v>
      </c>
      <c r="J1106" s="250" t="s">
        <v>198</v>
      </c>
      <c r="K1106" s="250" t="s">
        <v>160</v>
      </c>
      <c r="L1106" s="250" t="s">
        <v>161</v>
      </c>
      <c r="M1106" s="250" t="s">
        <v>162</v>
      </c>
      <c r="N1106" s="250" t="s">
        <v>291</v>
      </c>
    </row>
    <row r="1107" spans="1:14" ht="16.5">
      <c r="A1107" s="250" t="s">
        <v>272</v>
      </c>
      <c r="B1107" s="250" t="s">
        <v>292</v>
      </c>
      <c r="C1107" s="251">
        <v>4.8611111111111104E-4</v>
      </c>
      <c r="D1107" s="250" t="s">
        <v>293</v>
      </c>
      <c r="E1107" s="250" t="s">
        <v>154</v>
      </c>
      <c r="F1107" s="250" t="s">
        <v>290</v>
      </c>
      <c r="G1107" s="407" t="s">
        <v>281</v>
      </c>
      <c r="H1107" s="250" t="s">
        <v>157</v>
      </c>
      <c r="I1107" s="250" t="s">
        <v>197</v>
      </c>
      <c r="J1107" s="250" t="s">
        <v>198</v>
      </c>
      <c r="K1107" s="250" t="s">
        <v>160</v>
      </c>
      <c r="L1107" s="250" t="s">
        <v>161</v>
      </c>
      <c r="M1107" s="250" t="s">
        <v>162</v>
      </c>
      <c r="N1107" s="250" t="s">
        <v>294</v>
      </c>
    </row>
    <row r="1108" spans="1:14" ht="16.5">
      <c r="A1108" s="250" t="s">
        <v>272</v>
      </c>
      <c r="B1108" s="250" t="s">
        <v>295</v>
      </c>
      <c r="C1108" s="251">
        <v>6.9444444444444447E-4</v>
      </c>
      <c r="D1108" s="250" t="s">
        <v>296</v>
      </c>
      <c r="E1108" s="250" t="s">
        <v>154</v>
      </c>
      <c r="F1108" s="250" t="s">
        <v>290</v>
      </c>
      <c r="G1108" s="407" t="s">
        <v>281</v>
      </c>
      <c r="H1108" s="250" t="s">
        <v>157</v>
      </c>
      <c r="I1108" s="250" t="s">
        <v>197</v>
      </c>
      <c r="J1108" s="250" t="s">
        <v>297</v>
      </c>
      <c r="K1108" s="250" t="s">
        <v>160</v>
      </c>
      <c r="L1108" s="250" t="s">
        <v>161</v>
      </c>
      <c r="M1108" s="250" t="s">
        <v>162</v>
      </c>
      <c r="N1108" s="250" t="s">
        <v>298</v>
      </c>
    </row>
    <row r="1109" spans="1:14" ht="16.5">
      <c r="A1109" s="250" t="s">
        <v>272</v>
      </c>
      <c r="B1109" s="250" t="s">
        <v>299</v>
      </c>
      <c r="C1109" s="251">
        <v>9.3750000000000007E-4</v>
      </c>
      <c r="D1109" s="250" t="s">
        <v>300</v>
      </c>
      <c r="E1109" s="250" t="s">
        <v>154</v>
      </c>
      <c r="F1109" s="250" t="s">
        <v>224</v>
      </c>
      <c r="G1109" s="407" t="s">
        <v>301</v>
      </c>
      <c r="H1109" s="250" t="s">
        <v>157</v>
      </c>
      <c r="I1109" s="250" t="s">
        <v>158</v>
      </c>
      <c r="J1109" s="250" t="s">
        <v>191</v>
      </c>
      <c r="K1109" s="250" t="s">
        <v>95</v>
      </c>
      <c r="L1109" s="250" t="s">
        <v>161</v>
      </c>
      <c r="M1109" s="250" t="s">
        <v>162</v>
      </c>
      <c r="N1109" s="250" t="s">
        <v>302</v>
      </c>
    </row>
    <row r="1110" spans="1:14" ht="16.5">
      <c r="A1110" s="250" t="s">
        <v>272</v>
      </c>
      <c r="B1110" s="250" t="s">
        <v>303</v>
      </c>
      <c r="C1110" s="251">
        <v>1.2384259259259258E-3</v>
      </c>
      <c r="D1110" s="250" t="s">
        <v>304</v>
      </c>
      <c r="E1110" s="250" t="s">
        <v>154</v>
      </c>
      <c r="F1110" s="250" t="s">
        <v>305</v>
      </c>
      <c r="G1110" s="407" t="s">
        <v>306</v>
      </c>
      <c r="H1110" s="250" t="s">
        <v>157</v>
      </c>
      <c r="I1110" s="250" t="s">
        <v>158</v>
      </c>
      <c r="J1110" s="250" t="s">
        <v>159</v>
      </c>
      <c r="K1110" s="250" t="s">
        <v>169</v>
      </c>
      <c r="L1110" s="250" t="s">
        <v>161</v>
      </c>
      <c r="M1110" s="250" t="s">
        <v>162</v>
      </c>
      <c r="N1110" s="250" t="s">
        <v>307</v>
      </c>
    </row>
    <row r="1111" spans="1:14" ht="16.5">
      <c r="A1111" s="250" t="s">
        <v>272</v>
      </c>
      <c r="B1111" s="250" t="s">
        <v>308</v>
      </c>
      <c r="C1111" s="251">
        <v>8.6805555555555551E-4</v>
      </c>
      <c r="D1111" s="250" t="s">
        <v>309</v>
      </c>
      <c r="E1111" s="250" t="s">
        <v>154</v>
      </c>
      <c r="F1111" s="250" t="s">
        <v>310</v>
      </c>
      <c r="G1111" s="407" t="s">
        <v>311</v>
      </c>
      <c r="H1111" s="250" t="s">
        <v>157</v>
      </c>
      <c r="I1111" s="250" t="s">
        <v>197</v>
      </c>
      <c r="J1111" s="250" t="s">
        <v>198</v>
      </c>
      <c r="K1111" s="250" t="s">
        <v>169</v>
      </c>
      <c r="L1111" s="250" t="s">
        <v>161</v>
      </c>
      <c r="M1111" s="250" t="s">
        <v>162</v>
      </c>
      <c r="N1111" s="250" t="s">
        <v>312</v>
      </c>
    </row>
    <row r="1112" spans="1:14" ht="16.5">
      <c r="A1112" s="250" t="s">
        <v>272</v>
      </c>
      <c r="B1112" s="250" t="s">
        <v>313</v>
      </c>
      <c r="C1112" s="251">
        <v>5.4398148148148144E-4</v>
      </c>
      <c r="D1112" s="250" t="s">
        <v>314</v>
      </c>
      <c r="E1112" s="250" t="s">
        <v>154</v>
      </c>
      <c r="F1112" s="250" t="s">
        <v>310</v>
      </c>
      <c r="G1112" s="407" t="s">
        <v>156</v>
      </c>
      <c r="H1112" s="250" t="s">
        <v>157</v>
      </c>
      <c r="I1112" s="250" t="s">
        <v>197</v>
      </c>
      <c r="J1112" s="250" t="s">
        <v>198</v>
      </c>
      <c r="K1112" s="250" t="s">
        <v>169</v>
      </c>
      <c r="L1112" s="250" t="s">
        <v>161</v>
      </c>
      <c r="M1112" s="250" t="s">
        <v>162</v>
      </c>
      <c r="N1112" s="250" t="s">
        <v>315</v>
      </c>
    </row>
    <row r="1113" spans="1:14" ht="16.5">
      <c r="A1113" s="250" t="s">
        <v>321</v>
      </c>
      <c r="B1113" s="250" t="s">
        <v>322</v>
      </c>
      <c r="C1113" s="251">
        <v>1.0416666666666667E-3</v>
      </c>
      <c r="D1113" s="250" t="s">
        <v>323</v>
      </c>
      <c r="E1113" s="250" t="s">
        <v>154</v>
      </c>
      <c r="F1113" s="250" t="s">
        <v>324</v>
      </c>
      <c r="G1113" s="407" t="s">
        <v>325</v>
      </c>
      <c r="H1113" s="250" t="s">
        <v>157</v>
      </c>
      <c r="I1113" s="250" t="s">
        <v>197</v>
      </c>
      <c r="J1113" s="250" t="s">
        <v>326</v>
      </c>
      <c r="K1113" s="250" t="s">
        <v>169</v>
      </c>
      <c r="L1113" s="250" t="s">
        <v>161</v>
      </c>
      <c r="M1113" s="250" t="s">
        <v>162</v>
      </c>
      <c r="N1113" s="250" t="s">
        <v>327</v>
      </c>
    </row>
    <row r="1114" spans="1:14" ht="16.5">
      <c r="A1114" s="250" t="s">
        <v>321</v>
      </c>
      <c r="B1114" s="250" t="s">
        <v>755</v>
      </c>
      <c r="C1114" s="251">
        <v>0</v>
      </c>
      <c r="D1114" s="250" t="s">
        <v>756</v>
      </c>
      <c r="E1114" s="250" t="s">
        <v>154</v>
      </c>
      <c r="F1114" s="250" t="s">
        <v>572</v>
      </c>
      <c r="G1114" s="407" t="s">
        <v>757</v>
      </c>
      <c r="H1114" s="250" t="s">
        <v>157</v>
      </c>
      <c r="I1114" s="250" t="s">
        <v>176</v>
      </c>
      <c r="J1114" s="250" t="s">
        <v>754</v>
      </c>
      <c r="K1114" s="250" t="s">
        <v>160</v>
      </c>
      <c r="L1114" s="250" t="s">
        <v>161</v>
      </c>
      <c r="M1114" s="250" t="s">
        <v>162</v>
      </c>
      <c r="N1114" s="250" t="s">
        <v>569</v>
      </c>
    </row>
  </sheetData>
  <phoneticPr fontId="19"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A1:R55"/>
  <sheetViews>
    <sheetView topLeftCell="D1" zoomScale="80" zoomScaleNormal="80" workbookViewId="0">
      <selection activeCell="D2" sqref="D2"/>
    </sheetView>
  </sheetViews>
  <sheetFormatPr defaultColWidth="8.75" defaultRowHeight="12"/>
  <cols>
    <col min="1" max="1" width="13.5" style="104" customWidth="1"/>
    <col min="2" max="3" width="8.75" style="104"/>
    <col min="4" max="4" width="18" style="104" bestFit="1" customWidth="1"/>
    <col min="5" max="12" width="8.75" style="104"/>
    <col min="13" max="13" width="15.5" style="104" bestFit="1" customWidth="1"/>
    <col min="14" max="14" width="178" style="104" bestFit="1" customWidth="1"/>
    <col min="15" max="17" width="8.75" style="104"/>
    <col min="18" max="18" width="8.75" style="179"/>
    <col min="19" max="16384" width="8.75" style="104"/>
  </cols>
  <sheetData>
    <row r="1" spans="1:14">
      <c r="A1" s="245">
        <f>SUM(C17:C18)</f>
        <v>1.3194444444444447E-3</v>
      </c>
    </row>
    <row r="2" spans="1:14" ht="16.5">
      <c r="A2" s="191" t="s">
        <v>139</v>
      </c>
      <c r="B2" s="191" t="s">
        <v>140</v>
      </c>
      <c r="C2" s="191" t="s">
        <v>141</v>
      </c>
      <c r="D2" s="191" t="s">
        <v>142</v>
      </c>
      <c r="E2" s="191" t="s">
        <v>143</v>
      </c>
      <c r="F2" s="191" t="s">
        <v>144</v>
      </c>
      <c r="G2" s="191" t="s">
        <v>328</v>
      </c>
      <c r="H2" s="191" t="s">
        <v>145</v>
      </c>
      <c r="I2" s="191" t="s">
        <v>146</v>
      </c>
      <c r="J2" s="191" t="s">
        <v>147</v>
      </c>
      <c r="K2" s="191" t="s">
        <v>148</v>
      </c>
      <c r="L2" s="191" t="s">
        <v>149</v>
      </c>
      <c r="M2" s="191" t="s">
        <v>149</v>
      </c>
      <c r="N2" s="191">
        <v>2</v>
      </c>
    </row>
    <row r="3" spans="1:14" s="244" customFormat="1" ht="16.5">
      <c r="A3" s="588" t="s">
        <v>3986</v>
      </c>
      <c r="B3" s="588" t="s">
        <v>4339</v>
      </c>
      <c r="C3" s="589">
        <v>5.0115740740740737E-3</v>
      </c>
      <c r="D3" s="588" t="s">
        <v>4340</v>
      </c>
      <c r="E3" s="588" t="s">
        <v>188</v>
      </c>
      <c r="F3" s="588" t="s">
        <v>3089</v>
      </c>
      <c r="G3" s="588" t="s">
        <v>3090</v>
      </c>
      <c r="H3" s="588" t="s">
        <v>157</v>
      </c>
      <c r="I3" s="588" t="s">
        <v>158</v>
      </c>
      <c r="J3" s="588" t="s">
        <v>212</v>
      </c>
      <c r="K3" s="588" t="s">
        <v>2714</v>
      </c>
      <c r="L3" s="588" t="s">
        <v>161</v>
      </c>
      <c r="M3" s="588" t="s">
        <v>162</v>
      </c>
      <c r="N3" s="588" t="s">
        <v>4341</v>
      </c>
    </row>
    <row r="4" spans="1:14" s="179" customFormat="1" ht="16.5">
      <c r="A4" s="588" t="s">
        <v>3986</v>
      </c>
      <c r="B4" s="588" t="s">
        <v>4342</v>
      </c>
      <c r="C4" s="589">
        <v>8.564814814814815E-4</v>
      </c>
      <c r="D4" s="588" t="s">
        <v>4343</v>
      </c>
      <c r="E4" s="588" t="s">
        <v>188</v>
      </c>
      <c r="F4" s="588" t="s">
        <v>4344</v>
      </c>
      <c r="G4" s="588" t="s">
        <v>4345</v>
      </c>
      <c r="H4" s="588" t="s">
        <v>157</v>
      </c>
      <c r="I4" s="588" t="s">
        <v>176</v>
      </c>
      <c r="J4" s="588" t="s">
        <v>481</v>
      </c>
      <c r="K4" s="588" t="s">
        <v>2714</v>
      </c>
      <c r="L4" s="588" t="s">
        <v>161</v>
      </c>
      <c r="M4" s="588" t="s">
        <v>162</v>
      </c>
      <c r="N4" s="588" t="s">
        <v>4346</v>
      </c>
    </row>
    <row r="5" spans="1:14" ht="16.5">
      <c r="A5" s="586" t="s">
        <v>3762</v>
      </c>
      <c r="B5" s="586" t="s">
        <v>3973</v>
      </c>
      <c r="C5" s="587">
        <v>2.5578703703703705E-3</v>
      </c>
      <c r="D5" s="586" t="s">
        <v>3974</v>
      </c>
      <c r="E5" s="586" t="s">
        <v>188</v>
      </c>
      <c r="F5" s="586" t="s">
        <v>3975</v>
      </c>
      <c r="G5" s="586" t="s">
        <v>2615</v>
      </c>
      <c r="H5" s="586" t="s">
        <v>157</v>
      </c>
      <c r="I5" s="586" t="s">
        <v>176</v>
      </c>
      <c r="J5" s="586" t="s">
        <v>282</v>
      </c>
      <c r="K5" s="586" t="s">
        <v>160</v>
      </c>
      <c r="L5" s="586" t="s">
        <v>161</v>
      </c>
      <c r="M5" s="586" t="s">
        <v>162</v>
      </c>
      <c r="N5" s="586" t="s">
        <v>3976</v>
      </c>
    </row>
    <row r="6" spans="1:14" ht="16.5">
      <c r="A6" s="586" t="s">
        <v>3497</v>
      </c>
      <c r="B6" s="586" t="s">
        <v>3498</v>
      </c>
      <c r="C6" s="587">
        <v>2.8935185185185189E-4</v>
      </c>
      <c r="D6" s="586" t="s">
        <v>3499</v>
      </c>
      <c r="E6" s="586" t="s">
        <v>188</v>
      </c>
      <c r="F6" s="586" t="s">
        <v>156</v>
      </c>
      <c r="G6" s="586" t="s">
        <v>3500</v>
      </c>
      <c r="H6" s="586" t="s">
        <v>157</v>
      </c>
      <c r="I6" s="586" t="s">
        <v>176</v>
      </c>
      <c r="J6" s="586" t="s">
        <v>481</v>
      </c>
      <c r="K6" s="586" t="s">
        <v>95</v>
      </c>
      <c r="L6" s="586" t="s">
        <v>161</v>
      </c>
      <c r="M6" s="586" t="s">
        <v>162</v>
      </c>
      <c r="N6" s="586" t="s">
        <v>3501</v>
      </c>
    </row>
    <row r="7" spans="1:14" ht="16.5">
      <c r="A7" s="586" t="s">
        <v>3497</v>
      </c>
      <c r="B7" s="586" t="s">
        <v>3502</v>
      </c>
      <c r="C7" s="587">
        <v>1.1921296296296296E-3</v>
      </c>
      <c r="D7" s="586" t="s">
        <v>3503</v>
      </c>
      <c r="E7" s="586" t="s">
        <v>188</v>
      </c>
      <c r="F7" s="586" t="s">
        <v>2761</v>
      </c>
      <c r="G7" s="586" t="s">
        <v>1162</v>
      </c>
      <c r="H7" s="586" t="s">
        <v>157</v>
      </c>
      <c r="I7" s="586" t="s">
        <v>158</v>
      </c>
      <c r="J7" s="586" t="s">
        <v>212</v>
      </c>
      <c r="K7" s="586" t="s">
        <v>160</v>
      </c>
      <c r="L7" s="586" t="s">
        <v>161</v>
      </c>
      <c r="M7" s="586" t="s">
        <v>162</v>
      </c>
      <c r="N7" s="586" t="s">
        <v>3504</v>
      </c>
    </row>
    <row r="8" spans="1:14" ht="16.5">
      <c r="A8" s="586" t="s">
        <v>3327</v>
      </c>
      <c r="B8" s="586" t="s">
        <v>3493</v>
      </c>
      <c r="C8" s="587">
        <v>1.2384259259259258E-3</v>
      </c>
      <c r="D8" s="586" t="s">
        <v>3494</v>
      </c>
      <c r="E8" s="586" t="s">
        <v>188</v>
      </c>
      <c r="F8" s="586" t="s">
        <v>1633</v>
      </c>
      <c r="G8" s="586" t="s">
        <v>1634</v>
      </c>
      <c r="H8" s="586" t="s">
        <v>157</v>
      </c>
      <c r="I8" s="586" t="s">
        <v>176</v>
      </c>
      <c r="J8" s="586" t="s">
        <v>481</v>
      </c>
      <c r="K8" s="586" t="s">
        <v>2714</v>
      </c>
      <c r="L8" s="586" t="s">
        <v>161</v>
      </c>
      <c r="M8" s="586" t="s">
        <v>162</v>
      </c>
      <c r="N8" s="586" t="s">
        <v>3495</v>
      </c>
    </row>
    <row r="9" spans="1:14" ht="16.5">
      <c r="A9" s="586" t="s">
        <v>2968</v>
      </c>
      <c r="B9" s="586" t="s">
        <v>3308</v>
      </c>
      <c r="C9" s="587">
        <v>2.9513888888888888E-3</v>
      </c>
      <c r="D9" s="586" t="s">
        <v>3309</v>
      </c>
      <c r="E9" s="586" t="s">
        <v>188</v>
      </c>
      <c r="F9" s="586" t="s">
        <v>1222</v>
      </c>
      <c r="G9" s="586" t="s">
        <v>1550</v>
      </c>
      <c r="H9" s="586" t="s">
        <v>157</v>
      </c>
      <c r="I9" s="586" t="s">
        <v>176</v>
      </c>
      <c r="J9" s="586" t="s">
        <v>481</v>
      </c>
      <c r="K9" s="586" t="s">
        <v>2714</v>
      </c>
      <c r="L9" s="586" t="s">
        <v>161</v>
      </c>
      <c r="M9" s="586" t="s">
        <v>162</v>
      </c>
      <c r="N9" s="586" t="s">
        <v>3310</v>
      </c>
    </row>
    <row r="10" spans="1:14" ht="16.5">
      <c r="A10" s="586" t="s">
        <v>2968</v>
      </c>
      <c r="B10" s="586" t="s">
        <v>3311</v>
      </c>
      <c r="C10" s="587">
        <v>7.7546296296296304E-4</v>
      </c>
      <c r="D10" s="586" t="s">
        <v>3312</v>
      </c>
      <c r="E10" s="586" t="s">
        <v>188</v>
      </c>
      <c r="F10" s="586" t="s">
        <v>3313</v>
      </c>
      <c r="G10" s="586" t="s">
        <v>3314</v>
      </c>
      <c r="H10" s="586" t="s">
        <v>157</v>
      </c>
      <c r="I10" s="586" t="s">
        <v>176</v>
      </c>
      <c r="J10" s="586" t="s">
        <v>1406</v>
      </c>
      <c r="K10" s="586" t="s">
        <v>160</v>
      </c>
      <c r="L10" s="586" t="s">
        <v>161</v>
      </c>
      <c r="M10" s="586" t="s">
        <v>162</v>
      </c>
      <c r="N10" s="586" t="s">
        <v>3315</v>
      </c>
    </row>
    <row r="11" spans="1:14" ht="16.5">
      <c r="A11" s="586" t="s">
        <v>2968</v>
      </c>
      <c r="B11" s="586" t="s">
        <v>3316</v>
      </c>
      <c r="C11" s="587">
        <v>9.7222222222222209E-4</v>
      </c>
      <c r="D11" s="586" t="s">
        <v>3317</v>
      </c>
      <c r="E11" s="586" t="s">
        <v>188</v>
      </c>
      <c r="F11" s="586" t="s">
        <v>3313</v>
      </c>
      <c r="G11" s="586" t="s">
        <v>3314</v>
      </c>
      <c r="H11" s="586" t="s">
        <v>157</v>
      </c>
      <c r="I11" s="586" t="s">
        <v>176</v>
      </c>
      <c r="J11" s="586" t="s">
        <v>1406</v>
      </c>
      <c r="K11" s="586" t="s">
        <v>2714</v>
      </c>
      <c r="L11" s="586" t="s">
        <v>161</v>
      </c>
      <c r="M11" s="586" t="s">
        <v>162</v>
      </c>
      <c r="N11" s="586" t="s">
        <v>3318</v>
      </c>
    </row>
    <row r="12" spans="1:14" ht="16.5">
      <c r="A12" s="586" t="s">
        <v>2968</v>
      </c>
      <c r="B12" s="586" t="s">
        <v>3319</v>
      </c>
      <c r="C12" s="587">
        <v>3.0092592592592595E-4</v>
      </c>
      <c r="D12" s="586" t="s">
        <v>3320</v>
      </c>
      <c r="E12" s="586" t="s">
        <v>188</v>
      </c>
      <c r="F12" s="586" t="s">
        <v>156</v>
      </c>
      <c r="G12" s="586" t="s">
        <v>3321</v>
      </c>
      <c r="H12" s="586" t="s">
        <v>157</v>
      </c>
      <c r="I12" s="586" t="s">
        <v>176</v>
      </c>
      <c r="J12" s="586" t="s">
        <v>481</v>
      </c>
      <c r="K12" s="586" t="s">
        <v>95</v>
      </c>
      <c r="L12" s="586" t="s">
        <v>161</v>
      </c>
      <c r="M12" s="586" t="s">
        <v>162</v>
      </c>
      <c r="N12" s="586" t="s">
        <v>3322</v>
      </c>
    </row>
    <row r="13" spans="1:14" ht="16.5">
      <c r="A13" s="586" t="s">
        <v>2968</v>
      </c>
      <c r="B13" s="586" t="s">
        <v>3323</v>
      </c>
      <c r="C13" s="587">
        <v>1.4814814814814814E-3</v>
      </c>
      <c r="D13" s="586" t="s">
        <v>3324</v>
      </c>
      <c r="E13" s="586" t="s">
        <v>188</v>
      </c>
      <c r="F13" s="586" t="s">
        <v>3313</v>
      </c>
      <c r="G13" s="586" t="s">
        <v>3314</v>
      </c>
      <c r="H13" s="586" t="s">
        <v>157</v>
      </c>
      <c r="I13" s="586" t="s">
        <v>176</v>
      </c>
      <c r="J13" s="586" t="s">
        <v>1406</v>
      </c>
      <c r="K13" s="586" t="s">
        <v>160</v>
      </c>
      <c r="L13" s="586" t="s">
        <v>161</v>
      </c>
      <c r="M13" s="586" t="s">
        <v>162</v>
      </c>
      <c r="N13" s="586" t="s">
        <v>3325</v>
      </c>
    </row>
    <row r="14" spans="1:14" ht="16.5">
      <c r="A14" s="586" t="s">
        <v>2751</v>
      </c>
      <c r="B14" s="586" t="s">
        <v>2958</v>
      </c>
      <c r="C14" s="587">
        <v>2.1296296296296298E-3</v>
      </c>
      <c r="D14" s="586" t="s">
        <v>2959</v>
      </c>
      <c r="E14" s="586" t="s">
        <v>188</v>
      </c>
      <c r="F14" s="586" t="s">
        <v>2771</v>
      </c>
      <c r="G14" s="586" t="s">
        <v>2960</v>
      </c>
      <c r="H14" s="586" t="s">
        <v>157</v>
      </c>
      <c r="I14" s="586" t="s">
        <v>158</v>
      </c>
      <c r="J14" s="586" t="s">
        <v>168</v>
      </c>
      <c r="K14" s="586" t="s">
        <v>160</v>
      </c>
      <c r="L14" s="586" t="s">
        <v>161</v>
      </c>
      <c r="M14" s="586" t="s">
        <v>162</v>
      </c>
      <c r="N14" s="586" t="s">
        <v>2961</v>
      </c>
    </row>
    <row r="15" spans="1:14" ht="16.5">
      <c r="A15" s="586" t="s">
        <v>2751</v>
      </c>
      <c r="B15" s="586" t="s">
        <v>2962</v>
      </c>
      <c r="C15" s="587">
        <v>9.4907407407407408E-4</v>
      </c>
      <c r="D15" s="586" t="s">
        <v>2963</v>
      </c>
      <c r="E15" s="586" t="s">
        <v>188</v>
      </c>
      <c r="F15" s="586" t="s">
        <v>2712</v>
      </c>
      <c r="G15" s="586" t="s">
        <v>2713</v>
      </c>
      <c r="H15" s="586" t="s">
        <v>157</v>
      </c>
      <c r="I15" s="586" t="s">
        <v>158</v>
      </c>
      <c r="J15" s="586" t="s">
        <v>391</v>
      </c>
      <c r="K15" s="586" t="s">
        <v>95</v>
      </c>
      <c r="L15" s="586" t="s">
        <v>161</v>
      </c>
      <c r="M15" s="586" t="s">
        <v>162</v>
      </c>
      <c r="N15" s="586" t="s">
        <v>2964</v>
      </c>
    </row>
    <row r="16" spans="1:14" ht="16.5">
      <c r="A16" s="586" t="s">
        <v>2711</v>
      </c>
      <c r="B16" s="586" t="s">
        <v>2719</v>
      </c>
      <c r="C16" s="587">
        <v>2.1296296296296298E-3</v>
      </c>
      <c r="D16" s="586" t="s">
        <v>2720</v>
      </c>
      <c r="E16" s="586" t="s">
        <v>188</v>
      </c>
      <c r="F16" s="586" t="s">
        <v>2721</v>
      </c>
      <c r="G16" s="586" t="s">
        <v>2722</v>
      </c>
      <c r="H16" s="586" t="s">
        <v>157</v>
      </c>
      <c r="I16" s="586" t="s">
        <v>176</v>
      </c>
      <c r="J16" s="586" t="s">
        <v>754</v>
      </c>
      <c r="K16" s="586" t="s">
        <v>95</v>
      </c>
      <c r="L16" s="586" t="s">
        <v>161</v>
      </c>
      <c r="M16" s="586" t="s">
        <v>162</v>
      </c>
      <c r="N16" s="586" t="s">
        <v>2723</v>
      </c>
    </row>
    <row r="17" spans="1:14" s="244" customFormat="1" ht="16.5">
      <c r="A17" s="586" t="s">
        <v>2514</v>
      </c>
      <c r="B17" s="586" t="s">
        <v>2695</v>
      </c>
      <c r="C17" s="587">
        <v>7.175925925925927E-4</v>
      </c>
      <c r="D17" s="586" t="s">
        <v>2696</v>
      </c>
      <c r="E17" s="586" t="s">
        <v>188</v>
      </c>
      <c r="F17" s="586" t="s">
        <v>1320</v>
      </c>
      <c r="G17" s="586" t="s">
        <v>2697</v>
      </c>
      <c r="H17" s="586" t="s">
        <v>157</v>
      </c>
      <c r="I17" s="586" t="s">
        <v>158</v>
      </c>
      <c r="J17" s="586" t="s">
        <v>212</v>
      </c>
      <c r="K17" s="586" t="s">
        <v>160</v>
      </c>
      <c r="L17" s="586" t="s">
        <v>161</v>
      </c>
      <c r="M17" s="586" t="s">
        <v>162</v>
      </c>
      <c r="N17" s="586" t="s">
        <v>2705</v>
      </c>
    </row>
    <row r="18" spans="1:14" s="244" customFormat="1" ht="16.5">
      <c r="A18" s="586" t="s">
        <v>2514</v>
      </c>
      <c r="B18" s="586" t="s">
        <v>2698</v>
      </c>
      <c r="C18" s="587">
        <v>6.018518518518519E-4</v>
      </c>
      <c r="D18" s="586" t="s">
        <v>2699</v>
      </c>
      <c r="E18" s="586" t="s">
        <v>188</v>
      </c>
      <c r="F18" s="586" t="s">
        <v>2700</v>
      </c>
      <c r="G18" s="586" t="s">
        <v>2615</v>
      </c>
      <c r="H18" s="586" t="s">
        <v>157</v>
      </c>
      <c r="I18" s="586" t="s">
        <v>158</v>
      </c>
      <c r="J18" s="586" t="s">
        <v>159</v>
      </c>
      <c r="K18" s="586" t="s">
        <v>95</v>
      </c>
      <c r="L18" s="586" t="s">
        <v>161</v>
      </c>
      <c r="M18" s="586" t="s">
        <v>162</v>
      </c>
      <c r="N18" s="586" t="s">
        <v>2706</v>
      </c>
    </row>
    <row r="19" spans="1:14" ht="16.5">
      <c r="A19" s="586" t="s">
        <v>2514</v>
      </c>
      <c r="B19" s="586" t="s">
        <v>2701</v>
      </c>
      <c r="C19" s="587">
        <v>1.423611111111111E-3</v>
      </c>
      <c r="D19" s="586" t="s">
        <v>2702</v>
      </c>
      <c r="E19" s="586" t="s">
        <v>188</v>
      </c>
      <c r="F19" s="586" t="s">
        <v>2614</v>
      </c>
      <c r="G19" s="586" t="s">
        <v>2615</v>
      </c>
      <c r="H19" s="586" t="s">
        <v>157</v>
      </c>
      <c r="I19" s="586" t="s">
        <v>197</v>
      </c>
      <c r="J19" s="586" t="s">
        <v>198</v>
      </c>
      <c r="K19" s="586" t="s">
        <v>95</v>
      </c>
      <c r="L19" s="586" t="s">
        <v>161</v>
      </c>
      <c r="M19" s="586" t="s">
        <v>162</v>
      </c>
      <c r="N19" s="586" t="s">
        <v>2707</v>
      </c>
    </row>
    <row r="20" spans="1:14" ht="16.5">
      <c r="A20" s="586" t="s">
        <v>2514</v>
      </c>
      <c r="B20" s="586" t="s">
        <v>2703</v>
      </c>
      <c r="C20" s="587">
        <v>2.1643518518518518E-3</v>
      </c>
      <c r="D20" s="586" t="s">
        <v>2704</v>
      </c>
      <c r="E20" s="586" t="s">
        <v>188</v>
      </c>
      <c r="F20" s="586" t="s">
        <v>2363</v>
      </c>
      <c r="G20" s="586" t="s">
        <v>2491</v>
      </c>
      <c r="H20" s="586" t="s">
        <v>157</v>
      </c>
      <c r="I20" s="586" t="s">
        <v>158</v>
      </c>
      <c r="J20" s="586" t="s">
        <v>191</v>
      </c>
      <c r="K20" s="586" t="s">
        <v>160</v>
      </c>
      <c r="L20" s="586" t="s">
        <v>161</v>
      </c>
      <c r="M20" s="586" t="s">
        <v>162</v>
      </c>
      <c r="N20" s="586" t="s">
        <v>2708</v>
      </c>
    </row>
    <row r="21" spans="1:14" ht="16.5">
      <c r="A21" s="586" t="s">
        <v>2277</v>
      </c>
      <c r="B21" s="586" t="s">
        <v>2511</v>
      </c>
      <c r="C21" s="587">
        <v>1.6550925925925926E-3</v>
      </c>
      <c r="D21" s="586" t="s">
        <v>2512</v>
      </c>
      <c r="E21" s="586" t="s">
        <v>188</v>
      </c>
      <c r="F21" s="586" t="s">
        <v>1241</v>
      </c>
      <c r="G21" s="586" t="s">
        <v>792</v>
      </c>
      <c r="H21" s="586" t="s">
        <v>157</v>
      </c>
      <c r="I21" s="586" t="s">
        <v>176</v>
      </c>
      <c r="J21" s="586" t="s">
        <v>481</v>
      </c>
      <c r="K21" s="586" t="s">
        <v>160</v>
      </c>
      <c r="L21" s="586" t="s">
        <v>161</v>
      </c>
      <c r="M21" s="586" t="s">
        <v>162</v>
      </c>
      <c r="N21" s="586" t="s">
        <v>2513</v>
      </c>
    </row>
    <row r="22" spans="1:14" ht="15.75" customHeight="1">
      <c r="A22" s="586" t="s">
        <v>2081</v>
      </c>
      <c r="B22" s="586" t="s">
        <v>2137</v>
      </c>
      <c r="C22" s="587">
        <v>1.3541666666666667E-3</v>
      </c>
      <c r="D22" s="586" t="s">
        <v>2138</v>
      </c>
      <c r="E22" s="586" t="s">
        <v>188</v>
      </c>
      <c r="F22" s="586" t="s">
        <v>173</v>
      </c>
      <c r="G22" s="586" t="s">
        <v>959</v>
      </c>
      <c r="H22" s="586" t="s">
        <v>157</v>
      </c>
      <c r="I22" s="586" t="s">
        <v>158</v>
      </c>
      <c r="J22" s="586" t="s">
        <v>159</v>
      </c>
      <c r="K22" s="586" t="s">
        <v>169</v>
      </c>
      <c r="L22" s="586" t="s">
        <v>161</v>
      </c>
      <c r="M22" s="586" t="s">
        <v>162</v>
      </c>
      <c r="N22" s="586" t="s">
        <v>2139</v>
      </c>
    </row>
    <row r="23" spans="1:14" ht="16.5">
      <c r="A23" s="586" t="s">
        <v>2081</v>
      </c>
      <c r="B23" s="586" t="s">
        <v>1013</v>
      </c>
      <c r="C23" s="587">
        <v>9.8379629629629642E-4</v>
      </c>
      <c r="D23" s="586" t="s">
        <v>2145</v>
      </c>
      <c r="E23" s="586" t="s">
        <v>188</v>
      </c>
      <c r="F23" s="586" t="s">
        <v>988</v>
      </c>
      <c r="G23" s="586" t="s">
        <v>2146</v>
      </c>
      <c r="H23" s="586" t="s">
        <v>157</v>
      </c>
      <c r="I23" s="586" t="s">
        <v>158</v>
      </c>
      <c r="J23" s="586" t="s">
        <v>713</v>
      </c>
      <c r="K23" s="586" t="s">
        <v>95</v>
      </c>
      <c r="L23" s="586" t="s">
        <v>161</v>
      </c>
      <c r="M23" s="586" t="s">
        <v>162</v>
      </c>
      <c r="N23" s="586" t="s">
        <v>2147</v>
      </c>
    </row>
    <row r="24" spans="1:14" ht="16.5">
      <c r="A24" s="586" t="s">
        <v>2081</v>
      </c>
      <c r="B24" s="586" t="s">
        <v>2155</v>
      </c>
      <c r="C24" s="587">
        <v>3.5879629629629635E-4</v>
      </c>
      <c r="D24" s="586" t="s">
        <v>2156</v>
      </c>
      <c r="E24" s="586" t="s">
        <v>188</v>
      </c>
      <c r="F24" s="586" t="s">
        <v>2157</v>
      </c>
      <c r="G24" s="586" t="s">
        <v>2158</v>
      </c>
      <c r="H24" s="586" t="s">
        <v>157</v>
      </c>
      <c r="I24" s="586" t="s">
        <v>158</v>
      </c>
      <c r="J24" s="586" t="s">
        <v>713</v>
      </c>
      <c r="K24" s="586" t="s">
        <v>95</v>
      </c>
      <c r="L24" s="586" t="s">
        <v>161</v>
      </c>
      <c r="M24" s="586" t="s">
        <v>162</v>
      </c>
      <c r="N24" s="586" t="s">
        <v>2159</v>
      </c>
    </row>
    <row r="25" spans="1:14" ht="16.5">
      <c r="A25" s="586" t="s">
        <v>1935</v>
      </c>
      <c r="B25" s="586" t="s">
        <v>1939</v>
      </c>
      <c r="C25" s="587">
        <v>2.6388888888888885E-3</v>
      </c>
      <c r="D25" s="586" t="s">
        <v>1940</v>
      </c>
      <c r="E25" s="586" t="s">
        <v>188</v>
      </c>
      <c r="F25" s="586" t="s">
        <v>1941</v>
      </c>
      <c r="G25" s="586" t="s">
        <v>1419</v>
      </c>
      <c r="H25" s="586" t="s">
        <v>157</v>
      </c>
      <c r="I25" s="586" t="s">
        <v>197</v>
      </c>
      <c r="J25" s="586" t="s">
        <v>198</v>
      </c>
      <c r="K25" s="586" t="s">
        <v>95</v>
      </c>
      <c r="L25" s="586" t="s">
        <v>161</v>
      </c>
      <c r="M25" s="586" t="s">
        <v>162</v>
      </c>
      <c r="N25" s="586" t="s">
        <v>1942</v>
      </c>
    </row>
    <row r="26" spans="1:14" ht="16.5">
      <c r="A26" s="586" t="s">
        <v>1935</v>
      </c>
      <c r="B26" s="586" t="s">
        <v>1946</v>
      </c>
      <c r="C26" s="587">
        <v>6.2500000000000001E-4</v>
      </c>
      <c r="D26" s="586" t="s">
        <v>1947</v>
      </c>
      <c r="E26" s="586" t="s">
        <v>188</v>
      </c>
      <c r="F26" s="586" t="s">
        <v>1241</v>
      </c>
      <c r="G26" s="586" t="s">
        <v>792</v>
      </c>
      <c r="H26" s="586" t="s">
        <v>157</v>
      </c>
      <c r="I26" s="586" t="s">
        <v>197</v>
      </c>
      <c r="J26" s="586" t="s">
        <v>198</v>
      </c>
      <c r="K26" s="586" t="s">
        <v>95</v>
      </c>
      <c r="L26" s="586" t="s">
        <v>161</v>
      </c>
      <c r="M26" s="586" t="s">
        <v>162</v>
      </c>
      <c r="N26" s="586" t="s">
        <v>1948</v>
      </c>
    </row>
    <row r="27" spans="1:14" ht="16.5">
      <c r="A27" s="586" t="s">
        <v>1935</v>
      </c>
      <c r="B27" s="586" t="s">
        <v>1968</v>
      </c>
      <c r="C27" s="587">
        <v>7.175925925925927E-4</v>
      </c>
      <c r="D27" s="586" t="s">
        <v>1969</v>
      </c>
      <c r="E27" s="586" t="s">
        <v>188</v>
      </c>
      <c r="F27" s="586" t="s">
        <v>1241</v>
      </c>
      <c r="G27" s="586" t="s">
        <v>792</v>
      </c>
      <c r="H27" s="586" t="s">
        <v>157</v>
      </c>
      <c r="I27" s="586" t="s">
        <v>197</v>
      </c>
      <c r="J27" s="586" t="s">
        <v>198</v>
      </c>
      <c r="K27" s="586" t="s">
        <v>95</v>
      </c>
      <c r="L27" s="586" t="s">
        <v>161</v>
      </c>
      <c r="M27" s="586" t="s">
        <v>162</v>
      </c>
      <c r="N27" s="586" t="s">
        <v>1970</v>
      </c>
    </row>
    <row r="28" spans="1:14" ht="16.5">
      <c r="A28" s="586" t="s">
        <v>1935</v>
      </c>
      <c r="B28" s="586" t="s">
        <v>1998</v>
      </c>
      <c r="C28" s="587">
        <v>4.7453703703703703E-3</v>
      </c>
      <c r="D28" s="586" t="s">
        <v>1999</v>
      </c>
      <c r="E28" s="586" t="s">
        <v>188</v>
      </c>
      <c r="F28" s="586" t="s">
        <v>1647</v>
      </c>
      <c r="G28" s="586" t="s">
        <v>1648</v>
      </c>
      <c r="H28" s="586" t="s">
        <v>157</v>
      </c>
      <c r="I28" s="586" t="s">
        <v>158</v>
      </c>
      <c r="J28" s="586" t="s">
        <v>391</v>
      </c>
      <c r="K28" s="586" t="s">
        <v>95</v>
      </c>
      <c r="L28" s="586" t="s">
        <v>161</v>
      </c>
      <c r="M28" s="586" t="s">
        <v>162</v>
      </c>
      <c r="N28" s="586" t="s">
        <v>2000</v>
      </c>
    </row>
    <row r="29" spans="1:14" ht="16.5">
      <c r="A29" s="586" t="s">
        <v>1766</v>
      </c>
      <c r="B29" s="586" t="s">
        <v>1929</v>
      </c>
      <c r="C29" s="587">
        <v>3.7037037037037035E-4</v>
      </c>
      <c r="D29" s="586" t="s">
        <v>1930</v>
      </c>
      <c r="E29" s="586" t="s">
        <v>188</v>
      </c>
      <c r="F29" s="586" t="s">
        <v>305</v>
      </c>
      <c r="G29" s="586" t="s">
        <v>306</v>
      </c>
      <c r="H29" s="586" t="s">
        <v>157</v>
      </c>
      <c r="I29" s="586" t="s">
        <v>176</v>
      </c>
      <c r="J29" s="586" t="s">
        <v>1406</v>
      </c>
      <c r="K29" s="586" t="s">
        <v>160</v>
      </c>
      <c r="L29" s="586" t="s">
        <v>161</v>
      </c>
      <c r="M29" s="586" t="s">
        <v>162</v>
      </c>
      <c r="N29" s="586" t="s">
        <v>1931</v>
      </c>
    </row>
    <row r="30" spans="1:14" ht="16.5">
      <c r="A30" s="586" t="s">
        <v>1644</v>
      </c>
      <c r="B30" s="586" t="s">
        <v>1714</v>
      </c>
      <c r="C30" s="587">
        <v>1.9791666666666668E-3</v>
      </c>
      <c r="D30" s="586" t="s">
        <v>1715</v>
      </c>
      <c r="E30" s="586" t="s">
        <v>188</v>
      </c>
      <c r="F30" s="586" t="s">
        <v>1029</v>
      </c>
      <c r="G30" s="586" t="s">
        <v>1030</v>
      </c>
      <c r="H30" s="586" t="s">
        <v>157</v>
      </c>
      <c r="I30" s="586" t="s">
        <v>176</v>
      </c>
      <c r="J30" s="586" t="s">
        <v>282</v>
      </c>
      <c r="K30" s="586" t="s">
        <v>169</v>
      </c>
      <c r="L30" s="586" t="s">
        <v>161</v>
      </c>
      <c r="M30" s="586" t="s">
        <v>162</v>
      </c>
      <c r="N30" s="586" t="s">
        <v>1716</v>
      </c>
    </row>
    <row r="31" spans="1:14" ht="16.5">
      <c r="A31" s="586" t="s">
        <v>1644</v>
      </c>
      <c r="B31" s="586" t="s">
        <v>1368</v>
      </c>
      <c r="C31" s="587">
        <v>3.3564814814814812E-4</v>
      </c>
      <c r="D31" s="586" t="s">
        <v>1728</v>
      </c>
      <c r="E31" s="586" t="s">
        <v>188</v>
      </c>
      <c r="F31" s="586" t="s">
        <v>305</v>
      </c>
      <c r="G31" s="586" t="s">
        <v>306</v>
      </c>
      <c r="H31" s="586" t="s">
        <v>157</v>
      </c>
      <c r="I31" s="586" t="s">
        <v>176</v>
      </c>
      <c r="J31" s="586" t="s">
        <v>481</v>
      </c>
      <c r="K31" s="586" t="s">
        <v>169</v>
      </c>
      <c r="L31" s="586" t="s">
        <v>161</v>
      </c>
      <c r="M31" s="586" t="s">
        <v>162</v>
      </c>
      <c r="N31" s="586" t="s">
        <v>1729</v>
      </c>
    </row>
    <row r="32" spans="1:14" ht="16.5">
      <c r="A32" s="586" t="s">
        <v>1509</v>
      </c>
      <c r="B32" s="586" t="s">
        <v>1265</v>
      </c>
      <c r="C32" s="587">
        <v>4.6296296296296293E-4</v>
      </c>
      <c r="D32" s="586" t="s">
        <v>1632</v>
      </c>
      <c r="E32" s="586" t="s">
        <v>188</v>
      </c>
      <c r="F32" s="586" t="s">
        <v>1633</v>
      </c>
      <c r="G32" s="586" t="s">
        <v>1634</v>
      </c>
      <c r="H32" s="586" t="s">
        <v>157</v>
      </c>
      <c r="I32" s="586" t="s">
        <v>158</v>
      </c>
      <c r="J32" s="586" t="s">
        <v>168</v>
      </c>
      <c r="K32" s="586" t="s">
        <v>95</v>
      </c>
      <c r="L32" s="586" t="s">
        <v>161</v>
      </c>
      <c r="M32" s="586" t="s">
        <v>162</v>
      </c>
      <c r="N32" s="586" t="s">
        <v>1635</v>
      </c>
    </row>
    <row r="33" spans="1:14" ht="16.5">
      <c r="A33" s="586" t="s">
        <v>1509</v>
      </c>
      <c r="B33" s="586" t="s">
        <v>1636</v>
      </c>
      <c r="C33" s="587">
        <v>1.1458333333333333E-3</v>
      </c>
      <c r="D33" s="586" t="s">
        <v>1637</v>
      </c>
      <c r="E33" s="586" t="s">
        <v>188</v>
      </c>
      <c r="F33" s="586" t="s">
        <v>1418</v>
      </c>
      <c r="G33" s="586" t="s">
        <v>1638</v>
      </c>
      <c r="H33" s="586" t="s">
        <v>157</v>
      </c>
      <c r="I33" s="586" t="s">
        <v>158</v>
      </c>
      <c r="J33" s="586" t="s">
        <v>212</v>
      </c>
      <c r="K33" s="586" t="s">
        <v>160</v>
      </c>
      <c r="L33" s="586" t="s">
        <v>161</v>
      </c>
      <c r="M33" s="586" t="s">
        <v>162</v>
      </c>
      <c r="N33" s="586" t="s">
        <v>1639</v>
      </c>
    </row>
    <row r="34" spans="1:14" ht="16.5">
      <c r="A34" s="586" t="s">
        <v>1410</v>
      </c>
      <c r="B34" s="586" t="s">
        <v>1494</v>
      </c>
      <c r="C34" s="587">
        <v>1.1921296296296296E-3</v>
      </c>
      <c r="D34" s="586" t="s">
        <v>1495</v>
      </c>
      <c r="E34" s="586" t="s">
        <v>188</v>
      </c>
      <c r="F34" s="586" t="s">
        <v>841</v>
      </c>
      <c r="G34" s="586" t="s">
        <v>1496</v>
      </c>
      <c r="H34" s="586" t="s">
        <v>157</v>
      </c>
      <c r="I34" s="586" t="s">
        <v>176</v>
      </c>
      <c r="J34" s="586" t="s">
        <v>1497</v>
      </c>
      <c r="K34" s="586" t="s">
        <v>160</v>
      </c>
      <c r="L34" s="586" t="s">
        <v>161</v>
      </c>
      <c r="M34" s="586" t="s">
        <v>162</v>
      </c>
      <c r="N34" s="586" t="s">
        <v>1498</v>
      </c>
    </row>
    <row r="35" spans="1:14" ht="16.5">
      <c r="A35" s="586" t="s">
        <v>1410</v>
      </c>
      <c r="B35" s="586" t="s">
        <v>1499</v>
      </c>
      <c r="C35" s="587">
        <v>4.2824074074074075E-4</v>
      </c>
      <c r="D35" s="586" t="s">
        <v>1500</v>
      </c>
      <c r="E35" s="586" t="s">
        <v>188</v>
      </c>
      <c r="F35" s="586" t="s">
        <v>1501</v>
      </c>
      <c r="G35" s="586" t="s">
        <v>1502</v>
      </c>
      <c r="H35" s="586" t="s">
        <v>157</v>
      </c>
      <c r="I35" s="586" t="s">
        <v>158</v>
      </c>
      <c r="J35" s="586" t="s">
        <v>713</v>
      </c>
      <c r="K35" s="586" t="s">
        <v>169</v>
      </c>
      <c r="L35" s="586" t="s">
        <v>161</v>
      </c>
      <c r="M35" s="586" t="s">
        <v>162</v>
      </c>
      <c r="N35" s="586" t="s">
        <v>1503</v>
      </c>
    </row>
    <row r="36" spans="1:14" ht="16.5">
      <c r="A36" s="586" t="s">
        <v>1410</v>
      </c>
      <c r="B36" s="586" t="s">
        <v>1504</v>
      </c>
      <c r="C36" s="587">
        <v>2.2106481481481478E-3</v>
      </c>
      <c r="D36" s="586" t="s">
        <v>1505</v>
      </c>
      <c r="E36" s="586" t="s">
        <v>188</v>
      </c>
      <c r="F36" s="586" t="s">
        <v>841</v>
      </c>
      <c r="G36" s="586" t="s">
        <v>1496</v>
      </c>
      <c r="H36" s="586" t="s">
        <v>157</v>
      </c>
      <c r="I36" s="586" t="s">
        <v>158</v>
      </c>
      <c r="J36" s="586" t="s">
        <v>191</v>
      </c>
      <c r="K36" s="586" t="s">
        <v>160</v>
      </c>
      <c r="L36" s="586" t="s">
        <v>161</v>
      </c>
      <c r="M36" s="586" t="s">
        <v>162</v>
      </c>
      <c r="N36" s="586" t="s">
        <v>1506</v>
      </c>
    </row>
    <row r="37" spans="1:14" ht="16.5">
      <c r="A37" s="586" t="s">
        <v>1200</v>
      </c>
      <c r="B37" s="586" t="s">
        <v>1306</v>
      </c>
      <c r="C37" s="587">
        <v>2.685185185185185E-3</v>
      </c>
      <c r="D37" s="586" t="s">
        <v>1307</v>
      </c>
      <c r="E37" s="586" t="s">
        <v>188</v>
      </c>
      <c r="F37" s="586" t="s">
        <v>1152</v>
      </c>
      <c r="G37" s="586" t="s">
        <v>1209</v>
      </c>
      <c r="H37" s="586" t="s">
        <v>157</v>
      </c>
      <c r="I37" s="586" t="s">
        <v>158</v>
      </c>
      <c r="J37" s="586" t="s">
        <v>212</v>
      </c>
      <c r="K37" s="586" t="s">
        <v>160</v>
      </c>
      <c r="L37" s="586" t="s">
        <v>161</v>
      </c>
      <c r="M37" s="586" t="s">
        <v>162</v>
      </c>
      <c r="N37" s="586" t="s">
        <v>1311</v>
      </c>
    </row>
    <row r="38" spans="1:14" ht="16.5">
      <c r="A38" s="586" t="s">
        <v>1200</v>
      </c>
      <c r="B38" s="586" t="s">
        <v>1308</v>
      </c>
      <c r="C38" s="587">
        <v>1.9328703703703704E-3</v>
      </c>
      <c r="D38" s="586" t="s">
        <v>1309</v>
      </c>
      <c r="E38" s="586" t="s">
        <v>188</v>
      </c>
      <c r="F38" s="586" t="s">
        <v>1152</v>
      </c>
      <c r="G38" s="586" t="s">
        <v>1310</v>
      </c>
      <c r="H38" s="586" t="s">
        <v>157</v>
      </c>
      <c r="I38" s="586" t="s">
        <v>158</v>
      </c>
      <c r="J38" s="586" t="s">
        <v>212</v>
      </c>
      <c r="K38" s="586" t="s">
        <v>160</v>
      </c>
      <c r="L38" s="586" t="s">
        <v>161</v>
      </c>
      <c r="M38" s="586" t="s">
        <v>162</v>
      </c>
      <c r="N38" s="586" t="s">
        <v>1312</v>
      </c>
    </row>
    <row r="39" spans="1:14" ht="16.5">
      <c r="A39" s="586" t="s">
        <v>1074</v>
      </c>
      <c r="B39" s="586" t="s">
        <v>1099</v>
      </c>
      <c r="C39" s="587">
        <v>2.2453703703703702E-3</v>
      </c>
      <c r="D39" s="586" t="s">
        <v>1100</v>
      </c>
      <c r="E39" s="586" t="s">
        <v>188</v>
      </c>
      <c r="F39" s="586" t="s">
        <v>707</v>
      </c>
      <c r="G39" s="586" t="s">
        <v>708</v>
      </c>
      <c r="H39" s="586" t="s">
        <v>157</v>
      </c>
      <c r="I39" s="586" t="s">
        <v>197</v>
      </c>
      <c r="J39" s="586" t="s">
        <v>198</v>
      </c>
      <c r="K39" s="586" t="s">
        <v>169</v>
      </c>
      <c r="L39" s="586" t="s">
        <v>161</v>
      </c>
      <c r="M39" s="586" t="s">
        <v>162</v>
      </c>
      <c r="N39" s="586" t="s">
        <v>1119</v>
      </c>
    </row>
    <row r="40" spans="1:14" ht="16.5">
      <c r="A40" s="586" t="s">
        <v>977</v>
      </c>
      <c r="B40" s="586" t="s">
        <v>1064</v>
      </c>
      <c r="C40" s="587">
        <v>9.7222222222222209E-4</v>
      </c>
      <c r="D40" s="586" t="s">
        <v>1065</v>
      </c>
      <c r="E40" s="586" t="s">
        <v>188</v>
      </c>
      <c r="F40" s="586" t="s">
        <v>1003</v>
      </c>
      <c r="G40" s="586" t="s">
        <v>1066</v>
      </c>
      <c r="H40" s="586" t="s">
        <v>157</v>
      </c>
      <c r="I40" s="586" t="s">
        <v>158</v>
      </c>
      <c r="J40" s="586" t="s">
        <v>212</v>
      </c>
      <c r="K40" s="586" t="s">
        <v>160</v>
      </c>
      <c r="L40" s="586" t="s">
        <v>161</v>
      </c>
      <c r="M40" s="586" t="s">
        <v>162</v>
      </c>
      <c r="N40" s="586" t="s">
        <v>1067</v>
      </c>
    </row>
    <row r="41" spans="1:14" ht="16.5">
      <c r="A41" s="586" t="s">
        <v>977</v>
      </c>
      <c r="B41" s="586" t="s">
        <v>1068</v>
      </c>
      <c r="C41" s="587">
        <v>1.9675925925925928E-3</v>
      </c>
      <c r="D41" s="586" t="s">
        <v>1069</v>
      </c>
      <c r="E41" s="586" t="s">
        <v>188</v>
      </c>
      <c r="F41" s="586" t="s">
        <v>980</v>
      </c>
      <c r="G41" s="586" t="s">
        <v>1070</v>
      </c>
      <c r="H41" s="586" t="s">
        <v>157</v>
      </c>
      <c r="I41" s="586" t="s">
        <v>158</v>
      </c>
      <c r="J41" s="586" t="s">
        <v>713</v>
      </c>
      <c r="K41" s="586" t="s">
        <v>160</v>
      </c>
      <c r="L41" s="586" t="s">
        <v>161</v>
      </c>
      <c r="M41" s="586" t="s">
        <v>162</v>
      </c>
      <c r="N41" s="586" t="s">
        <v>1071</v>
      </c>
    </row>
    <row r="42" spans="1:14" ht="16.5">
      <c r="A42" s="321" t="s">
        <v>760</v>
      </c>
      <c r="B42" s="321" t="s">
        <v>953</v>
      </c>
      <c r="C42" s="322">
        <v>1.4351851851851854E-3</v>
      </c>
      <c r="D42" s="321" t="s">
        <v>954</v>
      </c>
      <c r="E42" s="321" t="s">
        <v>188</v>
      </c>
      <c r="F42" s="321" t="s">
        <v>955</v>
      </c>
      <c r="G42" s="321" t="s">
        <v>763</v>
      </c>
      <c r="H42" s="321" t="s">
        <v>157</v>
      </c>
      <c r="I42" s="321" t="s">
        <v>176</v>
      </c>
      <c r="J42" s="321" t="s">
        <v>481</v>
      </c>
      <c r="K42" s="321" t="s">
        <v>169</v>
      </c>
      <c r="L42" s="321" t="s">
        <v>161</v>
      </c>
      <c r="M42" s="321" t="s">
        <v>162</v>
      </c>
      <c r="N42" s="321" t="s">
        <v>956</v>
      </c>
    </row>
    <row r="43" spans="1:14" ht="16.5">
      <c r="A43" s="321" t="s">
        <v>760</v>
      </c>
      <c r="B43" s="321" t="s">
        <v>957</v>
      </c>
      <c r="C43" s="322">
        <v>9.7222222222222209E-4</v>
      </c>
      <c r="D43" s="321" t="s">
        <v>958</v>
      </c>
      <c r="E43" s="321" t="s">
        <v>188</v>
      </c>
      <c r="F43" s="321" t="s">
        <v>389</v>
      </c>
      <c r="G43" s="321" t="s">
        <v>959</v>
      </c>
      <c r="H43" s="321" t="s">
        <v>157</v>
      </c>
      <c r="I43" s="321" t="s">
        <v>158</v>
      </c>
      <c r="J43" s="321" t="s">
        <v>159</v>
      </c>
      <c r="K43" s="321" t="s">
        <v>169</v>
      </c>
      <c r="L43" s="321" t="s">
        <v>161</v>
      </c>
      <c r="M43" s="321" t="s">
        <v>162</v>
      </c>
      <c r="N43" s="321" t="s">
        <v>960</v>
      </c>
    </row>
    <row r="44" spans="1:14" ht="16.5">
      <c r="A44" s="321" t="s">
        <v>760</v>
      </c>
      <c r="B44" s="321" t="s">
        <v>961</v>
      </c>
      <c r="C44" s="322">
        <v>1.5277777777777779E-3</v>
      </c>
      <c r="D44" s="321" t="s">
        <v>962</v>
      </c>
      <c r="E44" s="321" t="s">
        <v>188</v>
      </c>
      <c r="F44" s="321" t="s">
        <v>707</v>
      </c>
      <c r="G44" s="321" t="s">
        <v>708</v>
      </c>
      <c r="H44" s="321" t="s">
        <v>157</v>
      </c>
      <c r="I44" s="321" t="s">
        <v>158</v>
      </c>
      <c r="J44" s="321" t="s">
        <v>191</v>
      </c>
      <c r="K44" s="321" t="s">
        <v>160</v>
      </c>
      <c r="L44" s="321" t="s">
        <v>161</v>
      </c>
      <c r="M44" s="321" t="s">
        <v>162</v>
      </c>
      <c r="N44" s="321" t="s">
        <v>963</v>
      </c>
    </row>
    <row r="45" spans="1:14" ht="16.5">
      <c r="A45" s="321" t="s">
        <v>877</v>
      </c>
      <c r="B45" s="321" t="s">
        <v>964</v>
      </c>
      <c r="C45" s="322">
        <v>1.9212962962962962E-3</v>
      </c>
      <c r="D45" s="321" t="s">
        <v>965</v>
      </c>
      <c r="E45" s="321" t="s">
        <v>188</v>
      </c>
      <c r="F45" s="321" t="s">
        <v>445</v>
      </c>
      <c r="G45" s="321" t="s">
        <v>942</v>
      </c>
      <c r="H45" s="321" t="s">
        <v>157</v>
      </c>
      <c r="I45" s="321" t="s">
        <v>158</v>
      </c>
      <c r="J45" s="321" t="s">
        <v>159</v>
      </c>
      <c r="K45" s="321" t="s">
        <v>169</v>
      </c>
      <c r="L45" s="321" t="s">
        <v>161</v>
      </c>
      <c r="M45" s="321" t="s">
        <v>162</v>
      </c>
      <c r="N45" s="321" t="s">
        <v>966</v>
      </c>
    </row>
    <row r="46" spans="1:14" ht="16.5">
      <c r="A46" s="321" t="s">
        <v>573</v>
      </c>
      <c r="B46" s="321" t="s">
        <v>639</v>
      </c>
      <c r="C46" s="322">
        <v>1.9907407407407408E-3</v>
      </c>
      <c r="D46" s="321" t="s">
        <v>640</v>
      </c>
      <c r="E46" s="321" t="s">
        <v>188</v>
      </c>
      <c r="F46" s="321" t="s">
        <v>641</v>
      </c>
      <c r="G46" s="321" t="s">
        <v>538</v>
      </c>
      <c r="H46" s="321" t="s">
        <v>157</v>
      </c>
      <c r="I46" s="321" t="s">
        <v>158</v>
      </c>
      <c r="J46" s="321" t="s">
        <v>159</v>
      </c>
      <c r="K46" s="321" t="s">
        <v>160</v>
      </c>
      <c r="L46" s="321" t="s">
        <v>161</v>
      </c>
      <c r="M46" s="321" t="s">
        <v>162</v>
      </c>
      <c r="N46" s="321" t="s">
        <v>642</v>
      </c>
    </row>
    <row r="47" spans="1:14" ht="16.5">
      <c r="A47" s="321" t="s">
        <v>573</v>
      </c>
      <c r="B47" s="321" t="s">
        <v>643</v>
      </c>
      <c r="C47" s="322">
        <v>6.134259259259259E-4</v>
      </c>
      <c r="D47" s="321" t="s">
        <v>644</v>
      </c>
      <c r="E47" s="321" t="s">
        <v>188</v>
      </c>
      <c r="F47" s="321" t="s">
        <v>641</v>
      </c>
      <c r="G47" s="321" t="s">
        <v>645</v>
      </c>
      <c r="H47" s="321" t="s">
        <v>157</v>
      </c>
      <c r="I47" s="321" t="s">
        <v>158</v>
      </c>
      <c r="J47" s="321" t="s">
        <v>168</v>
      </c>
      <c r="K47" s="321" t="s">
        <v>160</v>
      </c>
      <c r="L47" s="321" t="s">
        <v>161</v>
      </c>
      <c r="M47" s="321" t="s">
        <v>162</v>
      </c>
      <c r="N47" s="321" t="s">
        <v>646</v>
      </c>
    </row>
    <row r="48" spans="1:14" ht="16.5">
      <c r="A48" s="321" t="s">
        <v>573</v>
      </c>
      <c r="B48" s="321" t="s">
        <v>647</v>
      </c>
      <c r="C48" s="322">
        <v>1.2962962962962963E-3</v>
      </c>
      <c r="D48" s="321" t="s">
        <v>648</v>
      </c>
      <c r="E48" s="321" t="s">
        <v>188</v>
      </c>
      <c r="F48" s="321" t="s">
        <v>290</v>
      </c>
      <c r="G48" s="321" t="s">
        <v>281</v>
      </c>
      <c r="H48" s="321" t="s">
        <v>157</v>
      </c>
      <c r="I48" s="321" t="s">
        <v>176</v>
      </c>
      <c r="J48" s="321" t="s">
        <v>282</v>
      </c>
      <c r="K48" s="321" t="s">
        <v>160</v>
      </c>
      <c r="L48" s="321" t="s">
        <v>161</v>
      </c>
      <c r="M48" s="321" t="s">
        <v>162</v>
      </c>
      <c r="N48" s="321" t="s">
        <v>649</v>
      </c>
    </row>
    <row r="49" spans="1:14" ht="16.5">
      <c r="A49" s="321" t="s">
        <v>573</v>
      </c>
      <c r="B49" s="321" t="s">
        <v>698</v>
      </c>
      <c r="C49" s="322">
        <v>1.1805555555555556E-3</v>
      </c>
      <c r="D49" s="321" t="s">
        <v>699</v>
      </c>
      <c r="E49" s="321" t="s">
        <v>188</v>
      </c>
      <c r="F49" s="321" t="s">
        <v>675</v>
      </c>
      <c r="G49" s="321" t="s">
        <v>700</v>
      </c>
      <c r="H49" s="321" t="s">
        <v>157</v>
      </c>
      <c r="I49" s="321" t="s">
        <v>158</v>
      </c>
      <c r="J49" s="321" t="s">
        <v>212</v>
      </c>
      <c r="K49" s="321" t="s">
        <v>160</v>
      </c>
      <c r="L49" s="321" t="s">
        <v>161</v>
      </c>
      <c r="M49" s="321" t="s">
        <v>162</v>
      </c>
      <c r="N49" s="321" t="s">
        <v>701</v>
      </c>
    </row>
    <row r="50" spans="1:14" ht="16.5">
      <c r="A50" s="321" t="s">
        <v>573</v>
      </c>
      <c r="B50" s="321" t="s">
        <v>710</v>
      </c>
      <c r="C50" s="322">
        <v>2.5462962962962961E-4</v>
      </c>
      <c r="D50" s="321" t="s">
        <v>711</v>
      </c>
      <c r="E50" s="321" t="s">
        <v>188</v>
      </c>
      <c r="F50" s="321" t="s">
        <v>641</v>
      </c>
      <c r="G50" s="321" t="s">
        <v>712</v>
      </c>
      <c r="H50" s="321" t="s">
        <v>157</v>
      </c>
      <c r="I50" s="321" t="s">
        <v>158</v>
      </c>
      <c r="J50" s="321" t="s">
        <v>713</v>
      </c>
      <c r="K50" s="321" t="s">
        <v>160</v>
      </c>
      <c r="L50" s="321" t="s">
        <v>161</v>
      </c>
      <c r="M50" s="321" t="s">
        <v>162</v>
      </c>
      <c r="N50" s="321" t="s">
        <v>714</v>
      </c>
    </row>
    <row r="51" spans="1:14" ht="16.5">
      <c r="A51" s="321" t="s">
        <v>442</v>
      </c>
      <c r="B51" s="321" t="s">
        <v>479</v>
      </c>
      <c r="C51" s="322">
        <v>1.2847222222222223E-3</v>
      </c>
      <c r="D51" s="321" t="s">
        <v>480</v>
      </c>
      <c r="E51" s="321" t="s">
        <v>188</v>
      </c>
      <c r="F51" s="321" t="s">
        <v>189</v>
      </c>
      <c r="G51" s="321" t="s">
        <v>190</v>
      </c>
      <c r="H51" s="321" t="s">
        <v>157</v>
      </c>
      <c r="I51" s="321" t="s">
        <v>176</v>
      </c>
      <c r="J51" s="321" t="s">
        <v>481</v>
      </c>
      <c r="K51" s="321" t="s">
        <v>160</v>
      </c>
      <c r="L51" s="321" t="s">
        <v>161</v>
      </c>
      <c r="M51" s="321" t="s">
        <v>162</v>
      </c>
      <c r="N51" s="321" t="s">
        <v>482</v>
      </c>
    </row>
    <row r="52" spans="1:14" ht="16.5">
      <c r="A52" s="321" t="s">
        <v>151</v>
      </c>
      <c r="B52" s="321" t="s">
        <v>379</v>
      </c>
      <c r="C52" s="322">
        <v>3.1250000000000001E-4</v>
      </c>
      <c r="D52" s="321" t="s">
        <v>380</v>
      </c>
      <c r="E52" s="321" t="s">
        <v>188</v>
      </c>
      <c r="F52" s="321" t="s">
        <v>381</v>
      </c>
      <c r="G52" s="321" t="s">
        <v>382</v>
      </c>
      <c r="H52" s="321" t="s">
        <v>157</v>
      </c>
      <c r="I52" s="321" t="s">
        <v>197</v>
      </c>
      <c r="J52" s="321" t="s">
        <v>297</v>
      </c>
      <c r="K52" s="321" t="s">
        <v>95</v>
      </c>
      <c r="L52" s="321" t="s">
        <v>161</v>
      </c>
      <c r="M52" s="321" t="s">
        <v>162</v>
      </c>
      <c r="N52" s="321" t="s">
        <v>383</v>
      </c>
    </row>
    <row r="53" spans="1:14" ht="16.5">
      <c r="A53" s="321" t="s">
        <v>185</v>
      </c>
      <c r="B53" s="321" t="s">
        <v>186</v>
      </c>
      <c r="C53" s="322">
        <v>1.1921296296296296E-3</v>
      </c>
      <c r="D53" s="321" t="s">
        <v>187</v>
      </c>
      <c r="E53" s="321" t="s">
        <v>188</v>
      </c>
      <c r="F53" s="321" t="s">
        <v>189</v>
      </c>
      <c r="G53" s="321" t="s">
        <v>190</v>
      </c>
      <c r="H53" s="321" t="s">
        <v>157</v>
      </c>
      <c r="I53" s="321" t="s">
        <v>158</v>
      </c>
      <c r="J53" s="321" t="s">
        <v>191</v>
      </c>
      <c r="K53" s="321" t="s">
        <v>95</v>
      </c>
      <c r="L53" s="321" t="s">
        <v>161</v>
      </c>
      <c r="M53" s="321" t="s">
        <v>162</v>
      </c>
      <c r="N53" s="321" t="s">
        <v>192</v>
      </c>
    </row>
    <row r="54" spans="1:14" ht="16.5">
      <c r="A54" s="321" t="s">
        <v>272</v>
      </c>
      <c r="B54" s="321" t="s">
        <v>316</v>
      </c>
      <c r="C54" s="322">
        <v>5.2083333333333333E-4</v>
      </c>
      <c r="D54" s="321" t="s">
        <v>317</v>
      </c>
      <c r="E54" s="321" t="s">
        <v>188</v>
      </c>
      <c r="F54" s="321" t="s">
        <v>318</v>
      </c>
      <c r="G54" s="321" t="s">
        <v>319</v>
      </c>
      <c r="H54" s="321" t="s">
        <v>157</v>
      </c>
      <c r="I54" s="321" t="s">
        <v>158</v>
      </c>
      <c r="J54" s="321" t="s">
        <v>191</v>
      </c>
      <c r="K54" s="321" t="s">
        <v>169</v>
      </c>
      <c r="L54" s="321" t="s">
        <v>161</v>
      </c>
      <c r="M54" s="321" t="s">
        <v>162</v>
      </c>
      <c r="N54" s="321" t="s">
        <v>320</v>
      </c>
    </row>
    <row r="55" spans="1:14" ht="16.5">
      <c r="A55" s="321" t="s">
        <v>272</v>
      </c>
      <c r="B55" s="321" t="s">
        <v>967</v>
      </c>
      <c r="C55" s="322">
        <v>1.6203703703703703E-4</v>
      </c>
      <c r="D55" s="321" t="s">
        <v>968</v>
      </c>
      <c r="E55" s="321" t="s">
        <v>188</v>
      </c>
      <c r="F55" s="321" t="s">
        <v>969</v>
      </c>
      <c r="G55" s="321" t="s">
        <v>156</v>
      </c>
      <c r="H55" s="321" t="s">
        <v>157</v>
      </c>
      <c r="I55" s="321" t="s">
        <v>176</v>
      </c>
      <c r="J55" s="321" t="s">
        <v>754</v>
      </c>
      <c r="K55" s="321" t="s">
        <v>169</v>
      </c>
      <c r="L55" s="321" t="s">
        <v>161</v>
      </c>
      <c r="M55" s="321" t="s">
        <v>162</v>
      </c>
      <c r="N55" s="321" t="s">
        <v>970</v>
      </c>
    </row>
  </sheetData>
  <phoneticPr fontId="19"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6.5"/>
  <sheetData/>
  <phoneticPr fontId="19" type="noConversion"/>
  <pageMargins left="0.7" right="0.7" top="0.75" bottom="0.75" header="0.3" footer="0.3"/>
  <pageSetup paperSize="9" orientation="portrait" horizontalDpi="4294967293" verticalDpi="196"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22"/>
  <sheetViews>
    <sheetView workbookViewId="0">
      <selection activeCell="E24" sqref="E24"/>
    </sheetView>
  </sheetViews>
  <sheetFormatPr defaultRowHeight="16.5"/>
  <cols>
    <col min="1" max="1" width="9.75" bestFit="1" customWidth="1"/>
    <col min="4" max="4" width="9.75" bestFit="1" customWidth="1"/>
  </cols>
  <sheetData>
    <row r="1" spans="1:4">
      <c r="A1" s="1">
        <v>42522</v>
      </c>
      <c r="B1">
        <v>1</v>
      </c>
      <c r="D1" s="1"/>
    </row>
    <row r="2" spans="1:4">
      <c r="A2" s="1">
        <v>42523</v>
      </c>
      <c r="B2">
        <v>2</v>
      </c>
      <c r="D2" s="1"/>
    </row>
    <row r="3" spans="1:4">
      <c r="A3" s="1">
        <v>42524</v>
      </c>
      <c r="B3">
        <v>3</v>
      </c>
    </row>
    <row r="4" spans="1:4">
      <c r="A4" s="1">
        <v>42528</v>
      </c>
      <c r="B4">
        <v>4</v>
      </c>
    </row>
    <row r="5" spans="1:4">
      <c r="A5" s="1">
        <v>42529</v>
      </c>
      <c r="B5">
        <v>5</v>
      </c>
    </row>
    <row r="6" spans="1:4">
      <c r="A6" s="1">
        <v>42530</v>
      </c>
      <c r="B6">
        <v>6</v>
      </c>
    </row>
    <row r="7" spans="1:4">
      <c r="A7" s="1">
        <v>42531</v>
      </c>
      <c r="B7">
        <v>7</v>
      </c>
    </row>
    <row r="8" spans="1:4">
      <c r="A8" s="1">
        <v>42534</v>
      </c>
      <c r="B8">
        <v>8</v>
      </c>
    </row>
    <row r="9" spans="1:4">
      <c r="A9" s="1">
        <v>42535</v>
      </c>
      <c r="B9">
        <v>9</v>
      </c>
    </row>
    <row r="10" spans="1:4">
      <c r="A10" s="1">
        <v>42536</v>
      </c>
      <c r="B10">
        <v>10</v>
      </c>
    </row>
    <row r="11" spans="1:4">
      <c r="A11" s="1">
        <v>42537</v>
      </c>
      <c r="B11">
        <v>11</v>
      </c>
    </row>
    <row r="12" spans="1:4">
      <c r="A12" s="1">
        <v>42538</v>
      </c>
      <c r="B12">
        <v>12</v>
      </c>
    </row>
    <row r="13" spans="1:4">
      <c r="A13" s="1">
        <v>42541</v>
      </c>
      <c r="B13">
        <v>13</v>
      </c>
    </row>
    <row r="14" spans="1:4">
      <c r="A14" s="1">
        <v>42542</v>
      </c>
      <c r="B14">
        <v>14</v>
      </c>
    </row>
    <row r="15" spans="1:4">
      <c r="A15" s="1">
        <v>42543</v>
      </c>
      <c r="B15">
        <v>15</v>
      </c>
    </row>
    <row r="16" spans="1:4">
      <c r="A16" s="1">
        <v>42544</v>
      </c>
      <c r="B16">
        <v>16</v>
      </c>
    </row>
    <row r="17" spans="1:2">
      <c r="A17" s="1">
        <v>42545</v>
      </c>
      <c r="B17">
        <v>17</v>
      </c>
    </row>
    <row r="18" spans="1:2">
      <c r="A18" s="1">
        <v>42548</v>
      </c>
      <c r="B18">
        <v>18</v>
      </c>
    </row>
    <row r="19" spans="1:2">
      <c r="A19" s="1">
        <v>42549</v>
      </c>
      <c r="B19">
        <v>19</v>
      </c>
    </row>
    <row r="20" spans="1:2">
      <c r="A20" s="1">
        <v>42550</v>
      </c>
      <c r="B20">
        <v>20</v>
      </c>
    </row>
    <row r="21" spans="1:2">
      <c r="A21" s="1">
        <v>42551</v>
      </c>
      <c r="B21">
        <v>21</v>
      </c>
    </row>
    <row r="22" spans="1:2">
      <c r="A22" s="1"/>
    </row>
  </sheetData>
  <phoneticPr fontId="19" type="noConversion"/>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17" sqref="F17"/>
    </sheetView>
  </sheetViews>
  <sheetFormatPr defaultRowHeight="16.5"/>
  <sheetData/>
  <phoneticPr fontId="19" type="noConversion"/>
  <pageMargins left="0.7" right="0.7" top="0.75" bottom="0.75" header="0.3" footer="0.3"/>
  <pageSetup paperSize="0" orientation="portrait" horizontalDpi="0" verticalDpi="0" copies="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5"/>
  <sheetData/>
  <phoneticPr fontId="1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13</vt:i4>
      </vt:variant>
    </vt:vector>
  </HeadingPairs>
  <TitlesOfParts>
    <vt:vector size="13" baseType="lpstr">
      <vt:lpstr>MAIN</vt:lpstr>
      <vt:lpstr>11월 현황 (누적)</vt:lpstr>
      <vt:lpstr>10월 현황 (누적)</vt:lpstr>
      <vt:lpstr>인원현황</vt:lpstr>
      <vt:lpstr>11월 설치완료 및 Issue</vt:lpstr>
      <vt:lpstr>→백데이터)</vt:lpstr>
      <vt:lpstr>Sheet3</vt:lpstr>
      <vt:lpstr>아웃바운드</vt:lpstr>
      <vt:lpstr>인바운드</vt:lpstr>
      <vt:lpstr>클레임(관리자접수분)</vt:lpstr>
      <vt:lpstr>근무일수</vt:lpstr>
      <vt:lpstr>Sheet1</vt:lpstr>
      <vt:lpstr>Sheet2</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DRCALL</dc:creator>
  <cp:lastModifiedBy>woongjin</cp:lastModifiedBy>
  <cp:lastPrinted>2021-07-13T08:08:06Z</cp:lastPrinted>
  <dcterms:created xsi:type="dcterms:W3CDTF">2015-03-02T10:44:13Z</dcterms:created>
  <dcterms:modified xsi:type="dcterms:W3CDTF">2025-12-01T01:36:53Z</dcterms:modified>
</cp:coreProperties>
</file>